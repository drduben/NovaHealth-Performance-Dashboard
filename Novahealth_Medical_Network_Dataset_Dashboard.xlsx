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https://d.docs.live.net/472e71dab069c667/Desktop/Excel Workspace/"/>
    </mc:Choice>
  </mc:AlternateContent>
  <xr:revisionPtr revIDLastSave="1176" documentId="8_{92CA18A1-05B7-4839-84D4-3E9E14F46D87}" xr6:coauthVersionLast="47" xr6:coauthVersionMax="47" xr10:uidLastSave="{61D7BD1F-7DB3-4325-8215-D63131D80393}"/>
  <bookViews>
    <workbookView xWindow="-108" yWindow="-108" windowWidth="23256" windowHeight="12456" activeTab="3" xr2:uid="{00000000-000D-0000-FFFF-FFFF00000000}"/>
  </bookViews>
  <sheets>
    <sheet name="Pivots" sheetId="4" r:id="rId1"/>
    <sheet name="KPI" sheetId="5" r:id="rId2"/>
    <sheet name="Patient_Data" sheetId="1" r:id="rId3"/>
    <sheet name="Dashboard" sheetId="6" r:id="rId4"/>
    <sheet name="Tools" sheetId="2" r:id="rId5"/>
  </sheets>
  <definedNames>
    <definedName name="Slicer_Age_Group_Class">#N/A</definedName>
    <definedName name="Slicer_Date_Year">#N/A</definedName>
    <definedName name="Slicer_MD_Short">#N/A</definedName>
    <definedName name="Slicer_Risk_Tier">#N/A</definedName>
    <definedName name="Slicer_Short_Month">#N/A</definedName>
    <definedName name="Z_EB334450_2F6D_414A_BD3A_258923638ECF_.wvu.FilterData" localSheetId="2" hidden="1">Patient_Data!$A$1:$S$2506</definedName>
  </definedNames>
  <calcPr calcId="191029"/>
  <customWorkbookViews>
    <customWorkbookView name="Patient_Data filter view" guid="{EB334450-2F6D-414A-BD3A-258923638ECF}" maximized="1" windowWidth="0" windowHeight="0" activeSheetId="0"/>
  </customWorkbookViews>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2" roundtripDataChecksum="A6XCY05IMuRTOPNqnjD6gxopsUe3o8K0atMS0nLWL68="/>
    </ext>
  </extLst>
</workbook>
</file>

<file path=xl/calcChain.xml><?xml version="1.0" encoding="utf-8"?>
<calcChain xmlns="http://schemas.openxmlformats.org/spreadsheetml/2006/main">
  <c r="F2" i="1" l="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4"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S1198" i="1"/>
  <c r="S1199" i="1"/>
  <c r="S1200" i="1"/>
  <c r="S1201" i="1"/>
  <c r="S1202" i="1"/>
  <c r="S1203" i="1"/>
  <c r="S1204" i="1"/>
  <c r="S1205" i="1"/>
  <c r="S1206" i="1"/>
  <c r="S1207" i="1"/>
  <c r="S1208" i="1"/>
  <c r="S1209" i="1"/>
  <c r="S1210" i="1"/>
  <c r="S1211" i="1"/>
  <c r="S1212" i="1"/>
  <c r="S1213" i="1"/>
  <c r="S1214" i="1"/>
  <c r="S1215" i="1"/>
  <c r="S1216" i="1"/>
  <c r="S1217" i="1"/>
  <c r="S1218" i="1"/>
  <c r="S1219" i="1"/>
  <c r="S1220" i="1"/>
  <c r="S1221" i="1"/>
  <c r="S1222" i="1"/>
  <c r="S1223" i="1"/>
  <c r="S1224" i="1"/>
  <c r="S1225" i="1"/>
  <c r="S1226" i="1"/>
  <c r="S1227" i="1"/>
  <c r="S1228" i="1"/>
  <c r="S1229" i="1"/>
  <c r="S1230" i="1"/>
  <c r="S1231" i="1"/>
  <c r="S1232" i="1"/>
  <c r="S1233" i="1"/>
  <c r="S1234" i="1"/>
  <c r="S1235" i="1"/>
  <c r="S1236" i="1"/>
  <c r="S1237" i="1"/>
  <c r="S1238" i="1"/>
  <c r="S1239" i="1"/>
  <c r="S1240" i="1"/>
  <c r="S1241" i="1"/>
  <c r="S1242" i="1"/>
  <c r="S1243" i="1"/>
  <c r="S1244" i="1"/>
  <c r="S1245" i="1"/>
  <c r="S1246" i="1"/>
  <c r="S1247" i="1"/>
  <c r="S1248" i="1"/>
  <c r="S1249" i="1"/>
  <c r="S1250" i="1"/>
  <c r="S1251" i="1"/>
  <c r="S1252" i="1"/>
  <c r="S1253" i="1"/>
  <c r="S1254" i="1"/>
  <c r="S1255" i="1"/>
  <c r="S1256" i="1"/>
  <c r="S1257" i="1"/>
  <c r="S1258" i="1"/>
  <c r="S1259" i="1"/>
  <c r="S1260" i="1"/>
  <c r="S1261" i="1"/>
  <c r="S1262" i="1"/>
  <c r="S1263" i="1"/>
  <c r="S1264" i="1"/>
  <c r="S1265" i="1"/>
  <c r="S1266" i="1"/>
  <c r="S1267" i="1"/>
  <c r="S1268" i="1"/>
  <c r="S1269" i="1"/>
  <c r="S1270" i="1"/>
  <c r="S1271" i="1"/>
  <c r="S1272" i="1"/>
  <c r="S1273" i="1"/>
  <c r="S1274" i="1"/>
  <c r="S1275" i="1"/>
  <c r="S1276" i="1"/>
  <c r="S1277" i="1"/>
  <c r="S1278" i="1"/>
  <c r="S1279" i="1"/>
  <c r="S1280" i="1"/>
  <c r="S1281" i="1"/>
  <c r="S1282" i="1"/>
  <c r="S1283" i="1"/>
  <c r="S1284" i="1"/>
  <c r="S1285" i="1"/>
  <c r="S1286" i="1"/>
  <c r="S1287" i="1"/>
  <c r="S1288" i="1"/>
  <c r="S1289" i="1"/>
  <c r="S1290" i="1"/>
  <c r="S1291" i="1"/>
  <c r="S1292" i="1"/>
  <c r="S1293" i="1"/>
  <c r="S1294" i="1"/>
  <c r="S1295" i="1"/>
  <c r="S1296" i="1"/>
  <c r="S1297" i="1"/>
  <c r="S1298" i="1"/>
  <c r="S1299" i="1"/>
  <c r="S1300" i="1"/>
  <c r="S1301" i="1"/>
  <c r="S1302" i="1"/>
  <c r="S1303" i="1"/>
  <c r="S1304" i="1"/>
  <c r="S1305" i="1"/>
  <c r="S1306" i="1"/>
  <c r="S1307" i="1"/>
  <c r="S1308" i="1"/>
  <c r="S1309" i="1"/>
  <c r="S1310" i="1"/>
  <c r="S1311" i="1"/>
  <c r="S1312" i="1"/>
  <c r="S1313" i="1"/>
  <c r="S1314" i="1"/>
  <c r="S1315" i="1"/>
  <c r="S1316" i="1"/>
  <c r="S1317" i="1"/>
  <c r="S1318" i="1"/>
  <c r="S1319" i="1"/>
  <c r="S1320" i="1"/>
  <c r="S1321" i="1"/>
  <c r="S1322" i="1"/>
  <c r="S1323" i="1"/>
  <c r="S1324" i="1"/>
  <c r="S1325" i="1"/>
  <c r="S1326" i="1"/>
  <c r="S1327" i="1"/>
  <c r="S1328" i="1"/>
  <c r="S1329" i="1"/>
  <c r="S1330" i="1"/>
  <c r="S1331" i="1"/>
  <c r="S1332" i="1"/>
  <c r="S1333" i="1"/>
  <c r="S1334" i="1"/>
  <c r="S1335" i="1"/>
  <c r="S1336" i="1"/>
  <c r="S1337" i="1"/>
  <c r="S1338" i="1"/>
  <c r="S1339" i="1"/>
  <c r="S1340" i="1"/>
  <c r="S1341" i="1"/>
  <c r="S1342" i="1"/>
  <c r="S1343" i="1"/>
  <c r="S1344" i="1"/>
  <c r="S1345" i="1"/>
  <c r="S1346" i="1"/>
  <c r="S1347" i="1"/>
  <c r="S1348" i="1"/>
  <c r="S1349" i="1"/>
  <c r="S1350" i="1"/>
  <c r="S1351" i="1"/>
  <c r="S1352" i="1"/>
  <c r="S1353" i="1"/>
  <c r="S1354" i="1"/>
  <c r="S1355" i="1"/>
  <c r="S1356" i="1"/>
  <c r="S1357" i="1"/>
  <c r="S1358" i="1"/>
  <c r="S1359" i="1"/>
  <c r="S1360" i="1"/>
  <c r="S1361" i="1"/>
  <c r="S1362" i="1"/>
  <c r="S1363" i="1"/>
  <c r="S1364" i="1"/>
  <c r="S1365" i="1"/>
  <c r="S1366" i="1"/>
  <c r="S1367" i="1"/>
  <c r="S1368" i="1"/>
  <c r="S1369" i="1"/>
  <c r="S1370" i="1"/>
  <c r="S1371" i="1"/>
  <c r="S1372" i="1"/>
  <c r="S1373" i="1"/>
  <c r="S1374" i="1"/>
  <c r="S1375" i="1"/>
  <c r="S1376" i="1"/>
  <c r="S1377" i="1"/>
  <c r="S1378" i="1"/>
  <c r="S1379" i="1"/>
  <c r="S1380" i="1"/>
  <c r="S1381" i="1"/>
  <c r="S1382" i="1"/>
  <c r="S1383" i="1"/>
  <c r="S1384" i="1"/>
  <c r="S1385" i="1"/>
  <c r="S1386" i="1"/>
  <c r="S1387" i="1"/>
  <c r="S1388" i="1"/>
  <c r="S1389" i="1"/>
  <c r="S1390" i="1"/>
  <c r="S1391" i="1"/>
  <c r="S1392" i="1"/>
  <c r="S1393" i="1"/>
  <c r="S1394" i="1"/>
  <c r="S1395" i="1"/>
  <c r="S1396" i="1"/>
  <c r="S1397" i="1"/>
  <c r="S1398" i="1"/>
  <c r="S1399" i="1"/>
  <c r="S1400" i="1"/>
  <c r="S1401" i="1"/>
  <c r="S1402" i="1"/>
  <c r="S1403" i="1"/>
  <c r="S1404" i="1"/>
  <c r="S1405" i="1"/>
  <c r="S1406" i="1"/>
  <c r="S1407" i="1"/>
  <c r="S1408" i="1"/>
  <c r="S1409" i="1"/>
  <c r="S1410" i="1"/>
  <c r="S1411" i="1"/>
  <c r="S1412" i="1"/>
  <c r="S1413" i="1"/>
  <c r="S1414" i="1"/>
  <c r="S1415" i="1"/>
  <c r="S1416" i="1"/>
  <c r="S1417" i="1"/>
  <c r="S1418" i="1"/>
  <c r="S1419" i="1"/>
  <c r="S1420" i="1"/>
  <c r="S1421" i="1"/>
  <c r="S1422" i="1"/>
  <c r="S1423" i="1"/>
  <c r="S1424" i="1"/>
  <c r="S1425" i="1"/>
  <c r="S1426" i="1"/>
  <c r="S1427" i="1"/>
  <c r="S1428" i="1"/>
  <c r="S1429" i="1"/>
  <c r="S1430" i="1"/>
  <c r="S1431" i="1"/>
  <c r="S1432" i="1"/>
  <c r="S1433" i="1"/>
  <c r="S1434" i="1"/>
  <c r="S1435" i="1"/>
  <c r="S1436" i="1"/>
  <c r="S1437" i="1"/>
  <c r="S1438" i="1"/>
  <c r="S1439" i="1"/>
  <c r="S1440" i="1"/>
  <c r="S1441" i="1"/>
  <c r="S1442" i="1"/>
  <c r="S1443" i="1"/>
  <c r="S1444" i="1"/>
  <c r="S1445" i="1"/>
  <c r="S1446" i="1"/>
  <c r="S1447" i="1"/>
  <c r="S1448" i="1"/>
  <c r="S1449" i="1"/>
  <c r="S1450" i="1"/>
  <c r="S1451" i="1"/>
  <c r="S1452" i="1"/>
  <c r="S1453" i="1"/>
  <c r="S1454" i="1"/>
  <c r="S1455" i="1"/>
  <c r="S1456" i="1"/>
  <c r="S1457" i="1"/>
  <c r="S1458" i="1"/>
  <c r="S1459" i="1"/>
  <c r="S1460" i="1"/>
  <c r="S1461" i="1"/>
  <c r="S1462" i="1"/>
  <c r="S1463" i="1"/>
  <c r="S1464" i="1"/>
  <c r="S1465" i="1"/>
  <c r="S1466" i="1"/>
  <c r="S1467" i="1"/>
  <c r="S1468" i="1"/>
  <c r="S1469" i="1"/>
  <c r="S1470" i="1"/>
  <c r="S1471" i="1"/>
  <c r="S1472" i="1"/>
  <c r="S1473" i="1"/>
  <c r="S1474" i="1"/>
  <c r="S1475" i="1"/>
  <c r="S1476" i="1"/>
  <c r="S1477" i="1"/>
  <c r="S1478" i="1"/>
  <c r="S1479" i="1"/>
  <c r="S1480" i="1"/>
  <c r="S1481" i="1"/>
  <c r="S1482" i="1"/>
  <c r="S1483" i="1"/>
  <c r="S1484" i="1"/>
  <c r="S1485" i="1"/>
  <c r="S1486" i="1"/>
  <c r="S1487" i="1"/>
  <c r="S1488" i="1"/>
  <c r="S1489" i="1"/>
  <c r="S1490" i="1"/>
  <c r="S1491" i="1"/>
  <c r="S1492" i="1"/>
  <c r="S1493" i="1"/>
  <c r="S1494" i="1"/>
  <c r="S1495" i="1"/>
  <c r="S1496" i="1"/>
  <c r="S1497" i="1"/>
  <c r="S1498" i="1"/>
  <c r="S1499" i="1"/>
  <c r="S1500" i="1"/>
  <c r="S1501" i="1"/>
  <c r="S1502" i="1"/>
  <c r="S1503" i="1"/>
  <c r="S1504" i="1"/>
  <c r="S1505" i="1"/>
  <c r="S1506" i="1"/>
  <c r="S1507" i="1"/>
  <c r="S1508" i="1"/>
  <c r="S1509" i="1"/>
  <c r="S1510" i="1"/>
  <c r="S1511" i="1"/>
  <c r="S1512" i="1"/>
  <c r="S1513" i="1"/>
  <c r="S1514" i="1"/>
  <c r="S1515" i="1"/>
  <c r="S1516" i="1"/>
  <c r="S1517" i="1"/>
  <c r="S1518" i="1"/>
  <c r="S1519" i="1"/>
  <c r="S1520" i="1"/>
  <c r="S1521" i="1"/>
  <c r="S1522" i="1"/>
  <c r="S1523" i="1"/>
  <c r="S1524" i="1"/>
  <c r="S1525" i="1"/>
  <c r="S1526" i="1"/>
  <c r="S1527" i="1"/>
  <c r="S1528" i="1"/>
  <c r="S1529" i="1"/>
  <c r="S1530" i="1"/>
  <c r="S1531" i="1"/>
  <c r="S1532" i="1"/>
  <c r="S1533" i="1"/>
  <c r="S1534" i="1"/>
  <c r="S1535" i="1"/>
  <c r="S1536" i="1"/>
  <c r="S1537" i="1"/>
  <c r="S1538" i="1"/>
  <c r="S1539" i="1"/>
  <c r="S1540" i="1"/>
  <c r="S1541" i="1"/>
  <c r="S1542" i="1"/>
  <c r="S1543" i="1"/>
  <c r="S1544" i="1"/>
  <c r="S1545" i="1"/>
  <c r="S1546" i="1"/>
  <c r="S1547" i="1"/>
  <c r="S1548" i="1"/>
  <c r="S1549" i="1"/>
  <c r="S1550" i="1"/>
  <c r="S1551" i="1"/>
  <c r="S1552" i="1"/>
  <c r="S1553" i="1"/>
  <c r="S1554" i="1"/>
  <c r="S1555" i="1"/>
  <c r="S1556" i="1"/>
  <c r="S1557" i="1"/>
  <c r="S1558" i="1"/>
  <c r="S1559" i="1"/>
  <c r="S1560" i="1"/>
  <c r="S1561" i="1"/>
  <c r="S1562" i="1"/>
  <c r="S1563" i="1"/>
  <c r="S1564" i="1"/>
  <c r="S1565" i="1"/>
  <c r="S1566" i="1"/>
  <c r="S1567" i="1"/>
  <c r="S1568" i="1"/>
  <c r="S1569" i="1"/>
  <c r="S1570" i="1"/>
  <c r="S1571" i="1"/>
  <c r="S1572" i="1"/>
  <c r="S1573" i="1"/>
  <c r="S1574" i="1"/>
  <c r="S1575" i="1"/>
  <c r="S1576" i="1"/>
  <c r="S1577" i="1"/>
  <c r="S1578" i="1"/>
  <c r="S1579" i="1"/>
  <c r="S1580" i="1"/>
  <c r="S1581" i="1"/>
  <c r="S1582" i="1"/>
  <c r="S1583" i="1"/>
  <c r="S1584" i="1"/>
  <c r="S1585" i="1"/>
  <c r="S1586" i="1"/>
  <c r="S1587" i="1"/>
  <c r="S1588" i="1"/>
  <c r="S1589" i="1"/>
  <c r="S1590" i="1"/>
  <c r="S1591" i="1"/>
  <c r="S1592" i="1"/>
  <c r="S1593" i="1"/>
  <c r="S1594" i="1"/>
  <c r="S1595" i="1"/>
  <c r="S1596" i="1"/>
  <c r="S1597" i="1"/>
  <c r="S1598" i="1"/>
  <c r="S1599" i="1"/>
  <c r="S1600" i="1"/>
  <c r="S1601" i="1"/>
  <c r="S1602" i="1"/>
  <c r="S1603" i="1"/>
  <c r="S1604" i="1"/>
  <c r="S1605" i="1"/>
  <c r="S1606" i="1"/>
  <c r="S1607" i="1"/>
  <c r="S1608" i="1"/>
  <c r="S1609" i="1"/>
  <c r="S1610" i="1"/>
  <c r="S1611" i="1"/>
  <c r="S1612" i="1"/>
  <c r="S1613" i="1"/>
  <c r="S1614" i="1"/>
  <c r="S1615" i="1"/>
  <c r="S1616" i="1"/>
  <c r="S1617" i="1"/>
  <c r="S1618" i="1"/>
  <c r="S1619" i="1"/>
  <c r="S1620" i="1"/>
  <c r="S1621" i="1"/>
  <c r="S1622" i="1"/>
  <c r="S1623" i="1"/>
  <c r="S1624" i="1"/>
  <c r="S1625" i="1"/>
  <c r="S1626" i="1"/>
  <c r="S1627" i="1"/>
  <c r="S1628" i="1"/>
  <c r="S1629" i="1"/>
  <c r="S1630" i="1"/>
  <c r="S1631" i="1"/>
  <c r="S1632" i="1"/>
  <c r="S1633" i="1"/>
  <c r="S1634" i="1"/>
  <c r="S1635" i="1"/>
  <c r="S1636" i="1"/>
  <c r="S1637" i="1"/>
  <c r="S1638" i="1"/>
  <c r="S1639" i="1"/>
  <c r="S1640" i="1"/>
  <c r="S1641" i="1"/>
  <c r="S1642" i="1"/>
  <c r="S1643" i="1"/>
  <c r="S1644" i="1"/>
  <c r="S1645" i="1"/>
  <c r="S1646" i="1"/>
  <c r="S1647" i="1"/>
  <c r="S1648" i="1"/>
  <c r="S1649" i="1"/>
  <c r="S1650" i="1"/>
  <c r="S1651" i="1"/>
  <c r="S1652" i="1"/>
  <c r="S1653" i="1"/>
  <c r="S1654" i="1"/>
  <c r="S1655" i="1"/>
  <c r="S1656" i="1"/>
  <c r="S1657" i="1"/>
  <c r="S1658" i="1"/>
  <c r="S1659" i="1"/>
  <c r="S1660" i="1"/>
  <c r="S1661" i="1"/>
  <c r="S1662" i="1"/>
  <c r="S1663" i="1"/>
  <c r="S1664" i="1"/>
  <c r="S1665" i="1"/>
  <c r="S1666" i="1"/>
  <c r="S1667" i="1"/>
  <c r="S1668" i="1"/>
  <c r="S1669" i="1"/>
  <c r="S1670" i="1"/>
  <c r="S1671" i="1"/>
  <c r="S1672" i="1"/>
  <c r="S1673" i="1"/>
  <c r="S1674" i="1"/>
  <c r="S1675" i="1"/>
  <c r="S1676" i="1"/>
  <c r="S1677" i="1"/>
  <c r="S1678" i="1"/>
  <c r="S1679" i="1"/>
  <c r="S1680" i="1"/>
  <c r="S1681" i="1"/>
  <c r="S1682" i="1"/>
  <c r="S1683" i="1"/>
  <c r="S1684" i="1"/>
  <c r="S1685" i="1"/>
  <c r="S1686" i="1"/>
  <c r="S1687" i="1"/>
  <c r="S1688" i="1"/>
  <c r="S1689" i="1"/>
  <c r="S1690" i="1"/>
  <c r="S1691" i="1"/>
  <c r="S1692" i="1"/>
  <c r="S1693" i="1"/>
  <c r="S1694" i="1"/>
  <c r="S1695" i="1"/>
  <c r="S1696" i="1"/>
  <c r="S1697" i="1"/>
  <c r="S1698" i="1"/>
  <c r="S1699" i="1"/>
  <c r="S1700" i="1"/>
  <c r="S1701" i="1"/>
  <c r="S1702" i="1"/>
  <c r="S1703" i="1"/>
  <c r="S1704" i="1"/>
  <c r="S1705" i="1"/>
  <c r="S1706" i="1"/>
  <c r="S1707" i="1"/>
  <c r="S1708" i="1"/>
  <c r="S1709" i="1"/>
  <c r="S1710" i="1"/>
  <c r="S1711" i="1"/>
  <c r="S1712" i="1"/>
  <c r="S1713" i="1"/>
  <c r="S1714" i="1"/>
  <c r="S1715" i="1"/>
  <c r="S1716" i="1"/>
  <c r="S1717" i="1"/>
  <c r="S1718" i="1"/>
  <c r="S1719" i="1"/>
  <c r="S1720" i="1"/>
  <c r="S1721" i="1"/>
  <c r="S1722" i="1"/>
  <c r="S1723" i="1"/>
  <c r="S1724" i="1"/>
  <c r="S1725" i="1"/>
  <c r="S1726" i="1"/>
  <c r="S1727" i="1"/>
  <c r="S1728" i="1"/>
  <c r="S1729" i="1"/>
  <c r="S1730" i="1"/>
  <c r="S1731" i="1"/>
  <c r="S1732" i="1"/>
  <c r="S1733" i="1"/>
  <c r="S1734" i="1"/>
  <c r="S1735" i="1"/>
  <c r="S1736" i="1"/>
  <c r="S1737" i="1"/>
  <c r="S1738" i="1"/>
  <c r="S1739" i="1"/>
  <c r="S1740" i="1"/>
  <c r="S1741" i="1"/>
  <c r="S1742" i="1"/>
  <c r="S1743" i="1"/>
  <c r="S1744" i="1"/>
  <c r="S1745" i="1"/>
  <c r="S1746" i="1"/>
  <c r="S1747" i="1"/>
  <c r="S1748" i="1"/>
  <c r="S1749" i="1"/>
  <c r="S1750" i="1"/>
  <c r="S1751" i="1"/>
  <c r="S1752" i="1"/>
  <c r="S1753" i="1"/>
  <c r="S1754" i="1"/>
  <c r="S1755" i="1"/>
  <c r="S1756" i="1"/>
  <c r="S1757" i="1"/>
  <c r="S1758" i="1"/>
  <c r="S1759" i="1"/>
  <c r="S1760" i="1"/>
  <c r="S1761" i="1"/>
  <c r="S1762" i="1"/>
  <c r="S1763" i="1"/>
  <c r="S1764" i="1"/>
  <c r="S1765" i="1"/>
  <c r="S1766" i="1"/>
  <c r="S1767" i="1"/>
  <c r="S1768" i="1"/>
  <c r="S1769" i="1"/>
  <c r="S1770" i="1"/>
  <c r="S1771" i="1"/>
  <c r="S1772" i="1"/>
  <c r="S1773" i="1"/>
  <c r="S1774" i="1"/>
  <c r="S1775" i="1"/>
  <c r="S1776" i="1"/>
  <c r="S1777" i="1"/>
  <c r="S1778" i="1"/>
  <c r="S1779" i="1"/>
  <c r="S1780" i="1"/>
  <c r="S1781" i="1"/>
  <c r="S1782" i="1"/>
  <c r="S1783" i="1"/>
  <c r="S1784" i="1"/>
  <c r="S1785" i="1"/>
  <c r="S1786" i="1"/>
  <c r="S1787" i="1"/>
  <c r="S1788" i="1"/>
  <c r="S1789" i="1"/>
  <c r="S1790" i="1"/>
  <c r="S1791" i="1"/>
  <c r="S1792" i="1"/>
  <c r="S1793" i="1"/>
  <c r="S1794" i="1"/>
  <c r="S1795" i="1"/>
  <c r="S1796" i="1"/>
  <c r="S1797" i="1"/>
  <c r="S1798" i="1"/>
  <c r="S1799" i="1"/>
  <c r="S1800" i="1"/>
  <c r="S1801" i="1"/>
  <c r="S1802" i="1"/>
  <c r="S1803" i="1"/>
  <c r="S1804" i="1"/>
  <c r="S1805" i="1"/>
  <c r="S1806" i="1"/>
  <c r="S1807" i="1"/>
  <c r="S1808" i="1"/>
  <c r="S1809" i="1"/>
  <c r="S1810" i="1"/>
  <c r="S1811" i="1"/>
  <c r="S1812" i="1"/>
  <c r="S1813" i="1"/>
  <c r="S1814" i="1"/>
  <c r="S1815" i="1"/>
  <c r="S1816" i="1"/>
  <c r="S1817" i="1"/>
  <c r="S1818" i="1"/>
  <c r="S1819" i="1"/>
  <c r="S1820" i="1"/>
  <c r="S1821" i="1"/>
  <c r="S1822" i="1"/>
  <c r="S1823" i="1"/>
  <c r="S1824" i="1"/>
  <c r="S1825" i="1"/>
  <c r="S1826" i="1"/>
  <c r="S1827" i="1"/>
  <c r="S1828" i="1"/>
  <c r="S1829" i="1"/>
  <c r="S1830" i="1"/>
  <c r="S1831" i="1"/>
  <c r="S1832" i="1"/>
  <c r="S1833" i="1"/>
  <c r="S1834" i="1"/>
  <c r="S1835" i="1"/>
  <c r="S1836" i="1"/>
  <c r="S1837" i="1"/>
  <c r="S1838" i="1"/>
  <c r="S1839" i="1"/>
  <c r="S1840" i="1"/>
  <c r="S1841" i="1"/>
  <c r="S1842" i="1"/>
  <c r="S1843" i="1"/>
  <c r="S1844" i="1"/>
  <c r="S1845" i="1"/>
  <c r="S1846" i="1"/>
  <c r="S1847" i="1"/>
  <c r="S1848" i="1"/>
  <c r="S1849" i="1"/>
  <c r="S1850" i="1"/>
  <c r="S1851" i="1"/>
  <c r="S1852" i="1"/>
  <c r="S1853" i="1"/>
  <c r="S1854" i="1"/>
  <c r="S1855" i="1"/>
  <c r="S1856" i="1"/>
  <c r="S1857" i="1"/>
  <c r="S1858" i="1"/>
  <c r="S1859" i="1"/>
  <c r="S1860" i="1"/>
  <c r="S1861" i="1"/>
  <c r="S1862" i="1"/>
  <c r="S1863" i="1"/>
  <c r="S1864" i="1"/>
  <c r="S1865" i="1"/>
  <c r="S1866" i="1"/>
  <c r="S1867" i="1"/>
  <c r="S1868" i="1"/>
  <c r="S1869" i="1"/>
  <c r="S1870" i="1"/>
  <c r="S1871" i="1"/>
  <c r="S1872" i="1"/>
  <c r="S1873" i="1"/>
  <c r="S1874" i="1"/>
  <c r="S1875" i="1"/>
  <c r="S1876" i="1"/>
  <c r="S1877" i="1"/>
  <c r="S1878" i="1"/>
  <c r="S1879" i="1"/>
  <c r="S1880" i="1"/>
  <c r="S1881" i="1"/>
  <c r="S1882" i="1"/>
  <c r="S1883" i="1"/>
  <c r="S1884" i="1"/>
  <c r="S1885" i="1"/>
  <c r="S1886" i="1"/>
  <c r="S1887" i="1"/>
  <c r="S1888" i="1"/>
  <c r="S1889" i="1"/>
  <c r="S1890" i="1"/>
  <c r="S1891" i="1"/>
  <c r="S1892" i="1"/>
  <c r="S1893" i="1"/>
  <c r="S1894" i="1"/>
  <c r="S1895" i="1"/>
  <c r="S1896" i="1"/>
  <c r="S1897" i="1"/>
  <c r="S1898" i="1"/>
  <c r="S1899" i="1"/>
  <c r="S1900" i="1"/>
  <c r="S1901" i="1"/>
  <c r="S1902" i="1"/>
  <c r="S1903" i="1"/>
  <c r="S1904" i="1"/>
  <c r="S1905" i="1"/>
  <c r="S1906" i="1"/>
  <c r="S1907" i="1"/>
  <c r="S1908" i="1"/>
  <c r="S1909" i="1"/>
  <c r="S1910" i="1"/>
  <c r="S1911" i="1"/>
  <c r="S1912" i="1"/>
  <c r="S1913" i="1"/>
  <c r="S1914" i="1"/>
  <c r="S1915" i="1"/>
  <c r="S1916" i="1"/>
  <c r="S1917" i="1"/>
  <c r="S1918" i="1"/>
  <c r="S1919" i="1"/>
  <c r="S1920" i="1"/>
  <c r="S1921" i="1"/>
  <c r="S1922" i="1"/>
  <c r="S1923" i="1"/>
  <c r="S1924" i="1"/>
  <c r="S1925" i="1"/>
  <c r="S1926" i="1"/>
  <c r="S1927" i="1"/>
  <c r="S1928" i="1"/>
  <c r="S1929" i="1"/>
  <c r="S1930" i="1"/>
  <c r="S1931" i="1"/>
  <c r="S1932" i="1"/>
  <c r="S1933" i="1"/>
  <c r="S1934" i="1"/>
  <c r="S1935" i="1"/>
  <c r="S1936" i="1"/>
  <c r="S1937" i="1"/>
  <c r="S1938" i="1"/>
  <c r="S1939" i="1"/>
  <c r="S1940" i="1"/>
  <c r="S1941" i="1"/>
  <c r="S1942" i="1"/>
  <c r="S1943" i="1"/>
  <c r="S1944" i="1"/>
  <c r="S1945" i="1"/>
  <c r="S1946" i="1"/>
  <c r="S1947" i="1"/>
  <c r="S1948" i="1"/>
  <c r="S1949" i="1"/>
  <c r="S1950" i="1"/>
  <c r="S1951" i="1"/>
  <c r="S1952" i="1"/>
  <c r="S1953" i="1"/>
  <c r="S1954" i="1"/>
  <c r="S1955" i="1"/>
  <c r="S1956" i="1"/>
  <c r="S1957" i="1"/>
  <c r="S1958" i="1"/>
  <c r="S1959" i="1"/>
  <c r="S1960" i="1"/>
  <c r="S1961" i="1"/>
  <c r="S1962" i="1"/>
  <c r="S1963" i="1"/>
  <c r="S1964" i="1"/>
  <c r="S1965" i="1"/>
  <c r="S1966" i="1"/>
  <c r="S1967" i="1"/>
  <c r="S1968" i="1"/>
  <c r="S1969" i="1"/>
  <c r="S1970" i="1"/>
  <c r="S1971" i="1"/>
  <c r="S1972" i="1"/>
  <c r="S1973" i="1"/>
  <c r="S1974" i="1"/>
  <c r="S1975" i="1"/>
  <c r="S1976" i="1"/>
  <c r="S1977" i="1"/>
  <c r="S1978" i="1"/>
  <c r="S1979" i="1"/>
  <c r="S1980" i="1"/>
  <c r="S1981" i="1"/>
  <c r="S1982" i="1"/>
  <c r="S1983" i="1"/>
  <c r="S1984" i="1"/>
  <c r="S1985" i="1"/>
  <c r="S1986" i="1"/>
  <c r="S1987" i="1"/>
  <c r="S1988" i="1"/>
  <c r="S1989" i="1"/>
  <c r="S1990" i="1"/>
  <c r="S1991" i="1"/>
  <c r="S1992" i="1"/>
  <c r="S1993" i="1"/>
  <c r="S1994" i="1"/>
  <c r="S1995" i="1"/>
  <c r="S1996" i="1"/>
  <c r="S1997" i="1"/>
  <c r="S1998" i="1"/>
  <c r="S1999" i="1"/>
  <c r="S2000" i="1"/>
  <c r="S2001" i="1"/>
  <c r="S2002" i="1"/>
  <c r="S2003" i="1"/>
  <c r="S2004" i="1"/>
  <c r="S2005" i="1"/>
  <c r="S2006" i="1"/>
  <c r="S2007" i="1"/>
  <c r="S2008" i="1"/>
  <c r="S2009" i="1"/>
  <c r="S2010" i="1"/>
  <c r="S2011" i="1"/>
  <c r="S2012" i="1"/>
  <c r="S2013" i="1"/>
  <c r="S2014" i="1"/>
  <c r="S2015" i="1"/>
  <c r="S2016" i="1"/>
  <c r="S2017" i="1"/>
  <c r="S2018" i="1"/>
  <c r="S2019" i="1"/>
  <c r="S2020" i="1"/>
  <c r="S2021" i="1"/>
  <c r="S2022" i="1"/>
  <c r="S2023" i="1"/>
  <c r="S2024" i="1"/>
  <c r="S2025" i="1"/>
  <c r="S2026" i="1"/>
  <c r="S2027" i="1"/>
  <c r="S2028" i="1"/>
  <c r="S2029" i="1"/>
  <c r="S2030" i="1"/>
  <c r="S2031" i="1"/>
  <c r="S2032" i="1"/>
  <c r="S2033" i="1"/>
  <c r="S2034" i="1"/>
  <c r="S2035" i="1"/>
  <c r="S2036" i="1"/>
  <c r="S2037" i="1"/>
  <c r="S2038" i="1"/>
  <c r="S2039" i="1"/>
  <c r="S2040" i="1"/>
  <c r="S2041" i="1"/>
  <c r="S2042" i="1"/>
  <c r="S2043" i="1"/>
  <c r="S2044" i="1"/>
  <c r="S2045" i="1"/>
  <c r="S2046" i="1"/>
  <c r="S2047" i="1"/>
  <c r="S2048" i="1"/>
  <c r="S2049" i="1"/>
  <c r="S2050" i="1"/>
  <c r="S2051" i="1"/>
  <c r="S2052" i="1"/>
  <c r="S2053" i="1"/>
  <c r="S2054" i="1"/>
  <c r="S2055" i="1"/>
  <c r="S2056" i="1"/>
  <c r="S2057" i="1"/>
  <c r="S2058" i="1"/>
  <c r="S2059" i="1"/>
  <c r="S2060" i="1"/>
  <c r="S2061" i="1"/>
  <c r="S2062" i="1"/>
  <c r="S2063" i="1"/>
  <c r="S2064" i="1"/>
  <c r="S2065" i="1"/>
  <c r="S2066" i="1"/>
  <c r="S2067" i="1"/>
  <c r="S2068" i="1"/>
  <c r="S2069" i="1"/>
  <c r="S2070" i="1"/>
  <c r="S2071" i="1"/>
  <c r="S2072" i="1"/>
  <c r="S2073" i="1"/>
  <c r="S2074" i="1"/>
  <c r="S2075" i="1"/>
  <c r="S2076" i="1"/>
  <c r="S2077" i="1"/>
  <c r="S2078" i="1"/>
  <c r="S2079" i="1"/>
  <c r="S2080" i="1"/>
  <c r="S2081" i="1"/>
  <c r="S2082" i="1"/>
  <c r="S2083" i="1"/>
  <c r="S2084" i="1"/>
  <c r="S2085" i="1"/>
  <c r="S2086" i="1"/>
  <c r="S2087" i="1"/>
  <c r="S2088" i="1"/>
  <c r="S2089" i="1"/>
  <c r="S2090" i="1"/>
  <c r="S2091" i="1"/>
  <c r="S2092" i="1"/>
  <c r="S2093" i="1"/>
  <c r="S2094" i="1"/>
  <c r="S2095" i="1"/>
  <c r="S2096" i="1"/>
  <c r="S2097" i="1"/>
  <c r="S2098" i="1"/>
  <c r="S2099" i="1"/>
  <c r="S2100" i="1"/>
  <c r="S2101" i="1"/>
  <c r="S2102" i="1"/>
  <c r="S2103" i="1"/>
  <c r="S2104" i="1"/>
  <c r="S2105" i="1"/>
  <c r="S2106" i="1"/>
  <c r="S2107" i="1"/>
  <c r="S2108" i="1"/>
  <c r="S2109" i="1"/>
  <c r="S2110" i="1"/>
  <c r="S2111" i="1"/>
  <c r="S2112" i="1"/>
  <c r="S2113" i="1"/>
  <c r="S2114" i="1"/>
  <c r="S2115" i="1"/>
  <c r="S2116" i="1"/>
  <c r="S2117" i="1"/>
  <c r="S2118" i="1"/>
  <c r="S2119" i="1"/>
  <c r="S2120" i="1"/>
  <c r="S2121" i="1"/>
  <c r="S2122" i="1"/>
  <c r="S2123" i="1"/>
  <c r="S2124" i="1"/>
  <c r="S2125" i="1"/>
  <c r="S2126" i="1"/>
  <c r="S2127" i="1"/>
  <c r="S2128" i="1"/>
  <c r="S2129" i="1"/>
  <c r="S2130" i="1"/>
  <c r="S2131" i="1"/>
  <c r="S2132" i="1"/>
  <c r="S2133" i="1"/>
  <c r="S2134" i="1"/>
  <c r="S2135" i="1"/>
  <c r="S2136" i="1"/>
  <c r="S2137" i="1"/>
  <c r="S2138" i="1"/>
  <c r="S2139" i="1"/>
  <c r="S2140" i="1"/>
  <c r="S2141" i="1"/>
  <c r="S2142" i="1"/>
  <c r="S2143" i="1"/>
  <c r="S2144" i="1"/>
  <c r="S2145" i="1"/>
  <c r="S2146" i="1"/>
  <c r="S2147" i="1"/>
  <c r="S2148" i="1"/>
  <c r="S2149" i="1"/>
  <c r="S2150" i="1"/>
  <c r="S2151" i="1"/>
  <c r="S2152" i="1"/>
  <c r="S2153" i="1"/>
  <c r="S2154" i="1"/>
  <c r="S2155" i="1"/>
  <c r="S2156" i="1"/>
  <c r="S2157" i="1"/>
  <c r="S2158" i="1"/>
  <c r="S2159" i="1"/>
  <c r="S2160" i="1"/>
  <c r="S2161" i="1"/>
  <c r="S2162" i="1"/>
  <c r="S2163" i="1"/>
  <c r="S2164" i="1"/>
  <c r="S2165" i="1"/>
  <c r="S2166" i="1"/>
  <c r="S2167" i="1"/>
  <c r="S2168" i="1"/>
  <c r="S2169" i="1"/>
  <c r="S2170" i="1"/>
  <c r="S2171" i="1"/>
  <c r="S2172" i="1"/>
  <c r="S2173" i="1"/>
  <c r="S2174" i="1"/>
  <c r="S2175" i="1"/>
  <c r="S2176" i="1"/>
  <c r="S2177" i="1"/>
  <c r="S2178" i="1"/>
  <c r="S2179" i="1"/>
  <c r="S2180" i="1"/>
  <c r="S2181" i="1"/>
  <c r="S2182" i="1"/>
  <c r="S2183" i="1"/>
  <c r="S2184" i="1"/>
  <c r="S2185" i="1"/>
  <c r="S2186" i="1"/>
  <c r="S2187" i="1"/>
  <c r="S2188" i="1"/>
  <c r="S2189" i="1"/>
  <c r="S2190" i="1"/>
  <c r="S2191" i="1"/>
  <c r="S2192" i="1"/>
  <c r="S2193" i="1"/>
  <c r="S2194" i="1"/>
  <c r="S2195" i="1"/>
  <c r="S2196" i="1"/>
  <c r="S2197" i="1"/>
  <c r="S2198" i="1"/>
  <c r="S2199" i="1"/>
  <c r="S2200" i="1"/>
  <c r="S2201" i="1"/>
  <c r="S2202" i="1"/>
  <c r="S2203" i="1"/>
  <c r="S2204" i="1"/>
  <c r="S2205" i="1"/>
  <c r="S2206" i="1"/>
  <c r="S2207" i="1"/>
  <c r="S2208" i="1"/>
  <c r="S2209" i="1"/>
  <c r="S2210" i="1"/>
  <c r="S2211" i="1"/>
  <c r="S2212" i="1"/>
  <c r="S2213" i="1"/>
  <c r="S2214" i="1"/>
  <c r="S2215" i="1"/>
  <c r="S2216" i="1"/>
  <c r="S2217" i="1"/>
  <c r="S2218" i="1"/>
  <c r="S2219" i="1"/>
  <c r="S2220" i="1"/>
  <c r="S2221" i="1"/>
  <c r="S2222" i="1"/>
  <c r="S2223" i="1"/>
  <c r="S2224" i="1"/>
  <c r="S2225" i="1"/>
  <c r="S2226" i="1"/>
  <c r="S2227" i="1"/>
  <c r="S2228" i="1"/>
  <c r="S2229" i="1"/>
  <c r="S2230" i="1"/>
  <c r="S2231" i="1"/>
  <c r="S2232" i="1"/>
  <c r="S2233" i="1"/>
  <c r="S2234" i="1"/>
  <c r="S2235" i="1"/>
  <c r="S2236" i="1"/>
  <c r="S2237" i="1"/>
  <c r="S2238" i="1"/>
  <c r="S2239" i="1"/>
  <c r="S2240" i="1"/>
  <c r="S2241" i="1"/>
  <c r="S2242" i="1"/>
  <c r="S2243" i="1"/>
  <c r="S2244" i="1"/>
  <c r="S2245" i="1"/>
  <c r="S2246" i="1"/>
  <c r="S2247" i="1"/>
  <c r="S2248" i="1"/>
  <c r="S2249" i="1"/>
  <c r="S2250" i="1"/>
  <c r="S2251" i="1"/>
  <c r="S2252" i="1"/>
  <c r="S2253" i="1"/>
  <c r="S2254" i="1"/>
  <c r="S2255" i="1"/>
  <c r="S2256" i="1"/>
  <c r="S2257" i="1"/>
  <c r="S2258" i="1"/>
  <c r="S2259" i="1"/>
  <c r="S2260" i="1"/>
  <c r="S2261" i="1"/>
  <c r="S2262" i="1"/>
  <c r="S2263" i="1"/>
  <c r="S2264" i="1"/>
  <c r="S2265" i="1"/>
  <c r="S2266" i="1"/>
  <c r="S2267" i="1"/>
  <c r="S2268" i="1"/>
  <c r="S2269" i="1"/>
  <c r="S2270" i="1"/>
  <c r="S2271" i="1"/>
  <c r="S2272" i="1"/>
  <c r="S2273" i="1"/>
  <c r="S2274" i="1"/>
  <c r="S2275" i="1"/>
  <c r="S2276" i="1"/>
  <c r="S2277" i="1"/>
  <c r="S2278" i="1"/>
  <c r="S2279" i="1"/>
  <c r="S2280" i="1"/>
  <c r="S2281" i="1"/>
  <c r="S2282" i="1"/>
  <c r="S2283" i="1"/>
  <c r="S2284" i="1"/>
  <c r="S2285" i="1"/>
  <c r="S2286" i="1"/>
  <c r="S2287" i="1"/>
  <c r="S2288" i="1"/>
  <c r="S2289" i="1"/>
  <c r="S2290" i="1"/>
  <c r="S2291" i="1"/>
  <c r="S2292" i="1"/>
  <c r="S2293" i="1"/>
  <c r="S2294" i="1"/>
  <c r="S2295" i="1"/>
  <c r="S2296" i="1"/>
  <c r="S2297" i="1"/>
  <c r="S2298" i="1"/>
  <c r="S2299" i="1"/>
  <c r="S2300" i="1"/>
  <c r="S2301" i="1"/>
  <c r="S2302" i="1"/>
  <c r="S2303" i="1"/>
  <c r="S2304" i="1"/>
  <c r="S2305" i="1"/>
  <c r="S2306" i="1"/>
  <c r="S2307" i="1"/>
  <c r="S2308" i="1"/>
  <c r="S2309" i="1"/>
  <c r="S2310" i="1"/>
  <c r="S2311" i="1"/>
  <c r="S2312" i="1"/>
  <c r="S2313" i="1"/>
  <c r="S2314" i="1"/>
  <c r="S2315" i="1"/>
  <c r="S2316" i="1"/>
  <c r="S2317" i="1"/>
  <c r="S2318" i="1"/>
  <c r="S2319" i="1"/>
  <c r="S2320" i="1"/>
  <c r="S2321" i="1"/>
  <c r="S2322" i="1"/>
  <c r="S2323" i="1"/>
  <c r="S2324" i="1"/>
  <c r="S2325" i="1"/>
  <c r="S2326" i="1"/>
  <c r="S2327" i="1"/>
  <c r="S2328" i="1"/>
  <c r="S2329" i="1"/>
  <c r="S2330" i="1"/>
  <c r="S2331" i="1"/>
  <c r="S2332" i="1"/>
  <c r="S2333" i="1"/>
  <c r="S2334" i="1"/>
  <c r="S2335" i="1"/>
  <c r="S2336" i="1"/>
  <c r="S2337" i="1"/>
  <c r="S2338" i="1"/>
  <c r="S2339" i="1"/>
  <c r="S2340" i="1"/>
  <c r="S2341" i="1"/>
  <c r="S2342" i="1"/>
  <c r="S2343" i="1"/>
  <c r="S2344" i="1"/>
  <c r="S2345" i="1"/>
  <c r="S2346" i="1"/>
  <c r="S2347" i="1"/>
  <c r="S2348" i="1"/>
  <c r="S2349" i="1"/>
  <c r="S2350" i="1"/>
  <c r="S2351" i="1"/>
  <c r="S2352" i="1"/>
  <c r="S2353" i="1"/>
  <c r="S2354" i="1"/>
  <c r="S2355" i="1"/>
  <c r="S2356" i="1"/>
  <c r="S2357" i="1"/>
  <c r="S2358" i="1"/>
  <c r="S2359" i="1"/>
  <c r="S2360" i="1"/>
  <c r="S2361" i="1"/>
  <c r="S2362" i="1"/>
  <c r="S2363" i="1"/>
  <c r="S2364" i="1"/>
  <c r="S2365" i="1"/>
  <c r="S2366" i="1"/>
  <c r="S2367" i="1"/>
  <c r="S2368" i="1"/>
  <c r="S2369" i="1"/>
  <c r="S2370" i="1"/>
  <c r="S2371" i="1"/>
  <c r="S2372" i="1"/>
  <c r="S2373" i="1"/>
  <c r="S2374" i="1"/>
  <c r="S2375" i="1"/>
  <c r="S2376" i="1"/>
  <c r="S2377" i="1"/>
  <c r="S2378" i="1"/>
  <c r="S2379" i="1"/>
  <c r="S2380" i="1"/>
  <c r="S2381" i="1"/>
  <c r="S2382" i="1"/>
  <c r="S2383" i="1"/>
  <c r="S2384" i="1"/>
  <c r="S2385" i="1"/>
  <c r="S2386" i="1"/>
  <c r="S2387" i="1"/>
  <c r="S2388" i="1"/>
  <c r="S2389" i="1"/>
  <c r="S2390" i="1"/>
  <c r="S2391" i="1"/>
  <c r="S2392" i="1"/>
  <c r="S2393" i="1"/>
  <c r="S2394" i="1"/>
  <c r="S2395" i="1"/>
  <c r="S2396" i="1"/>
  <c r="S2397" i="1"/>
  <c r="S2398" i="1"/>
  <c r="S2399" i="1"/>
  <c r="S2400" i="1"/>
  <c r="S2401" i="1"/>
  <c r="S2402" i="1"/>
  <c r="S2403" i="1"/>
  <c r="S2404" i="1"/>
  <c r="S2405" i="1"/>
  <c r="S2406" i="1"/>
  <c r="S2407" i="1"/>
  <c r="S2408" i="1"/>
  <c r="S2409" i="1"/>
  <c r="S2410" i="1"/>
  <c r="S2411" i="1"/>
  <c r="S2412" i="1"/>
  <c r="S2413" i="1"/>
  <c r="S2414" i="1"/>
  <c r="S2415" i="1"/>
  <c r="S2416" i="1"/>
  <c r="S2417" i="1"/>
  <c r="S2418" i="1"/>
  <c r="S2419" i="1"/>
  <c r="S2420" i="1"/>
  <c r="S2421" i="1"/>
  <c r="S2422" i="1"/>
  <c r="S2423" i="1"/>
  <c r="S2424" i="1"/>
  <c r="S2425" i="1"/>
  <c r="S2426" i="1"/>
  <c r="S2427" i="1"/>
  <c r="S2428" i="1"/>
  <c r="S2429" i="1"/>
  <c r="S2430" i="1"/>
  <c r="S2431" i="1"/>
  <c r="S2432" i="1"/>
  <c r="S2433" i="1"/>
  <c r="S2434" i="1"/>
  <c r="S2435" i="1"/>
  <c r="S2436" i="1"/>
  <c r="S2437" i="1"/>
  <c r="S2438" i="1"/>
  <c r="S2439" i="1"/>
  <c r="S2440" i="1"/>
  <c r="S2441" i="1"/>
  <c r="S2442" i="1"/>
  <c r="S2443" i="1"/>
  <c r="S2444" i="1"/>
  <c r="S2445" i="1"/>
  <c r="S2446" i="1"/>
  <c r="S2447" i="1"/>
  <c r="S2448" i="1"/>
  <c r="S2449" i="1"/>
  <c r="S2450" i="1"/>
  <c r="S2451" i="1"/>
  <c r="S2452" i="1"/>
  <c r="S2453" i="1"/>
  <c r="S2454" i="1"/>
  <c r="S2455" i="1"/>
  <c r="S2456" i="1"/>
  <c r="S2457" i="1"/>
  <c r="S2458" i="1"/>
  <c r="S2459" i="1"/>
  <c r="S2460" i="1"/>
  <c r="S2461" i="1"/>
  <c r="S2462" i="1"/>
  <c r="S2463" i="1"/>
  <c r="S2464" i="1"/>
  <c r="S2465" i="1"/>
  <c r="S2466" i="1"/>
  <c r="S2467" i="1"/>
  <c r="S2468" i="1"/>
  <c r="S2469" i="1"/>
  <c r="S2470" i="1"/>
  <c r="S2471" i="1"/>
  <c r="S2472" i="1"/>
  <c r="S2473" i="1"/>
  <c r="S2474" i="1"/>
  <c r="S2475" i="1"/>
  <c r="S2476" i="1"/>
  <c r="S2477" i="1"/>
  <c r="S2478" i="1"/>
  <c r="S2479" i="1"/>
  <c r="S2480" i="1"/>
  <c r="S2481" i="1"/>
  <c r="S2482" i="1"/>
  <c r="S2483" i="1"/>
  <c r="S2484" i="1"/>
  <c r="S2485" i="1"/>
  <c r="S2486" i="1"/>
  <c r="S2487" i="1"/>
  <c r="S2488" i="1"/>
  <c r="S2489" i="1"/>
  <c r="S2490" i="1"/>
  <c r="S2491" i="1"/>
  <c r="S2492" i="1"/>
  <c r="S2493" i="1"/>
  <c r="S2494" i="1"/>
  <c r="S2495" i="1"/>
  <c r="S2496" i="1"/>
  <c r="S2497" i="1"/>
  <c r="S2498" i="1"/>
  <c r="S2499" i="1"/>
  <c r="S2500" i="1"/>
  <c r="S2501" i="1"/>
  <c r="S2502" i="1"/>
  <c r="S2503" i="1"/>
  <c r="S2504" i="1"/>
  <c r="S2505" i="1"/>
  <c r="S2506" i="1"/>
  <c r="S2" i="1"/>
  <c r="R2506" i="1"/>
  <c r="N2506" i="1"/>
  <c r="D2506" i="1"/>
  <c r="B2506" i="1"/>
  <c r="C2506" i="1" s="1"/>
  <c r="R2505" i="1"/>
  <c r="N2505" i="1"/>
  <c r="D2505" i="1"/>
  <c r="B2505" i="1"/>
  <c r="C2505" i="1" s="1"/>
  <c r="R2504" i="1"/>
  <c r="N2504" i="1"/>
  <c r="D2504" i="1"/>
  <c r="C2504" i="1"/>
  <c r="B2504" i="1"/>
  <c r="R2503" i="1"/>
  <c r="N2503" i="1"/>
  <c r="D2503" i="1"/>
  <c r="B2503" i="1"/>
  <c r="C2503" i="1" s="1"/>
  <c r="R2502" i="1"/>
  <c r="N2502" i="1"/>
  <c r="D2502" i="1"/>
  <c r="C2502" i="1"/>
  <c r="B2502" i="1"/>
  <c r="R2501" i="1"/>
  <c r="N2501" i="1"/>
  <c r="D2501" i="1"/>
  <c r="B2501" i="1"/>
  <c r="C2501" i="1" s="1"/>
  <c r="R2500" i="1"/>
  <c r="N2500" i="1"/>
  <c r="D2500" i="1"/>
  <c r="C2500" i="1"/>
  <c r="B2500" i="1"/>
  <c r="R2499" i="1"/>
  <c r="N2499" i="1"/>
  <c r="D2499" i="1"/>
  <c r="B2499" i="1"/>
  <c r="C2499" i="1" s="1"/>
  <c r="R2498" i="1"/>
  <c r="N2498" i="1"/>
  <c r="D2498" i="1"/>
  <c r="C2498" i="1"/>
  <c r="B2498" i="1"/>
  <c r="R2497" i="1"/>
  <c r="N2497" i="1"/>
  <c r="D2497" i="1"/>
  <c r="B2497" i="1"/>
  <c r="C2497" i="1" s="1"/>
  <c r="R2496" i="1"/>
  <c r="N2496" i="1"/>
  <c r="D2496" i="1"/>
  <c r="C2496" i="1"/>
  <c r="B2496" i="1"/>
  <c r="R2495" i="1"/>
  <c r="N2495" i="1"/>
  <c r="D2495" i="1"/>
  <c r="B2495" i="1"/>
  <c r="C2495" i="1" s="1"/>
  <c r="R2494" i="1"/>
  <c r="N2494" i="1"/>
  <c r="D2494" i="1"/>
  <c r="C2494" i="1"/>
  <c r="B2494" i="1"/>
  <c r="R2493" i="1"/>
  <c r="N2493" i="1"/>
  <c r="D2493" i="1"/>
  <c r="B2493" i="1"/>
  <c r="C2493" i="1" s="1"/>
  <c r="R2492" i="1"/>
  <c r="N2492" i="1"/>
  <c r="D2492" i="1"/>
  <c r="C2492" i="1"/>
  <c r="B2492" i="1"/>
  <c r="R2491" i="1"/>
  <c r="N2491" i="1"/>
  <c r="D2491" i="1"/>
  <c r="C2491" i="1"/>
  <c r="B2491" i="1"/>
  <c r="R2490" i="1"/>
  <c r="N2490" i="1"/>
  <c r="D2490" i="1"/>
  <c r="B2490" i="1"/>
  <c r="C2490" i="1" s="1"/>
  <c r="R2489" i="1"/>
  <c r="N2489" i="1"/>
  <c r="D2489" i="1"/>
  <c r="B2489" i="1"/>
  <c r="C2489" i="1" s="1"/>
  <c r="R2488" i="1"/>
  <c r="N2488" i="1"/>
  <c r="D2488" i="1"/>
  <c r="C2488" i="1"/>
  <c r="B2488" i="1"/>
  <c r="R2487" i="1"/>
  <c r="N2487" i="1"/>
  <c r="D2487" i="1"/>
  <c r="B2487" i="1"/>
  <c r="C2487" i="1" s="1"/>
  <c r="R2486" i="1"/>
  <c r="N2486" i="1"/>
  <c r="D2486" i="1"/>
  <c r="B2486" i="1"/>
  <c r="C2486" i="1" s="1"/>
  <c r="R2485" i="1"/>
  <c r="N2485" i="1"/>
  <c r="D2485" i="1"/>
  <c r="B2485" i="1"/>
  <c r="C2485" i="1" s="1"/>
  <c r="R2484" i="1"/>
  <c r="N2484" i="1"/>
  <c r="D2484" i="1"/>
  <c r="C2484" i="1"/>
  <c r="B2484" i="1"/>
  <c r="R2483" i="1"/>
  <c r="N2483" i="1"/>
  <c r="D2483" i="1"/>
  <c r="B2483" i="1"/>
  <c r="C2483" i="1" s="1"/>
  <c r="R2482" i="1"/>
  <c r="N2482" i="1"/>
  <c r="D2482" i="1"/>
  <c r="C2482" i="1"/>
  <c r="B2482" i="1"/>
  <c r="R2481" i="1"/>
  <c r="N2481" i="1"/>
  <c r="D2481" i="1"/>
  <c r="B2481" i="1"/>
  <c r="C2481" i="1" s="1"/>
  <c r="R2480" i="1"/>
  <c r="N2480" i="1"/>
  <c r="D2480" i="1"/>
  <c r="B2480" i="1"/>
  <c r="C2480" i="1" s="1"/>
  <c r="R2479" i="1"/>
  <c r="N2479" i="1"/>
  <c r="D2479" i="1"/>
  <c r="B2479" i="1"/>
  <c r="C2479" i="1" s="1"/>
  <c r="R2478" i="1"/>
  <c r="N2478" i="1"/>
  <c r="D2478" i="1"/>
  <c r="C2478" i="1"/>
  <c r="B2478" i="1"/>
  <c r="R2477" i="1"/>
  <c r="N2477" i="1"/>
  <c r="D2477" i="1"/>
  <c r="B2477" i="1"/>
  <c r="C2477" i="1" s="1"/>
  <c r="R2476" i="1"/>
  <c r="N2476" i="1"/>
  <c r="D2476" i="1"/>
  <c r="C2476" i="1"/>
  <c r="B2476" i="1"/>
  <c r="R2475" i="1"/>
  <c r="N2475" i="1"/>
  <c r="D2475" i="1"/>
  <c r="B2475" i="1"/>
  <c r="C2475" i="1" s="1"/>
  <c r="R2474" i="1"/>
  <c r="N2474" i="1"/>
  <c r="D2474" i="1"/>
  <c r="B2474" i="1"/>
  <c r="C2474" i="1" s="1"/>
  <c r="R2473" i="1"/>
  <c r="N2473" i="1"/>
  <c r="D2473" i="1"/>
  <c r="B2473" i="1"/>
  <c r="C2473" i="1" s="1"/>
  <c r="R2472" i="1"/>
  <c r="N2472" i="1"/>
  <c r="D2472" i="1"/>
  <c r="B2472" i="1"/>
  <c r="C2472" i="1" s="1"/>
  <c r="R2471" i="1"/>
  <c r="N2471" i="1"/>
  <c r="D2471" i="1"/>
  <c r="B2471" i="1"/>
  <c r="C2471" i="1" s="1"/>
  <c r="R2470" i="1"/>
  <c r="N2470" i="1"/>
  <c r="D2470" i="1"/>
  <c r="B2470" i="1"/>
  <c r="C2470" i="1" s="1"/>
  <c r="R2469" i="1"/>
  <c r="N2469" i="1"/>
  <c r="D2469" i="1"/>
  <c r="B2469" i="1"/>
  <c r="C2469" i="1" s="1"/>
  <c r="R2468" i="1"/>
  <c r="N2468" i="1"/>
  <c r="D2468" i="1"/>
  <c r="C2468" i="1"/>
  <c r="B2468" i="1"/>
  <c r="R2467" i="1"/>
  <c r="N2467" i="1"/>
  <c r="D2467" i="1"/>
  <c r="B2467" i="1"/>
  <c r="C2467" i="1" s="1"/>
  <c r="R2466" i="1"/>
  <c r="N2466" i="1"/>
  <c r="D2466" i="1"/>
  <c r="B2466" i="1"/>
  <c r="C2466" i="1" s="1"/>
  <c r="R2465" i="1"/>
  <c r="N2465" i="1"/>
  <c r="D2465" i="1"/>
  <c r="B2465" i="1"/>
  <c r="C2465" i="1" s="1"/>
  <c r="R2464" i="1"/>
  <c r="N2464" i="1"/>
  <c r="D2464" i="1"/>
  <c r="B2464" i="1"/>
  <c r="C2464" i="1" s="1"/>
  <c r="R2463" i="1"/>
  <c r="N2463" i="1"/>
  <c r="D2463" i="1"/>
  <c r="B2463" i="1"/>
  <c r="C2463" i="1" s="1"/>
  <c r="R2462" i="1"/>
  <c r="N2462" i="1"/>
  <c r="D2462" i="1"/>
  <c r="B2462" i="1"/>
  <c r="C2462" i="1" s="1"/>
  <c r="R2461" i="1"/>
  <c r="N2461" i="1"/>
  <c r="D2461" i="1"/>
  <c r="B2461" i="1"/>
  <c r="C2461" i="1" s="1"/>
  <c r="R2460" i="1"/>
  <c r="N2460" i="1"/>
  <c r="D2460" i="1"/>
  <c r="C2460" i="1"/>
  <c r="B2460" i="1"/>
  <c r="R2459" i="1"/>
  <c r="N2459" i="1"/>
  <c r="D2459" i="1"/>
  <c r="B2459" i="1"/>
  <c r="C2459" i="1" s="1"/>
  <c r="R2458" i="1"/>
  <c r="N2458" i="1"/>
  <c r="D2458" i="1"/>
  <c r="B2458" i="1"/>
  <c r="C2458" i="1" s="1"/>
  <c r="R2457" i="1"/>
  <c r="N2457" i="1"/>
  <c r="D2457" i="1"/>
  <c r="B2457" i="1"/>
  <c r="C2457" i="1" s="1"/>
  <c r="R2456" i="1"/>
  <c r="N2456" i="1"/>
  <c r="D2456" i="1"/>
  <c r="C2456" i="1"/>
  <c r="B2456" i="1"/>
  <c r="R2455" i="1"/>
  <c r="N2455" i="1"/>
  <c r="D2455" i="1"/>
  <c r="B2455" i="1"/>
  <c r="C2455" i="1" s="1"/>
  <c r="R2454" i="1"/>
  <c r="N2454" i="1"/>
  <c r="D2454" i="1"/>
  <c r="B2454" i="1"/>
  <c r="C2454" i="1" s="1"/>
  <c r="R2453" i="1"/>
  <c r="N2453" i="1"/>
  <c r="D2453" i="1"/>
  <c r="B2453" i="1"/>
  <c r="C2453" i="1" s="1"/>
  <c r="R2452" i="1"/>
  <c r="N2452" i="1"/>
  <c r="D2452" i="1"/>
  <c r="B2452" i="1"/>
  <c r="C2452" i="1" s="1"/>
  <c r="R2451" i="1"/>
  <c r="N2451" i="1"/>
  <c r="D2451" i="1"/>
  <c r="B2451" i="1"/>
  <c r="C2451" i="1" s="1"/>
  <c r="R2450" i="1"/>
  <c r="N2450" i="1"/>
  <c r="D2450" i="1"/>
  <c r="C2450" i="1"/>
  <c r="B2450" i="1"/>
  <c r="R2449" i="1"/>
  <c r="N2449" i="1"/>
  <c r="D2449" i="1"/>
  <c r="B2449" i="1"/>
  <c r="C2449" i="1" s="1"/>
  <c r="R2448" i="1"/>
  <c r="N2448" i="1"/>
  <c r="D2448" i="1"/>
  <c r="B2448" i="1"/>
  <c r="C2448" i="1" s="1"/>
  <c r="R2447" i="1"/>
  <c r="N2447" i="1"/>
  <c r="D2447" i="1"/>
  <c r="B2447" i="1"/>
  <c r="C2447" i="1" s="1"/>
  <c r="R2446" i="1"/>
  <c r="N2446" i="1"/>
  <c r="D2446" i="1"/>
  <c r="C2446" i="1"/>
  <c r="B2446" i="1"/>
  <c r="R2445" i="1"/>
  <c r="N2445" i="1"/>
  <c r="D2445" i="1"/>
  <c r="B2445" i="1"/>
  <c r="C2445" i="1" s="1"/>
  <c r="R2444" i="1"/>
  <c r="N2444" i="1"/>
  <c r="D2444" i="1"/>
  <c r="B2444" i="1"/>
  <c r="C2444" i="1" s="1"/>
  <c r="R2443" i="1"/>
  <c r="N2443" i="1"/>
  <c r="D2443" i="1"/>
  <c r="B2443" i="1"/>
  <c r="C2443" i="1" s="1"/>
  <c r="R2442" i="1"/>
  <c r="N2442" i="1"/>
  <c r="D2442" i="1"/>
  <c r="B2442" i="1"/>
  <c r="C2442" i="1" s="1"/>
  <c r="R2441" i="1"/>
  <c r="N2441" i="1"/>
  <c r="D2441" i="1"/>
  <c r="B2441" i="1"/>
  <c r="C2441" i="1" s="1"/>
  <c r="R2440" i="1"/>
  <c r="N2440" i="1"/>
  <c r="D2440" i="1"/>
  <c r="C2440" i="1"/>
  <c r="B2440" i="1"/>
  <c r="R2439" i="1"/>
  <c r="N2439" i="1"/>
  <c r="D2439" i="1"/>
  <c r="B2439" i="1"/>
  <c r="C2439" i="1" s="1"/>
  <c r="R2438" i="1"/>
  <c r="N2438" i="1"/>
  <c r="D2438" i="1"/>
  <c r="B2438" i="1"/>
  <c r="C2438" i="1" s="1"/>
  <c r="R2437" i="1"/>
  <c r="N2437" i="1"/>
  <c r="D2437" i="1"/>
  <c r="B2437" i="1"/>
  <c r="C2437" i="1" s="1"/>
  <c r="R2436" i="1"/>
  <c r="N2436" i="1"/>
  <c r="D2436" i="1"/>
  <c r="C2436" i="1"/>
  <c r="B2436" i="1"/>
  <c r="R2435" i="1"/>
  <c r="N2435" i="1"/>
  <c r="D2435" i="1"/>
  <c r="B2435" i="1"/>
  <c r="C2435" i="1" s="1"/>
  <c r="R2434" i="1"/>
  <c r="N2434" i="1"/>
  <c r="D2434" i="1"/>
  <c r="B2434" i="1"/>
  <c r="C2434" i="1" s="1"/>
  <c r="R2433" i="1"/>
  <c r="N2433" i="1"/>
  <c r="D2433" i="1"/>
  <c r="B2433" i="1"/>
  <c r="C2433" i="1" s="1"/>
  <c r="R2432" i="1"/>
  <c r="N2432" i="1"/>
  <c r="D2432" i="1"/>
  <c r="C2432" i="1"/>
  <c r="B2432" i="1"/>
  <c r="R2431" i="1"/>
  <c r="N2431" i="1"/>
  <c r="D2431" i="1"/>
  <c r="B2431" i="1"/>
  <c r="C2431" i="1" s="1"/>
  <c r="R2430" i="1"/>
  <c r="N2430" i="1"/>
  <c r="D2430" i="1"/>
  <c r="B2430" i="1"/>
  <c r="C2430" i="1" s="1"/>
  <c r="R2429" i="1"/>
  <c r="N2429" i="1"/>
  <c r="D2429" i="1"/>
  <c r="B2429" i="1"/>
  <c r="C2429" i="1" s="1"/>
  <c r="R2428" i="1"/>
  <c r="N2428" i="1"/>
  <c r="D2428" i="1"/>
  <c r="C2428" i="1"/>
  <c r="B2428" i="1"/>
  <c r="R2427" i="1"/>
  <c r="N2427" i="1"/>
  <c r="D2427" i="1"/>
  <c r="B2427" i="1"/>
  <c r="C2427" i="1" s="1"/>
  <c r="R2426" i="1"/>
  <c r="N2426" i="1"/>
  <c r="D2426" i="1"/>
  <c r="B2426" i="1"/>
  <c r="C2426" i="1" s="1"/>
  <c r="R2425" i="1"/>
  <c r="N2425" i="1"/>
  <c r="D2425" i="1"/>
  <c r="B2425" i="1"/>
  <c r="C2425" i="1" s="1"/>
  <c r="R2424" i="1"/>
  <c r="N2424" i="1"/>
  <c r="D2424" i="1"/>
  <c r="C2424" i="1"/>
  <c r="B2424" i="1"/>
  <c r="R2423" i="1"/>
  <c r="N2423" i="1"/>
  <c r="D2423" i="1"/>
  <c r="B2423" i="1"/>
  <c r="C2423" i="1" s="1"/>
  <c r="R2422" i="1"/>
  <c r="N2422" i="1"/>
  <c r="D2422" i="1"/>
  <c r="B2422" i="1"/>
  <c r="C2422" i="1" s="1"/>
  <c r="R2421" i="1"/>
  <c r="N2421" i="1"/>
  <c r="D2421" i="1"/>
  <c r="B2421" i="1"/>
  <c r="C2421" i="1" s="1"/>
  <c r="R2420" i="1"/>
  <c r="N2420" i="1"/>
  <c r="D2420" i="1"/>
  <c r="C2420" i="1"/>
  <c r="B2420" i="1"/>
  <c r="R2419" i="1"/>
  <c r="N2419" i="1"/>
  <c r="D2419" i="1"/>
  <c r="B2419" i="1"/>
  <c r="C2419" i="1" s="1"/>
  <c r="R2418" i="1"/>
  <c r="N2418" i="1"/>
  <c r="D2418" i="1"/>
  <c r="B2418" i="1"/>
  <c r="C2418" i="1" s="1"/>
  <c r="R2417" i="1"/>
  <c r="N2417" i="1"/>
  <c r="D2417" i="1"/>
  <c r="B2417" i="1"/>
  <c r="C2417" i="1" s="1"/>
  <c r="R2416" i="1"/>
  <c r="N2416" i="1"/>
  <c r="D2416" i="1"/>
  <c r="C2416" i="1"/>
  <c r="B2416" i="1"/>
  <c r="R2415" i="1"/>
  <c r="N2415" i="1"/>
  <c r="D2415" i="1"/>
  <c r="B2415" i="1"/>
  <c r="C2415" i="1" s="1"/>
  <c r="R2414" i="1"/>
  <c r="N2414" i="1"/>
  <c r="D2414" i="1"/>
  <c r="B2414" i="1"/>
  <c r="C2414" i="1" s="1"/>
  <c r="R2413" i="1"/>
  <c r="N2413" i="1"/>
  <c r="D2413" i="1"/>
  <c r="B2413" i="1"/>
  <c r="C2413" i="1" s="1"/>
  <c r="R2412" i="1"/>
  <c r="N2412" i="1"/>
  <c r="D2412" i="1"/>
  <c r="C2412" i="1"/>
  <c r="B2412" i="1"/>
  <c r="R2411" i="1"/>
  <c r="N2411" i="1"/>
  <c r="D2411" i="1"/>
  <c r="B2411" i="1"/>
  <c r="C2411" i="1" s="1"/>
  <c r="R2410" i="1"/>
  <c r="N2410" i="1"/>
  <c r="D2410" i="1"/>
  <c r="B2410" i="1"/>
  <c r="C2410" i="1" s="1"/>
  <c r="R2409" i="1"/>
  <c r="N2409" i="1"/>
  <c r="D2409" i="1"/>
  <c r="B2409" i="1"/>
  <c r="C2409" i="1" s="1"/>
  <c r="R2408" i="1"/>
  <c r="N2408" i="1"/>
  <c r="D2408" i="1"/>
  <c r="B2408" i="1"/>
  <c r="C2408" i="1" s="1"/>
  <c r="R2407" i="1"/>
  <c r="N2407" i="1"/>
  <c r="D2407" i="1"/>
  <c r="B2407" i="1"/>
  <c r="C2407" i="1" s="1"/>
  <c r="R2406" i="1"/>
  <c r="N2406" i="1"/>
  <c r="D2406" i="1"/>
  <c r="C2406" i="1"/>
  <c r="B2406" i="1"/>
  <c r="R2405" i="1"/>
  <c r="N2405" i="1"/>
  <c r="D2405" i="1"/>
  <c r="B2405" i="1"/>
  <c r="C2405" i="1" s="1"/>
  <c r="R2404" i="1"/>
  <c r="N2404" i="1"/>
  <c r="D2404" i="1"/>
  <c r="B2404" i="1"/>
  <c r="C2404" i="1" s="1"/>
  <c r="R2403" i="1"/>
  <c r="N2403" i="1"/>
  <c r="D2403" i="1"/>
  <c r="B2403" i="1"/>
  <c r="C2403" i="1" s="1"/>
  <c r="R2402" i="1"/>
  <c r="N2402" i="1"/>
  <c r="D2402" i="1"/>
  <c r="C2402" i="1"/>
  <c r="B2402" i="1"/>
  <c r="R2401" i="1"/>
  <c r="N2401" i="1"/>
  <c r="D2401" i="1"/>
  <c r="B2401" i="1"/>
  <c r="C2401" i="1" s="1"/>
  <c r="R2400" i="1"/>
  <c r="N2400" i="1"/>
  <c r="D2400" i="1"/>
  <c r="B2400" i="1"/>
  <c r="C2400" i="1" s="1"/>
  <c r="R2399" i="1"/>
  <c r="N2399" i="1"/>
  <c r="D2399" i="1"/>
  <c r="B2399" i="1"/>
  <c r="C2399" i="1" s="1"/>
  <c r="R2398" i="1"/>
  <c r="N2398" i="1"/>
  <c r="D2398" i="1"/>
  <c r="C2398" i="1"/>
  <c r="B2398" i="1"/>
  <c r="R2397" i="1"/>
  <c r="N2397" i="1"/>
  <c r="D2397" i="1"/>
  <c r="B2397" i="1"/>
  <c r="C2397" i="1" s="1"/>
  <c r="R2396" i="1"/>
  <c r="N2396" i="1"/>
  <c r="D2396" i="1"/>
  <c r="B2396" i="1"/>
  <c r="C2396" i="1" s="1"/>
  <c r="R2395" i="1"/>
  <c r="N2395" i="1"/>
  <c r="D2395" i="1"/>
  <c r="B2395" i="1"/>
  <c r="C2395" i="1" s="1"/>
  <c r="R2394" i="1"/>
  <c r="N2394" i="1"/>
  <c r="D2394" i="1"/>
  <c r="B2394" i="1"/>
  <c r="C2394" i="1" s="1"/>
  <c r="R2393" i="1"/>
  <c r="N2393" i="1"/>
  <c r="D2393" i="1"/>
  <c r="B2393" i="1"/>
  <c r="C2393" i="1" s="1"/>
  <c r="R2392" i="1"/>
  <c r="N2392" i="1"/>
  <c r="D2392" i="1"/>
  <c r="C2392" i="1"/>
  <c r="B2392" i="1"/>
  <c r="R2391" i="1"/>
  <c r="N2391" i="1"/>
  <c r="D2391" i="1"/>
  <c r="B2391" i="1"/>
  <c r="C2391" i="1" s="1"/>
  <c r="R2390" i="1"/>
  <c r="N2390" i="1"/>
  <c r="D2390" i="1"/>
  <c r="B2390" i="1"/>
  <c r="C2390" i="1" s="1"/>
  <c r="R2389" i="1"/>
  <c r="N2389" i="1"/>
  <c r="D2389" i="1"/>
  <c r="B2389" i="1"/>
  <c r="C2389" i="1" s="1"/>
  <c r="R2388" i="1"/>
  <c r="N2388" i="1"/>
  <c r="D2388" i="1"/>
  <c r="C2388" i="1"/>
  <c r="B2388" i="1"/>
  <c r="R2387" i="1"/>
  <c r="N2387" i="1"/>
  <c r="D2387" i="1"/>
  <c r="B2387" i="1"/>
  <c r="C2387" i="1" s="1"/>
  <c r="R2386" i="1"/>
  <c r="N2386" i="1"/>
  <c r="D2386" i="1"/>
  <c r="B2386" i="1"/>
  <c r="C2386" i="1" s="1"/>
  <c r="R2385" i="1"/>
  <c r="N2385" i="1"/>
  <c r="D2385" i="1"/>
  <c r="B2385" i="1"/>
  <c r="C2385" i="1" s="1"/>
  <c r="R2384" i="1"/>
  <c r="N2384" i="1"/>
  <c r="D2384" i="1"/>
  <c r="C2384" i="1"/>
  <c r="B2384" i="1"/>
  <c r="R2383" i="1"/>
  <c r="N2383" i="1"/>
  <c r="D2383" i="1"/>
  <c r="B2383" i="1"/>
  <c r="C2383" i="1" s="1"/>
  <c r="R2382" i="1"/>
  <c r="N2382" i="1"/>
  <c r="D2382" i="1"/>
  <c r="B2382" i="1"/>
  <c r="C2382" i="1" s="1"/>
  <c r="R2381" i="1"/>
  <c r="N2381" i="1"/>
  <c r="D2381" i="1"/>
  <c r="B2381" i="1"/>
  <c r="C2381" i="1" s="1"/>
  <c r="R2380" i="1"/>
  <c r="N2380" i="1"/>
  <c r="D2380" i="1"/>
  <c r="C2380" i="1"/>
  <c r="B2380" i="1"/>
  <c r="R2379" i="1"/>
  <c r="N2379" i="1"/>
  <c r="D2379" i="1"/>
  <c r="B2379" i="1"/>
  <c r="C2379" i="1" s="1"/>
  <c r="R2378" i="1"/>
  <c r="N2378" i="1"/>
  <c r="D2378" i="1"/>
  <c r="B2378" i="1"/>
  <c r="C2378" i="1" s="1"/>
  <c r="R2377" i="1"/>
  <c r="N2377" i="1"/>
  <c r="D2377" i="1"/>
  <c r="B2377" i="1"/>
  <c r="C2377" i="1" s="1"/>
  <c r="R2376" i="1"/>
  <c r="N2376" i="1"/>
  <c r="D2376" i="1"/>
  <c r="B2376" i="1"/>
  <c r="C2376" i="1" s="1"/>
  <c r="R2375" i="1"/>
  <c r="N2375" i="1"/>
  <c r="D2375" i="1"/>
  <c r="B2375" i="1"/>
  <c r="C2375" i="1" s="1"/>
  <c r="R2374" i="1"/>
  <c r="N2374" i="1"/>
  <c r="D2374" i="1"/>
  <c r="C2374" i="1"/>
  <c r="B2374" i="1"/>
  <c r="R2373" i="1"/>
  <c r="N2373" i="1"/>
  <c r="D2373" i="1"/>
  <c r="B2373" i="1"/>
  <c r="C2373" i="1" s="1"/>
  <c r="R2372" i="1"/>
  <c r="N2372" i="1"/>
  <c r="D2372" i="1"/>
  <c r="B2372" i="1"/>
  <c r="C2372" i="1" s="1"/>
  <c r="R2371" i="1"/>
  <c r="N2371" i="1"/>
  <c r="D2371" i="1"/>
  <c r="B2371" i="1"/>
  <c r="C2371" i="1" s="1"/>
  <c r="R2370" i="1"/>
  <c r="N2370" i="1"/>
  <c r="D2370" i="1"/>
  <c r="C2370" i="1"/>
  <c r="B2370" i="1"/>
  <c r="R2369" i="1"/>
  <c r="N2369" i="1"/>
  <c r="D2369" i="1"/>
  <c r="B2369" i="1"/>
  <c r="C2369" i="1" s="1"/>
  <c r="R2368" i="1"/>
  <c r="N2368" i="1"/>
  <c r="D2368" i="1"/>
  <c r="B2368" i="1"/>
  <c r="C2368" i="1" s="1"/>
  <c r="R2367" i="1"/>
  <c r="N2367" i="1"/>
  <c r="D2367" i="1"/>
  <c r="B2367" i="1"/>
  <c r="C2367" i="1" s="1"/>
  <c r="R2366" i="1"/>
  <c r="N2366" i="1"/>
  <c r="D2366" i="1"/>
  <c r="C2366" i="1"/>
  <c r="B2366" i="1"/>
  <c r="R2365" i="1"/>
  <c r="N2365" i="1"/>
  <c r="D2365" i="1"/>
  <c r="B2365" i="1"/>
  <c r="C2365" i="1" s="1"/>
  <c r="R2364" i="1"/>
  <c r="N2364" i="1"/>
  <c r="D2364" i="1"/>
  <c r="B2364" i="1"/>
  <c r="C2364" i="1" s="1"/>
  <c r="R2363" i="1"/>
  <c r="N2363" i="1"/>
  <c r="D2363" i="1"/>
  <c r="C2363" i="1"/>
  <c r="B2363" i="1"/>
  <c r="R2362" i="1"/>
  <c r="N2362" i="1"/>
  <c r="D2362" i="1"/>
  <c r="B2362" i="1"/>
  <c r="C2362" i="1" s="1"/>
  <c r="R2361" i="1"/>
  <c r="N2361" i="1"/>
  <c r="D2361" i="1"/>
  <c r="B2361" i="1"/>
  <c r="C2361" i="1" s="1"/>
  <c r="R2360" i="1"/>
  <c r="N2360" i="1"/>
  <c r="D2360" i="1"/>
  <c r="B2360" i="1"/>
  <c r="C2360" i="1" s="1"/>
  <c r="R2359" i="1"/>
  <c r="N2359" i="1"/>
  <c r="D2359" i="1"/>
  <c r="B2359" i="1"/>
  <c r="C2359" i="1" s="1"/>
  <c r="R2358" i="1"/>
  <c r="N2358" i="1"/>
  <c r="D2358" i="1"/>
  <c r="C2358" i="1"/>
  <c r="B2358" i="1"/>
  <c r="R2357" i="1"/>
  <c r="N2357" i="1"/>
  <c r="D2357" i="1"/>
  <c r="B2357" i="1"/>
  <c r="C2357" i="1" s="1"/>
  <c r="R2356" i="1"/>
  <c r="N2356" i="1"/>
  <c r="D2356" i="1"/>
  <c r="B2356" i="1"/>
  <c r="C2356" i="1" s="1"/>
  <c r="R2355" i="1"/>
  <c r="N2355" i="1"/>
  <c r="D2355" i="1"/>
  <c r="B2355" i="1"/>
  <c r="C2355" i="1" s="1"/>
  <c r="R2354" i="1"/>
  <c r="N2354" i="1"/>
  <c r="D2354" i="1"/>
  <c r="C2354" i="1"/>
  <c r="B2354" i="1"/>
  <c r="R2353" i="1"/>
  <c r="N2353" i="1"/>
  <c r="D2353" i="1"/>
  <c r="B2353" i="1"/>
  <c r="C2353" i="1" s="1"/>
  <c r="R2352" i="1"/>
  <c r="N2352" i="1"/>
  <c r="D2352" i="1"/>
  <c r="B2352" i="1"/>
  <c r="C2352" i="1" s="1"/>
  <c r="R2351" i="1"/>
  <c r="N2351" i="1"/>
  <c r="D2351" i="1"/>
  <c r="B2351" i="1"/>
  <c r="C2351" i="1" s="1"/>
  <c r="R2350" i="1"/>
  <c r="N2350" i="1"/>
  <c r="D2350" i="1"/>
  <c r="C2350" i="1"/>
  <c r="B2350" i="1"/>
  <c r="R2349" i="1"/>
  <c r="N2349" i="1"/>
  <c r="D2349" i="1"/>
  <c r="B2349" i="1"/>
  <c r="C2349" i="1" s="1"/>
  <c r="R2348" i="1"/>
  <c r="N2348" i="1"/>
  <c r="D2348" i="1"/>
  <c r="B2348" i="1"/>
  <c r="C2348" i="1" s="1"/>
  <c r="R2347" i="1"/>
  <c r="N2347" i="1"/>
  <c r="D2347" i="1"/>
  <c r="B2347" i="1"/>
  <c r="C2347" i="1" s="1"/>
  <c r="R2346" i="1"/>
  <c r="N2346" i="1"/>
  <c r="D2346" i="1"/>
  <c r="B2346" i="1"/>
  <c r="C2346" i="1" s="1"/>
  <c r="R2345" i="1"/>
  <c r="N2345" i="1"/>
  <c r="D2345" i="1"/>
  <c r="B2345" i="1"/>
  <c r="C2345" i="1" s="1"/>
  <c r="R2344" i="1"/>
  <c r="N2344" i="1"/>
  <c r="D2344" i="1"/>
  <c r="C2344" i="1"/>
  <c r="B2344" i="1"/>
  <c r="R2343" i="1"/>
  <c r="N2343" i="1"/>
  <c r="D2343" i="1"/>
  <c r="B2343" i="1"/>
  <c r="C2343" i="1" s="1"/>
  <c r="R2342" i="1"/>
  <c r="N2342" i="1"/>
  <c r="D2342" i="1"/>
  <c r="C2342" i="1"/>
  <c r="B2342" i="1"/>
  <c r="R2341" i="1"/>
  <c r="N2341" i="1"/>
  <c r="D2341" i="1"/>
  <c r="B2341" i="1"/>
  <c r="C2341" i="1" s="1"/>
  <c r="R2340" i="1"/>
  <c r="N2340" i="1"/>
  <c r="D2340" i="1"/>
  <c r="C2340" i="1"/>
  <c r="B2340" i="1"/>
  <c r="R2339" i="1"/>
  <c r="N2339" i="1"/>
  <c r="D2339" i="1"/>
  <c r="B2339" i="1"/>
  <c r="C2339" i="1" s="1"/>
  <c r="R2338" i="1"/>
  <c r="N2338" i="1"/>
  <c r="D2338" i="1"/>
  <c r="B2338" i="1"/>
  <c r="C2338" i="1" s="1"/>
  <c r="R2337" i="1"/>
  <c r="N2337" i="1"/>
  <c r="D2337" i="1"/>
  <c r="C2337" i="1"/>
  <c r="B2337" i="1"/>
  <c r="R2336" i="1"/>
  <c r="N2336" i="1"/>
  <c r="D2336" i="1"/>
  <c r="B2336" i="1"/>
  <c r="C2336" i="1" s="1"/>
  <c r="R2335" i="1"/>
  <c r="N2335" i="1"/>
  <c r="D2335" i="1"/>
  <c r="C2335" i="1"/>
  <c r="B2335" i="1"/>
  <c r="R2334" i="1"/>
  <c r="N2334" i="1"/>
  <c r="D2334" i="1"/>
  <c r="B2334" i="1"/>
  <c r="C2334" i="1" s="1"/>
  <c r="R2333" i="1"/>
  <c r="N2333" i="1"/>
  <c r="D2333" i="1"/>
  <c r="C2333" i="1"/>
  <c r="B2333" i="1"/>
  <c r="R2332" i="1"/>
  <c r="N2332" i="1"/>
  <c r="D2332" i="1"/>
  <c r="B2332" i="1"/>
  <c r="C2332" i="1" s="1"/>
  <c r="R2331" i="1"/>
  <c r="N2331" i="1"/>
  <c r="D2331" i="1"/>
  <c r="B2331" i="1"/>
  <c r="C2331" i="1" s="1"/>
  <c r="R2330" i="1"/>
  <c r="N2330" i="1"/>
  <c r="D2330" i="1"/>
  <c r="B2330" i="1"/>
  <c r="C2330" i="1" s="1"/>
  <c r="R2329" i="1"/>
  <c r="N2329" i="1"/>
  <c r="D2329" i="1"/>
  <c r="C2329" i="1"/>
  <c r="B2329" i="1"/>
  <c r="R2328" i="1"/>
  <c r="N2328" i="1"/>
  <c r="D2328" i="1"/>
  <c r="B2328" i="1"/>
  <c r="C2328" i="1" s="1"/>
  <c r="R2327" i="1"/>
  <c r="N2327" i="1"/>
  <c r="D2327" i="1"/>
  <c r="C2327" i="1"/>
  <c r="B2327" i="1"/>
  <c r="R2326" i="1"/>
  <c r="N2326" i="1"/>
  <c r="D2326" i="1"/>
  <c r="B2326" i="1"/>
  <c r="C2326" i="1" s="1"/>
  <c r="R2325" i="1"/>
  <c r="N2325" i="1"/>
  <c r="D2325" i="1"/>
  <c r="C2325" i="1"/>
  <c r="B2325" i="1"/>
  <c r="R2324" i="1"/>
  <c r="N2324" i="1"/>
  <c r="D2324" i="1"/>
  <c r="B2324" i="1"/>
  <c r="C2324" i="1" s="1"/>
  <c r="R2323" i="1"/>
  <c r="N2323" i="1"/>
  <c r="D2323" i="1"/>
  <c r="B2323" i="1"/>
  <c r="C2323" i="1" s="1"/>
  <c r="R2322" i="1"/>
  <c r="N2322" i="1"/>
  <c r="D2322" i="1"/>
  <c r="B2322" i="1"/>
  <c r="C2322" i="1" s="1"/>
  <c r="R2321" i="1"/>
  <c r="N2321" i="1"/>
  <c r="D2321" i="1"/>
  <c r="C2321" i="1"/>
  <c r="B2321" i="1"/>
  <c r="R2320" i="1"/>
  <c r="N2320" i="1"/>
  <c r="D2320" i="1"/>
  <c r="B2320" i="1"/>
  <c r="C2320" i="1" s="1"/>
  <c r="R2319" i="1"/>
  <c r="N2319" i="1"/>
  <c r="D2319" i="1"/>
  <c r="C2319" i="1"/>
  <c r="B2319" i="1"/>
  <c r="R2318" i="1"/>
  <c r="N2318" i="1"/>
  <c r="D2318" i="1"/>
  <c r="B2318" i="1"/>
  <c r="C2318" i="1" s="1"/>
  <c r="R2317" i="1"/>
  <c r="N2317" i="1"/>
  <c r="D2317" i="1"/>
  <c r="C2317" i="1"/>
  <c r="B2317" i="1"/>
  <c r="R2316" i="1"/>
  <c r="N2316" i="1"/>
  <c r="D2316" i="1"/>
  <c r="B2316" i="1"/>
  <c r="C2316" i="1" s="1"/>
  <c r="R2315" i="1"/>
  <c r="N2315" i="1"/>
  <c r="D2315" i="1"/>
  <c r="B2315" i="1"/>
  <c r="C2315" i="1" s="1"/>
  <c r="R2314" i="1"/>
  <c r="N2314" i="1"/>
  <c r="D2314" i="1"/>
  <c r="B2314" i="1"/>
  <c r="C2314" i="1" s="1"/>
  <c r="R2313" i="1"/>
  <c r="N2313" i="1"/>
  <c r="D2313" i="1"/>
  <c r="B2313" i="1"/>
  <c r="C2313" i="1" s="1"/>
  <c r="R2312" i="1"/>
  <c r="N2312" i="1"/>
  <c r="D2312" i="1"/>
  <c r="B2312" i="1"/>
  <c r="C2312" i="1" s="1"/>
  <c r="R2311" i="1"/>
  <c r="N2311" i="1"/>
  <c r="D2311" i="1"/>
  <c r="C2311" i="1"/>
  <c r="B2311" i="1"/>
  <c r="R2310" i="1"/>
  <c r="N2310" i="1"/>
  <c r="D2310" i="1"/>
  <c r="B2310" i="1"/>
  <c r="C2310" i="1" s="1"/>
  <c r="R2309" i="1"/>
  <c r="N2309" i="1"/>
  <c r="D2309" i="1"/>
  <c r="C2309" i="1"/>
  <c r="B2309" i="1"/>
  <c r="R2308" i="1"/>
  <c r="N2308" i="1"/>
  <c r="D2308" i="1"/>
  <c r="B2308" i="1"/>
  <c r="C2308" i="1" s="1"/>
  <c r="R2307" i="1"/>
  <c r="N2307" i="1"/>
  <c r="D2307" i="1"/>
  <c r="B2307" i="1"/>
  <c r="C2307" i="1" s="1"/>
  <c r="R2306" i="1"/>
  <c r="N2306" i="1"/>
  <c r="D2306" i="1"/>
  <c r="B2306" i="1"/>
  <c r="C2306" i="1" s="1"/>
  <c r="R2305" i="1"/>
  <c r="N2305" i="1"/>
  <c r="D2305" i="1"/>
  <c r="C2305" i="1"/>
  <c r="B2305" i="1"/>
  <c r="R2304" i="1"/>
  <c r="N2304" i="1"/>
  <c r="D2304" i="1"/>
  <c r="B2304" i="1"/>
  <c r="C2304" i="1" s="1"/>
  <c r="R2303" i="1"/>
  <c r="N2303" i="1"/>
  <c r="D2303" i="1"/>
  <c r="B2303" i="1"/>
  <c r="C2303" i="1" s="1"/>
  <c r="R2302" i="1"/>
  <c r="N2302" i="1"/>
  <c r="D2302" i="1"/>
  <c r="B2302" i="1"/>
  <c r="C2302" i="1" s="1"/>
  <c r="R2301" i="1"/>
  <c r="N2301" i="1"/>
  <c r="D2301" i="1"/>
  <c r="C2301" i="1"/>
  <c r="B2301" i="1"/>
  <c r="R2300" i="1"/>
  <c r="N2300" i="1"/>
  <c r="D2300" i="1"/>
  <c r="C2300" i="1"/>
  <c r="B2300" i="1"/>
  <c r="R2299" i="1"/>
  <c r="N2299" i="1"/>
  <c r="D2299" i="1"/>
  <c r="B2299" i="1"/>
  <c r="C2299" i="1" s="1"/>
  <c r="R2298" i="1"/>
  <c r="N2298" i="1"/>
  <c r="D2298" i="1"/>
  <c r="B2298" i="1"/>
  <c r="C2298" i="1" s="1"/>
  <c r="R2297" i="1"/>
  <c r="N2297" i="1"/>
  <c r="D2297" i="1"/>
  <c r="C2297" i="1"/>
  <c r="B2297" i="1"/>
  <c r="R2296" i="1"/>
  <c r="N2296" i="1"/>
  <c r="D2296" i="1"/>
  <c r="B2296" i="1"/>
  <c r="C2296" i="1" s="1"/>
  <c r="R2295" i="1"/>
  <c r="N2295" i="1"/>
  <c r="D2295" i="1"/>
  <c r="B2295" i="1"/>
  <c r="C2295" i="1" s="1"/>
  <c r="R2294" i="1"/>
  <c r="N2294" i="1"/>
  <c r="D2294" i="1"/>
  <c r="B2294" i="1"/>
  <c r="C2294" i="1" s="1"/>
  <c r="R2293" i="1"/>
  <c r="N2293" i="1"/>
  <c r="D2293" i="1"/>
  <c r="C2293" i="1"/>
  <c r="B2293" i="1"/>
  <c r="R2292" i="1"/>
  <c r="N2292" i="1"/>
  <c r="D2292" i="1"/>
  <c r="C2292" i="1"/>
  <c r="B2292" i="1"/>
  <c r="R2291" i="1"/>
  <c r="N2291" i="1"/>
  <c r="D2291" i="1"/>
  <c r="B2291" i="1"/>
  <c r="C2291" i="1" s="1"/>
  <c r="R2290" i="1"/>
  <c r="N2290" i="1"/>
  <c r="D2290" i="1"/>
  <c r="B2290" i="1"/>
  <c r="C2290" i="1" s="1"/>
  <c r="R2289" i="1"/>
  <c r="N2289" i="1"/>
  <c r="D2289" i="1"/>
  <c r="C2289" i="1"/>
  <c r="B2289" i="1"/>
  <c r="R2288" i="1"/>
  <c r="N2288" i="1"/>
  <c r="D2288" i="1"/>
  <c r="B2288" i="1"/>
  <c r="C2288" i="1" s="1"/>
  <c r="R2287" i="1"/>
  <c r="N2287" i="1"/>
  <c r="D2287" i="1"/>
  <c r="B2287" i="1"/>
  <c r="C2287" i="1" s="1"/>
  <c r="R2286" i="1"/>
  <c r="N2286" i="1"/>
  <c r="D2286" i="1"/>
  <c r="B2286" i="1"/>
  <c r="C2286" i="1" s="1"/>
  <c r="R2285" i="1"/>
  <c r="N2285" i="1"/>
  <c r="D2285" i="1"/>
  <c r="C2285" i="1"/>
  <c r="B2285" i="1"/>
  <c r="R2284" i="1"/>
  <c r="N2284" i="1"/>
  <c r="D2284" i="1"/>
  <c r="B2284" i="1"/>
  <c r="C2284" i="1" s="1"/>
  <c r="R2283" i="1"/>
  <c r="N2283" i="1"/>
  <c r="D2283" i="1"/>
  <c r="B2283" i="1"/>
  <c r="C2283" i="1" s="1"/>
  <c r="R2282" i="1"/>
  <c r="N2282" i="1"/>
  <c r="D2282" i="1"/>
  <c r="B2282" i="1"/>
  <c r="C2282" i="1" s="1"/>
  <c r="R2281" i="1"/>
  <c r="N2281" i="1"/>
  <c r="D2281" i="1"/>
  <c r="C2281" i="1"/>
  <c r="B2281" i="1"/>
  <c r="R2280" i="1"/>
  <c r="N2280" i="1"/>
  <c r="D2280" i="1"/>
  <c r="B2280" i="1"/>
  <c r="C2280" i="1" s="1"/>
  <c r="R2279" i="1"/>
  <c r="N2279" i="1"/>
  <c r="D2279" i="1"/>
  <c r="C2279" i="1"/>
  <c r="B2279" i="1"/>
  <c r="R2278" i="1"/>
  <c r="N2278" i="1"/>
  <c r="D2278" i="1"/>
  <c r="B2278" i="1"/>
  <c r="C2278" i="1" s="1"/>
  <c r="R2277" i="1"/>
  <c r="N2277" i="1"/>
  <c r="D2277" i="1"/>
  <c r="B2277" i="1"/>
  <c r="C2277" i="1" s="1"/>
  <c r="R2276" i="1"/>
  <c r="N2276" i="1"/>
  <c r="D2276" i="1"/>
  <c r="B2276" i="1"/>
  <c r="C2276" i="1" s="1"/>
  <c r="R2275" i="1"/>
  <c r="N2275" i="1"/>
  <c r="D2275" i="1"/>
  <c r="B2275" i="1"/>
  <c r="C2275" i="1" s="1"/>
  <c r="R2274" i="1"/>
  <c r="N2274" i="1"/>
  <c r="D2274" i="1"/>
  <c r="B2274" i="1"/>
  <c r="C2274" i="1" s="1"/>
  <c r="R2273" i="1"/>
  <c r="N2273" i="1"/>
  <c r="D2273" i="1"/>
  <c r="C2273" i="1"/>
  <c r="B2273" i="1"/>
  <c r="R2272" i="1"/>
  <c r="N2272" i="1"/>
  <c r="D2272" i="1"/>
  <c r="B2272" i="1"/>
  <c r="C2272" i="1" s="1"/>
  <c r="R2271" i="1"/>
  <c r="N2271" i="1"/>
  <c r="D2271" i="1"/>
  <c r="C2271" i="1"/>
  <c r="B2271" i="1"/>
  <c r="R2270" i="1"/>
  <c r="N2270" i="1"/>
  <c r="D2270" i="1"/>
  <c r="B2270" i="1"/>
  <c r="C2270" i="1" s="1"/>
  <c r="R2269" i="1"/>
  <c r="N2269" i="1"/>
  <c r="D2269" i="1"/>
  <c r="C2269" i="1"/>
  <c r="B2269" i="1"/>
  <c r="R2268" i="1"/>
  <c r="N2268" i="1"/>
  <c r="D2268" i="1"/>
  <c r="B2268" i="1"/>
  <c r="C2268" i="1" s="1"/>
  <c r="R2267" i="1"/>
  <c r="N2267" i="1"/>
  <c r="D2267" i="1"/>
  <c r="B2267" i="1"/>
  <c r="C2267" i="1" s="1"/>
  <c r="R2266" i="1"/>
  <c r="N2266" i="1"/>
  <c r="D2266" i="1"/>
  <c r="B2266" i="1"/>
  <c r="C2266" i="1" s="1"/>
  <c r="R2265" i="1"/>
  <c r="N2265" i="1"/>
  <c r="D2265" i="1"/>
  <c r="C2265" i="1"/>
  <c r="B2265" i="1"/>
  <c r="R2264" i="1"/>
  <c r="N2264" i="1"/>
  <c r="D2264" i="1"/>
  <c r="B2264" i="1"/>
  <c r="C2264" i="1" s="1"/>
  <c r="R2263" i="1"/>
  <c r="N2263" i="1"/>
  <c r="D2263" i="1"/>
  <c r="C2263" i="1"/>
  <c r="B2263" i="1"/>
  <c r="R2262" i="1"/>
  <c r="N2262" i="1"/>
  <c r="D2262" i="1"/>
  <c r="B2262" i="1"/>
  <c r="C2262" i="1" s="1"/>
  <c r="R2261" i="1"/>
  <c r="N2261" i="1"/>
  <c r="D2261" i="1"/>
  <c r="C2261" i="1"/>
  <c r="B2261" i="1"/>
  <c r="R2260" i="1"/>
  <c r="N2260" i="1"/>
  <c r="D2260" i="1"/>
  <c r="B2260" i="1"/>
  <c r="C2260" i="1" s="1"/>
  <c r="R2259" i="1"/>
  <c r="N2259" i="1"/>
  <c r="D2259" i="1"/>
  <c r="B2259" i="1"/>
  <c r="C2259" i="1" s="1"/>
  <c r="R2258" i="1"/>
  <c r="N2258" i="1"/>
  <c r="D2258" i="1"/>
  <c r="B2258" i="1"/>
  <c r="C2258" i="1" s="1"/>
  <c r="R2257" i="1"/>
  <c r="N2257" i="1"/>
  <c r="D2257" i="1"/>
  <c r="C2257" i="1"/>
  <c r="B2257" i="1"/>
  <c r="R2256" i="1"/>
  <c r="N2256" i="1"/>
  <c r="D2256" i="1"/>
  <c r="B2256" i="1"/>
  <c r="C2256" i="1" s="1"/>
  <c r="R2255" i="1"/>
  <c r="N2255" i="1"/>
  <c r="D2255" i="1"/>
  <c r="C2255" i="1"/>
  <c r="B2255" i="1"/>
  <c r="R2254" i="1"/>
  <c r="N2254" i="1"/>
  <c r="D2254" i="1"/>
  <c r="B2254" i="1"/>
  <c r="C2254" i="1" s="1"/>
  <c r="R2253" i="1"/>
  <c r="N2253" i="1"/>
  <c r="D2253" i="1"/>
  <c r="C2253" i="1"/>
  <c r="B2253" i="1"/>
  <c r="R2252" i="1"/>
  <c r="N2252" i="1"/>
  <c r="D2252" i="1"/>
  <c r="B2252" i="1"/>
  <c r="C2252" i="1" s="1"/>
  <c r="R2251" i="1"/>
  <c r="N2251" i="1"/>
  <c r="D2251" i="1"/>
  <c r="B2251" i="1"/>
  <c r="C2251" i="1" s="1"/>
  <c r="R2250" i="1"/>
  <c r="N2250" i="1"/>
  <c r="D2250" i="1"/>
  <c r="B2250" i="1"/>
  <c r="C2250" i="1" s="1"/>
  <c r="R2249" i="1"/>
  <c r="N2249" i="1"/>
  <c r="D2249" i="1"/>
  <c r="B2249" i="1"/>
  <c r="C2249" i="1" s="1"/>
  <c r="R2248" i="1"/>
  <c r="N2248" i="1"/>
  <c r="D2248" i="1"/>
  <c r="B2248" i="1"/>
  <c r="C2248" i="1" s="1"/>
  <c r="R2247" i="1"/>
  <c r="N2247" i="1"/>
  <c r="D2247" i="1"/>
  <c r="C2247" i="1"/>
  <c r="B2247" i="1"/>
  <c r="R2246" i="1"/>
  <c r="N2246" i="1"/>
  <c r="D2246" i="1"/>
  <c r="B2246" i="1"/>
  <c r="C2246" i="1" s="1"/>
  <c r="R2245" i="1"/>
  <c r="N2245" i="1"/>
  <c r="D2245" i="1"/>
  <c r="C2245" i="1"/>
  <c r="B2245" i="1"/>
  <c r="R2244" i="1"/>
  <c r="N2244" i="1"/>
  <c r="D2244" i="1"/>
  <c r="B2244" i="1"/>
  <c r="C2244" i="1" s="1"/>
  <c r="R2243" i="1"/>
  <c r="N2243" i="1"/>
  <c r="D2243" i="1"/>
  <c r="B2243" i="1"/>
  <c r="C2243" i="1" s="1"/>
  <c r="R2242" i="1"/>
  <c r="N2242" i="1"/>
  <c r="D2242" i="1"/>
  <c r="B2242" i="1"/>
  <c r="C2242" i="1" s="1"/>
  <c r="R2241" i="1"/>
  <c r="N2241" i="1"/>
  <c r="D2241" i="1"/>
  <c r="B2241" i="1"/>
  <c r="C2241" i="1" s="1"/>
  <c r="R2240" i="1"/>
  <c r="N2240" i="1"/>
  <c r="D2240" i="1"/>
  <c r="B2240" i="1"/>
  <c r="C2240" i="1" s="1"/>
  <c r="R2239" i="1"/>
  <c r="N2239" i="1"/>
  <c r="D2239" i="1"/>
  <c r="B2239" i="1"/>
  <c r="C2239" i="1" s="1"/>
  <c r="R2238" i="1"/>
  <c r="N2238" i="1"/>
  <c r="D2238" i="1"/>
  <c r="B2238" i="1"/>
  <c r="C2238" i="1" s="1"/>
  <c r="R2237" i="1"/>
  <c r="N2237" i="1"/>
  <c r="D2237" i="1"/>
  <c r="C2237" i="1"/>
  <c r="B2237" i="1"/>
  <c r="R2236" i="1"/>
  <c r="N2236" i="1"/>
  <c r="D2236" i="1"/>
  <c r="C2236" i="1"/>
  <c r="B2236" i="1"/>
  <c r="R2235" i="1"/>
  <c r="N2235" i="1"/>
  <c r="D2235" i="1"/>
  <c r="B2235" i="1"/>
  <c r="C2235" i="1" s="1"/>
  <c r="R2234" i="1"/>
  <c r="N2234" i="1"/>
  <c r="D2234" i="1"/>
  <c r="B2234" i="1"/>
  <c r="C2234" i="1" s="1"/>
  <c r="R2233" i="1"/>
  <c r="N2233" i="1"/>
  <c r="D2233" i="1"/>
  <c r="C2233" i="1"/>
  <c r="B2233" i="1"/>
  <c r="R2232" i="1"/>
  <c r="N2232" i="1"/>
  <c r="D2232" i="1"/>
  <c r="B2232" i="1"/>
  <c r="C2232" i="1" s="1"/>
  <c r="R2231" i="1"/>
  <c r="N2231" i="1"/>
  <c r="D2231" i="1"/>
  <c r="B2231" i="1"/>
  <c r="C2231" i="1" s="1"/>
  <c r="R2230" i="1"/>
  <c r="N2230" i="1"/>
  <c r="D2230" i="1"/>
  <c r="B2230" i="1"/>
  <c r="C2230" i="1" s="1"/>
  <c r="R2229" i="1"/>
  <c r="N2229" i="1"/>
  <c r="D2229" i="1"/>
  <c r="C2229" i="1"/>
  <c r="B2229" i="1"/>
  <c r="R2228" i="1"/>
  <c r="N2228" i="1"/>
  <c r="D2228" i="1"/>
  <c r="C2228" i="1"/>
  <c r="B2228" i="1"/>
  <c r="R2227" i="1"/>
  <c r="N2227" i="1"/>
  <c r="D2227" i="1"/>
  <c r="B2227" i="1"/>
  <c r="C2227" i="1" s="1"/>
  <c r="R2226" i="1"/>
  <c r="N2226" i="1"/>
  <c r="D2226" i="1"/>
  <c r="B2226" i="1"/>
  <c r="C2226" i="1" s="1"/>
  <c r="R2225" i="1"/>
  <c r="N2225" i="1"/>
  <c r="D2225" i="1"/>
  <c r="C2225" i="1"/>
  <c r="B2225" i="1"/>
  <c r="R2224" i="1"/>
  <c r="N2224" i="1"/>
  <c r="D2224" i="1"/>
  <c r="B2224" i="1"/>
  <c r="C2224" i="1" s="1"/>
  <c r="R2223" i="1"/>
  <c r="N2223" i="1"/>
  <c r="D2223" i="1"/>
  <c r="B2223" i="1"/>
  <c r="C2223" i="1" s="1"/>
  <c r="R2222" i="1"/>
  <c r="N2222" i="1"/>
  <c r="D2222" i="1"/>
  <c r="B2222" i="1"/>
  <c r="C2222" i="1" s="1"/>
  <c r="R2221" i="1"/>
  <c r="N2221" i="1"/>
  <c r="D2221" i="1"/>
  <c r="C2221" i="1"/>
  <c r="B2221" i="1"/>
  <c r="R2220" i="1"/>
  <c r="N2220" i="1"/>
  <c r="D2220" i="1"/>
  <c r="B2220" i="1"/>
  <c r="C2220" i="1" s="1"/>
  <c r="R2219" i="1"/>
  <c r="N2219" i="1"/>
  <c r="D2219" i="1"/>
  <c r="B2219" i="1"/>
  <c r="C2219" i="1" s="1"/>
  <c r="R2218" i="1"/>
  <c r="N2218" i="1"/>
  <c r="D2218" i="1"/>
  <c r="B2218" i="1"/>
  <c r="C2218" i="1" s="1"/>
  <c r="R2217" i="1"/>
  <c r="N2217" i="1"/>
  <c r="D2217" i="1"/>
  <c r="C2217" i="1"/>
  <c r="B2217" i="1"/>
  <c r="R2216" i="1"/>
  <c r="N2216" i="1"/>
  <c r="D2216" i="1"/>
  <c r="B2216" i="1"/>
  <c r="C2216" i="1" s="1"/>
  <c r="R2215" i="1"/>
  <c r="N2215" i="1"/>
  <c r="D2215" i="1"/>
  <c r="C2215" i="1"/>
  <c r="B2215" i="1"/>
  <c r="R2214" i="1"/>
  <c r="N2214" i="1"/>
  <c r="D2214" i="1"/>
  <c r="B2214" i="1"/>
  <c r="C2214" i="1" s="1"/>
  <c r="R2213" i="1"/>
  <c r="N2213" i="1"/>
  <c r="D2213" i="1"/>
  <c r="B2213" i="1"/>
  <c r="C2213" i="1" s="1"/>
  <c r="R2212" i="1"/>
  <c r="N2212" i="1"/>
  <c r="D2212" i="1"/>
  <c r="C2212" i="1"/>
  <c r="B2212" i="1"/>
  <c r="R2211" i="1"/>
  <c r="N2211" i="1"/>
  <c r="D2211" i="1"/>
  <c r="B2211" i="1"/>
  <c r="C2211" i="1" s="1"/>
  <c r="R2210" i="1"/>
  <c r="N2210" i="1"/>
  <c r="D2210" i="1"/>
  <c r="B2210" i="1"/>
  <c r="C2210" i="1" s="1"/>
  <c r="R2209" i="1"/>
  <c r="N2209" i="1"/>
  <c r="D2209" i="1"/>
  <c r="C2209" i="1"/>
  <c r="B2209" i="1"/>
  <c r="R2208" i="1"/>
  <c r="N2208" i="1"/>
  <c r="D2208" i="1"/>
  <c r="B2208" i="1"/>
  <c r="C2208" i="1" s="1"/>
  <c r="R2207" i="1"/>
  <c r="N2207" i="1"/>
  <c r="D2207" i="1"/>
  <c r="C2207" i="1"/>
  <c r="B2207" i="1"/>
  <c r="R2206" i="1"/>
  <c r="N2206" i="1"/>
  <c r="D2206" i="1"/>
  <c r="B2206" i="1"/>
  <c r="C2206" i="1" s="1"/>
  <c r="R2205" i="1"/>
  <c r="N2205" i="1"/>
  <c r="D2205" i="1"/>
  <c r="B2205" i="1"/>
  <c r="C2205" i="1" s="1"/>
  <c r="R2204" i="1"/>
  <c r="N2204" i="1"/>
  <c r="D2204" i="1"/>
  <c r="C2204" i="1"/>
  <c r="B2204" i="1"/>
  <c r="R2203" i="1"/>
  <c r="N2203" i="1"/>
  <c r="D2203" i="1"/>
  <c r="B2203" i="1"/>
  <c r="C2203" i="1" s="1"/>
  <c r="R2202" i="1"/>
  <c r="N2202" i="1"/>
  <c r="D2202" i="1"/>
  <c r="B2202" i="1"/>
  <c r="C2202" i="1" s="1"/>
  <c r="R2201" i="1"/>
  <c r="N2201" i="1"/>
  <c r="D2201" i="1"/>
  <c r="C2201" i="1"/>
  <c r="B2201" i="1"/>
  <c r="R2200" i="1"/>
  <c r="N2200" i="1"/>
  <c r="D2200" i="1"/>
  <c r="B2200" i="1"/>
  <c r="C2200" i="1" s="1"/>
  <c r="R2199" i="1"/>
  <c r="N2199" i="1"/>
  <c r="D2199" i="1"/>
  <c r="C2199" i="1"/>
  <c r="B2199" i="1"/>
  <c r="R2198" i="1"/>
  <c r="N2198" i="1"/>
  <c r="D2198" i="1"/>
  <c r="B2198" i="1"/>
  <c r="C2198" i="1" s="1"/>
  <c r="R2197" i="1"/>
  <c r="N2197" i="1"/>
  <c r="D2197" i="1"/>
  <c r="B2197" i="1"/>
  <c r="C2197" i="1" s="1"/>
  <c r="R2196" i="1"/>
  <c r="N2196" i="1"/>
  <c r="D2196" i="1"/>
  <c r="C2196" i="1"/>
  <c r="B2196" i="1"/>
  <c r="R2195" i="1"/>
  <c r="N2195" i="1"/>
  <c r="D2195" i="1"/>
  <c r="B2195" i="1"/>
  <c r="C2195" i="1" s="1"/>
  <c r="R2194" i="1"/>
  <c r="N2194" i="1"/>
  <c r="D2194" i="1"/>
  <c r="B2194" i="1"/>
  <c r="C2194" i="1" s="1"/>
  <c r="R2193" i="1"/>
  <c r="N2193" i="1"/>
  <c r="D2193" i="1"/>
  <c r="C2193" i="1"/>
  <c r="B2193" i="1"/>
  <c r="R2192" i="1"/>
  <c r="N2192" i="1"/>
  <c r="D2192" i="1"/>
  <c r="B2192" i="1"/>
  <c r="C2192" i="1" s="1"/>
  <c r="R2191" i="1"/>
  <c r="N2191" i="1"/>
  <c r="D2191" i="1"/>
  <c r="C2191" i="1"/>
  <c r="B2191" i="1"/>
  <c r="R2190" i="1"/>
  <c r="N2190" i="1"/>
  <c r="D2190" i="1"/>
  <c r="B2190" i="1"/>
  <c r="C2190" i="1" s="1"/>
  <c r="R2189" i="1"/>
  <c r="N2189" i="1"/>
  <c r="D2189" i="1"/>
  <c r="B2189" i="1"/>
  <c r="C2189" i="1" s="1"/>
  <c r="R2188" i="1"/>
  <c r="N2188" i="1"/>
  <c r="D2188" i="1"/>
  <c r="B2188" i="1"/>
  <c r="C2188" i="1" s="1"/>
  <c r="R2187" i="1"/>
  <c r="N2187" i="1"/>
  <c r="D2187" i="1"/>
  <c r="B2187" i="1"/>
  <c r="C2187" i="1" s="1"/>
  <c r="R2186" i="1"/>
  <c r="N2186" i="1"/>
  <c r="D2186" i="1"/>
  <c r="B2186" i="1"/>
  <c r="C2186" i="1" s="1"/>
  <c r="R2185" i="1"/>
  <c r="N2185" i="1"/>
  <c r="D2185" i="1"/>
  <c r="C2185" i="1"/>
  <c r="B2185" i="1"/>
  <c r="R2184" i="1"/>
  <c r="N2184" i="1"/>
  <c r="D2184" i="1"/>
  <c r="B2184" i="1"/>
  <c r="C2184" i="1" s="1"/>
  <c r="R2183" i="1"/>
  <c r="N2183" i="1"/>
  <c r="D2183" i="1"/>
  <c r="C2183" i="1"/>
  <c r="B2183" i="1"/>
  <c r="R2182" i="1"/>
  <c r="N2182" i="1"/>
  <c r="D2182" i="1"/>
  <c r="B2182" i="1"/>
  <c r="C2182" i="1" s="1"/>
  <c r="R2181" i="1"/>
  <c r="N2181" i="1"/>
  <c r="D2181" i="1"/>
  <c r="C2181" i="1"/>
  <c r="B2181" i="1"/>
  <c r="R2180" i="1"/>
  <c r="N2180" i="1"/>
  <c r="D2180" i="1"/>
  <c r="B2180" i="1"/>
  <c r="C2180" i="1" s="1"/>
  <c r="R2179" i="1"/>
  <c r="N2179" i="1"/>
  <c r="D2179" i="1"/>
  <c r="B2179" i="1"/>
  <c r="C2179" i="1" s="1"/>
  <c r="R2178" i="1"/>
  <c r="N2178" i="1"/>
  <c r="D2178" i="1"/>
  <c r="B2178" i="1"/>
  <c r="C2178" i="1" s="1"/>
  <c r="R2177" i="1"/>
  <c r="N2177" i="1"/>
  <c r="D2177" i="1"/>
  <c r="B2177" i="1"/>
  <c r="C2177" i="1" s="1"/>
  <c r="R2176" i="1"/>
  <c r="N2176" i="1"/>
  <c r="D2176" i="1"/>
  <c r="B2176" i="1"/>
  <c r="C2176" i="1" s="1"/>
  <c r="R2175" i="1"/>
  <c r="N2175" i="1"/>
  <c r="D2175" i="1"/>
  <c r="C2175" i="1"/>
  <c r="B2175" i="1"/>
  <c r="R2174" i="1"/>
  <c r="N2174" i="1"/>
  <c r="D2174" i="1"/>
  <c r="B2174" i="1"/>
  <c r="C2174" i="1" s="1"/>
  <c r="R2173" i="1"/>
  <c r="N2173" i="1"/>
  <c r="D2173" i="1"/>
  <c r="C2173" i="1"/>
  <c r="B2173" i="1"/>
  <c r="R2172" i="1"/>
  <c r="N2172" i="1"/>
  <c r="D2172" i="1"/>
  <c r="C2172" i="1"/>
  <c r="B2172" i="1"/>
  <c r="R2171" i="1"/>
  <c r="N2171" i="1"/>
  <c r="D2171" i="1"/>
  <c r="B2171" i="1"/>
  <c r="C2171" i="1" s="1"/>
  <c r="R2170" i="1"/>
  <c r="N2170" i="1"/>
  <c r="D2170" i="1"/>
  <c r="B2170" i="1"/>
  <c r="C2170" i="1" s="1"/>
  <c r="R2169" i="1"/>
  <c r="N2169" i="1"/>
  <c r="D2169" i="1"/>
  <c r="B2169" i="1"/>
  <c r="C2169" i="1" s="1"/>
  <c r="R2168" i="1"/>
  <c r="N2168" i="1"/>
  <c r="D2168" i="1"/>
  <c r="B2168" i="1"/>
  <c r="C2168" i="1" s="1"/>
  <c r="R2167" i="1"/>
  <c r="N2167" i="1"/>
  <c r="D2167" i="1"/>
  <c r="C2167" i="1"/>
  <c r="B2167" i="1"/>
  <c r="R2166" i="1"/>
  <c r="N2166" i="1"/>
  <c r="D2166" i="1"/>
  <c r="B2166" i="1"/>
  <c r="C2166" i="1" s="1"/>
  <c r="R2165" i="1"/>
  <c r="N2165" i="1"/>
  <c r="D2165" i="1"/>
  <c r="C2165" i="1"/>
  <c r="B2165" i="1"/>
  <c r="R2164" i="1"/>
  <c r="N2164" i="1"/>
  <c r="D2164" i="1"/>
  <c r="C2164" i="1"/>
  <c r="B2164" i="1"/>
  <c r="R2163" i="1"/>
  <c r="N2163" i="1"/>
  <c r="D2163" i="1"/>
  <c r="B2163" i="1"/>
  <c r="C2163" i="1" s="1"/>
  <c r="R2162" i="1"/>
  <c r="N2162" i="1"/>
  <c r="D2162" i="1"/>
  <c r="B2162" i="1"/>
  <c r="C2162" i="1" s="1"/>
  <c r="R2161" i="1"/>
  <c r="N2161" i="1"/>
  <c r="D2161" i="1"/>
  <c r="B2161" i="1"/>
  <c r="C2161" i="1" s="1"/>
  <c r="R2160" i="1"/>
  <c r="N2160" i="1"/>
  <c r="D2160" i="1"/>
  <c r="B2160" i="1"/>
  <c r="C2160" i="1" s="1"/>
  <c r="R2159" i="1"/>
  <c r="N2159" i="1"/>
  <c r="D2159" i="1"/>
  <c r="C2159" i="1"/>
  <c r="B2159" i="1"/>
  <c r="R2158" i="1"/>
  <c r="N2158" i="1"/>
  <c r="D2158" i="1"/>
  <c r="B2158" i="1"/>
  <c r="C2158" i="1" s="1"/>
  <c r="R2157" i="1"/>
  <c r="N2157" i="1"/>
  <c r="D2157" i="1"/>
  <c r="C2157" i="1"/>
  <c r="B2157" i="1"/>
  <c r="R2156" i="1"/>
  <c r="N2156" i="1"/>
  <c r="D2156" i="1"/>
  <c r="B2156" i="1"/>
  <c r="C2156" i="1" s="1"/>
  <c r="R2155" i="1"/>
  <c r="N2155" i="1"/>
  <c r="D2155" i="1"/>
  <c r="B2155" i="1"/>
  <c r="C2155" i="1" s="1"/>
  <c r="R2154" i="1"/>
  <c r="N2154" i="1"/>
  <c r="D2154" i="1"/>
  <c r="B2154" i="1"/>
  <c r="C2154" i="1" s="1"/>
  <c r="R2153" i="1"/>
  <c r="N2153" i="1"/>
  <c r="D2153" i="1"/>
  <c r="C2153" i="1"/>
  <c r="B2153" i="1"/>
  <c r="R2152" i="1"/>
  <c r="N2152" i="1"/>
  <c r="D2152" i="1"/>
  <c r="B2152" i="1"/>
  <c r="C2152" i="1" s="1"/>
  <c r="R2151" i="1"/>
  <c r="N2151" i="1"/>
  <c r="D2151" i="1"/>
  <c r="B2151" i="1"/>
  <c r="C2151" i="1" s="1"/>
  <c r="R2150" i="1"/>
  <c r="N2150" i="1"/>
  <c r="D2150" i="1"/>
  <c r="B2150" i="1"/>
  <c r="C2150" i="1" s="1"/>
  <c r="R2149" i="1"/>
  <c r="N2149" i="1"/>
  <c r="D2149" i="1"/>
  <c r="C2149" i="1"/>
  <c r="B2149" i="1"/>
  <c r="R2148" i="1"/>
  <c r="N2148" i="1"/>
  <c r="D2148" i="1"/>
  <c r="B2148" i="1"/>
  <c r="C2148" i="1" s="1"/>
  <c r="R2147" i="1"/>
  <c r="N2147" i="1"/>
  <c r="D2147" i="1"/>
  <c r="B2147" i="1"/>
  <c r="C2147" i="1" s="1"/>
  <c r="R2146" i="1"/>
  <c r="N2146" i="1"/>
  <c r="D2146" i="1"/>
  <c r="B2146" i="1"/>
  <c r="C2146" i="1" s="1"/>
  <c r="R2145" i="1"/>
  <c r="N2145" i="1"/>
  <c r="D2145" i="1"/>
  <c r="C2145" i="1"/>
  <c r="B2145" i="1"/>
  <c r="R2144" i="1"/>
  <c r="N2144" i="1"/>
  <c r="D2144" i="1"/>
  <c r="B2144" i="1"/>
  <c r="C2144" i="1" s="1"/>
  <c r="R2143" i="1"/>
  <c r="N2143" i="1"/>
  <c r="D2143" i="1"/>
  <c r="C2143" i="1"/>
  <c r="B2143" i="1"/>
  <c r="R2142" i="1"/>
  <c r="N2142" i="1"/>
  <c r="D2142" i="1"/>
  <c r="B2142" i="1"/>
  <c r="C2142" i="1" s="1"/>
  <c r="R2141" i="1"/>
  <c r="N2141" i="1"/>
  <c r="D2141" i="1"/>
  <c r="B2141" i="1"/>
  <c r="C2141" i="1" s="1"/>
  <c r="R2140" i="1"/>
  <c r="N2140" i="1"/>
  <c r="D2140" i="1"/>
  <c r="C2140" i="1"/>
  <c r="B2140" i="1"/>
  <c r="R2139" i="1"/>
  <c r="N2139" i="1"/>
  <c r="D2139" i="1"/>
  <c r="B2139" i="1"/>
  <c r="C2139" i="1" s="1"/>
  <c r="R2138" i="1"/>
  <c r="N2138" i="1"/>
  <c r="D2138" i="1"/>
  <c r="B2138" i="1"/>
  <c r="C2138" i="1" s="1"/>
  <c r="R2137" i="1"/>
  <c r="N2137" i="1"/>
  <c r="D2137" i="1"/>
  <c r="C2137" i="1"/>
  <c r="B2137" i="1"/>
  <c r="R2136" i="1"/>
  <c r="N2136" i="1"/>
  <c r="D2136" i="1"/>
  <c r="B2136" i="1"/>
  <c r="C2136" i="1" s="1"/>
  <c r="R2135" i="1"/>
  <c r="N2135" i="1"/>
  <c r="D2135" i="1"/>
  <c r="C2135" i="1"/>
  <c r="B2135" i="1"/>
  <c r="R2134" i="1"/>
  <c r="N2134" i="1"/>
  <c r="D2134" i="1"/>
  <c r="B2134" i="1"/>
  <c r="C2134" i="1" s="1"/>
  <c r="R2133" i="1"/>
  <c r="N2133" i="1"/>
  <c r="D2133" i="1"/>
  <c r="B2133" i="1"/>
  <c r="C2133" i="1" s="1"/>
  <c r="R2132" i="1"/>
  <c r="N2132" i="1"/>
  <c r="D2132" i="1"/>
  <c r="C2132" i="1"/>
  <c r="B2132" i="1"/>
  <c r="R2131" i="1"/>
  <c r="N2131" i="1"/>
  <c r="D2131" i="1"/>
  <c r="B2131" i="1"/>
  <c r="C2131" i="1" s="1"/>
  <c r="R2130" i="1"/>
  <c r="N2130" i="1"/>
  <c r="D2130" i="1"/>
  <c r="B2130" i="1"/>
  <c r="C2130" i="1" s="1"/>
  <c r="R2129" i="1"/>
  <c r="N2129" i="1"/>
  <c r="D2129" i="1"/>
  <c r="C2129" i="1"/>
  <c r="B2129" i="1"/>
  <c r="R2128" i="1"/>
  <c r="N2128" i="1"/>
  <c r="D2128" i="1"/>
  <c r="B2128" i="1"/>
  <c r="C2128" i="1" s="1"/>
  <c r="R2127" i="1"/>
  <c r="N2127" i="1"/>
  <c r="D2127" i="1"/>
  <c r="C2127" i="1"/>
  <c r="B2127" i="1"/>
  <c r="R2126" i="1"/>
  <c r="N2126" i="1"/>
  <c r="D2126" i="1"/>
  <c r="B2126" i="1"/>
  <c r="C2126" i="1" s="1"/>
  <c r="R2125" i="1"/>
  <c r="N2125" i="1"/>
  <c r="D2125" i="1"/>
  <c r="B2125" i="1"/>
  <c r="C2125" i="1" s="1"/>
  <c r="R2124" i="1"/>
  <c r="N2124" i="1"/>
  <c r="D2124" i="1"/>
  <c r="B2124" i="1"/>
  <c r="C2124" i="1" s="1"/>
  <c r="R2123" i="1"/>
  <c r="N2123" i="1"/>
  <c r="D2123" i="1"/>
  <c r="B2123" i="1"/>
  <c r="C2123" i="1" s="1"/>
  <c r="R2122" i="1"/>
  <c r="N2122" i="1"/>
  <c r="D2122" i="1"/>
  <c r="B2122" i="1"/>
  <c r="C2122" i="1" s="1"/>
  <c r="R2121" i="1"/>
  <c r="N2121" i="1"/>
  <c r="D2121" i="1"/>
  <c r="C2121" i="1"/>
  <c r="B2121" i="1"/>
  <c r="R2120" i="1"/>
  <c r="N2120" i="1"/>
  <c r="D2120" i="1"/>
  <c r="B2120" i="1"/>
  <c r="C2120" i="1" s="1"/>
  <c r="R2119" i="1"/>
  <c r="N2119" i="1"/>
  <c r="D2119" i="1"/>
  <c r="C2119" i="1"/>
  <c r="B2119" i="1"/>
  <c r="R2118" i="1"/>
  <c r="N2118" i="1"/>
  <c r="D2118" i="1"/>
  <c r="B2118" i="1"/>
  <c r="C2118" i="1" s="1"/>
  <c r="R2117" i="1"/>
  <c r="N2117" i="1"/>
  <c r="D2117" i="1"/>
  <c r="C2117" i="1"/>
  <c r="B2117" i="1"/>
  <c r="R2116" i="1"/>
  <c r="N2116" i="1"/>
  <c r="D2116" i="1"/>
  <c r="B2116" i="1"/>
  <c r="C2116" i="1" s="1"/>
  <c r="R2115" i="1"/>
  <c r="N2115" i="1"/>
  <c r="D2115" i="1"/>
  <c r="B2115" i="1"/>
  <c r="C2115" i="1" s="1"/>
  <c r="R2114" i="1"/>
  <c r="N2114" i="1"/>
  <c r="D2114" i="1"/>
  <c r="B2114" i="1"/>
  <c r="C2114" i="1" s="1"/>
  <c r="R2113" i="1"/>
  <c r="N2113" i="1"/>
  <c r="D2113" i="1"/>
  <c r="B2113" i="1"/>
  <c r="C2113" i="1" s="1"/>
  <c r="R2112" i="1"/>
  <c r="N2112" i="1"/>
  <c r="D2112" i="1"/>
  <c r="B2112" i="1"/>
  <c r="C2112" i="1" s="1"/>
  <c r="R2111" i="1"/>
  <c r="N2111" i="1"/>
  <c r="D2111" i="1"/>
  <c r="C2111" i="1"/>
  <c r="B2111" i="1"/>
  <c r="R2110" i="1"/>
  <c r="N2110" i="1"/>
  <c r="D2110" i="1"/>
  <c r="B2110" i="1"/>
  <c r="C2110" i="1" s="1"/>
  <c r="R2109" i="1"/>
  <c r="N2109" i="1"/>
  <c r="D2109" i="1"/>
  <c r="C2109" i="1"/>
  <c r="B2109" i="1"/>
  <c r="R2108" i="1"/>
  <c r="N2108" i="1"/>
  <c r="D2108" i="1"/>
  <c r="B2108" i="1"/>
  <c r="C2108" i="1" s="1"/>
  <c r="R2107" i="1"/>
  <c r="N2107" i="1"/>
  <c r="D2107" i="1"/>
  <c r="B2107" i="1"/>
  <c r="C2107" i="1" s="1"/>
  <c r="R2106" i="1"/>
  <c r="N2106" i="1"/>
  <c r="D2106" i="1"/>
  <c r="B2106" i="1"/>
  <c r="C2106" i="1" s="1"/>
  <c r="R2105" i="1"/>
  <c r="N2105" i="1"/>
  <c r="D2105" i="1"/>
  <c r="B2105" i="1"/>
  <c r="C2105" i="1" s="1"/>
  <c r="R2104" i="1"/>
  <c r="N2104" i="1"/>
  <c r="D2104" i="1"/>
  <c r="B2104" i="1"/>
  <c r="C2104" i="1" s="1"/>
  <c r="R2103" i="1"/>
  <c r="N2103" i="1"/>
  <c r="D2103" i="1"/>
  <c r="C2103" i="1"/>
  <c r="B2103" i="1"/>
  <c r="R2102" i="1"/>
  <c r="N2102" i="1"/>
  <c r="D2102" i="1"/>
  <c r="B2102" i="1"/>
  <c r="C2102" i="1" s="1"/>
  <c r="R2101" i="1"/>
  <c r="N2101" i="1"/>
  <c r="D2101" i="1"/>
  <c r="C2101" i="1"/>
  <c r="B2101" i="1"/>
  <c r="R2100" i="1"/>
  <c r="N2100" i="1"/>
  <c r="D2100" i="1"/>
  <c r="B2100" i="1"/>
  <c r="C2100" i="1" s="1"/>
  <c r="R2099" i="1"/>
  <c r="N2099" i="1"/>
  <c r="D2099" i="1"/>
  <c r="B2099" i="1"/>
  <c r="C2099" i="1" s="1"/>
  <c r="R2098" i="1"/>
  <c r="N2098" i="1"/>
  <c r="D2098" i="1"/>
  <c r="B2098" i="1"/>
  <c r="C2098" i="1" s="1"/>
  <c r="R2097" i="1"/>
  <c r="N2097" i="1"/>
  <c r="D2097" i="1"/>
  <c r="B2097" i="1"/>
  <c r="C2097" i="1" s="1"/>
  <c r="R2096" i="1"/>
  <c r="N2096" i="1"/>
  <c r="D2096" i="1"/>
  <c r="B2096" i="1"/>
  <c r="C2096" i="1" s="1"/>
  <c r="R2095" i="1"/>
  <c r="N2095" i="1"/>
  <c r="D2095" i="1"/>
  <c r="C2095" i="1"/>
  <c r="B2095" i="1"/>
  <c r="R2094" i="1"/>
  <c r="N2094" i="1"/>
  <c r="D2094" i="1"/>
  <c r="B2094" i="1"/>
  <c r="C2094" i="1" s="1"/>
  <c r="R2093" i="1"/>
  <c r="N2093" i="1"/>
  <c r="D2093" i="1"/>
  <c r="C2093" i="1"/>
  <c r="B2093" i="1"/>
  <c r="R2092" i="1"/>
  <c r="N2092" i="1"/>
  <c r="D2092" i="1"/>
  <c r="B2092" i="1"/>
  <c r="C2092" i="1" s="1"/>
  <c r="R2091" i="1"/>
  <c r="N2091" i="1"/>
  <c r="D2091" i="1"/>
  <c r="B2091" i="1"/>
  <c r="C2091" i="1" s="1"/>
  <c r="R2090" i="1"/>
  <c r="N2090" i="1"/>
  <c r="D2090" i="1"/>
  <c r="B2090" i="1"/>
  <c r="C2090" i="1" s="1"/>
  <c r="R2089" i="1"/>
  <c r="N2089" i="1"/>
  <c r="D2089" i="1"/>
  <c r="B2089" i="1"/>
  <c r="C2089" i="1" s="1"/>
  <c r="R2088" i="1"/>
  <c r="N2088" i="1"/>
  <c r="D2088" i="1"/>
  <c r="B2088" i="1"/>
  <c r="C2088" i="1" s="1"/>
  <c r="R2087" i="1"/>
  <c r="N2087" i="1"/>
  <c r="D2087" i="1"/>
  <c r="B2087" i="1"/>
  <c r="C2087" i="1" s="1"/>
  <c r="R2086" i="1"/>
  <c r="N2086" i="1"/>
  <c r="D2086" i="1"/>
  <c r="B2086" i="1"/>
  <c r="C2086" i="1" s="1"/>
  <c r="R2085" i="1"/>
  <c r="N2085" i="1"/>
  <c r="D2085" i="1"/>
  <c r="C2085" i="1"/>
  <c r="B2085" i="1"/>
  <c r="R2084" i="1"/>
  <c r="N2084" i="1"/>
  <c r="D2084" i="1"/>
  <c r="C2084" i="1"/>
  <c r="B2084" i="1"/>
  <c r="R2083" i="1"/>
  <c r="N2083" i="1"/>
  <c r="D2083" i="1"/>
  <c r="B2083" i="1"/>
  <c r="C2083" i="1" s="1"/>
  <c r="R2082" i="1"/>
  <c r="N2082" i="1"/>
  <c r="D2082" i="1"/>
  <c r="B2082" i="1"/>
  <c r="C2082" i="1" s="1"/>
  <c r="R2081" i="1"/>
  <c r="N2081" i="1"/>
  <c r="D2081" i="1"/>
  <c r="B2081" i="1"/>
  <c r="C2081" i="1" s="1"/>
  <c r="R2080" i="1"/>
  <c r="N2080" i="1"/>
  <c r="D2080" i="1"/>
  <c r="B2080" i="1"/>
  <c r="C2080" i="1" s="1"/>
  <c r="R2079" i="1"/>
  <c r="N2079" i="1"/>
  <c r="D2079" i="1"/>
  <c r="B2079" i="1"/>
  <c r="C2079" i="1" s="1"/>
  <c r="R2078" i="1"/>
  <c r="N2078" i="1"/>
  <c r="D2078" i="1"/>
  <c r="B2078" i="1"/>
  <c r="C2078" i="1" s="1"/>
  <c r="R2077" i="1"/>
  <c r="N2077" i="1"/>
  <c r="D2077" i="1"/>
  <c r="B2077" i="1"/>
  <c r="C2077" i="1" s="1"/>
  <c r="R2076" i="1"/>
  <c r="N2076" i="1"/>
  <c r="D2076" i="1"/>
  <c r="B2076" i="1"/>
  <c r="C2076" i="1" s="1"/>
  <c r="R2075" i="1"/>
  <c r="N2075" i="1"/>
  <c r="D2075" i="1"/>
  <c r="C2075" i="1"/>
  <c r="B2075" i="1"/>
  <c r="R2074" i="1"/>
  <c r="N2074" i="1"/>
  <c r="D2074" i="1"/>
  <c r="B2074" i="1"/>
  <c r="C2074" i="1" s="1"/>
  <c r="R2073" i="1"/>
  <c r="N2073" i="1"/>
  <c r="D2073" i="1"/>
  <c r="B2073" i="1"/>
  <c r="C2073" i="1" s="1"/>
  <c r="R2072" i="1"/>
  <c r="N2072" i="1"/>
  <c r="D2072" i="1"/>
  <c r="B2072" i="1"/>
  <c r="C2072" i="1" s="1"/>
  <c r="R2071" i="1"/>
  <c r="N2071" i="1"/>
  <c r="D2071" i="1"/>
  <c r="B2071" i="1"/>
  <c r="C2071" i="1" s="1"/>
  <c r="R2070" i="1"/>
  <c r="N2070" i="1"/>
  <c r="D2070" i="1"/>
  <c r="B2070" i="1"/>
  <c r="C2070" i="1" s="1"/>
  <c r="R2069" i="1"/>
  <c r="N2069" i="1"/>
  <c r="D2069" i="1"/>
  <c r="B2069" i="1"/>
  <c r="C2069" i="1" s="1"/>
  <c r="R2068" i="1"/>
  <c r="N2068" i="1"/>
  <c r="D2068" i="1"/>
  <c r="B2068" i="1"/>
  <c r="C2068" i="1" s="1"/>
  <c r="R2067" i="1"/>
  <c r="N2067" i="1"/>
  <c r="D2067" i="1"/>
  <c r="C2067" i="1"/>
  <c r="B2067" i="1"/>
  <c r="R2066" i="1"/>
  <c r="N2066" i="1"/>
  <c r="D2066" i="1"/>
  <c r="B2066" i="1"/>
  <c r="C2066" i="1" s="1"/>
  <c r="R2065" i="1"/>
  <c r="N2065" i="1"/>
  <c r="D2065" i="1"/>
  <c r="B2065" i="1"/>
  <c r="C2065" i="1" s="1"/>
  <c r="R2064" i="1"/>
  <c r="N2064" i="1"/>
  <c r="D2064" i="1"/>
  <c r="B2064" i="1"/>
  <c r="C2064" i="1" s="1"/>
  <c r="R2063" i="1"/>
  <c r="N2063" i="1"/>
  <c r="D2063" i="1"/>
  <c r="C2063" i="1"/>
  <c r="B2063" i="1"/>
  <c r="R2062" i="1"/>
  <c r="N2062" i="1"/>
  <c r="D2062" i="1"/>
  <c r="B2062" i="1"/>
  <c r="C2062" i="1" s="1"/>
  <c r="R2061" i="1"/>
  <c r="N2061" i="1"/>
  <c r="D2061" i="1"/>
  <c r="B2061" i="1"/>
  <c r="C2061" i="1" s="1"/>
  <c r="R2060" i="1"/>
  <c r="N2060" i="1"/>
  <c r="D2060" i="1"/>
  <c r="B2060" i="1"/>
  <c r="C2060" i="1" s="1"/>
  <c r="R2059" i="1"/>
  <c r="N2059" i="1"/>
  <c r="D2059" i="1"/>
  <c r="B2059" i="1"/>
  <c r="C2059" i="1" s="1"/>
  <c r="R2058" i="1"/>
  <c r="N2058" i="1"/>
  <c r="D2058" i="1"/>
  <c r="B2058" i="1"/>
  <c r="C2058" i="1" s="1"/>
  <c r="R2057" i="1"/>
  <c r="N2057" i="1"/>
  <c r="D2057" i="1"/>
  <c r="B2057" i="1"/>
  <c r="C2057" i="1" s="1"/>
  <c r="R2056" i="1"/>
  <c r="N2056" i="1"/>
  <c r="D2056" i="1"/>
  <c r="B2056" i="1"/>
  <c r="C2056" i="1" s="1"/>
  <c r="R2055" i="1"/>
  <c r="N2055" i="1"/>
  <c r="D2055" i="1"/>
  <c r="C2055" i="1"/>
  <c r="B2055" i="1"/>
  <c r="R2054" i="1"/>
  <c r="N2054" i="1"/>
  <c r="D2054" i="1"/>
  <c r="B2054" i="1"/>
  <c r="C2054" i="1" s="1"/>
  <c r="R2053" i="1"/>
  <c r="N2053" i="1"/>
  <c r="D2053" i="1"/>
  <c r="B2053" i="1"/>
  <c r="C2053" i="1" s="1"/>
  <c r="R2052" i="1"/>
  <c r="N2052" i="1"/>
  <c r="D2052" i="1"/>
  <c r="B2052" i="1"/>
  <c r="C2052" i="1" s="1"/>
  <c r="R2051" i="1"/>
  <c r="N2051" i="1"/>
  <c r="D2051" i="1"/>
  <c r="C2051" i="1"/>
  <c r="B2051" i="1"/>
  <c r="R2050" i="1"/>
  <c r="N2050" i="1"/>
  <c r="D2050" i="1"/>
  <c r="B2050" i="1"/>
  <c r="C2050" i="1" s="1"/>
  <c r="R2049" i="1"/>
  <c r="N2049" i="1"/>
  <c r="D2049" i="1"/>
  <c r="B2049" i="1"/>
  <c r="C2049" i="1" s="1"/>
  <c r="R2048" i="1"/>
  <c r="N2048" i="1"/>
  <c r="D2048" i="1"/>
  <c r="B2048" i="1"/>
  <c r="C2048" i="1" s="1"/>
  <c r="R2047" i="1"/>
  <c r="N2047" i="1"/>
  <c r="D2047" i="1"/>
  <c r="B2047" i="1"/>
  <c r="C2047" i="1" s="1"/>
  <c r="R2046" i="1"/>
  <c r="N2046" i="1"/>
  <c r="D2046" i="1"/>
  <c r="B2046" i="1"/>
  <c r="C2046" i="1" s="1"/>
  <c r="R2045" i="1"/>
  <c r="N2045" i="1"/>
  <c r="D2045" i="1"/>
  <c r="B2045" i="1"/>
  <c r="C2045" i="1" s="1"/>
  <c r="R2044" i="1"/>
  <c r="N2044" i="1"/>
  <c r="D2044" i="1"/>
  <c r="B2044" i="1"/>
  <c r="C2044" i="1" s="1"/>
  <c r="R2043" i="1"/>
  <c r="N2043" i="1"/>
  <c r="D2043" i="1"/>
  <c r="C2043" i="1"/>
  <c r="B2043" i="1"/>
  <c r="R2042" i="1"/>
  <c r="N2042" i="1"/>
  <c r="D2042" i="1"/>
  <c r="B2042" i="1"/>
  <c r="C2042" i="1" s="1"/>
  <c r="R2041" i="1"/>
  <c r="N2041" i="1"/>
  <c r="D2041" i="1"/>
  <c r="B2041" i="1"/>
  <c r="C2041" i="1" s="1"/>
  <c r="R2040" i="1"/>
  <c r="N2040" i="1"/>
  <c r="D2040" i="1"/>
  <c r="B2040" i="1"/>
  <c r="C2040" i="1" s="1"/>
  <c r="R2039" i="1"/>
  <c r="N2039" i="1"/>
  <c r="D2039" i="1"/>
  <c r="C2039" i="1"/>
  <c r="B2039" i="1"/>
  <c r="R2038" i="1"/>
  <c r="N2038" i="1"/>
  <c r="D2038" i="1"/>
  <c r="B2038" i="1"/>
  <c r="C2038" i="1" s="1"/>
  <c r="R2037" i="1"/>
  <c r="N2037" i="1"/>
  <c r="D2037" i="1"/>
  <c r="B2037" i="1"/>
  <c r="C2037" i="1" s="1"/>
  <c r="R2036" i="1"/>
  <c r="N2036" i="1"/>
  <c r="D2036" i="1"/>
  <c r="B2036" i="1"/>
  <c r="C2036" i="1" s="1"/>
  <c r="R2035" i="1"/>
  <c r="N2035" i="1"/>
  <c r="D2035" i="1"/>
  <c r="C2035" i="1"/>
  <c r="B2035" i="1"/>
  <c r="R2034" i="1"/>
  <c r="N2034" i="1"/>
  <c r="D2034" i="1"/>
  <c r="B2034" i="1"/>
  <c r="C2034" i="1" s="1"/>
  <c r="R2033" i="1"/>
  <c r="N2033" i="1"/>
  <c r="D2033" i="1"/>
  <c r="B2033" i="1"/>
  <c r="C2033" i="1" s="1"/>
  <c r="R2032" i="1"/>
  <c r="N2032" i="1"/>
  <c r="D2032" i="1"/>
  <c r="B2032" i="1"/>
  <c r="C2032" i="1" s="1"/>
  <c r="R2031" i="1"/>
  <c r="N2031" i="1"/>
  <c r="D2031" i="1"/>
  <c r="B2031" i="1"/>
  <c r="C2031" i="1" s="1"/>
  <c r="R2030" i="1"/>
  <c r="N2030" i="1"/>
  <c r="D2030" i="1"/>
  <c r="B2030" i="1"/>
  <c r="C2030" i="1" s="1"/>
  <c r="R2029" i="1"/>
  <c r="N2029" i="1"/>
  <c r="D2029" i="1"/>
  <c r="B2029" i="1"/>
  <c r="C2029" i="1" s="1"/>
  <c r="R2028" i="1"/>
  <c r="N2028" i="1"/>
  <c r="D2028" i="1"/>
  <c r="B2028" i="1"/>
  <c r="C2028" i="1" s="1"/>
  <c r="R2027" i="1"/>
  <c r="N2027" i="1"/>
  <c r="D2027" i="1"/>
  <c r="C2027" i="1"/>
  <c r="B2027" i="1"/>
  <c r="R2026" i="1"/>
  <c r="N2026" i="1"/>
  <c r="D2026" i="1"/>
  <c r="B2026" i="1"/>
  <c r="C2026" i="1" s="1"/>
  <c r="R2025" i="1"/>
  <c r="N2025" i="1"/>
  <c r="D2025" i="1"/>
  <c r="B2025" i="1"/>
  <c r="C2025" i="1" s="1"/>
  <c r="R2024" i="1"/>
  <c r="N2024" i="1"/>
  <c r="D2024" i="1"/>
  <c r="B2024" i="1"/>
  <c r="C2024" i="1" s="1"/>
  <c r="R2023" i="1"/>
  <c r="N2023" i="1"/>
  <c r="D2023" i="1"/>
  <c r="C2023" i="1"/>
  <c r="B2023" i="1"/>
  <c r="R2022" i="1"/>
  <c r="N2022" i="1"/>
  <c r="D2022" i="1"/>
  <c r="B2022" i="1"/>
  <c r="C2022" i="1" s="1"/>
  <c r="R2021" i="1"/>
  <c r="N2021" i="1"/>
  <c r="D2021" i="1"/>
  <c r="B2021" i="1"/>
  <c r="C2021" i="1" s="1"/>
  <c r="R2020" i="1"/>
  <c r="N2020" i="1"/>
  <c r="D2020" i="1"/>
  <c r="B2020" i="1"/>
  <c r="C2020" i="1" s="1"/>
  <c r="R2019" i="1"/>
  <c r="N2019" i="1"/>
  <c r="D2019" i="1"/>
  <c r="C2019" i="1"/>
  <c r="B2019" i="1"/>
  <c r="R2018" i="1"/>
  <c r="N2018" i="1"/>
  <c r="D2018" i="1"/>
  <c r="B2018" i="1"/>
  <c r="C2018" i="1" s="1"/>
  <c r="R2017" i="1"/>
  <c r="N2017" i="1"/>
  <c r="D2017" i="1"/>
  <c r="B2017" i="1"/>
  <c r="C2017" i="1" s="1"/>
  <c r="R2016" i="1"/>
  <c r="N2016" i="1"/>
  <c r="D2016" i="1"/>
  <c r="B2016" i="1"/>
  <c r="C2016" i="1" s="1"/>
  <c r="R2015" i="1"/>
  <c r="N2015" i="1"/>
  <c r="D2015" i="1"/>
  <c r="B2015" i="1"/>
  <c r="C2015" i="1" s="1"/>
  <c r="R2014" i="1"/>
  <c r="N2014" i="1"/>
  <c r="D2014" i="1"/>
  <c r="C2014" i="1"/>
  <c r="B2014" i="1"/>
  <c r="R2013" i="1"/>
  <c r="N2013" i="1"/>
  <c r="D2013" i="1"/>
  <c r="B2013" i="1"/>
  <c r="C2013" i="1" s="1"/>
  <c r="R2012" i="1"/>
  <c r="N2012" i="1"/>
  <c r="D2012" i="1"/>
  <c r="B2012" i="1"/>
  <c r="C2012" i="1" s="1"/>
  <c r="R2011" i="1"/>
  <c r="N2011" i="1"/>
  <c r="D2011" i="1"/>
  <c r="B2011" i="1"/>
  <c r="C2011" i="1" s="1"/>
  <c r="R2010" i="1"/>
  <c r="N2010" i="1"/>
  <c r="D2010" i="1"/>
  <c r="C2010" i="1"/>
  <c r="B2010" i="1"/>
  <c r="R2009" i="1"/>
  <c r="N2009" i="1"/>
  <c r="D2009" i="1"/>
  <c r="B2009" i="1"/>
  <c r="C2009" i="1" s="1"/>
  <c r="R2008" i="1"/>
  <c r="N2008" i="1"/>
  <c r="D2008" i="1"/>
  <c r="B2008" i="1"/>
  <c r="C2008" i="1" s="1"/>
  <c r="R2007" i="1"/>
  <c r="N2007" i="1"/>
  <c r="D2007" i="1"/>
  <c r="B2007" i="1"/>
  <c r="C2007" i="1" s="1"/>
  <c r="R2006" i="1"/>
  <c r="N2006" i="1"/>
  <c r="D2006" i="1"/>
  <c r="C2006" i="1"/>
  <c r="B2006" i="1"/>
  <c r="R2005" i="1"/>
  <c r="N2005" i="1"/>
  <c r="D2005" i="1"/>
  <c r="B2005" i="1"/>
  <c r="C2005" i="1" s="1"/>
  <c r="R2004" i="1"/>
  <c r="N2004" i="1"/>
  <c r="D2004" i="1"/>
  <c r="B2004" i="1"/>
  <c r="C2004" i="1" s="1"/>
  <c r="R2003" i="1"/>
  <c r="N2003" i="1"/>
  <c r="D2003" i="1"/>
  <c r="B2003" i="1"/>
  <c r="C2003" i="1" s="1"/>
  <c r="R2002" i="1"/>
  <c r="N2002" i="1"/>
  <c r="D2002" i="1"/>
  <c r="B2002" i="1"/>
  <c r="C2002" i="1" s="1"/>
  <c r="R2001" i="1"/>
  <c r="N2001" i="1"/>
  <c r="D2001" i="1"/>
  <c r="B2001" i="1"/>
  <c r="C2001" i="1" s="1"/>
  <c r="R2000" i="1"/>
  <c r="N2000" i="1"/>
  <c r="D2000" i="1"/>
  <c r="B2000" i="1"/>
  <c r="C2000" i="1" s="1"/>
  <c r="R1999" i="1"/>
  <c r="N1999" i="1"/>
  <c r="D1999" i="1"/>
  <c r="C1999" i="1"/>
  <c r="B1999" i="1"/>
  <c r="R1998" i="1"/>
  <c r="N1998" i="1"/>
  <c r="D1998" i="1"/>
  <c r="B1998" i="1"/>
  <c r="C1998" i="1" s="1"/>
  <c r="R1997" i="1"/>
  <c r="N1997" i="1"/>
  <c r="D1997" i="1"/>
  <c r="B1997" i="1"/>
  <c r="C1997" i="1" s="1"/>
  <c r="R1996" i="1"/>
  <c r="N1996" i="1"/>
  <c r="D1996" i="1"/>
  <c r="B1996" i="1"/>
  <c r="C1996" i="1" s="1"/>
  <c r="R1995" i="1"/>
  <c r="N1995" i="1"/>
  <c r="D1995" i="1"/>
  <c r="B1995" i="1"/>
  <c r="C1995" i="1" s="1"/>
  <c r="R1994" i="1"/>
  <c r="N1994" i="1"/>
  <c r="D1994" i="1"/>
  <c r="C1994" i="1"/>
  <c r="B1994" i="1"/>
  <c r="R1993" i="1"/>
  <c r="N1993" i="1"/>
  <c r="D1993" i="1"/>
  <c r="B1993" i="1"/>
  <c r="C1993" i="1" s="1"/>
  <c r="R1992" i="1"/>
  <c r="N1992" i="1"/>
  <c r="D1992" i="1"/>
  <c r="B1992" i="1"/>
  <c r="C1992" i="1" s="1"/>
  <c r="R1991" i="1"/>
  <c r="N1991" i="1"/>
  <c r="D1991" i="1"/>
  <c r="B1991" i="1"/>
  <c r="C1991" i="1" s="1"/>
  <c r="R1990" i="1"/>
  <c r="N1990" i="1"/>
  <c r="D1990" i="1"/>
  <c r="C1990" i="1"/>
  <c r="B1990" i="1"/>
  <c r="R1989" i="1"/>
  <c r="N1989" i="1"/>
  <c r="D1989" i="1"/>
  <c r="B1989" i="1"/>
  <c r="C1989" i="1" s="1"/>
  <c r="R1988" i="1"/>
  <c r="N1988" i="1"/>
  <c r="D1988" i="1"/>
  <c r="B1988" i="1"/>
  <c r="C1988" i="1" s="1"/>
  <c r="R1987" i="1"/>
  <c r="N1987" i="1"/>
  <c r="D1987" i="1"/>
  <c r="B1987" i="1"/>
  <c r="C1987" i="1" s="1"/>
  <c r="R1986" i="1"/>
  <c r="N1986" i="1"/>
  <c r="D1986" i="1"/>
  <c r="B1986" i="1"/>
  <c r="C1986" i="1" s="1"/>
  <c r="R1985" i="1"/>
  <c r="N1985" i="1"/>
  <c r="D1985" i="1"/>
  <c r="B1985" i="1"/>
  <c r="C1985" i="1" s="1"/>
  <c r="R1984" i="1"/>
  <c r="N1984" i="1"/>
  <c r="D1984" i="1"/>
  <c r="B1984" i="1"/>
  <c r="C1984" i="1" s="1"/>
  <c r="R1983" i="1"/>
  <c r="N1983" i="1"/>
  <c r="D1983" i="1"/>
  <c r="C1983" i="1"/>
  <c r="B1983" i="1"/>
  <c r="R1982" i="1"/>
  <c r="N1982" i="1"/>
  <c r="D1982" i="1"/>
  <c r="B1982" i="1"/>
  <c r="C1982" i="1" s="1"/>
  <c r="R1981" i="1"/>
  <c r="N1981" i="1"/>
  <c r="D1981" i="1"/>
  <c r="B1981" i="1"/>
  <c r="C1981" i="1" s="1"/>
  <c r="R1980" i="1"/>
  <c r="N1980" i="1"/>
  <c r="D1980" i="1"/>
  <c r="B1980" i="1"/>
  <c r="C1980" i="1" s="1"/>
  <c r="R1979" i="1"/>
  <c r="N1979" i="1"/>
  <c r="D1979" i="1"/>
  <c r="C1979" i="1"/>
  <c r="B1979" i="1"/>
  <c r="R1978" i="1"/>
  <c r="N1978" i="1"/>
  <c r="D1978" i="1"/>
  <c r="B1978" i="1"/>
  <c r="C1978" i="1" s="1"/>
  <c r="R1977" i="1"/>
  <c r="N1977" i="1"/>
  <c r="D1977" i="1"/>
  <c r="B1977" i="1"/>
  <c r="C1977" i="1" s="1"/>
  <c r="R1976" i="1"/>
  <c r="N1976" i="1"/>
  <c r="D1976" i="1"/>
  <c r="B1976" i="1"/>
  <c r="C1976" i="1" s="1"/>
  <c r="R1975" i="1"/>
  <c r="N1975" i="1"/>
  <c r="D1975" i="1"/>
  <c r="B1975" i="1"/>
  <c r="C1975" i="1" s="1"/>
  <c r="R1974" i="1"/>
  <c r="N1974" i="1"/>
  <c r="D1974" i="1"/>
  <c r="C1974" i="1"/>
  <c r="B1974" i="1"/>
  <c r="R1973" i="1"/>
  <c r="N1973" i="1"/>
  <c r="D1973" i="1"/>
  <c r="B1973" i="1"/>
  <c r="C1973" i="1" s="1"/>
  <c r="R1972" i="1"/>
  <c r="N1972" i="1"/>
  <c r="D1972" i="1"/>
  <c r="B1972" i="1"/>
  <c r="C1972" i="1" s="1"/>
  <c r="R1971" i="1"/>
  <c r="N1971" i="1"/>
  <c r="D1971" i="1"/>
  <c r="C1971" i="1"/>
  <c r="B1971" i="1"/>
  <c r="R1970" i="1"/>
  <c r="N1970" i="1"/>
  <c r="D1970" i="1"/>
  <c r="B1970" i="1"/>
  <c r="C1970" i="1" s="1"/>
  <c r="R1969" i="1"/>
  <c r="N1969" i="1"/>
  <c r="D1969" i="1"/>
  <c r="B1969" i="1"/>
  <c r="C1969" i="1" s="1"/>
  <c r="R1968" i="1"/>
  <c r="N1968" i="1"/>
  <c r="D1968" i="1"/>
  <c r="B1968" i="1"/>
  <c r="C1968" i="1" s="1"/>
  <c r="R1967" i="1"/>
  <c r="N1967" i="1"/>
  <c r="D1967" i="1"/>
  <c r="B1967" i="1"/>
  <c r="C1967" i="1" s="1"/>
  <c r="R1966" i="1"/>
  <c r="N1966" i="1"/>
  <c r="D1966" i="1"/>
  <c r="B1966" i="1"/>
  <c r="C1966" i="1" s="1"/>
  <c r="R1965" i="1"/>
  <c r="N1965" i="1"/>
  <c r="D1965" i="1"/>
  <c r="B1965" i="1"/>
  <c r="C1965" i="1" s="1"/>
  <c r="R1964" i="1"/>
  <c r="N1964" i="1"/>
  <c r="D1964" i="1"/>
  <c r="B1964" i="1"/>
  <c r="C1964" i="1" s="1"/>
  <c r="R1963" i="1"/>
  <c r="N1963" i="1"/>
  <c r="D1963" i="1"/>
  <c r="B1963" i="1"/>
  <c r="C1963" i="1" s="1"/>
  <c r="R1962" i="1"/>
  <c r="N1962" i="1"/>
  <c r="D1962" i="1"/>
  <c r="C1962" i="1"/>
  <c r="B1962" i="1"/>
  <c r="R1961" i="1"/>
  <c r="N1961" i="1"/>
  <c r="D1961" i="1"/>
  <c r="B1961" i="1"/>
  <c r="C1961" i="1" s="1"/>
  <c r="R1960" i="1"/>
  <c r="N1960" i="1"/>
  <c r="D1960" i="1"/>
  <c r="B1960" i="1"/>
  <c r="C1960" i="1" s="1"/>
  <c r="R1959" i="1"/>
  <c r="N1959" i="1"/>
  <c r="D1959" i="1"/>
  <c r="C1959" i="1"/>
  <c r="B1959" i="1"/>
  <c r="R1958" i="1"/>
  <c r="N1958" i="1"/>
  <c r="D1958" i="1"/>
  <c r="B1958" i="1"/>
  <c r="C1958" i="1" s="1"/>
  <c r="R1957" i="1"/>
  <c r="N1957" i="1"/>
  <c r="D1957" i="1"/>
  <c r="B1957" i="1"/>
  <c r="C1957" i="1" s="1"/>
  <c r="R1956" i="1"/>
  <c r="N1956" i="1"/>
  <c r="D1956" i="1"/>
  <c r="B1956" i="1"/>
  <c r="C1956" i="1" s="1"/>
  <c r="R1955" i="1"/>
  <c r="N1955" i="1"/>
  <c r="D1955" i="1"/>
  <c r="B1955" i="1"/>
  <c r="C1955" i="1" s="1"/>
  <c r="R1954" i="1"/>
  <c r="N1954" i="1"/>
  <c r="D1954" i="1"/>
  <c r="B1954" i="1"/>
  <c r="C1954" i="1" s="1"/>
  <c r="R1953" i="1"/>
  <c r="N1953" i="1"/>
  <c r="D1953" i="1"/>
  <c r="B1953" i="1"/>
  <c r="C1953" i="1" s="1"/>
  <c r="R1952" i="1"/>
  <c r="N1952" i="1"/>
  <c r="D1952" i="1"/>
  <c r="B1952" i="1"/>
  <c r="C1952" i="1" s="1"/>
  <c r="R1951" i="1"/>
  <c r="N1951" i="1"/>
  <c r="D1951" i="1"/>
  <c r="C1951" i="1"/>
  <c r="B1951" i="1"/>
  <c r="R1950" i="1"/>
  <c r="N1950" i="1"/>
  <c r="D1950" i="1"/>
  <c r="C1950" i="1"/>
  <c r="B1950" i="1"/>
  <c r="R1949" i="1"/>
  <c r="N1949" i="1"/>
  <c r="D1949" i="1"/>
  <c r="B1949" i="1"/>
  <c r="C1949" i="1" s="1"/>
  <c r="R1948" i="1"/>
  <c r="N1948" i="1"/>
  <c r="D1948" i="1"/>
  <c r="B1948" i="1"/>
  <c r="C1948" i="1" s="1"/>
  <c r="R1947" i="1"/>
  <c r="N1947" i="1"/>
  <c r="D1947" i="1"/>
  <c r="B1947" i="1"/>
  <c r="C1947" i="1" s="1"/>
  <c r="R1946" i="1"/>
  <c r="N1946" i="1"/>
  <c r="D1946" i="1"/>
  <c r="B1946" i="1"/>
  <c r="C1946" i="1" s="1"/>
  <c r="R1945" i="1"/>
  <c r="N1945" i="1"/>
  <c r="D1945" i="1"/>
  <c r="B1945" i="1"/>
  <c r="C1945" i="1" s="1"/>
  <c r="R1944" i="1"/>
  <c r="N1944" i="1"/>
  <c r="D1944" i="1"/>
  <c r="B1944" i="1"/>
  <c r="C1944" i="1" s="1"/>
  <c r="R1943" i="1"/>
  <c r="N1943" i="1"/>
  <c r="D1943" i="1"/>
  <c r="C1943" i="1"/>
  <c r="B1943" i="1"/>
  <c r="R1942" i="1"/>
  <c r="N1942" i="1"/>
  <c r="D1942" i="1"/>
  <c r="C1942" i="1"/>
  <c r="B1942" i="1"/>
  <c r="R1941" i="1"/>
  <c r="N1941" i="1"/>
  <c r="D1941" i="1"/>
  <c r="B1941" i="1"/>
  <c r="C1941" i="1" s="1"/>
  <c r="R1940" i="1"/>
  <c r="N1940" i="1"/>
  <c r="D1940" i="1"/>
  <c r="B1940" i="1"/>
  <c r="C1940" i="1" s="1"/>
  <c r="R1939" i="1"/>
  <c r="N1939" i="1"/>
  <c r="D1939" i="1"/>
  <c r="C1939" i="1"/>
  <c r="B1939" i="1"/>
  <c r="R1938" i="1"/>
  <c r="N1938" i="1"/>
  <c r="D1938" i="1"/>
  <c r="B1938" i="1"/>
  <c r="C1938" i="1" s="1"/>
  <c r="R1937" i="1"/>
  <c r="N1937" i="1"/>
  <c r="D1937" i="1"/>
  <c r="B1937" i="1"/>
  <c r="C1937" i="1" s="1"/>
  <c r="R1936" i="1"/>
  <c r="N1936" i="1"/>
  <c r="D1936" i="1"/>
  <c r="B1936" i="1"/>
  <c r="C1936" i="1" s="1"/>
  <c r="R1935" i="1"/>
  <c r="N1935" i="1"/>
  <c r="D1935" i="1"/>
  <c r="B1935" i="1"/>
  <c r="C1935" i="1" s="1"/>
  <c r="R1934" i="1"/>
  <c r="N1934" i="1"/>
  <c r="D1934" i="1"/>
  <c r="C1934" i="1"/>
  <c r="B1934" i="1"/>
  <c r="R1933" i="1"/>
  <c r="N1933" i="1"/>
  <c r="D1933" i="1"/>
  <c r="B1933" i="1"/>
  <c r="C1933" i="1" s="1"/>
  <c r="R1932" i="1"/>
  <c r="N1932" i="1"/>
  <c r="D1932" i="1"/>
  <c r="B1932" i="1"/>
  <c r="C1932" i="1" s="1"/>
  <c r="R1931" i="1"/>
  <c r="N1931" i="1"/>
  <c r="D1931" i="1"/>
  <c r="C1931" i="1"/>
  <c r="B1931" i="1"/>
  <c r="R1930" i="1"/>
  <c r="N1930" i="1"/>
  <c r="D1930" i="1"/>
  <c r="B1930" i="1"/>
  <c r="C1930" i="1" s="1"/>
  <c r="R1929" i="1"/>
  <c r="N1929" i="1"/>
  <c r="D1929" i="1"/>
  <c r="B1929" i="1"/>
  <c r="C1929" i="1" s="1"/>
  <c r="R1928" i="1"/>
  <c r="N1928" i="1"/>
  <c r="D1928" i="1"/>
  <c r="B1928" i="1"/>
  <c r="C1928" i="1" s="1"/>
  <c r="R1927" i="1"/>
  <c r="N1927" i="1"/>
  <c r="D1927" i="1"/>
  <c r="B1927" i="1"/>
  <c r="C1927" i="1" s="1"/>
  <c r="R1926" i="1"/>
  <c r="N1926" i="1"/>
  <c r="D1926" i="1"/>
  <c r="C1926" i="1"/>
  <c r="B1926" i="1"/>
  <c r="R1925" i="1"/>
  <c r="N1925" i="1"/>
  <c r="D1925" i="1"/>
  <c r="B1925" i="1"/>
  <c r="C1925" i="1" s="1"/>
  <c r="R1924" i="1"/>
  <c r="N1924" i="1"/>
  <c r="D1924" i="1"/>
  <c r="B1924" i="1"/>
  <c r="C1924" i="1" s="1"/>
  <c r="R1923" i="1"/>
  <c r="N1923" i="1"/>
  <c r="D1923" i="1"/>
  <c r="C1923" i="1"/>
  <c r="B1923" i="1"/>
  <c r="R1922" i="1"/>
  <c r="N1922" i="1"/>
  <c r="D1922" i="1"/>
  <c r="B1922" i="1"/>
  <c r="C1922" i="1" s="1"/>
  <c r="R1921" i="1"/>
  <c r="N1921" i="1"/>
  <c r="D1921" i="1"/>
  <c r="B1921" i="1"/>
  <c r="C1921" i="1" s="1"/>
  <c r="R1920" i="1"/>
  <c r="N1920" i="1"/>
  <c r="D1920" i="1"/>
  <c r="B1920" i="1"/>
  <c r="C1920" i="1" s="1"/>
  <c r="R1919" i="1"/>
  <c r="N1919" i="1"/>
  <c r="D1919" i="1"/>
  <c r="B1919" i="1"/>
  <c r="C1919" i="1" s="1"/>
  <c r="R1918" i="1"/>
  <c r="N1918" i="1"/>
  <c r="D1918" i="1"/>
  <c r="B1918" i="1"/>
  <c r="C1918" i="1" s="1"/>
  <c r="R1917" i="1"/>
  <c r="N1917" i="1"/>
  <c r="D1917" i="1"/>
  <c r="B1917" i="1"/>
  <c r="C1917" i="1" s="1"/>
  <c r="R1916" i="1"/>
  <c r="N1916" i="1"/>
  <c r="D1916" i="1"/>
  <c r="B1916" i="1"/>
  <c r="C1916" i="1" s="1"/>
  <c r="R1915" i="1"/>
  <c r="N1915" i="1"/>
  <c r="D1915" i="1"/>
  <c r="B1915" i="1"/>
  <c r="C1915" i="1" s="1"/>
  <c r="R1914" i="1"/>
  <c r="N1914" i="1"/>
  <c r="D1914" i="1"/>
  <c r="C1914" i="1"/>
  <c r="B1914" i="1"/>
  <c r="R1913" i="1"/>
  <c r="N1913" i="1"/>
  <c r="D1913" i="1"/>
  <c r="B1913" i="1"/>
  <c r="C1913" i="1" s="1"/>
  <c r="R1912" i="1"/>
  <c r="N1912" i="1"/>
  <c r="D1912" i="1"/>
  <c r="B1912" i="1"/>
  <c r="C1912" i="1" s="1"/>
  <c r="R1911" i="1"/>
  <c r="N1911" i="1"/>
  <c r="D1911" i="1"/>
  <c r="C1911" i="1"/>
  <c r="B1911" i="1"/>
  <c r="R1910" i="1"/>
  <c r="N1910" i="1"/>
  <c r="D1910" i="1"/>
  <c r="B1910" i="1"/>
  <c r="C1910" i="1" s="1"/>
  <c r="R1909" i="1"/>
  <c r="N1909" i="1"/>
  <c r="D1909" i="1"/>
  <c r="B1909" i="1"/>
  <c r="C1909" i="1" s="1"/>
  <c r="R1908" i="1"/>
  <c r="N1908" i="1"/>
  <c r="D1908" i="1"/>
  <c r="B1908" i="1"/>
  <c r="C1908" i="1" s="1"/>
  <c r="R1907" i="1"/>
  <c r="N1907" i="1"/>
  <c r="D1907" i="1"/>
  <c r="B1907" i="1"/>
  <c r="C1907" i="1" s="1"/>
  <c r="R1906" i="1"/>
  <c r="N1906" i="1"/>
  <c r="D1906" i="1"/>
  <c r="C1906" i="1"/>
  <c r="B1906" i="1"/>
  <c r="R1905" i="1"/>
  <c r="N1905" i="1"/>
  <c r="D1905" i="1"/>
  <c r="B1905" i="1"/>
  <c r="C1905" i="1" s="1"/>
  <c r="R1904" i="1"/>
  <c r="N1904" i="1"/>
  <c r="D1904" i="1"/>
  <c r="B1904" i="1"/>
  <c r="C1904" i="1" s="1"/>
  <c r="R1903" i="1"/>
  <c r="N1903" i="1"/>
  <c r="D1903" i="1"/>
  <c r="C1903" i="1"/>
  <c r="B1903" i="1"/>
  <c r="R1902" i="1"/>
  <c r="N1902" i="1"/>
  <c r="D1902" i="1"/>
  <c r="B1902" i="1"/>
  <c r="C1902" i="1" s="1"/>
  <c r="R1901" i="1"/>
  <c r="N1901" i="1"/>
  <c r="D1901" i="1"/>
  <c r="B1901" i="1"/>
  <c r="C1901" i="1" s="1"/>
  <c r="R1900" i="1"/>
  <c r="N1900" i="1"/>
  <c r="D1900" i="1"/>
  <c r="B1900" i="1"/>
  <c r="C1900" i="1" s="1"/>
  <c r="R1899" i="1"/>
  <c r="N1899" i="1"/>
  <c r="D1899" i="1"/>
  <c r="B1899" i="1"/>
  <c r="C1899" i="1" s="1"/>
  <c r="R1898" i="1"/>
  <c r="N1898" i="1"/>
  <c r="D1898" i="1"/>
  <c r="C1898" i="1"/>
  <c r="B1898" i="1"/>
  <c r="R1897" i="1"/>
  <c r="N1897" i="1"/>
  <c r="D1897" i="1"/>
  <c r="B1897" i="1"/>
  <c r="C1897" i="1" s="1"/>
  <c r="R1896" i="1"/>
  <c r="N1896" i="1"/>
  <c r="D1896" i="1"/>
  <c r="B1896" i="1"/>
  <c r="C1896" i="1" s="1"/>
  <c r="R1895" i="1"/>
  <c r="N1895" i="1"/>
  <c r="D1895" i="1"/>
  <c r="C1895" i="1"/>
  <c r="B1895" i="1"/>
  <c r="R1894" i="1"/>
  <c r="N1894" i="1"/>
  <c r="D1894" i="1"/>
  <c r="B1894" i="1"/>
  <c r="C1894" i="1" s="1"/>
  <c r="R1893" i="1"/>
  <c r="N1893" i="1"/>
  <c r="D1893" i="1"/>
  <c r="B1893" i="1"/>
  <c r="C1893" i="1" s="1"/>
  <c r="R1892" i="1"/>
  <c r="N1892" i="1"/>
  <c r="D1892" i="1"/>
  <c r="B1892" i="1"/>
  <c r="C1892" i="1" s="1"/>
  <c r="R1891" i="1"/>
  <c r="N1891" i="1"/>
  <c r="D1891" i="1"/>
  <c r="B1891" i="1"/>
  <c r="C1891" i="1" s="1"/>
  <c r="R1890" i="1"/>
  <c r="N1890" i="1"/>
  <c r="D1890" i="1"/>
  <c r="C1890" i="1"/>
  <c r="B1890" i="1"/>
  <c r="R1889" i="1"/>
  <c r="N1889" i="1"/>
  <c r="D1889" i="1"/>
  <c r="C1889" i="1"/>
  <c r="B1889" i="1"/>
  <c r="R1888" i="1"/>
  <c r="N1888" i="1"/>
  <c r="D1888" i="1"/>
  <c r="B1888" i="1"/>
  <c r="C1888" i="1" s="1"/>
  <c r="R1887" i="1"/>
  <c r="N1887" i="1"/>
  <c r="D1887" i="1"/>
  <c r="B1887" i="1"/>
  <c r="C1887" i="1" s="1"/>
  <c r="R1886" i="1"/>
  <c r="N1886" i="1"/>
  <c r="D1886" i="1"/>
  <c r="B1886" i="1"/>
  <c r="C1886" i="1" s="1"/>
  <c r="R1885" i="1"/>
  <c r="N1885" i="1"/>
  <c r="D1885" i="1"/>
  <c r="B1885" i="1"/>
  <c r="C1885" i="1" s="1"/>
  <c r="R1884" i="1"/>
  <c r="N1884" i="1"/>
  <c r="D1884" i="1"/>
  <c r="B1884" i="1"/>
  <c r="C1884" i="1" s="1"/>
  <c r="R1883" i="1"/>
  <c r="N1883" i="1"/>
  <c r="D1883" i="1"/>
  <c r="C1883" i="1"/>
  <c r="B1883" i="1"/>
  <c r="R1882" i="1"/>
  <c r="N1882" i="1"/>
  <c r="D1882" i="1"/>
  <c r="C1882" i="1"/>
  <c r="B1882" i="1"/>
  <c r="R1881" i="1"/>
  <c r="N1881" i="1"/>
  <c r="D1881" i="1"/>
  <c r="B1881" i="1"/>
  <c r="C1881" i="1" s="1"/>
  <c r="R1880" i="1"/>
  <c r="N1880" i="1"/>
  <c r="D1880" i="1"/>
  <c r="B1880" i="1"/>
  <c r="C1880" i="1" s="1"/>
  <c r="R1879" i="1"/>
  <c r="N1879" i="1"/>
  <c r="D1879" i="1"/>
  <c r="B1879" i="1"/>
  <c r="C1879" i="1" s="1"/>
  <c r="R1878" i="1"/>
  <c r="N1878" i="1"/>
  <c r="D1878" i="1"/>
  <c r="B1878" i="1"/>
  <c r="C1878" i="1" s="1"/>
  <c r="R1877" i="1"/>
  <c r="N1877" i="1"/>
  <c r="D1877" i="1"/>
  <c r="B1877" i="1"/>
  <c r="C1877" i="1" s="1"/>
  <c r="R1876" i="1"/>
  <c r="N1876" i="1"/>
  <c r="D1876" i="1"/>
  <c r="B1876" i="1"/>
  <c r="C1876" i="1" s="1"/>
  <c r="R1875" i="1"/>
  <c r="N1875" i="1"/>
  <c r="D1875" i="1"/>
  <c r="C1875" i="1"/>
  <c r="B1875" i="1"/>
  <c r="R1874" i="1"/>
  <c r="N1874" i="1"/>
  <c r="D1874" i="1"/>
  <c r="B1874" i="1"/>
  <c r="C1874" i="1" s="1"/>
  <c r="R1873" i="1"/>
  <c r="N1873" i="1"/>
  <c r="D1873" i="1"/>
  <c r="B1873" i="1"/>
  <c r="C1873" i="1" s="1"/>
  <c r="R1872" i="1"/>
  <c r="N1872" i="1"/>
  <c r="D1872" i="1"/>
  <c r="B1872" i="1"/>
  <c r="C1872" i="1" s="1"/>
  <c r="R1871" i="1"/>
  <c r="N1871" i="1"/>
  <c r="D1871" i="1"/>
  <c r="B1871" i="1"/>
  <c r="C1871" i="1" s="1"/>
  <c r="R1870" i="1"/>
  <c r="N1870" i="1"/>
  <c r="D1870" i="1"/>
  <c r="B1870" i="1"/>
  <c r="C1870" i="1" s="1"/>
  <c r="R1869" i="1"/>
  <c r="N1869" i="1"/>
  <c r="D1869" i="1"/>
  <c r="B1869" i="1"/>
  <c r="C1869" i="1" s="1"/>
  <c r="R1868" i="1"/>
  <c r="N1868" i="1"/>
  <c r="D1868" i="1"/>
  <c r="B1868" i="1"/>
  <c r="C1868" i="1" s="1"/>
  <c r="R1867" i="1"/>
  <c r="N1867" i="1"/>
  <c r="D1867" i="1"/>
  <c r="C1867" i="1"/>
  <c r="B1867" i="1"/>
  <c r="R1866" i="1"/>
  <c r="N1866" i="1"/>
  <c r="D1866" i="1"/>
  <c r="B1866" i="1"/>
  <c r="C1866" i="1" s="1"/>
  <c r="R1865" i="1"/>
  <c r="N1865" i="1"/>
  <c r="D1865" i="1"/>
  <c r="B1865" i="1"/>
  <c r="C1865" i="1" s="1"/>
  <c r="R1864" i="1"/>
  <c r="N1864" i="1"/>
  <c r="D1864" i="1"/>
  <c r="B1864" i="1"/>
  <c r="C1864" i="1" s="1"/>
  <c r="R1863" i="1"/>
  <c r="N1863" i="1"/>
  <c r="D1863" i="1"/>
  <c r="B1863" i="1"/>
  <c r="C1863" i="1" s="1"/>
  <c r="R1862" i="1"/>
  <c r="N1862" i="1"/>
  <c r="D1862" i="1"/>
  <c r="B1862" i="1"/>
  <c r="C1862" i="1" s="1"/>
  <c r="R1861" i="1"/>
  <c r="N1861" i="1"/>
  <c r="D1861" i="1"/>
  <c r="B1861" i="1"/>
  <c r="C1861" i="1" s="1"/>
  <c r="R1860" i="1"/>
  <c r="N1860" i="1"/>
  <c r="D1860" i="1"/>
  <c r="B1860" i="1"/>
  <c r="C1860" i="1" s="1"/>
  <c r="R1859" i="1"/>
  <c r="N1859" i="1"/>
  <c r="D1859" i="1"/>
  <c r="C1859" i="1"/>
  <c r="B1859" i="1"/>
  <c r="R1858" i="1"/>
  <c r="N1858" i="1"/>
  <c r="D1858" i="1"/>
  <c r="B1858" i="1"/>
  <c r="C1858" i="1" s="1"/>
  <c r="R1857" i="1"/>
  <c r="N1857" i="1"/>
  <c r="D1857" i="1"/>
  <c r="B1857" i="1"/>
  <c r="C1857" i="1" s="1"/>
  <c r="R1856" i="1"/>
  <c r="N1856" i="1"/>
  <c r="D1856" i="1"/>
  <c r="B1856" i="1"/>
  <c r="C1856" i="1" s="1"/>
  <c r="R1855" i="1"/>
  <c r="N1855" i="1"/>
  <c r="D1855" i="1"/>
  <c r="B1855" i="1"/>
  <c r="C1855" i="1" s="1"/>
  <c r="R1854" i="1"/>
  <c r="N1854" i="1"/>
  <c r="D1854" i="1"/>
  <c r="B1854" i="1"/>
  <c r="C1854" i="1" s="1"/>
  <c r="R1853" i="1"/>
  <c r="N1853" i="1"/>
  <c r="D1853" i="1"/>
  <c r="C1853" i="1"/>
  <c r="B1853" i="1"/>
  <c r="R1852" i="1"/>
  <c r="N1852" i="1"/>
  <c r="D1852" i="1"/>
  <c r="B1852" i="1"/>
  <c r="C1852" i="1" s="1"/>
  <c r="R1851" i="1"/>
  <c r="N1851" i="1"/>
  <c r="D1851" i="1"/>
  <c r="B1851" i="1"/>
  <c r="C1851" i="1" s="1"/>
  <c r="R1850" i="1"/>
  <c r="N1850" i="1"/>
  <c r="D1850" i="1"/>
  <c r="B1850" i="1"/>
  <c r="C1850" i="1" s="1"/>
  <c r="R1849" i="1"/>
  <c r="N1849" i="1"/>
  <c r="D1849" i="1"/>
  <c r="B1849" i="1"/>
  <c r="C1849" i="1" s="1"/>
  <c r="R1848" i="1"/>
  <c r="N1848" i="1"/>
  <c r="D1848" i="1"/>
  <c r="B1848" i="1"/>
  <c r="C1848" i="1" s="1"/>
  <c r="R1847" i="1"/>
  <c r="N1847" i="1"/>
  <c r="D1847" i="1"/>
  <c r="B1847" i="1"/>
  <c r="C1847" i="1" s="1"/>
  <c r="R1846" i="1"/>
  <c r="N1846" i="1"/>
  <c r="D1846" i="1"/>
  <c r="B1846" i="1"/>
  <c r="C1846" i="1" s="1"/>
  <c r="R1845" i="1"/>
  <c r="N1845" i="1"/>
  <c r="D1845" i="1"/>
  <c r="C1845" i="1"/>
  <c r="B1845" i="1"/>
  <c r="R1844" i="1"/>
  <c r="N1844" i="1"/>
  <c r="D1844" i="1"/>
  <c r="B1844" i="1"/>
  <c r="C1844" i="1" s="1"/>
  <c r="R1843" i="1"/>
  <c r="N1843" i="1"/>
  <c r="D1843" i="1"/>
  <c r="B1843" i="1"/>
  <c r="C1843" i="1" s="1"/>
  <c r="R1842" i="1"/>
  <c r="N1842" i="1"/>
  <c r="D1842" i="1"/>
  <c r="B1842" i="1"/>
  <c r="C1842" i="1" s="1"/>
  <c r="R1841" i="1"/>
  <c r="N1841" i="1"/>
  <c r="D1841" i="1"/>
  <c r="B1841" i="1"/>
  <c r="C1841" i="1" s="1"/>
  <c r="R1840" i="1"/>
  <c r="N1840" i="1"/>
  <c r="D1840" i="1"/>
  <c r="B1840" i="1"/>
  <c r="C1840" i="1" s="1"/>
  <c r="R1839" i="1"/>
  <c r="N1839" i="1"/>
  <c r="D1839" i="1"/>
  <c r="B1839" i="1"/>
  <c r="C1839" i="1" s="1"/>
  <c r="R1838" i="1"/>
  <c r="N1838" i="1"/>
  <c r="D1838" i="1"/>
  <c r="B1838" i="1"/>
  <c r="C1838" i="1" s="1"/>
  <c r="R1837" i="1"/>
  <c r="N1837" i="1"/>
  <c r="D1837" i="1"/>
  <c r="C1837" i="1"/>
  <c r="B1837" i="1"/>
  <c r="R1836" i="1"/>
  <c r="N1836" i="1"/>
  <c r="D1836" i="1"/>
  <c r="B1836" i="1"/>
  <c r="C1836" i="1" s="1"/>
  <c r="R1835" i="1"/>
  <c r="N1835" i="1"/>
  <c r="D1835" i="1"/>
  <c r="B1835" i="1"/>
  <c r="C1835" i="1" s="1"/>
  <c r="R1834" i="1"/>
  <c r="N1834" i="1"/>
  <c r="D1834" i="1"/>
  <c r="B1834" i="1"/>
  <c r="C1834" i="1" s="1"/>
  <c r="R1833" i="1"/>
  <c r="N1833" i="1"/>
  <c r="D1833" i="1"/>
  <c r="B1833" i="1"/>
  <c r="C1833" i="1" s="1"/>
  <c r="R1832" i="1"/>
  <c r="N1832" i="1"/>
  <c r="D1832" i="1"/>
  <c r="B1832" i="1"/>
  <c r="C1832" i="1" s="1"/>
  <c r="R1831" i="1"/>
  <c r="N1831" i="1"/>
  <c r="D1831" i="1"/>
  <c r="B1831" i="1"/>
  <c r="C1831" i="1" s="1"/>
  <c r="R1830" i="1"/>
  <c r="N1830" i="1"/>
  <c r="D1830" i="1"/>
  <c r="B1830" i="1"/>
  <c r="C1830" i="1" s="1"/>
  <c r="R1829" i="1"/>
  <c r="N1829" i="1"/>
  <c r="D1829" i="1"/>
  <c r="C1829" i="1"/>
  <c r="B1829" i="1"/>
  <c r="R1828" i="1"/>
  <c r="N1828" i="1"/>
  <c r="D1828" i="1"/>
  <c r="B1828" i="1"/>
  <c r="C1828" i="1" s="1"/>
  <c r="R1827" i="1"/>
  <c r="N1827" i="1"/>
  <c r="D1827" i="1"/>
  <c r="C1827" i="1"/>
  <c r="B1827" i="1"/>
  <c r="R1826" i="1"/>
  <c r="N1826" i="1"/>
  <c r="D1826" i="1"/>
  <c r="B1826" i="1"/>
  <c r="C1826" i="1" s="1"/>
  <c r="R1825" i="1"/>
  <c r="N1825" i="1"/>
  <c r="D1825" i="1"/>
  <c r="B1825" i="1"/>
  <c r="C1825" i="1" s="1"/>
  <c r="R1824" i="1"/>
  <c r="N1824" i="1"/>
  <c r="D1824" i="1"/>
  <c r="B1824" i="1"/>
  <c r="C1824" i="1" s="1"/>
  <c r="R1823" i="1"/>
  <c r="N1823" i="1"/>
  <c r="D1823" i="1"/>
  <c r="C1823" i="1"/>
  <c r="B1823" i="1"/>
  <c r="R1822" i="1"/>
  <c r="N1822" i="1"/>
  <c r="D1822" i="1"/>
  <c r="B1822" i="1"/>
  <c r="C1822" i="1" s="1"/>
  <c r="R1821" i="1"/>
  <c r="N1821" i="1"/>
  <c r="D1821" i="1"/>
  <c r="C1821" i="1"/>
  <c r="B1821" i="1"/>
  <c r="R1820" i="1"/>
  <c r="N1820" i="1"/>
  <c r="D1820" i="1"/>
  <c r="B1820" i="1"/>
  <c r="C1820" i="1" s="1"/>
  <c r="R1819" i="1"/>
  <c r="N1819" i="1"/>
  <c r="D1819" i="1"/>
  <c r="B1819" i="1"/>
  <c r="C1819" i="1" s="1"/>
  <c r="R1818" i="1"/>
  <c r="N1818" i="1"/>
  <c r="D1818" i="1"/>
  <c r="B1818" i="1"/>
  <c r="C1818" i="1" s="1"/>
  <c r="R1817" i="1"/>
  <c r="N1817" i="1"/>
  <c r="D1817" i="1"/>
  <c r="B1817" i="1"/>
  <c r="C1817" i="1" s="1"/>
  <c r="R1816" i="1"/>
  <c r="N1816" i="1"/>
  <c r="D1816" i="1"/>
  <c r="B1816" i="1"/>
  <c r="C1816" i="1" s="1"/>
  <c r="R1815" i="1"/>
  <c r="N1815" i="1"/>
  <c r="D1815" i="1"/>
  <c r="C1815" i="1"/>
  <c r="B1815" i="1"/>
  <c r="R1814" i="1"/>
  <c r="N1814" i="1"/>
  <c r="D1814" i="1"/>
  <c r="B1814" i="1"/>
  <c r="C1814" i="1" s="1"/>
  <c r="R1813" i="1"/>
  <c r="N1813" i="1"/>
  <c r="D1813" i="1"/>
  <c r="C1813" i="1"/>
  <c r="B1813" i="1"/>
  <c r="R1812" i="1"/>
  <c r="N1812" i="1"/>
  <c r="D1812" i="1"/>
  <c r="B1812" i="1"/>
  <c r="C1812" i="1" s="1"/>
  <c r="R1811" i="1"/>
  <c r="N1811" i="1"/>
  <c r="D1811" i="1"/>
  <c r="B1811" i="1"/>
  <c r="C1811" i="1" s="1"/>
  <c r="R1810" i="1"/>
  <c r="N1810" i="1"/>
  <c r="D1810" i="1"/>
  <c r="B1810" i="1"/>
  <c r="C1810" i="1" s="1"/>
  <c r="R1809" i="1"/>
  <c r="N1809" i="1"/>
  <c r="D1809" i="1"/>
  <c r="B1809" i="1"/>
  <c r="C1809" i="1" s="1"/>
  <c r="R1808" i="1"/>
  <c r="N1808" i="1"/>
  <c r="D1808" i="1"/>
  <c r="B1808" i="1"/>
  <c r="C1808" i="1" s="1"/>
  <c r="R1807" i="1"/>
  <c r="N1807" i="1"/>
  <c r="D1807" i="1"/>
  <c r="C1807" i="1"/>
  <c r="B1807" i="1"/>
  <c r="R1806" i="1"/>
  <c r="N1806" i="1"/>
  <c r="D1806" i="1"/>
  <c r="B1806" i="1"/>
  <c r="C1806" i="1" s="1"/>
  <c r="R1805" i="1"/>
  <c r="N1805" i="1"/>
  <c r="D1805" i="1"/>
  <c r="C1805" i="1"/>
  <c r="B1805" i="1"/>
  <c r="R1804" i="1"/>
  <c r="N1804" i="1"/>
  <c r="D1804" i="1"/>
  <c r="B1804" i="1"/>
  <c r="C1804" i="1" s="1"/>
  <c r="R1803" i="1"/>
  <c r="N1803" i="1"/>
  <c r="D1803" i="1"/>
  <c r="B1803" i="1"/>
  <c r="C1803" i="1" s="1"/>
  <c r="R1802" i="1"/>
  <c r="N1802" i="1"/>
  <c r="D1802" i="1"/>
  <c r="B1802" i="1"/>
  <c r="C1802" i="1" s="1"/>
  <c r="R1801" i="1"/>
  <c r="N1801" i="1"/>
  <c r="D1801" i="1"/>
  <c r="B1801" i="1"/>
  <c r="C1801" i="1" s="1"/>
  <c r="R1800" i="1"/>
  <c r="N1800" i="1"/>
  <c r="D1800" i="1"/>
  <c r="B1800" i="1"/>
  <c r="C1800" i="1" s="1"/>
  <c r="R1799" i="1"/>
  <c r="N1799" i="1"/>
  <c r="D1799" i="1"/>
  <c r="C1799" i="1"/>
  <c r="B1799" i="1"/>
  <c r="R1798" i="1"/>
  <c r="N1798" i="1"/>
  <c r="D1798" i="1"/>
  <c r="C1798" i="1"/>
  <c r="B1798" i="1"/>
  <c r="R1797" i="1"/>
  <c r="N1797" i="1"/>
  <c r="D1797" i="1"/>
  <c r="B1797" i="1"/>
  <c r="C1797" i="1" s="1"/>
  <c r="R1796" i="1"/>
  <c r="N1796" i="1"/>
  <c r="D1796" i="1"/>
  <c r="B1796" i="1"/>
  <c r="C1796" i="1" s="1"/>
  <c r="R1795" i="1"/>
  <c r="N1795" i="1"/>
  <c r="D1795" i="1"/>
  <c r="B1795" i="1"/>
  <c r="C1795" i="1" s="1"/>
  <c r="R1794" i="1"/>
  <c r="N1794" i="1"/>
  <c r="D1794" i="1"/>
  <c r="C1794" i="1"/>
  <c r="B1794" i="1"/>
  <c r="R1793" i="1"/>
  <c r="N1793" i="1"/>
  <c r="D1793" i="1"/>
  <c r="B1793" i="1"/>
  <c r="C1793" i="1" s="1"/>
  <c r="R1792" i="1"/>
  <c r="N1792" i="1"/>
  <c r="D1792" i="1"/>
  <c r="B1792" i="1"/>
  <c r="C1792" i="1" s="1"/>
  <c r="R1791" i="1"/>
  <c r="N1791" i="1"/>
  <c r="D1791" i="1"/>
  <c r="C1791" i="1"/>
  <c r="B1791" i="1"/>
  <c r="R1790" i="1"/>
  <c r="N1790" i="1"/>
  <c r="D1790" i="1"/>
  <c r="B1790" i="1"/>
  <c r="C1790" i="1" s="1"/>
  <c r="R1789" i="1"/>
  <c r="N1789" i="1"/>
  <c r="D1789" i="1"/>
  <c r="B1789" i="1"/>
  <c r="C1789" i="1" s="1"/>
  <c r="R1788" i="1"/>
  <c r="N1788" i="1"/>
  <c r="D1788" i="1"/>
  <c r="B1788" i="1"/>
  <c r="C1788" i="1" s="1"/>
  <c r="R1787" i="1"/>
  <c r="N1787" i="1"/>
  <c r="D1787" i="1"/>
  <c r="B1787" i="1"/>
  <c r="C1787" i="1" s="1"/>
  <c r="R1786" i="1"/>
  <c r="N1786" i="1"/>
  <c r="D1786" i="1"/>
  <c r="C1786" i="1"/>
  <c r="B1786" i="1"/>
  <c r="R1785" i="1"/>
  <c r="N1785" i="1"/>
  <c r="D1785" i="1"/>
  <c r="B1785" i="1"/>
  <c r="C1785" i="1" s="1"/>
  <c r="R1784" i="1"/>
  <c r="N1784" i="1"/>
  <c r="D1784" i="1"/>
  <c r="B1784" i="1"/>
  <c r="C1784" i="1" s="1"/>
  <c r="R1783" i="1"/>
  <c r="N1783" i="1"/>
  <c r="D1783" i="1"/>
  <c r="C1783" i="1"/>
  <c r="B1783" i="1"/>
  <c r="R1782" i="1"/>
  <c r="N1782" i="1"/>
  <c r="D1782" i="1"/>
  <c r="B1782" i="1"/>
  <c r="C1782" i="1" s="1"/>
  <c r="R1781" i="1"/>
  <c r="N1781" i="1"/>
  <c r="D1781" i="1"/>
  <c r="B1781" i="1"/>
  <c r="C1781" i="1" s="1"/>
  <c r="R1780" i="1"/>
  <c r="N1780" i="1"/>
  <c r="D1780" i="1"/>
  <c r="B1780" i="1"/>
  <c r="C1780" i="1" s="1"/>
  <c r="R1779" i="1"/>
  <c r="N1779" i="1"/>
  <c r="D1779" i="1"/>
  <c r="C1779" i="1"/>
  <c r="B1779" i="1"/>
  <c r="R1778" i="1"/>
  <c r="N1778" i="1"/>
  <c r="D1778" i="1"/>
  <c r="C1778" i="1"/>
  <c r="B1778" i="1"/>
  <c r="R1777" i="1"/>
  <c r="N1777" i="1"/>
  <c r="D1777" i="1"/>
  <c r="B1777" i="1"/>
  <c r="C1777" i="1" s="1"/>
  <c r="R1776" i="1"/>
  <c r="N1776" i="1"/>
  <c r="D1776" i="1"/>
  <c r="B1776" i="1"/>
  <c r="C1776" i="1" s="1"/>
  <c r="R1775" i="1"/>
  <c r="N1775" i="1"/>
  <c r="D1775" i="1"/>
  <c r="B1775" i="1"/>
  <c r="C1775" i="1" s="1"/>
  <c r="R1774" i="1"/>
  <c r="N1774" i="1"/>
  <c r="D1774" i="1"/>
  <c r="C1774" i="1"/>
  <c r="B1774" i="1"/>
  <c r="R1773" i="1"/>
  <c r="N1773" i="1"/>
  <c r="D1773" i="1"/>
  <c r="B1773" i="1"/>
  <c r="C1773" i="1" s="1"/>
  <c r="R1772" i="1"/>
  <c r="N1772" i="1"/>
  <c r="D1772" i="1"/>
  <c r="B1772" i="1"/>
  <c r="C1772" i="1" s="1"/>
  <c r="R1771" i="1"/>
  <c r="N1771" i="1"/>
  <c r="D1771" i="1"/>
  <c r="C1771" i="1"/>
  <c r="B1771" i="1"/>
  <c r="R1770" i="1"/>
  <c r="N1770" i="1"/>
  <c r="D1770" i="1"/>
  <c r="B1770" i="1"/>
  <c r="C1770" i="1" s="1"/>
  <c r="R1769" i="1"/>
  <c r="N1769" i="1"/>
  <c r="D1769" i="1"/>
  <c r="B1769" i="1"/>
  <c r="C1769" i="1" s="1"/>
  <c r="R1768" i="1"/>
  <c r="N1768" i="1"/>
  <c r="D1768" i="1"/>
  <c r="B1768" i="1"/>
  <c r="C1768" i="1" s="1"/>
  <c r="R1767" i="1"/>
  <c r="N1767" i="1"/>
  <c r="D1767" i="1"/>
  <c r="B1767" i="1"/>
  <c r="C1767" i="1" s="1"/>
  <c r="R1766" i="1"/>
  <c r="N1766" i="1"/>
  <c r="D1766" i="1"/>
  <c r="C1766" i="1"/>
  <c r="B1766" i="1"/>
  <c r="R1765" i="1"/>
  <c r="N1765" i="1"/>
  <c r="D1765" i="1"/>
  <c r="C1765" i="1"/>
  <c r="B1765" i="1"/>
  <c r="R1764" i="1"/>
  <c r="N1764" i="1"/>
  <c r="D1764" i="1"/>
  <c r="B1764" i="1"/>
  <c r="C1764" i="1" s="1"/>
  <c r="R1763" i="1"/>
  <c r="N1763" i="1"/>
  <c r="D1763" i="1"/>
  <c r="B1763" i="1"/>
  <c r="C1763" i="1" s="1"/>
  <c r="R1762" i="1"/>
  <c r="N1762" i="1"/>
  <c r="D1762" i="1"/>
  <c r="B1762" i="1"/>
  <c r="C1762" i="1" s="1"/>
  <c r="R1761" i="1"/>
  <c r="N1761" i="1"/>
  <c r="D1761" i="1"/>
  <c r="C1761" i="1"/>
  <c r="B1761" i="1"/>
  <c r="R1760" i="1"/>
  <c r="N1760" i="1"/>
  <c r="D1760" i="1"/>
  <c r="B1760" i="1"/>
  <c r="C1760" i="1" s="1"/>
  <c r="R1759" i="1"/>
  <c r="N1759" i="1"/>
  <c r="D1759" i="1"/>
  <c r="C1759" i="1"/>
  <c r="B1759" i="1"/>
  <c r="R1758" i="1"/>
  <c r="N1758" i="1"/>
  <c r="D1758" i="1"/>
  <c r="B1758" i="1"/>
  <c r="C1758" i="1" s="1"/>
  <c r="R1757" i="1"/>
  <c r="N1757" i="1"/>
  <c r="D1757" i="1"/>
  <c r="B1757" i="1"/>
  <c r="C1757" i="1" s="1"/>
  <c r="R1756" i="1"/>
  <c r="N1756" i="1"/>
  <c r="D1756" i="1"/>
  <c r="B1756" i="1"/>
  <c r="C1756" i="1" s="1"/>
  <c r="R1755" i="1"/>
  <c r="N1755" i="1"/>
  <c r="D1755" i="1"/>
  <c r="B1755" i="1"/>
  <c r="C1755" i="1" s="1"/>
  <c r="R1754" i="1"/>
  <c r="N1754" i="1"/>
  <c r="D1754" i="1"/>
  <c r="C1754" i="1"/>
  <c r="B1754" i="1"/>
  <c r="R1753" i="1"/>
  <c r="N1753" i="1"/>
  <c r="D1753" i="1"/>
  <c r="B1753" i="1"/>
  <c r="C1753" i="1" s="1"/>
  <c r="R1752" i="1"/>
  <c r="N1752" i="1"/>
  <c r="D1752" i="1"/>
  <c r="B1752" i="1"/>
  <c r="C1752" i="1" s="1"/>
  <c r="R1751" i="1"/>
  <c r="N1751" i="1"/>
  <c r="D1751" i="1"/>
  <c r="C1751" i="1"/>
  <c r="B1751" i="1"/>
  <c r="R1750" i="1"/>
  <c r="N1750" i="1"/>
  <c r="D1750" i="1"/>
  <c r="B1750" i="1"/>
  <c r="C1750" i="1" s="1"/>
  <c r="R1749" i="1"/>
  <c r="N1749" i="1"/>
  <c r="D1749" i="1"/>
  <c r="B1749" i="1"/>
  <c r="C1749" i="1" s="1"/>
  <c r="R1748" i="1"/>
  <c r="N1748" i="1"/>
  <c r="D1748" i="1"/>
  <c r="B1748" i="1"/>
  <c r="C1748" i="1" s="1"/>
  <c r="R1747" i="1"/>
  <c r="N1747" i="1"/>
  <c r="D1747" i="1"/>
  <c r="C1747" i="1"/>
  <c r="B1747" i="1"/>
  <c r="R1746" i="1"/>
  <c r="N1746" i="1"/>
  <c r="D1746" i="1"/>
  <c r="C1746" i="1"/>
  <c r="B1746" i="1"/>
  <c r="R1745" i="1"/>
  <c r="N1745" i="1"/>
  <c r="D1745" i="1"/>
  <c r="B1745" i="1"/>
  <c r="C1745" i="1" s="1"/>
  <c r="R1744" i="1"/>
  <c r="N1744" i="1"/>
  <c r="D1744" i="1"/>
  <c r="B1744" i="1"/>
  <c r="C1744" i="1" s="1"/>
  <c r="R1743" i="1"/>
  <c r="N1743" i="1"/>
  <c r="D1743" i="1"/>
  <c r="B1743" i="1"/>
  <c r="C1743" i="1" s="1"/>
  <c r="R1742" i="1"/>
  <c r="N1742" i="1"/>
  <c r="D1742" i="1"/>
  <c r="C1742" i="1"/>
  <c r="B1742" i="1"/>
  <c r="R1741" i="1"/>
  <c r="N1741" i="1"/>
  <c r="D1741" i="1"/>
  <c r="B1741" i="1"/>
  <c r="C1741" i="1" s="1"/>
  <c r="R1740" i="1"/>
  <c r="N1740" i="1"/>
  <c r="D1740" i="1"/>
  <c r="B1740" i="1"/>
  <c r="C1740" i="1" s="1"/>
  <c r="R1739" i="1"/>
  <c r="N1739" i="1"/>
  <c r="D1739" i="1"/>
  <c r="C1739" i="1"/>
  <c r="B1739" i="1"/>
  <c r="R1738" i="1"/>
  <c r="N1738" i="1"/>
  <c r="D1738" i="1"/>
  <c r="C1738" i="1"/>
  <c r="B1738" i="1"/>
  <c r="R1737" i="1"/>
  <c r="N1737" i="1"/>
  <c r="D1737" i="1"/>
  <c r="B1737" i="1"/>
  <c r="C1737" i="1" s="1"/>
  <c r="R1736" i="1"/>
  <c r="N1736" i="1"/>
  <c r="D1736" i="1"/>
  <c r="B1736" i="1"/>
  <c r="C1736" i="1" s="1"/>
  <c r="R1735" i="1"/>
  <c r="N1735" i="1"/>
  <c r="D1735" i="1"/>
  <c r="B1735" i="1"/>
  <c r="C1735" i="1" s="1"/>
  <c r="R1734" i="1"/>
  <c r="N1734" i="1"/>
  <c r="D1734" i="1"/>
  <c r="B1734" i="1"/>
  <c r="C1734" i="1" s="1"/>
  <c r="R1733" i="1"/>
  <c r="N1733" i="1"/>
  <c r="D1733" i="1"/>
  <c r="C1733" i="1"/>
  <c r="B1733" i="1"/>
  <c r="R1732" i="1"/>
  <c r="N1732" i="1"/>
  <c r="D1732" i="1"/>
  <c r="B1732" i="1"/>
  <c r="C1732" i="1" s="1"/>
  <c r="R1731" i="1"/>
  <c r="N1731" i="1"/>
  <c r="D1731" i="1"/>
  <c r="C1731" i="1"/>
  <c r="B1731" i="1"/>
  <c r="R1730" i="1"/>
  <c r="N1730" i="1"/>
  <c r="D1730" i="1"/>
  <c r="B1730" i="1"/>
  <c r="C1730" i="1" s="1"/>
  <c r="R1729" i="1"/>
  <c r="N1729" i="1"/>
  <c r="D1729" i="1"/>
  <c r="C1729" i="1"/>
  <c r="B1729" i="1"/>
  <c r="R1728" i="1"/>
  <c r="N1728" i="1"/>
  <c r="D1728" i="1"/>
  <c r="B1728" i="1"/>
  <c r="C1728" i="1" s="1"/>
  <c r="R1727" i="1"/>
  <c r="N1727" i="1"/>
  <c r="D1727" i="1"/>
  <c r="C1727" i="1"/>
  <c r="B1727" i="1"/>
  <c r="R1726" i="1"/>
  <c r="N1726" i="1"/>
  <c r="D1726" i="1"/>
  <c r="C1726" i="1"/>
  <c r="B1726" i="1"/>
  <c r="R1725" i="1"/>
  <c r="N1725" i="1"/>
  <c r="D1725" i="1"/>
  <c r="B1725" i="1"/>
  <c r="C1725" i="1" s="1"/>
  <c r="R1724" i="1"/>
  <c r="N1724" i="1"/>
  <c r="D1724" i="1"/>
  <c r="B1724" i="1"/>
  <c r="C1724" i="1" s="1"/>
  <c r="R1723" i="1"/>
  <c r="N1723" i="1"/>
  <c r="D1723" i="1"/>
  <c r="B1723" i="1"/>
  <c r="C1723" i="1" s="1"/>
  <c r="R1722" i="1"/>
  <c r="N1722" i="1"/>
  <c r="D1722" i="1"/>
  <c r="B1722" i="1"/>
  <c r="C1722" i="1" s="1"/>
  <c r="R1721" i="1"/>
  <c r="N1721" i="1"/>
  <c r="D1721" i="1"/>
  <c r="B1721" i="1"/>
  <c r="C1721" i="1" s="1"/>
  <c r="R1720" i="1"/>
  <c r="N1720" i="1"/>
  <c r="D1720" i="1"/>
  <c r="B1720" i="1"/>
  <c r="C1720" i="1" s="1"/>
  <c r="R1719" i="1"/>
  <c r="N1719" i="1"/>
  <c r="D1719" i="1"/>
  <c r="C1719" i="1"/>
  <c r="B1719" i="1"/>
  <c r="R1718" i="1"/>
  <c r="N1718" i="1"/>
  <c r="D1718" i="1"/>
  <c r="B1718" i="1"/>
  <c r="C1718" i="1" s="1"/>
  <c r="R1717" i="1"/>
  <c r="N1717" i="1"/>
  <c r="D1717" i="1"/>
  <c r="B1717" i="1"/>
  <c r="C1717" i="1" s="1"/>
  <c r="R1716" i="1"/>
  <c r="N1716" i="1"/>
  <c r="D1716" i="1"/>
  <c r="B1716" i="1"/>
  <c r="C1716" i="1" s="1"/>
  <c r="R1715" i="1"/>
  <c r="N1715" i="1"/>
  <c r="D1715" i="1"/>
  <c r="C1715" i="1"/>
  <c r="B1715" i="1"/>
  <c r="R1714" i="1"/>
  <c r="N1714" i="1"/>
  <c r="D1714" i="1"/>
  <c r="B1714" i="1"/>
  <c r="C1714" i="1" s="1"/>
  <c r="R1713" i="1"/>
  <c r="N1713" i="1"/>
  <c r="D1713" i="1"/>
  <c r="B1713" i="1"/>
  <c r="C1713" i="1" s="1"/>
  <c r="R1712" i="1"/>
  <c r="N1712" i="1"/>
  <c r="D1712" i="1"/>
  <c r="B1712" i="1"/>
  <c r="C1712" i="1" s="1"/>
  <c r="R1711" i="1"/>
  <c r="N1711" i="1"/>
  <c r="D1711" i="1"/>
  <c r="C1711" i="1"/>
  <c r="B1711" i="1"/>
  <c r="R1710" i="1"/>
  <c r="N1710" i="1"/>
  <c r="D1710" i="1"/>
  <c r="B1710" i="1"/>
  <c r="C1710" i="1" s="1"/>
  <c r="R1709" i="1"/>
  <c r="N1709" i="1"/>
  <c r="D1709" i="1"/>
  <c r="C1709" i="1"/>
  <c r="B1709" i="1"/>
  <c r="R1708" i="1"/>
  <c r="N1708" i="1"/>
  <c r="D1708" i="1"/>
  <c r="B1708" i="1"/>
  <c r="C1708" i="1" s="1"/>
  <c r="R1707" i="1"/>
  <c r="N1707" i="1"/>
  <c r="D1707" i="1"/>
  <c r="C1707" i="1"/>
  <c r="B1707" i="1"/>
  <c r="R1706" i="1"/>
  <c r="N1706" i="1"/>
  <c r="D1706" i="1"/>
  <c r="B1706" i="1"/>
  <c r="C1706" i="1" s="1"/>
  <c r="R1705" i="1"/>
  <c r="N1705" i="1"/>
  <c r="D1705" i="1"/>
  <c r="B1705" i="1"/>
  <c r="C1705" i="1" s="1"/>
  <c r="R1704" i="1"/>
  <c r="N1704" i="1"/>
  <c r="D1704" i="1"/>
  <c r="B1704" i="1"/>
  <c r="C1704" i="1" s="1"/>
  <c r="R1703" i="1"/>
  <c r="N1703" i="1"/>
  <c r="D1703" i="1"/>
  <c r="B1703" i="1"/>
  <c r="C1703" i="1" s="1"/>
  <c r="R1702" i="1"/>
  <c r="N1702" i="1"/>
  <c r="D1702" i="1"/>
  <c r="B1702" i="1"/>
  <c r="C1702" i="1" s="1"/>
  <c r="R1701" i="1"/>
  <c r="N1701" i="1"/>
  <c r="D1701" i="1"/>
  <c r="C1701" i="1"/>
  <c r="B1701" i="1"/>
  <c r="R1700" i="1"/>
  <c r="N1700" i="1"/>
  <c r="D1700" i="1"/>
  <c r="B1700" i="1"/>
  <c r="C1700" i="1" s="1"/>
  <c r="R1699" i="1"/>
  <c r="N1699" i="1"/>
  <c r="D1699" i="1"/>
  <c r="C1699" i="1"/>
  <c r="B1699" i="1"/>
  <c r="R1698" i="1"/>
  <c r="N1698" i="1"/>
  <c r="D1698" i="1"/>
  <c r="B1698" i="1"/>
  <c r="C1698" i="1" s="1"/>
  <c r="R1697" i="1"/>
  <c r="N1697" i="1"/>
  <c r="D1697" i="1"/>
  <c r="B1697" i="1"/>
  <c r="C1697" i="1" s="1"/>
  <c r="R1696" i="1"/>
  <c r="N1696" i="1"/>
  <c r="D1696" i="1"/>
  <c r="B1696" i="1"/>
  <c r="C1696" i="1" s="1"/>
  <c r="R1695" i="1"/>
  <c r="N1695" i="1"/>
  <c r="D1695" i="1"/>
  <c r="C1695" i="1"/>
  <c r="B1695" i="1"/>
  <c r="R1694" i="1"/>
  <c r="N1694" i="1"/>
  <c r="D1694" i="1"/>
  <c r="B1694" i="1"/>
  <c r="C1694" i="1" s="1"/>
  <c r="R1693" i="1"/>
  <c r="N1693" i="1"/>
  <c r="D1693" i="1"/>
  <c r="C1693" i="1"/>
  <c r="B1693" i="1"/>
  <c r="R1692" i="1"/>
  <c r="N1692" i="1"/>
  <c r="D1692" i="1"/>
  <c r="B1692" i="1"/>
  <c r="C1692" i="1" s="1"/>
  <c r="R1691" i="1"/>
  <c r="N1691" i="1"/>
  <c r="D1691" i="1"/>
  <c r="C1691" i="1"/>
  <c r="B1691" i="1"/>
  <c r="R1690" i="1"/>
  <c r="N1690" i="1"/>
  <c r="D1690" i="1"/>
  <c r="B1690" i="1"/>
  <c r="C1690" i="1" s="1"/>
  <c r="R1689" i="1"/>
  <c r="N1689" i="1"/>
  <c r="D1689" i="1"/>
  <c r="B1689" i="1"/>
  <c r="C1689" i="1" s="1"/>
  <c r="R1688" i="1"/>
  <c r="N1688" i="1"/>
  <c r="D1688" i="1"/>
  <c r="B1688" i="1"/>
  <c r="C1688" i="1" s="1"/>
  <c r="R1687" i="1"/>
  <c r="N1687" i="1"/>
  <c r="D1687" i="1"/>
  <c r="B1687" i="1"/>
  <c r="C1687" i="1" s="1"/>
  <c r="R1686" i="1"/>
  <c r="N1686" i="1"/>
  <c r="D1686" i="1"/>
  <c r="B1686" i="1"/>
  <c r="C1686" i="1" s="1"/>
  <c r="R1685" i="1"/>
  <c r="N1685" i="1"/>
  <c r="D1685" i="1"/>
  <c r="C1685" i="1"/>
  <c r="B1685" i="1"/>
  <c r="R1684" i="1"/>
  <c r="N1684" i="1"/>
  <c r="D1684" i="1"/>
  <c r="B1684" i="1"/>
  <c r="C1684" i="1" s="1"/>
  <c r="R1683" i="1"/>
  <c r="N1683" i="1"/>
  <c r="D1683" i="1"/>
  <c r="C1683" i="1"/>
  <c r="B1683" i="1"/>
  <c r="R1682" i="1"/>
  <c r="N1682" i="1"/>
  <c r="D1682" i="1"/>
  <c r="B1682" i="1"/>
  <c r="C1682" i="1" s="1"/>
  <c r="R1681" i="1"/>
  <c r="N1681" i="1"/>
  <c r="D1681" i="1"/>
  <c r="B1681" i="1"/>
  <c r="C1681" i="1" s="1"/>
  <c r="R1680" i="1"/>
  <c r="N1680" i="1"/>
  <c r="D1680" i="1"/>
  <c r="B1680" i="1"/>
  <c r="C1680" i="1" s="1"/>
  <c r="R1679" i="1"/>
  <c r="N1679" i="1"/>
  <c r="D1679" i="1"/>
  <c r="C1679" i="1"/>
  <c r="B1679" i="1"/>
  <c r="R1678" i="1"/>
  <c r="N1678" i="1"/>
  <c r="D1678" i="1"/>
  <c r="B1678" i="1"/>
  <c r="C1678" i="1" s="1"/>
  <c r="R1677" i="1"/>
  <c r="N1677" i="1"/>
  <c r="D1677" i="1"/>
  <c r="B1677" i="1"/>
  <c r="C1677" i="1" s="1"/>
  <c r="R1676" i="1"/>
  <c r="N1676" i="1"/>
  <c r="D1676" i="1"/>
  <c r="B1676" i="1"/>
  <c r="C1676" i="1" s="1"/>
  <c r="R1675" i="1"/>
  <c r="N1675" i="1"/>
  <c r="D1675" i="1"/>
  <c r="C1675" i="1"/>
  <c r="B1675" i="1"/>
  <c r="R1674" i="1"/>
  <c r="N1674" i="1"/>
  <c r="D1674" i="1"/>
  <c r="B1674" i="1"/>
  <c r="C1674" i="1" s="1"/>
  <c r="R1673" i="1"/>
  <c r="N1673" i="1"/>
  <c r="D1673" i="1"/>
  <c r="B1673" i="1"/>
  <c r="C1673" i="1" s="1"/>
  <c r="R1672" i="1"/>
  <c r="N1672" i="1"/>
  <c r="D1672" i="1"/>
  <c r="B1672" i="1"/>
  <c r="C1672" i="1" s="1"/>
  <c r="R1671" i="1"/>
  <c r="N1671" i="1"/>
  <c r="D1671" i="1"/>
  <c r="B1671" i="1"/>
  <c r="C1671" i="1" s="1"/>
  <c r="R1670" i="1"/>
  <c r="N1670" i="1"/>
  <c r="D1670" i="1"/>
  <c r="B1670" i="1"/>
  <c r="C1670" i="1" s="1"/>
  <c r="R1669" i="1"/>
  <c r="N1669" i="1"/>
  <c r="D1669" i="1"/>
  <c r="C1669" i="1"/>
  <c r="B1669" i="1"/>
  <c r="R1668" i="1"/>
  <c r="N1668" i="1"/>
  <c r="D1668" i="1"/>
  <c r="B1668" i="1"/>
  <c r="C1668" i="1" s="1"/>
  <c r="R1667" i="1"/>
  <c r="N1667" i="1"/>
  <c r="D1667" i="1"/>
  <c r="C1667" i="1"/>
  <c r="B1667" i="1"/>
  <c r="R1666" i="1"/>
  <c r="N1666" i="1"/>
  <c r="D1666" i="1"/>
  <c r="B1666" i="1"/>
  <c r="C1666" i="1" s="1"/>
  <c r="R1665" i="1"/>
  <c r="N1665" i="1"/>
  <c r="D1665" i="1"/>
  <c r="B1665" i="1"/>
  <c r="C1665" i="1" s="1"/>
  <c r="R1664" i="1"/>
  <c r="N1664" i="1"/>
  <c r="D1664" i="1"/>
  <c r="B1664" i="1"/>
  <c r="C1664" i="1" s="1"/>
  <c r="R1663" i="1"/>
  <c r="N1663" i="1"/>
  <c r="D1663" i="1"/>
  <c r="C1663" i="1"/>
  <c r="B1663" i="1"/>
  <c r="R1662" i="1"/>
  <c r="N1662" i="1"/>
  <c r="D1662" i="1"/>
  <c r="B1662" i="1"/>
  <c r="C1662" i="1" s="1"/>
  <c r="R1661" i="1"/>
  <c r="N1661" i="1"/>
  <c r="D1661" i="1"/>
  <c r="B1661" i="1"/>
  <c r="C1661" i="1" s="1"/>
  <c r="R1660" i="1"/>
  <c r="N1660" i="1"/>
  <c r="D1660" i="1"/>
  <c r="B1660" i="1"/>
  <c r="C1660" i="1" s="1"/>
  <c r="R1659" i="1"/>
  <c r="N1659" i="1"/>
  <c r="D1659" i="1"/>
  <c r="C1659" i="1"/>
  <c r="B1659" i="1"/>
  <c r="R1658" i="1"/>
  <c r="N1658" i="1"/>
  <c r="D1658" i="1"/>
  <c r="B1658" i="1"/>
  <c r="C1658" i="1" s="1"/>
  <c r="R1657" i="1"/>
  <c r="N1657" i="1"/>
  <c r="D1657" i="1"/>
  <c r="B1657" i="1"/>
  <c r="C1657" i="1" s="1"/>
  <c r="R1656" i="1"/>
  <c r="N1656" i="1"/>
  <c r="D1656" i="1"/>
  <c r="B1656" i="1"/>
  <c r="C1656" i="1" s="1"/>
  <c r="R1655" i="1"/>
  <c r="N1655" i="1"/>
  <c r="D1655" i="1"/>
  <c r="C1655" i="1"/>
  <c r="B1655" i="1"/>
  <c r="R1654" i="1"/>
  <c r="N1654" i="1"/>
  <c r="D1654" i="1"/>
  <c r="B1654" i="1"/>
  <c r="C1654" i="1" s="1"/>
  <c r="R1653" i="1"/>
  <c r="N1653" i="1"/>
  <c r="D1653" i="1"/>
  <c r="B1653" i="1"/>
  <c r="C1653" i="1" s="1"/>
  <c r="R1652" i="1"/>
  <c r="N1652" i="1"/>
  <c r="D1652" i="1"/>
  <c r="B1652" i="1"/>
  <c r="C1652" i="1" s="1"/>
  <c r="R1651" i="1"/>
  <c r="N1651" i="1"/>
  <c r="D1651" i="1"/>
  <c r="C1651" i="1"/>
  <c r="B1651" i="1"/>
  <c r="R1650" i="1"/>
  <c r="N1650" i="1"/>
  <c r="D1650" i="1"/>
  <c r="B1650" i="1"/>
  <c r="C1650" i="1" s="1"/>
  <c r="R1649" i="1"/>
  <c r="N1649" i="1"/>
  <c r="D1649" i="1"/>
  <c r="B1649" i="1"/>
  <c r="C1649" i="1" s="1"/>
  <c r="R1648" i="1"/>
  <c r="N1648" i="1"/>
  <c r="D1648" i="1"/>
  <c r="B1648" i="1"/>
  <c r="C1648" i="1" s="1"/>
  <c r="R1647" i="1"/>
  <c r="N1647" i="1"/>
  <c r="D1647" i="1"/>
  <c r="C1647" i="1"/>
  <c r="B1647" i="1"/>
  <c r="R1646" i="1"/>
  <c r="N1646" i="1"/>
  <c r="D1646" i="1"/>
  <c r="B1646" i="1"/>
  <c r="C1646" i="1" s="1"/>
  <c r="R1645" i="1"/>
  <c r="N1645" i="1"/>
  <c r="D1645" i="1"/>
  <c r="B1645" i="1"/>
  <c r="C1645" i="1" s="1"/>
  <c r="R1644" i="1"/>
  <c r="N1644" i="1"/>
  <c r="D1644" i="1"/>
  <c r="B1644" i="1"/>
  <c r="C1644" i="1" s="1"/>
  <c r="R1643" i="1"/>
  <c r="N1643" i="1"/>
  <c r="D1643" i="1"/>
  <c r="C1643" i="1"/>
  <c r="B1643" i="1"/>
  <c r="R1642" i="1"/>
  <c r="N1642" i="1"/>
  <c r="D1642" i="1"/>
  <c r="B1642" i="1"/>
  <c r="C1642" i="1" s="1"/>
  <c r="R1641" i="1"/>
  <c r="N1641" i="1"/>
  <c r="D1641" i="1"/>
  <c r="B1641" i="1"/>
  <c r="C1641" i="1" s="1"/>
  <c r="R1640" i="1"/>
  <c r="N1640" i="1"/>
  <c r="D1640" i="1"/>
  <c r="B1640" i="1"/>
  <c r="C1640" i="1" s="1"/>
  <c r="R1639" i="1"/>
  <c r="N1639" i="1"/>
  <c r="D1639" i="1"/>
  <c r="C1639" i="1"/>
  <c r="B1639" i="1"/>
  <c r="R1638" i="1"/>
  <c r="N1638" i="1"/>
  <c r="D1638" i="1"/>
  <c r="B1638" i="1"/>
  <c r="C1638" i="1" s="1"/>
  <c r="R1637" i="1"/>
  <c r="N1637" i="1"/>
  <c r="D1637" i="1"/>
  <c r="B1637" i="1"/>
  <c r="C1637" i="1" s="1"/>
  <c r="R1636" i="1"/>
  <c r="N1636" i="1"/>
  <c r="D1636" i="1"/>
  <c r="B1636" i="1"/>
  <c r="C1636" i="1" s="1"/>
  <c r="R1635" i="1"/>
  <c r="N1635" i="1"/>
  <c r="D1635" i="1"/>
  <c r="C1635" i="1"/>
  <c r="B1635" i="1"/>
  <c r="R1634" i="1"/>
  <c r="N1634" i="1"/>
  <c r="D1634" i="1"/>
  <c r="B1634" i="1"/>
  <c r="C1634" i="1" s="1"/>
  <c r="R1633" i="1"/>
  <c r="N1633" i="1"/>
  <c r="D1633" i="1"/>
  <c r="B1633" i="1"/>
  <c r="C1633" i="1" s="1"/>
  <c r="R1632" i="1"/>
  <c r="N1632" i="1"/>
  <c r="D1632" i="1"/>
  <c r="B1632" i="1"/>
  <c r="C1632" i="1" s="1"/>
  <c r="R1631" i="1"/>
  <c r="N1631" i="1"/>
  <c r="D1631" i="1"/>
  <c r="C1631" i="1"/>
  <c r="B1631" i="1"/>
  <c r="R1630" i="1"/>
  <c r="N1630" i="1"/>
  <c r="D1630" i="1"/>
  <c r="B1630" i="1"/>
  <c r="C1630" i="1" s="1"/>
  <c r="R1629" i="1"/>
  <c r="N1629" i="1"/>
  <c r="D1629" i="1"/>
  <c r="B1629" i="1"/>
  <c r="C1629" i="1" s="1"/>
  <c r="R1628" i="1"/>
  <c r="N1628" i="1"/>
  <c r="D1628" i="1"/>
  <c r="B1628" i="1"/>
  <c r="C1628" i="1" s="1"/>
  <c r="R1627" i="1"/>
  <c r="N1627" i="1"/>
  <c r="D1627" i="1"/>
  <c r="C1627" i="1"/>
  <c r="B1627" i="1"/>
  <c r="R1626" i="1"/>
  <c r="N1626" i="1"/>
  <c r="D1626" i="1"/>
  <c r="B1626" i="1"/>
  <c r="C1626" i="1" s="1"/>
  <c r="R1625" i="1"/>
  <c r="N1625" i="1"/>
  <c r="D1625" i="1"/>
  <c r="B1625" i="1"/>
  <c r="C1625" i="1" s="1"/>
  <c r="R1624" i="1"/>
  <c r="N1624" i="1"/>
  <c r="D1624" i="1"/>
  <c r="B1624" i="1"/>
  <c r="C1624" i="1" s="1"/>
  <c r="R1623" i="1"/>
  <c r="N1623" i="1"/>
  <c r="D1623" i="1"/>
  <c r="C1623" i="1"/>
  <c r="B1623" i="1"/>
  <c r="R1622" i="1"/>
  <c r="N1622" i="1"/>
  <c r="D1622" i="1"/>
  <c r="B1622" i="1"/>
  <c r="C1622" i="1" s="1"/>
  <c r="R1621" i="1"/>
  <c r="N1621" i="1"/>
  <c r="D1621" i="1"/>
  <c r="B1621" i="1"/>
  <c r="C1621" i="1" s="1"/>
  <c r="R1620" i="1"/>
  <c r="N1620" i="1"/>
  <c r="D1620" i="1"/>
  <c r="B1620" i="1"/>
  <c r="C1620" i="1" s="1"/>
  <c r="R1619" i="1"/>
  <c r="N1619" i="1"/>
  <c r="D1619" i="1"/>
  <c r="C1619" i="1"/>
  <c r="B1619" i="1"/>
  <c r="R1618" i="1"/>
  <c r="N1618" i="1"/>
  <c r="D1618" i="1"/>
  <c r="B1618" i="1"/>
  <c r="C1618" i="1" s="1"/>
  <c r="R1617" i="1"/>
  <c r="N1617" i="1"/>
  <c r="D1617" i="1"/>
  <c r="B1617" i="1"/>
  <c r="C1617" i="1" s="1"/>
  <c r="R1616" i="1"/>
  <c r="N1616" i="1"/>
  <c r="D1616" i="1"/>
  <c r="B1616" i="1"/>
  <c r="C1616" i="1" s="1"/>
  <c r="R1615" i="1"/>
  <c r="N1615" i="1"/>
  <c r="D1615" i="1"/>
  <c r="C1615" i="1"/>
  <c r="B1615" i="1"/>
  <c r="R1614" i="1"/>
  <c r="N1614" i="1"/>
  <c r="D1614" i="1"/>
  <c r="B1614" i="1"/>
  <c r="C1614" i="1" s="1"/>
  <c r="R1613" i="1"/>
  <c r="N1613" i="1"/>
  <c r="D1613" i="1"/>
  <c r="B1613" i="1"/>
  <c r="C1613" i="1" s="1"/>
  <c r="R1612" i="1"/>
  <c r="N1612" i="1"/>
  <c r="D1612" i="1"/>
  <c r="B1612" i="1"/>
  <c r="C1612" i="1" s="1"/>
  <c r="R1611" i="1"/>
  <c r="N1611" i="1"/>
  <c r="D1611" i="1"/>
  <c r="C1611" i="1"/>
  <c r="B1611" i="1"/>
  <c r="R1610" i="1"/>
  <c r="N1610" i="1"/>
  <c r="D1610" i="1"/>
  <c r="B1610" i="1"/>
  <c r="C1610" i="1" s="1"/>
  <c r="R1609" i="1"/>
  <c r="N1609" i="1"/>
  <c r="D1609" i="1"/>
  <c r="B1609" i="1"/>
  <c r="C1609" i="1" s="1"/>
  <c r="R1608" i="1"/>
  <c r="N1608" i="1"/>
  <c r="D1608" i="1"/>
  <c r="B1608" i="1"/>
  <c r="C1608" i="1" s="1"/>
  <c r="R1607" i="1"/>
  <c r="N1607" i="1"/>
  <c r="D1607" i="1"/>
  <c r="C1607" i="1"/>
  <c r="B1607" i="1"/>
  <c r="R1606" i="1"/>
  <c r="N1606" i="1"/>
  <c r="D1606" i="1"/>
  <c r="B1606" i="1"/>
  <c r="C1606" i="1" s="1"/>
  <c r="R1605" i="1"/>
  <c r="N1605" i="1"/>
  <c r="D1605" i="1"/>
  <c r="B1605" i="1"/>
  <c r="C1605" i="1" s="1"/>
  <c r="R1604" i="1"/>
  <c r="N1604" i="1"/>
  <c r="D1604" i="1"/>
  <c r="B1604" i="1"/>
  <c r="C1604" i="1" s="1"/>
  <c r="R1603" i="1"/>
  <c r="N1603" i="1"/>
  <c r="D1603" i="1"/>
  <c r="C1603" i="1"/>
  <c r="B1603" i="1"/>
  <c r="R1602" i="1"/>
  <c r="N1602" i="1"/>
  <c r="D1602" i="1"/>
  <c r="B1602" i="1"/>
  <c r="C1602" i="1" s="1"/>
  <c r="R1601" i="1"/>
  <c r="N1601" i="1"/>
  <c r="D1601" i="1"/>
  <c r="B1601" i="1"/>
  <c r="C1601" i="1" s="1"/>
  <c r="R1600" i="1"/>
  <c r="N1600" i="1"/>
  <c r="D1600" i="1"/>
  <c r="C1600" i="1"/>
  <c r="B1600" i="1"/>
  <c r="R1599" i="1"/>
  <c r="N1599" i="1"/>
  <c r="D1599" i="1"/>
  <c r="B1599" i="1"/>
  <c r="C1599" i="1" s="1"/>
  <c r="R1598" i="1"/>
  <c r="N1598" i="1"/>
  <c r="D1598" i="1"/>
  <c r="B1598" i="1"/>
  <c r="C1598" i="1" s="1"/>
  <c r="R1597" i="1"/>
  <c r="N1597" i="1"/>
  <c r="D1597" i="1"/>
  <c r="B1597" i="1"/>
  <c r="C1597" i="1" s="1"/>
  <c r="R1596" i="1"/>
  <c r="N1596" i="1"/>
  <c r="D1596" i="1"/>
  <c r="C1596" i="1"/>
  <c r="B1596" i="1"/>
  <c r="R1595" i="1"/>
  <c r="N1595" i="1"/>
  <c r="D1595" i="1"/>
  <c r="B1595" i="1"/>
  <c r="C1595" i="1" s="1"/>
  <c r="R1594" i="1"/>
  <c r="N1594" i="1"/>
  <c r="D1594" i="1"/>
  <c r="B1594" i="1"/>
  <c r="C1594" i="1" s="1"/>
  <c r="R1593" i="1"/>
  <c r="N1593" i="1"/>
  <c r="D1593" i="1"/>
  <c r="B1593" i="1"/>
  <c r="C1593" i="1" s="1"/>
  <c r="R1592" i="1"/>
  <c r="N1592" i="1"/>
  <c r="D1592" i="1"/>
  <c r="C1592" i="1"/>
  <c r="B1592" i="1"/>
  <c r="R1591" i="1"/>
  <c r="N1591" i="1"/>
  <c r="D1591" i="1"/>
  <c r="B1591" i="1"/>
  <c r="C1591" i="1" s="1"/>
  <c r="R1590" i="1"/>
  <c r="N1590" i="1"/>
  <c r="D1590" i="1"/>
  <c r="B1590" i="1"/>
  <c r="C1590" i="1" s="1"/>
  <c r="R1589" i="1"/>
  <c r="N1589" i="1"/>
  <c r="D1589" i="1"/>
  <c r="B1589" i="1"/>
  <c r="C1589" i="1" s="1"/>
  <c r="R1588" i="1"/>
  <c r="N1588" i="1"/>
  <c r="D1588" i="1"/>
  <c r="C1588" i="1"/>
  <c r="B1588" i="1"/>
  <c r="R1587" i="1"/>
  <c r="N1587" i="1"/>
  <c r="D1587" i="1"/>
  <c r="B1587" i="1"/>
  <c r="C1587" i="1" s="1"/>
  <c r="R1586" i="1"/>
  <c r="N1586" i="1"/>
  <c r="D1586" i="1"/>
  <c r="B1586" i="1"/>
  <c r="C1586" i="1" s="1"/>
  <c r="R1585" i="1"/>
  <c r="N1585" i="1"/>
  <c r="D1585" i="1"/>
  <c r="B1585" i="1"/>
  <c r="C1585" i="1" s="1"/>
  <c r="R1584" i="1"/>
  <c r="N1584" i="1"/>
  <c r="D1584" i="1"/>
  <c r="C1584" i="1"/>
  <c r="B1584" i="1"/>
  <c r="R1583" i="1"/>
  <c r="N1583" i="1"/>
  <c r="D1583" i="1"/>
  <c r="B1583" i="1"/>
  <c r="C1583" i="1" s="1"/>
  <c r="R1582" i="1"/>
  <c r="N1582" i="1"/>
  <c r="D1582" i="1"/>
  <c r="B1582" i="1"/>
  <c r="C1582" i="1" s="1"/>
  <c r="R1581" i="1"/>
  <c r="N1581" i="1"/>
  <c r="D1581" i="1"/>
  <c r="B1581" i="1"/>
  <c r="C1581" i="1" s="1"/>
  <c r="R1580" i="1"/>
  <c r="N1580" i="1"/>
  <c r="D1580" i="1"/>
  <c r="C1580" i="1"/>
  <c r="B1580" i="1"/>
  <c r="R1579" i="1"/>
  <c r="N1579" i="1"/>
  <c r="D1579" i="1"/>
  <c r="B1579" i="1"/>
  <c r="C1579" i="1" s="1"/>
  <c r="R1578" i="1"/>
  <c r="N1578" i="1"/>
  <c r="D1578" i="1"/>
  <c r="B1578" i="1"/>
  <c r="C1578" i="1" s="1"/>
  <c r="R1577" i="1"/>
  <c r="N1577" i="1"/>
  <c r="D1577" i="1"/>
  <c r="B1577" i="1"/>
  <c r="C1577" i="1" s="1"/>
  <c r="R1576" i="1"/>
  <c r="N1576" i="1"/>
  <c r="D1576" i="1"/>
  <c r="C1576" i="1"/>
  <c r="B1576" i="1"/>
  <c r="R1575" i="1"/>
  <c r="N1575" i="1"/>
  <c r="D1575" i="1"/>
  <c r="B1575" i="1"/>
  <c r="C1575" i="1" s="1"/>
  <c r="R1574" i="1"/>
  <c r="N1574" i="1"/>
  <c r="D1574" i="1"/>
  <c r="B1574" i="1"/>
  <c r="C1574" i="1" s="1"/>
  <c r="R1573" i="1"/>
  <c r="N1573" i="1"/>
  <c r="D1573" i="1"/>
  <c r="B1573" i="1"/>
  <c r="C1573" i="1" s="1"/>
  <c r="R1572" i="1"/>
  <c r="N1572" i="1"/>
  <c r="D1572" i="1"/>
  <c r="C1572" i="1"/>
  <c r="B1572" i="1"/>
  <c r="R1571" i="1"/>
  <c r="N1571" i="1"/>
  <c r="D1571" i="1"/>
  <c r="B1571" i="1"/>
  <c r="C1571" i="1" s="1"/>
  <c r="R1570" i="1"/>
  <c r="N1570" i="1"/>
  <c r="D1570" i="1"/>
  <c r="B1570" i="1"/>
  <c r="C1570" i="1" s="1"/>
  <c r="R1569" i="1"/>
  <c r="N1569" i="1"/>
  <c r="D1569" i="1"/>
  <c r="B1569" i="1"/>
  <c r="C1569" i="1" s="1"/>
  <c r="R1568" i="1"/>
  <c r="N1568" i="1"/>
  <c r="D1568" i="1"/>
  <c r="C1568" i="1"/>
  <c r="B1568" i="1"/>
  <c r="R1567" i="1"/>
  <c r="N1567" i="1"/>
  <c r="D1567" i="1"/>
  <c r="B1567" i="1"/>
  <c r="C1567" i="1" s="1"/>
  <c r="R1566" i="1"/>
  <c r="N1566" i="1"/>
  <c r="D1566" i="1"/>
  <c r="B1566" i="1"/>
  <c r="C1566" i="1" s="1"/>
  <c r="R1565" i="1"/>
  <c r="N1565" i="1"/>
  <c r="D1565" i="1"/>
  <c r="B1565" i="1"/>
  <c r="C1565" i="1" s="1"/>
  <c r="R1564" i="1"/>
  <c r="N1564" i="1"/>
  <c r="D1564" i="1"/>
  <c r="C1564" i="1"/>
  <c r="B1564" i="1"/>
  <c r="R1563" i="1"/>
  <c r="N1563" i="1"/>
  <c r="D1563" i="1"/>
  <c r="B1563" i="1"/>
  <c r="C1563" i="1" s="1"/>
  <c r="R1562" i="1"/>
  <c r="N1562" i="1"/>
  <c r="D1562" i="1"/>
  <c r="B1562" i="1"/>
  <c r="C1562" i="1" s="1"/>
  <c r="R1561" i="1"/>
  <c r="N1561" i="1"/>
  <c r="D1561" i="1"/>
  <c r="B1561" i="1"/>
  <c r="C1561" i="1" s="1"/>
  <c r="R1560" i="1"/>
  <c r="N1560" i="1"/>
  <c r="D1560" i="1"/>
  <c r="C1560" i="1"/>
  <c r="B1560" i="1"/>
  <c r="R1559" i="1"/>
  <c r="N1559" i="1"/>
  <c r="D1559" i="1"/>
  <c r="B1559" i="1"/>
  <c r="C1559" i="1" s="1"/>
  <c r="R1558" i="1"/>
  <c r="N1558" i="1"/>
  <c r="D1558" i="1"/>
  <c r="B1558" i="1"/>
  <c r="C1558" i="1" s="1"/>
  <c r="R1557" i="1"/>
  <c r="N1557" i="1"/>
  <c r="D1557" i="1"/>
  <c r="B1557" i="1"/>
  <c r="C1557" i="1" s="1"/>
  <c r="R1556" i="1"/>
  <c r="N1556" i="1"/>
  <c r="D1556" i="1"/>
  <c r="C1556" i="1"/>
  <c r="B1556" i="1"/>
  <c r="R1555" i="1"/>
  <c r="N1555" i="1"/>
  <c r="D1555" i="1"/>
  <c r="B1555" i="1"/>
  <c r="C1555" i="1" s="1"/>
  <c r="R1554" i="1"/>
  <c r="N1554" i="1"/>
  <c r="D1554" i="1"/>
  <c r="B1554" i="1"/>
  <c r="C1554" i="1" s="1"/>
  <c r="R1553" i="1"/>
  <c r="N1553" i="1"/>
  <c r="D1553" i="1"/>
  <c r="B1553" i="1"/>
  <c r="C1553" i="1" s="1"/>
  <c r="R1552" i="1"/>
  <c r="N1552" i="1"/>
  <c r="D1552" i="1"/>
  <c r="C1552" i="1"/>
  <c r="B1552" i="1"/>
  <c r="R1551" i="1"/>
  <c r="N1551" i="1"/>
  <c r="D1551" i="1"/>
  <c r="B1551" i="1"/>
  <c r="C1551" i="1" s="1"/>
  <c r="R1550" i="1"/>
  <c r="N1550" i="1"/>
  <c r="D1550" i="1"/>
  <c r="B1550" i="1"/>
  <c r="C1550" i="1" s="1"/>
  <c r="R1549" i="1"/>
  <c r="N1549" i="1"/>
  <c r="D1549" i="1"/>
  <c r="B1549" i="1"/>
  <c r="C1549" i="1" s="1"/>
  <c r="R1548" i="1"/>
  <c r="N1548" i="1"/>
  <c r="D1548" i="1"/>
  <c r="C1548" i="1"/>
  <c r="B1548" i="1"/>
  <c r="R1547" i="1"/>
  <c r="N1547" i="1"/>
  <c r="D1547" i="1"/>
  <c r="B1547" i="1"/>
  <c r="C1547" i="1" s="1"/>
  <c r="R1546" i="1"/>
  <c r="N1546" i="1"/>
  <c r="D1546" i="1"/>
  <c r="B1546" i="1"/>
  <c r="C1546" i="1" s="1"/>
  <c r="R1545" i="1"/>
  <c r="N1545" i="1"/>
  <c r="D1545" i="1"/>
  <c r="B1545" i="1"/>
  <c r="C1545" i="1" s="1"/>
  <c r="R1544" i="1"/>
  <c r="N1544" i="1"/>
  <c r="D1544" i="1"/>
  <c r="C1544" i="1"/>
  <c r="B1544" i="1"/>
  <c r="R1543" i="1"/>
  <c r="N1543" i="1"/>
  <c r="D1543" i="1"/>
  <c r="B1543" i="1"/>
  <c r="C1543" i="1" s="1"/>
  <c r="R1542" i="1"/>
  <c r="N1542" i="1"/>
  <c r="D1542" i="1"/>
  <c r="B1542" i="1"/>
  <c r="C1542" i="1" s="1"/>
  <c r="R1541" i="1"/>
  <c r="N1541" i="1"/>
  <c r="D1541" i="1"/>
  <c r="B1541" i="1"/>
  <c r="C1541" i="1" s="1"/>
  <c r="R1540" i="1"/>
  <c r="N1540" i="1"/>
  <c r="D1540" i="1"/>
  <c r="C1540" i="1"/>
  <c r="B1540" i="1"/>
  <c r="R1539" i="1"/>
  <c r="N1539" i="1"/>
  <c r="D1539" i="1"/>
  <c r="B1539" i="1"/>
  <c r="C1539" i="1" s="1"/>
  <c r="R1538" i="1"/>
  <c r="N1538" i="1"/>
  <c r="D1538" i="1"/>
  <c r="B1538" i="1"/>
  <c r="C1538" i="1" s="1"/>
  <c r="R1537" i="1"/>
  <c r="N1537" i="1"/>
  <c r="D1537" i="1"/>
  <c r="B1537" i="1"/>
  <c r="C1537" i="1" s="1"/>
  <c r="R1536" i="1"/>
  <c r="N1536" i="1"/>
  <c r="D1536" i="1"/>
  <c r="C1536" i="1"/>
  <c r="B1536" i="1"/>
  <c r="R1535" i="1"/>
  <c r="N1535" i="1"/>
  <c r="D1535" i="1"/>
  <c r="B1535" i="1"/>
  <c r="C1535" i="1" s="1"/>
  <c r="R1534" i="1"/>
  <c r="N1534" i="1"/>
  <c r="D1534" i="1"/>
  <c r="B1534" i="1"/>
  <c r="C1534" i="1" s="1"/>
  <c r="R1533" i="1"/>
  <c r="N1533" i="1"/>
  <c r="D1533" i="1"/>
  <c r="B1533" i="1"/>
  <c r="C1533" i="1" s="1"/>
  <c r="R1532" i="1"/>
  <c r="N1532" i="1"/>
  <c r="D1532" i="1"/>
  <c r="C1532" i="1"/>
  <c r="B1532" i="1"/>
  <c r="R1531" i="1"/>
  <c r="N1531" i="1"/>
  <c r="D1531" i="1"/>
  <c r="B1531" i="1"/>
  <c r="C1531" i="1" s="1"/>
  <c r="R1530" i="1"/>
  <c r="N1530" i="1"/>
  <c r="D1530" i="1"/>
  <c r="B1530" i="1"/>
  <c r="C1530" i="1" s="1"/>
  <c r="R1529" i="1"/>
  <c r="N1529" i="1"/>
  <c r="D1529" i="1"/>
  <c r="B1529" i="1"/>
  <c r="C1529" i="1" s="1"/>
  <c r="R1528" i="1"/>
  <c r="N1528" i="1"/>
  <c r="D1528" i="1"/>
  <c r="C1528" i="1"/>
  <c r="B1528" i="1"/>
  <c r="R1527" i="1"/>
  <c r="N1527" i="1"/>
  <c r="D1527" i="1"/>
  <c r="B1527" i="1"/>
  <c r="C1527" i="1" s="1"/>
  <c r="R1526" i="1"/>
  <c r="N1526" i="1"/>
  <c r="D1526" i="1"/>
  <c r="B1526" i="1"/>
  <c r="C1526" i="1" s="1"/>
  <c r="R1525" i="1"/>
  <c r="N1525" i="1"/>
  <c r="D1525" i="1"/>
  <c r="B1525" i="1"/>
  <c r="C1525" i="1" s="1"/>
  <c r="R1524" i="1"/>
  <c r="N1524" i="1"/>
  <c r="D1524" i="1"/>
  <c r="C1524" i="1"/>
  <c r="B1524" i="1"/>
  <c r="R1523" i="1"/>
  <c r="N1523" i="1"/>
  <c r="D1523" i="1"/>
  <c r="B1523" i="1"/>
  <c r="C1523" i="1" s="1"/>
  <c r="R1522" i="1"/>
  <c r="N1522" i="1"/>
  <c r="D1522" i="1"/>
  <c r="B1522" i="1"/>
  <c r="C1522" i="1" s="1"/>
  <c r="R1521" i="1"/>
  <c r="N1521" i="1"/>
  <c r="D1521" i="1"/>
  <c r="B1521" i="1"/>
  <c r="C1521" i="1" s="1"/>
  <c r="R1520" i="1"/>
  <c r="N1520" i="1"/>
  <c r="D1520" i="1"/>
  <c r="C1520" i="1"/>
  <c r="B1520" i="1"/>
  <c r="R1519" i="1"/>
  <c r="N1519" i="1"/>
  <c r="D1519" i="1"/>
  <c r="B1519" i="1"/>
  <c r="C1519" i="1" s="1"/>
  <c r="R1518" i="1"/>
  <c r="N1518" i="1"/>
  <c r="D1518" i="1"/>
  <c r="B1518" i="1"/>
  <c r="C1518" i="1" s="1"/>
  <c r="R1517" i="1"/>
  <c r="N1517" i="1"/>
  <c r="D1517" i="1"/>
  <c r="B1517" i="1"/>
  <c r="C1517" i="1" s="1"/>
  <c r="R1516" i="1"/>
  <c r="N1516" i="1"/>
  <c r="D1516" i="1"/>
  <c r="C1516" i="1"/>
  <c r="B1516" i="1"/>
  <c r="R1515" i="1"/>
  <c r="N1515" i="1"/>
  <c r="D1515" i="1"/>
  <c r="B1515" i="1"/>
  <c r="C1515" i="1" s="1"/>
  <c r="R1514" i="1"/>
  <c r="N1514" i="1"/>
  <c r="D1514" i="1"/>
  <c r="B1514" i="1"/>
  <c r="C1514" i="1" s="1"/>
  <c r="R1513" i="1"/>
  <c r="N1513" i="1"/>
  <c r="D1513" i="1"/>
  <c r="B1513" i="1"/>
  <c r="C1513" i="1" s="1"/>
  <c r="R1512" i="1"/>
  <c r="N1512" i="1"/>
  <c r="D1512" i="1"/>
  <c r="C1512" i="1"/>
  <c r="B1512" i="1"/>
  <c r="R1511" i="1"/>
  <c r="N1511" i="1"/>
  <c r="D1511" i="1"/>
  <c r="B1511" i="1"/>
  <c r="C1511" i="1" s="1"/>
  <c r="R1510" i="1"/>
  <c r="N1510" i="1"/>
  <c r="D1510" i="1"/>
  <c r="B1510" i="1"/>
  <c r="C1510" i="1" s="1"/>
  <c r="R1509" i="1"/>
  <c r="N1509" i="1"/>
  <c r="D1509" i="1"/>
  <c r="B1509" i="1"/>
  <c r="C1509" i="1" s="1"/>
  <c r="R1508" i="1"/>
  <c r="N1508" i="1"/>
  <c r="D1508" i="1"/>
  <c r="C1508" i="1"/>
  <c r="B1508" i="1"/>
  <c r="R1507" i="1"/>
  <c r="N1507" i="1"/>
  <c r="D1507" i="1"/>
  <c r="B1507" i="1"/>
  <c r="C1507" i="1" s="1"/>
  <c r="R1506" i="1"/>
  <c r="N1506" i="1"/>
  <c r="D1506" i="1"/>
  <c r="B1506" i="1"/>
  <c r="C1506" i="1" s="1"/>
  <c r="R1505" i="1"/>
  <c r="N1505" i="1"/>
  <c r="D1505" i="1"/>
  <c r="B1505" i="1"/>
  <c r="C1505" i="1" s="1"/>
  <c r="R1504" i="1"/>
  <c r="N1504" i="1"/>
  <c r="D1504" i="1"/>
  <c r="C1504" i="1"/>
  <c r="B1504" i="1"/>
  <c r="R1503" i="1"/>
  <c r="N1503" i="1"/>
  <c r="D1503" i="1"/>
  <c r="B1503" i="1"/>
  <c r="C1503" i="1" s="1"/>
  <c r="R1502" i="1"/>
  <c r="N1502" i="1"/>
  <c r="D1502" i="1"/>
  <c r="B1502" i="1"/>
  <c r="C1502" i="1" s="1"/>
  <c r="R1501" i="1"/>
  <c r="N1501" i="1"/>
  <c r="D1501" i="1"/>
  <c r="B1501" i="1"/>
  <c r="C1501" i="1" s="1"/>
  <c r="R1500" i="1"/>
  <c r="N1500" i="1"/>
  <c r="D1500" i="1"/>
  <c r="C1500" i="1"/>
  <c r="B1500" i="1"/>
  <c r="R1499" i="1"/>
  <c r="N1499" i="1"/>
  <c r="D1499" i="1"/>
  <c r="B1499" i="1"/>
  <c r="C1499" i="1" s="1"/>
  <c r="R1498" i="1"/>
  <c r="N1498" i="1"/>
  <c r="D1498" i="1"/>
  <c r="B1498" i="1"/>
  <c r="C1498" i="1" s="1"/>
  <c r="R1497" i="1"/>
  <c r="N1497" i="1"/>
  <c r="D1497" i="1"/>
  <c r="B1497" i="1"/>
  <c r="C1497" i="1" s="1"/>
  <c r="R1496" i="1"/>
  <c r="N1496" i="1"/>
  <c r="D1496" i="1"/>
  <c r="C1496" i="1"/>
  <c r="B1496" i="1"/>
  <c r="R1495" i="1"/>
  <c r="N1495" i="1"/>
  <c r="D1495" i="1"/>
  <c r="B1495" i="1"/>
  <c r="C1495" i="1" s="1"/>
  <c r="R1494" i="1"/>
  <c r="N1494" i="1"/>
  <c r="D1494" i="1"/>
  <c r="B1494" i="1"/>
  <c r="C1494" i="1" s="1"/>
  <c r="R1493" i="1"/>
  <c r="N1493" i="1"/>
  <c r="D1493" i="1"/>
  <c r="B1493" i="1"/>
  <c r="C1493" i="1" s="1"/>
  <c r="R1492" i="1"/>
  <c r="N1492" i="1"/>
  <c r="D1492" i="1"/>
  <c r="C1492" i="1"/>
  <c r="B1492" i="1"/>
  <c r="R1491" i="1"/>
  <c r="N1491" i="1"/>
  <c r="D1491" i="1"/>
  <c r="B1491" i="1"/>
  <c r="C1491" i="1" s="1"/>
  <c r="R1490" i="1"/>
  <c r="N1490" i="1"/>
  <c r="D1490" i="1"/>
  <c r="B1490" i="1"/>
  <c r="C1490" i="1" s="1"/>
  <c r="R1489" i="1"/>
  <c r="N1489" i="1"/>
  <c r="D1489" i="1"/>
  <c r="B1489" i="1"/>
  <c r="C1489" i="1" s="1"/>
  <c r="R1488" i="1"/>
  <c r="N1488" i="1"/>
  <c r="D1488" i="1"/>
  <c r="C1488" i="1"/>
  <c r="B1488" i="1"/>
  <c r="R1487" i="1"/>
  <c r="N1487" i="1"/>
  <c r="D1487" i="1"/>
  <c r="B1487" i="1"/>
  <c r="C1487" i="1" s="1"/>
  <c r="R1486" i="1"/>
  <c r="N1486" i="1"/>
  <c r="D1486" i="1"/>
  <c r="B1486" i="1"/>
  <c r="C1486" i="1" s="1"/>
  <c r="R1485" i="1"/>
  <c r="N1485" i="1"/>
  <c r="D1485" i="1"/>
  <c r="B1485" i="1"/>
  <c r="C1485" i="1" s="1"/>
  <c r="R1484" i="1"/>
  <c r="N1484" i="1"/>
  <c r="D1484" i="1"/>
  <c r="C1484" i="1"/>
  <c r="B1484" i="1"/>
  <c r="R1483" i="1"/>
  <c r="N1483" i="1"/>
  <c r="D1483" i="1"/>
  <c r="B1483" i="1"/>
  <c r="C1483" i="1" s="1"/>
  <c r="R1482" i="1"/>
  <c r="N1482" i="1"/>
  <c r="D1482" i="1"/>
  <c r="B1482" i="1"/>
  <c r="C1482" i="1" s="1"/>
  <c r="R1481" i="1"/>
  <c r="N1481" i="1"/>
  <c r="D1481" i="1"/>
  <c r="B1481" i="1"/>
  <c r="C1481" i="1" s="1"/>
  <c r="R1480" i="1"/>
  <c r="N1480" i="1"/>
  <c r="D1480" i="1"/>
  <c r="C1480" i="1"/>
  <c r="B1480" i="1"/>
  <c r="R1479" i="1"/>
  <c r="N1479" i="1"/>
  <c r="D1479" i="1"/>
  <c r="B1479" i="1"/>
  <c r="C1479" i="1" s="1"/>
  <c r="R1478" i="1"/>
  <c r="N1478" i="1"/>
  <c r="D1478" i="1"/>
  <c r="B1478" i="1"/>
  <c r="C1478" i="1" s="1"/>
  <c r="R1477" i="1"/>
  <c r="N1477" i="1"/>
  <c r="D1477" i="1"/>
  <c r="B1477" i="1"/>
  <c r="C1477" i="1" s="1"/>
  <c r="R1476" i="1"/>
  <c r="N1476" i="1"/>
  <c r="D1476" i="1"/>
  <c r="C1476" i="1"/>
  <c r="B1476" i="1"/>
  <c r="R1475" i="1"/>
  <c r="N1475" i="1"/>
  <c r="D1475" i="1"/>
  <c r="B1475" i="1"/>
  <c r="C1475" i="1" s="1"/>
  <c r="R1474" i="1"/>
  <c r="N1474" i="1"/>
  <c r="D1474" i="1"/>
  <c r="B1474" i="1"/>
  <c r="C1474" i="1" s="1"/>
  <c r="R1473" i="1"/>
  <c r="N1473" i="1"/>
  <c r="D1473" i="1"/>
  <c r="B1473" i="1"/>
  <c r="C1473" i="1" s="1"/>
  <c r="R1472" i="1"/>
  <c r="N1472" i="1"/>
  <c r="D1472" i="1"/>
  <c r="C1472" i="1"/>
  <c r="B1472" i="1"/>
  <c r="R1471" i="1"/>
  <c r="N1471" i="1"/>
  <c r="D1471" i="1"/>
  <c r="B1471" i="1"/>
  <c r="C1471" i="1" s="1"/>
  <c r="R1470" i="1"/>
  <c r="N1470" i="1"/>
  <c r="D1470" i="1"/>
  <c r="B1470" i="1"/>
  <c r="C1470" i="1" s="1"/>
  <c r="R1469" i="1"/>
  <c r="N1469" i="1"/>
  <c r="D1469" i="1"/>
  <c r="B1469" i="1"/>
  <c r="C1469" i="1" s="1"/>
  <c r="R1468" i="1"/>
  <c r="N1468" i="1"/>
  <c r="D1468" i="1"/>
  <c r="C1468" i="1"/>
  <c r="B1468" i="1"/>
  <c r="R1467" i="1"/>
  <c r="N1467" i="1"/>
  <c r="D1467" i="1"/>
  <c r="B1467" i="1"/>
  <c r="C1467" i="1" s="1"/>
  <c r="R1466" i="1"/>
  <c r="N1466" i="1"/>
  <c r="D1466" i="1"/>
  <c r="B1466" i="1"/>
  <c r="C1466" i="1" s="1"/>
  <c r="R1465" i="1"/>
  <c r="N1465" i="1"/>
  <c r="D1465" i="1"/>
  <c r="B1465" i="1"/>
  <c r="C1465" i="1" s="1"/>
  <c r="R1464" i="1"/>
  <c r="N1464" i="1"/>
  <c r="D1464" i="1"/>
  <c r="C1464" i="1"/>
  <c r="B1464" i="1"/>
  <c r="R1463" i="1"/>
  <c r="N1463" i="1"/>
  <c r="D1463" i="1"/>
  <c r="B1463" i="1"/>
  <c r="C1463" i="1" s="1"/>
  <c r="R1462" i="1"/>
  <c r="N1462" i="1"/>
  <c r="D1462" i="1"/>
  <c r="B1462" i="1"/>
  <c r="C1462" i="1" s="1"/>
  <c r="R1461" i="1"/>
  <c r="N1461" i="1"/>
  <c r="D1461" i="1"/>
  <c r="B1461" i="1"/>
  <c r="C1461" i="1" s="1"/>
  <c r="R1460" i="1"/>
  <c r="N1460" i="1"/>
  <c r="D1460" i="1"/>
  <c r="B1460" i="1"/>
  <c r="C1460" i="1" s="1"/>
  <c r="R1459" i="1"/>
  <c r="N1459" i="1"/>
  <c r="D1459" i="1"/>
  <c r="B1459" i="1"/>
  <c r="C1459" i="1" s="1"/>
  <c r="R1458" i="1"/>
  <c r="N1458" i="1"/>
  <c r="D1458" i="1"/>
  <c r="B1458" i="1"/>
  <c r="C1458" i="1" s="1"/>
  <c r="R1457" i="1"/>
  <c r="N1457" i="1"/>
  <c r="D1457" i="1"/>
  <c r="B1457" i="1"/>
  <c r="C1457" i="1" s="1"/>
  <c r="R1456" i="1"/>
  <c r="N1456" i="1"/>
  <c r="D1456" i="1"/>
  <c r="C1456" i="1"/>
  <c r="B1456" i="1"/>
  <c r="R1455" i="1"/>
  <c r="N1455" i="1"/>
  <c r="D1455" i="1"/>
  <c r="B1455" i="1"/>
  <c r="C1455" i="1" s="1"/>
  <c r="R1454" i="1"/>
  <c r="N1454" i="1"/>
  <c r="D1454" i="1"/>
  <c r="B1454" i="1"/>
  <c r="C1454" i="1" s="1"/>
  <c r="R1453" i="1"/>
  <c r="N1453" i="1"/>
  <c r="D1453" i="1"/>
  <c r="B1453" i="1"/>
  <c r="C1453" i="1" s="1"/>
  <c r="R1452" i="1"/>
  <c r="N1452" i="1"/>
  <c r="D1452" i="1"/>
  <c r="B1452" i="1"/>
  <c r="C1452" i="1" s="1"/>
  <c r="R1451" i="1"/>
  <c r="N1451" i="1"/>
  <c r="D1451" i="1"/>
  <c r="B1451" i="1"/>
  <c r="C1451" i="1" s="1"/>
  <c r="R1450" i="1"/>
  <c r="N1450" i="1"/>
  <c r="D1450" i="1"/>
  <c r="B1450" i="1"/>
  <c r="C1450" i="1" s="1"/>
  <c r="R1449" i="1"/>
  <c r="N1449" i="1"/>
  <c r="D1449" i="1"/>
  <c r="B1449" i="1"/>
  <c r="C1449" i="1" s="1"/>
  <c r="R1448" i="1"/>
  <c r="N1448" i="1"/>
  <c r="D1448" i="1"/>
  <c r="C1448" i="1"/>
  <c r="B1448" i="1"/>
  <c r="R1447" i="1"/>
  <c r="N1447" i="1"/>
  <c r="D1447" i="1"/>
  <c r="B1447" i="1"/>
  <c r="C1447" i="1" s="1"/>
  <c r="R1446" i="1"/>
  <c r="N1446" i="1"/>
  <c r="D1446" i="1"/>
  <c r="B1446" i="1"/>
  <c r="C1446" i="1" s="1"/>
  <c r="R1445" i="1"/>
  <c r="N1445" i="1"/>
  <c r="D1445" i="1"/>
  <c r="B1445" i="1"/>
  <c r="C1445" i="1" s="1"/>
  <c r="R1444" i="1"/>
  <c r="N1444" i="1"/>
  <c r="D1444" i="1"/>
  <c r="B1444" i="1"/>
  <c r="C1444" i="1" s="1"/>
  <c r="R1443" i="1"/>
  <c r="N1443" i="1"/>
  <c r="D1443" i="1"/>
  <c r="B1443" i="1"/>
  <c r="C1443" i="1" s="1"/>
  <c r="R1442" i="1"/>
  <c r="N1442" i="1"/>
  <c r="D1442" i="1"/>
  <c r="B1442" i="1"/>
  <c r="C1442" i="1" s="1"/>
  <c r="R1441" i="1"/>
  <c r="N1441" i="1"/>
  <c r="D1441" i="1"/>
  <c r="B1441" i="1"/>
  <c r="C1441" i="1" s="1"/>
  <c r="R1440" i="1"/>
  <c r="N1440" i="1"/>
  <c r="D1440" i="1"/>
  <c r="C1440" i="1"/>
  <c r="B1440" i="1"/>
  <c r="R1439" i="1"/>
  <c r="N1439" i="1"/>
  <c r="D1439" i="1"/>
  <c r="B1439" i="1"/>
  <c r="C1439" i="1" s="1"/>
  <c r="R1438" i="1"/>
  <c r="N1438" i="1"/>
  <c r="D1438" i="1"/>
  <c r="B1438" i="1"/>
  <c r="C1438" i="1" s="1"/>
  <c r="R1437" i="1"/>
  <c r="N1437" i="1"/>
  <c r="D1437" i="1"/>
  <c r="B1437" i="1"/>
  <c r="C1437" i="1" s="1"/>
  <c r="R1436" i="1"/>
  <c r="N1436" i="1"/>
  <c r="D1436" i="1"/>
  <c r="B1436" i="1"/>
  <c r="C1436" i="1" s="1"/>
  <c r="R1435" i="1"/>
  <c r="N1435" i="1"/>
  <c r="D1435" i="1"/>
  <c r="B1435" i="1"/>
  <c r="C1435" i="1" s="1"/>
  <c r="R1434" i="1"/>
  <c r="N1434" i="1"/>
  <c r="D1434" i="1"/>
  <c r="B1434" i="1"/>
  <c r="C1434" i="1" s="1"/>
  <c r="R1433" i="1"/>
  <c r="N1433" i="1"/>
  <c r="D1433" i="1"/>
  <c r="B1433" i="1"/>
  <c r="C1433" i="1" s="1"/>
  <c r="R1432" i="1"/>
  <c r="N1432" i="1"/>
  <c r="D1432" i="1"/>
  <c r="C1432" i="1"/>
  <c r="B1432" i="1"/>
  <c r="R1431" i="1"/>
  <c r="N1431" i="1"/>
  <c r="D1431" i="1"/>
  <c r="B1431" i="1"/>
  <c r="C1431" i="1" s="1"/>
  <c r="R1430" i="1"/>
  <c r="N1430" i="1"/>
  <c r="D1430" i="1"/>
  <c r="B1430" i="1"/>
  <c r="C1430" i="1" s="1"/>
  <c r="R1429" i="1"/>
  <c r="N1429" i="1"/>
  <c r="D1429" i="1"/>
  <c r="B1429" i="1"/>
  <c r="C1429" i="1" s="1"/>
  <c r="R1428" i="1"/>
  <c r="N1428" i="1"/>
  <c r="D1428" i="1"/>
  <c r="B1428" i="1"/>
  <c r="C1428" i="1" s="1"/>
  <c r="R1427" i="1"/>
  <c r="N1427" i="1"/>
  <c r="D1427" i="1"/>
  <c r="B1427" i="1"/>
  <c r="C1427" i="1" s="1"/>
  <c r="R1426" i="1"/>
  <c r="N1426" i="1"/>
  <c r="D1426" i="1"/>
  <c r="B1426" i="1"/>
  <c r="C1426" i="1" s="1"/>
  <c r="R1425" i="1"/>
  <c r="N1425" i="1"/>
  <c r="D1425" i="1"/>
  <c r="B1425" i="1"/>
  <c r="C1425" i="1" s="1"/>
  <c r="R1424" i="1"/>
  <c r="N1424" i="1"/>
  <c r="D1424" i="1"/>
  <c r="C1424" i="1"/>
  <c r="B1424" i="1"/>
  <c r="R1423" i="1"/>
  <c r="N1423" i="1"/>
  <c r="D1423" i="1"/>
  <c r="B1423" i="1"/>
  <c r="C1423" i="1" s="1"/>
  <c r="R1422" i="1"/>
  <c r="N1422" i="1"/>
  <c r="D1422" i="1"/>
  <c r="B1422" i="1"/>
  <c r="C1422" i="1" s="1"/>
  <c r="R1421" i="1"/>
  <c r="N1421" i="1"/>
  <c r="D1421" i="1"/>
  <c r="B1421" i="1"/>
  <c r="C1421" i="1" s="1"/>
  <c r="R1420" i="1"/>
  <c r="N1420" i="1"/>
  <c r="D1420" i="1"/>
  <c r="B1420" i="1"/>
  <c r="C1420" i="1" s="1"/>
  <c r="R1419" i="1"/>
  <c r="N1419" i="1"/>
  <c r="D1419" i="1"/>
  <c r="B1419" i="1"/>
  <c r="C1419" i="1" s="1"/>
  <c r="R1418" i="1"/>
  <c r="N1418" i="1"/>
  <c r="D1418" i="1"/>
  <c r="B1418" i="1"/>
  <c r="C1418" i="1" s="1"/>
  <c r="R1417" i="1"/>
  <c r="N1417" i="1"/>
  <c r="D1417" i="1"/>
  <c r="B1417" i="1"/>
  <c r="C1417" i="1" s="1"/>
  <c r="R1416" i="1"/>
  <c r="N1416" i="1"/>
  <c r="D1416" i="1"/>
  <c r="C1416" i="1"/>
  <c r="B1416" i="1"/>
  <c r="R1415" i="1"/>
  <c r="N1415" i="1"/>
  <c r="D1415" i="1"/>
  <c r="B1415" i="1"/>
  <c r="C1415" i="1" s="1"/>
  <c r="R1414" i="1"/>
  <c r="N1414" i="1"/>
  <c r="D1414" i="1"/>
  <c r="B1414" i="1"/>
  <c r="C1414" i="1" s="1"/>
  <c r="R1413" i="1"/>
  <c r="N1413" i="1"/>
  <c r="D1413" i="1"/>
  <c r="B1413" i="1"/>
  <c r="C1413" i="1" s="1"/>
  <c r="R1412" i="1"/>
  <c r="N1412" i="1"/>
  <c r="D1412" i="1"/>
  <c r="B1412" i="1"/>
  <c r="C1412" i="1" s="1"/>
  <c r="R1411" i="1"/>
  <c r="N1411" i="1"/>
  <c r="D1411" i="1"/>
  <c r="B1411" i="1"/>
  <c r="C1411" i="1" s="1"/>
  <c r="R1410" i="1"/>
  <c r="N1410" i="1"/>
  <c r="D1410" i="1"/>
  <c r="B1410" i="1"/>
  <c r="C1410" i="1" s="1"/>
  <c r="R1409" i="1"/>
  <c r="N1409" i="1"/>
  <c r="D1409" i="1"/>
  <c r="B1409" i="1"/>
  <c r="C1409" i="1" s="1"/>
  <c r="R1408" i="1"/>
  <c r="N1408" i="1"/>
  <c r="D1408" i="1"/>
  <c r="C1408" i="1"/>
  <c r="B1408" i="1"/>
  <c r="R1407" i="1"/>
  <c r="N1407" i="1"/>
  <c r="D1407" i="1"/>
  <c r="B1407" i="1"/>
  <c r="C1407" i="1" s="1"/>
  <c r="R1406" i="1"/>
  <c r="N1406" i="1"/>
  <c r="D1406" i="1"/>
  <c r="B1406" i="1"/>
  <c r="C1406" i="1" s="1"/>
  <c r="R1405" i="1"/>
  <c r="N1405" i="1"/>
  <c r="D1405" i="1"/>
  <c r="B1405" i="1"/>
  <c r="C1405" i="1" s="1"/>
  <c r="R1404" i="1"/>
  <c r="N1404" i="1"/>
  <c r="D1404" i="1"/>
  <c r="B1404" i="1"/>
  <c r="C1404" i="1" s="1"/>
  <c r="R1403" i="1"/>
  <c r="N1403" i="1"/>
  <c r="D1403" i="1"/>
  <c r="B1403" i="1"/>
  <c r="C1403" i="1" s="1"/>
  <c r="R1402" i="1"/>
  <c r="N1402" i="1"/>
  <c r="D1402" i="1"/>
  <c r="B1402" i="1"/>
  <c r="C1402" i="1" s="1"/>
  <c r="R1401" i="1"/>
  <c r="N1401" i="1"/>
  <c r="D1401" i="1"/>
  <c r="B1401" i="1"/>
  <c r="C1401" i="1" s="1"/>
  <c r="R1400" i="1"/>
  <c r="N1400" i="1"/>
  <c r="D1400" i="1"/>
  <c r="C1400" i="1"/>
  <c r="B1400" i="1"/>
  <c r="R1399" i="1"/>
  <c r="N1399" i="1"/>
  <c r="D1399" i="1"/>
  <c r="B1399" i="1"/>
  <c r="C1399" i="1" s="1"/>
  <c r="R1398" i="1"/>
  <c r="N1398" i="1"/>
  <c r="D1398" i="1"/>
  <c r="B1398" i="1"/>
  <c r="C1398" i="1" s="1"/>
  <c r="R1397" i="1"/>
  <c r="N1397" i="1"/>
  <c r="D1397" i="1"/>
  <c r="B1397" i="1"/>
  <c r="C1397" i="1" s="1"/>
  <c r="R1396" i="1"/>
  <c r="N1396" i="1"/>
  <c r="D1396" i="1"/>
  <c r="B1396" i="1"/>
  <c r="C1396" i="1" s="1"/>
  <c r="R1395" i="1"/>
  <c r="N1395" i="1"/>
  <c r="D1395" i="1"/>
  <c r="B1395" i="1"/>
  <c r="C1395" i="1" s="1"/>
  <c r="R1394" i="1"/>
  <c r="N1394" i="1"/>
  <c r="D1394" i="1"/>
  <c r="B1394" i="1"/>
  <c r="C1394" i="1" s="1"/>
  <c r="R1393" i="1"/>
  <c r="N1393" i="1"/>
  <c r="D1393" i="1"/>
  <c r="B1393" i="1"/>
  <c r="C1393" i="1" s="1"/>
  <c r="R1392" i="1"/>
  <c r="N1392" i="1"/>
  <c r="D1392" i="1"/>
  <c r="C1392" i="1"/>
  <c r="B1392" i="1"/>
  <c r="R1391" i="1"/>
  <c r="N1391" i="1"/>
  <c r="D1391" i="1"/>
  <c r="B1391" i="1"/>
  <c r="C1391" i="1" s="1"/>
  <c r="R1390" i="1"/>
  <c r="N1390" i="1"/>
  <c r="D1390" i="1"/>
  <c r="B1390" i="1"/>
  <c r="C1390" i="1" s="1"/>
  <c r="R1389" i="1"/>
  <c r="N1389" i="1"/>
  <c r="D1389" i="1"/>
  <c r="B1389" i="1"/>
  <c r="C1389" i="1" s="1"/>
  <c r="R1388" i="1"/>
  <c r="N1388" i="1"/>
  <c r="D1388" i="1"/>
  <c r="B1388" i="1"/>
  <c r="C1388" i="1" s="1"/>
  <c r="R1387" i="1"/>
  <c r="N1387" i="1"/>
  <c r="D1387" i="1"/>
  <c r="B1387" i="1"/>
  <c r="C1387" i="1" s="1"/>
  <c r="R1386" i="1"/>
  <c r="N1386" i="1"/>
  <c r="D1386" i="1"/>
  <c r="B1386" i="1"/>
  <c r="C1386" i="1" s="1"/>
  <c r="R1385" i="1"/>
  <c r="N1385" i="1"/>
  <c r="D1385" i="1"/>
  <c r="B1385" i="1"/>
  <c r="C1385" i="1" s="1"/>
  <c r="R1384" i="1"/>
  <c r="N1384" i="1"/>
  <c r="D1384" i="1"/>
  <c r="C1384" i="1"/>
  <c r="B1384" i="1"/>
  <c r="R1383" i="1"/>
  <c r="N1383" i="1"/>
  <c r="D1383" i="1"/>
  <c r="B1383" i="1"/>
  <c r="C1383" i="1" s="1"/>
  <c r="R1382" i="1"/>
  <c r="N1382" i="1"/>
  <c r="D1382" i="1"/>
  <c r="B1382" i="1"/>
  <c r="C1382" i="1" s="1"/>
  <c r="R1381" i="1"/>
  <c r="N1381" i="1"/>
  <c r="D1381" i="1"/>
  <c r="B1381" i="1"/>
  <c r="C1381" i="1" s="1"/>
  <c r="R1380" i="1"/>
  <c r="N1380" i="1"/>
  <c r="D1380" i="1"/>
  <c r="B1380" i="1"/>
  <c r="C1380" i="1" s="1"/>
  <c r="R1379" i="1"/>
  <c r="N1379" i="1"/>
  <c r="D1379" i="1"/>
  <c r="B1379" i="1"/>
  <c r="C1379" i="1" s="1"/>
  <c r="R1378" i="1"/>
  <c r="N1378" i="1"/>
  <c r="D1378" i="1"/>
  <c r="C1378" i="1"/>
  <c r="B1378" i="1"/>
  <c r="R1377" i="1"/>
  <c r="N1377" i="1"/>
  <c r="D1377" i="1"/>
  <c r="B1377" i="1"/>
  <c r="C1377" i="1" s="1"/>
  <c r="R1376" i="1"/>
  <c r="N1376" i="1"/>
  <c r="D1376" i="1"/>
  <c r="B1376" i="1"/>
  <c r="C1376" i="1" s="1"/>
  <c r="R1375" i="1"/>
  <c r="N1375" i="1"/>
  <c r="D1375" i="1"/>
  <c r="B1375" i="1"/>
  <c r="C1375" i="1" s="1"/>
  <c r="R1374" i="1"/>
  <c r="N1374" i="1"/>
  <c r="D1374" i="1"/>
  <c r="B1374" i="1"/>
  <c r="C1374" i="1" s="1"/>
  <c r="R1373" i="1"/>
  <c r="N1373" i="1"/>
  <c r="D1373" i="1"/>
  <c r="B1373" i="1"/>
  <c r="C1373" i="1" s="1"/>
  <c r="R1372" i="1"/>
  <c r="N1372" i="1"/>
  <c r="D1372" i="1"/>
  <c r="C1372" i="1"/>
  <c r="B1372" i="1"/>
  <c r="R1371" i="1"/>
  <c r="N1371" i="1"/>
  <c r="D1371" i="1"/>
  <c r="B1371" i="1"/>
  <c r="C1371" i="1" s="1"/>
  <c r="R1370" i="1"/>
  <c r="N1370" i="1"/>
  <c r="D1370" i="1"/>
  <c r="B1370" i="1"/>
  <c r="C1370" i="1" s="1"/>
  <c r="R1369" i="1"/>
  <c r="N1369" i="1"/>
  <c r="D1369" i="1"/>
  <c r="B1369" i="1"/>
  <c r="C1369" i="1" s="1"/>
  <c r="R1368" i="1"/>
  <c r="N1368" i="1"/>
  <c r="D1368" i="1"/>
  <c r="B1368" i="1"/>
  <c r="C1368" i="1" s="1"/>
  <c r="R1367" i="1"/>
  <c r="N1367" i="1"/>
  <c r="D1367" i="1"/>
  <c r="C1367" i="1"/>
  <c r="B1367" i="1"/>
  <c r="R1366" i="1"/>
  <c r="N1366" i="1"/>
  <c r="D1366" i="1"/>
  <c r="B1366" i="1"/>
  <c r="C1366" i="1" s="1"/>
  <c r="R1365" i="1"/>
  <c r="N1365" i="1"/>
  <c r="D1365" i="1"/>
  <c r="B1365" i="1"/>
  <c r="C1365" i="1" s="1"/>
  <c r="R1364" i="1"/>
  <c r="N1364" i="1"/>
  <c r="D1364" i="1"/>
  <c r="B1364" i="1"/>
  <c r="C1364" i="1" s="1"/>
  <c r="R1363" i="1"/>
  <c r="N1363" i="1"/>
  <c r="D1363" i="1"/>
  <c r="B1363" i="1"/>
  <c r="C1363" i="1" s="1"/>
  <c r="R1362" i="1"/>
  <c r="N1362" i="1"/>
  <c r="D1362" i="1"/>
  <c r="B1362" i="1"/>
  <c r="C1362" i="1" s="1"/>
  <c r="R1361" i="1"/>
  <c r="N1361" i="1"/>
  <c r="D1361" i="1"/>
  <c r="B1361" i="1"/>
  <c r="C1361" i="1" s="1"/>
  <c r="R1360" i="1"/>
  <c r="N1360" i="1"/>
  <c r="D1360" i="1"/>
  <c r="C1360" i="1"/>
  <c r="B1360" i="1"/>
  <c r="R1359" i="1"/>
  <c r="N1359" i="1"/>
  <c r="D1359" i="1"/>
  <c r="B1359" i="1"/>
  <c r="C1359" i="1" s="1"/>
  <c r="R1358" i="1"/>
  <c r="N1358" i="1"/>
  <c r="D1358" i="1"/>
  <c r="B1358" i="1"/>
  <c r="C1358" i="1" s="1"/>
  <c r="R1357" i="1"/>
  <c r="N1357" i="1"/>
  <c r="D1357" i="1"/>
  <c r="B1357" i="1"/>
  <c r="C1357" i="1" s="1"/>
  <c r="R1356" i="1"/>
  <c r="N1356" i="1"/>
  <c r="D1356" i="1"/>
  <c r="B1356" i="1"/>
  <c r="C1356" i="1" s="1"/>
  <c r="R1355" i="1"/>
  <c r="N1355" i="1"/>
  <c r="D1355" i="1"/>
  <c r="C1355" i="1"/>
  <c r="B1355" i="1"/>
  <c r="R1354" i="1"/>
  <c r="N1354" i="1"/>
  <c r="D1354" i="1"/>
  <c r="B1354" i="1"/>
  <c r="C1354" i="1" s="1"/>
  <c r="R1353" i="1"/>
  <c r="N1353" i="1"/>
  <c r="D1353" i="1"/>
  <c r="B1353" i="1"/>
  <c r="C1353" i="1" s="1"/>
  <c r="R1352" i="1"/>
  <c r="N1352" i="1"/>
  <c r="D1352" i="1"/>
  <c r="B1352" i="1"/>
  <c r="C1352" i="1" s="1"/>
  <c r="R1351" i="1"/>
  <c r="N1351" i="1"/>
  <c r="D1351" i="1"/>
  <c r="B1351" i="1"/>
  <c r="C1351" i="1" s="1"/>
  <c r="R1350" i="1"/>
  <c r="N1350" i="1"/>
  <c r="D1350" i="1"/>
  <c r="B1350" i="1"/>
  <c r="C1350" i="1" s="1"/>
  <c r="R1349" i="1"/>
  <c r="N1349" i="1"/>
  <c r="D1349" i="1"/>
  <c r="B1349" i="1"/>
  <c r="C1349" i="1" s="1"/>
  <c r="R1348" i="1"/>
  <c r="N1348" i="1"/>
  <c r="D1348" i="1"/>
  <c r="C1348" i="1"/>
  <c r="B1348" i="1"/>
  <c r="R1347" i="1"/>
  <c r="N1347" i="1"/>
  <c r="D1347" i="1"/>
  <c r="B1347" i="1"/>
  <c r="C1347" i="1" s="1"/>
  <c r="R1346" i="1"/>
  <c r="N1346" i="1"/>
  <c r="D1346" i="1"/>
  <c r="B1346" i="1"/>
  <c r="C1346" i="1" s="1"/>
  <c r="R1345" i="1"/>
  <c r="N1345" i="1"/>
  <c r="D1345" i="1"/>
  <c r="B1345" i="1"/>
  <c r="C1345" i="1" s="1"/>
  <c r="R1344" i="1"/>
  <c r="N1344" i="1"/>
  <c r="D1344" i="1"/>
  <c r="B1344" i="1"/>
  <c r="C1344" i="1" s="1"/>
  <c r="R1343" i="1"/>
  <c r="N1343" i="1"/>
  <c r="D1343" i="1"/>
  <c r="C1343" i="1"/>
  <c r="B1343" i="1"/>
  <c r="R1342" i="1"/>
  <c r="N1342" i="1"/>
  <c r="D1342" i="1"/>
  <c r="B1342" i="1"/>
  <c r="C1342" i="1" s="1"/>
  <c r="R1341" i="1"/>
  <c r="N1341" i="1"/>
  <c r="D1341" i="1"/>
  <c r="B1341" i="1"/>
  <c r="C1341" i="1" s="1"/>
  <c r="R1340" i="1"/>
  <c r="N1340" i="1"/>
  <c r="D1340" i="1"/>
  <c r="B1340" i="1"/>
  <c r="C1340" i="1" s="1"/>
  <c r="R1339" i="1"/>
  <c r="N1339" i="1"/>
  <c r="D1339" i="1"/>
  <c r="B1339" i="1"/>
  <c r="C1339" i="1" s="1"/>
  <c r="R1338" i="1"/>
  <c r="N1338" i="1"/>
  <c r="D1338" i="1"/>
  <c r="C1338" i="1"/>
  <c r="B1338" i="1"/>
  <c r="R1337" i="1"/>
  <c r="N1337" i="1"/>
  <c r="D1337" i="1"/>
  <c r="B1337" i="1"/>
  <c r="C1337" i="1" s="1"/>
  <c r="R1336" i="1"/>
  <c r="N1336" i="1"/>
  <c r="D1336" i="1"/>
  <c r="B1336" i="1"/>
  <c r="C1336" i="1" s="1"/>
  <c r="R1335" i="1"/>
  <c r="N1335" i="1"/>
  <c r="D1335" i="1"/>
  <c r="B1335" i="1"/>
  <c r="C1335" i="1" s="1"/>
  <c r="R1334" i="1"/>
  <c r="N1334" i="1"/>
  <c r="D1334" i="1"/>
  <c r="B1334" i="1"/>
  <c r="C1334" i="1" s="1"/>
  <c r="R1333" i="1"/>
  <c r="N1333" i="1"/>
  <c r="D1333" i="1"/>
  <c r="B1333" i="1"/>
  <c r="C1333" i="1" s="1"/>
  <c r="R1332" i="1"/>
  <c r="N1332" i="1"/>
  <c r="D1332" i="1"/>
  <c r="B1332" i="1"/>
  <c r="C1332" i="1" s="1"/>
  <c r="R1331" i="1"/>
  <c r="N1331" i="1"/>
  <c r="D1331" i="1"/>
  <c r="C1331" i="1"/>
  <c r="B1331" i="1"/>
  <c r="R1330" i="1"/>
  <c r="N1330" i="1"/>
  <c r="D1330" i="1"/>
  <c r="B1330" i="1"/>
  <c r="C1330" i="1" s="1"/>
  <c r="R1329" i="1"/>
  <c r="N1329" i="1"/>
  <c r="D1329" i="1"/>
  <c r="B1329" i="1"/>
  <c r="C1329" i="1" s="1"/>
  <c r="R1328" i="1"/>
  <c r="N1328" i="1"/>
  <c r="D1328" i="1"/>
  <c r="B1328" i="1"/>
  <c r="C1328" i="1" s="1"/>
  <c r="R1327" i="1"/>
  <c r="N1327" i="1"/>
  <c r="D1327" i="1"/>
  <c r="B1327" i="1"/>
  <c r="C1327" i="1" s="1"/>
  <c r="R1326" i="1"/>
  <c r="N1326" i="1"/>
  <c r="D1326" i="1"/>
  <c r="C1326" i="1"/>
  <c r="B1326" i="1"/>
  <c r="R1325" i="1"/>
  <c r="N1325" i="1"/>
  <c r="D1325" i="1"/>
  <c r="B1325" i="1"/>
  <c r="C1325" i="1" s="1"/>
  <c r="R1324" i="1"/>
  <c r="N1324" i="1"/>
  <c r="D1324" i="1"/>
  <c r="B1324" i="1"/>
  <c r="C1324" i="1" s="1"/>
  <c r="R1323" i="1"/>
  <c r="N1323" i="1"/>
  <c r="D1323" i="1"/>
  <c r="B1323" i="1"/>
  <c r="C1323" i="1" s="1"/>
  <c r="R1322" i="1"/>
  <c r="N1322" i="1"/>
  <c r="D1322" i="1"/>
  <c r="B1322" i="1"/>
  <c r="C1322" i="1" s="1"/>
  <c r="R1321" i="1"/>
  <c r="N1321" i="1"/>
  <c r="D1321" i="1"/>
  <c r="B1321" i="1"/>
  <c r="C1321" i="1" s="1"/>
  <c r="R1320" i="1"/>
  <c r="N1320" i="1"/>
  <c r="D1320" i="1"/>
  <c r="C1320" i="1"/>
  <c r="B1320" i="1"/>
  <c r="R1319" i="1"/>
  <c r="N1319" i="1"/>
  <c r="D1319" i="1"/>
  <c r="B1319" i="1"/>
  <c r="C1319" i="1" s="1"/>
  <c r="R1318" i="1"/>
  <c r="N1318" i="1"/>
  <c r="D1318" i="1"/>
  <c r="B1318" i="1"/>
  <c r="C1318" i="1" s="1"/>
  <c r="R1317" i="1"/>
  <c r="N1317" i="1"/>
  <c r="D1317" i="1"/>
  <c r="B1317" i="1"/>
  <c r="C1317" i="1" s="1"/>
  <c r="R1316" i="1"/>
  <c r="N1316" i="1"/>
  <c r="D1316" i="1"/>
  <c r="B1316" i="1"/>
  <c r="C1316" i="1" s="1"/>
  <c r="R1315" i="1"/>
  <c r="N1315" i="1"/>
  <c r="D1315" i="1"/>
  <c r="B1315" i="1"/>
  <c r="C1315" i="1" s="1"/>
  <c r="R1314" i="1"/>
  <c r="N1314" i="1"/>
  <c r="D1314" i="1"/>
  <c r="C1314" i="1"/>
  <c r="B1314" i="1"/>
  <c r="R1313" i="1"/>
  <c r="N1313" i="1"/>
  <c r="D1313" i="1"/>
  <c r="B1313" i="1"/>
  <c r="C1313" i="1" s="1"/>
  <c r="R1312" i="1"/>
  <c r="N1312" i="1"/>
  <c r="D1312" i="1"/>
  <c r="B1312" i="1"/>
  <c r="C1312" i="1" s="1"/>
  <c r="R1311" i="1"/>
  <c r="N1311" i="1"/>
  <c r="D1311" i="1"/>
  <c r="B1311" i="1"/>
  <c r="C1311" i="1" s="1"/>
  <c r="R1310" i="1"/>
  <c r="N1310" i="1"/>
  <c r="D1310" i="1"/>
  <c r="B1310" i="1"/>
  <c r="C1310" i="1" s="1"/>
  <c r="R1309" i="1"/>
  <c r="N1309" i="1"/>
  <c r="D1309" i="1"/>
  <c r="B1309" i="1"/>
  <c r="C1309" i="1" s="1"/>
  <c r="R1308" i="1"/>
  <c r="N1308" i="1"/>
  <c r="D1308" i="1"/>
  <c r="C1308" i="1"/>
  <c r="B1308" i="1"/>
  <c r="R1307" i="1"/>
  <c r="N1307" i="1"/>
  <c r="D1307" i="1"/>
  <c r="B1307" i="1"/>
  <c r="C1307" i="1" s="1"/>
  <c r="R1306" i="1"/>
  <c r="N1306" i="1"/>
  <c r="D1306" i="1"/>
  <c r="B1306" i="1"/>
  <c r="C1306" i="1" s="1"/>
  <c r="R1305" i="1"/>
  <c r="N1305" i="1"/>
  <c r="D1305" i="1"/>
  <c r="B1305" i="1"/>
  <c r="C1305" i="1" s="1"/>
  <c r="R1304" i="1"/>
  <c r="N1304" i="1"/>
  <c r="D1304" i="1"/>
  <c r="B1304" i="1"/>
  <c r="C1304" i="1" s="1"/>
  <c r="R1303" i="1"/>
  <c r="N1303" i="1"/>
  <c r="D1303" i="1"/>
  <c r="C1303" i="1"/>
  <c r="B1303" i="1"/>
  <c r="R1302" i="1"/>
  <c r="N1302" i="1"/>
  <c r="D1302" i="1"/>
  <c r="B1302" i="1"/>
  <c r="C1302" i="1" s="1"/>
  <c r="R1301" i="1"/>
  <c r="N1301" i="1"/>
  <c r="D1301" i="1"/>
  <c r="B1301" i="1"/>
  <c r="C1301" i="1" s="1"/>
  <c r="R1300" i="1"/>
  <c r="N1300" i="1"/>
  <c r="D1300" i="1"/>
  <c r="B1300" i="1"/>
  <c r="C1300" i="1" s="1"/>
  <c r="R1299" i="1"/>
  <c r="N1299" i="1"/>
  <c r="D1299" i="1"/>
  <c r="B1299" i="1"/>
  <c r="C1299" i="1" s="1"/>
  <c r="R1298" i="1"/>
  <c r="N1298" i="1"/>
  <c r="D1298" i="1"/>
  <c r="B1298" i="1"/>
  <c r="C1298" i="1" s="1"/>
  <c r="R1297" i="1"/>
  <c r="N1297" i="1"/>
  <c r="D1297" i="1"/>
  <c r="B1297" i="1"/>
  <c r="C1297" i="1" s="1"/>
  <c r="R1296" i="1"/>
  <c r="N1296" i="1"/>
  <c r="D1296" i="1"/>
  <c r="C1296" i="1"/>
  <c r="B1296" i="1"/>
  <c r="R1295" i="1"/>
  <c r="N1295" i="1"/>
  <c r="D1295" i="1"/>
  <c r="B1295" i="1"/>
  <c r="C1295" i="1" s="1"/>
  <c r="R1294" i="1"/>
  <c r="N1294" i="1"/>
  <c r="D1294" i="1"/>
  <c r="B1294" i="1"/>
  <c r="C1294" i="1" s="1"/>
  <c r="R1293" i="1"/>
  <c r="N1293" i="1"/>
  <c r="D1293" i="1"/>
  <c r="B1293" i="1"/>
  <c r="C1293" i="1" s="1"/>
  <c r="R1292" i="1"/>
  <c r="N1292" i="1"/>
  <c r="D1292" i="1"/>
  <c r="B1292" i="1"/>
  <c r="C1292" i="1" s="1"/>
  <c r="R1291" i="1"/>
  <c r="N1291" i="1"/>
  <c r="D1291" i="1"/>
  <c r="C1291" i="1"/>
  <c r="B1291" i="1"/>
  <c r="R1290" i="1"/>
  <c r="N1290" i="1"/>
  <c r="D1290" i="1"/>
  <c r="B1290" i="1"/>
  <c r="C1290" i="1" s="1"/>
  <c r="R1289" i="1"/>
  <c r="N1289" i="1"/>
  <c r="D1289" i="1"/>
  <c r="B1289" i="1"/>
  <c r="C1289" i="1" s="1"/>
  <c r="R1288" i="1"/>
  <c r="N1288" i="1"/>
  <c r="D1288" i="1"/>
  <c r="B1288" i="1"/>
  <c r="C1288" i="1" s="1"/>
  <c r="R1287" i="1"/>
  <c r="N1287" i="1"/>
  <c r="D1287" i="1"/>
  <c r="B1287" i="1"/>
  <c r="C1287" i="1" s="1"/>
  <c r="R1286" i="1"/>
  <c r="N1286" i="1"/>
  <c r="D1286" i="1"/>
  <c r="B1286" i="1"/>
  <c r="C1286" i="1" s="1"/>
  <c r="R1285" i="1"/>
  <c r="N1285" i="1"/>
  <c r="D1285" i="1"/>
  <c r="B1285" i="1"/>
  <c r="C1285" i="1" s="1"/>
  <c r="R1284" i="1"/>
  <c r="N1284" i="1"/>
  <c r="D1284" i="1"/>
  <c r="C1284" i="1"/>
  <c r="B1284" i="1"/>
  <c r="R1283" i="1"/>
  <c r="N1283" i="1"/>
  <c r="D1283" i="1"/>
  <c r="B1283" i="1"/>
  <c r="C1283" i="1" s="1"/>
  <c r="R1282" i="1"/>
  <c r="N1282" i="1"/>
  <c r="D1282" i="1"/>
  <c r="B1282" i="1"/>
  <c r="C1282" i="1" s="1"/>
  <c r="R1281" i="1"/>
  <c r="N1281" i="1"/>
  <c r="D1281" i="1"/>
  <c r="B1281" i="1"/>
  <c r="C1281" i="1" s="1"/>
  <c r="R1280" i="1"/>
  <c r="N1280" i="1"/>
  <c r="D1280" i="1"/>
  <c r="B1280" i="1"/>
  <c r="C1280" i="1" s="1"/>
  <c r="R1279" i="1"/>
  <c r="N1279" i="1"/>
  <c r="D1279" i="1"/>
  <c r="C1279" i="1"/>
  <c r="B1279" i="1"/>
  <c r="R1278" i="1"/>
  <c r="N1278" i="1"/>
  <c r="D1278" i="1"/>
  <c r="B1278" i="1"/>
  <c r="C1278" i="1" s="1"/>
  <c r="R1277" i="1"/>
  <c r="N1277" i="1"/>
  <c r="D1277" i="1"/>
  <c r="B1277" i="1"/>
  <c r="C1277" i="1" s="1"/>
  <c r="R1276" i="1"/>
  <c r="N1276" i="1"/>
  <c r="D1276" i="1"/>
  <c r="B1276" i="1"/>
  <c r="C1276" i="1" s="1"/>
  <c r="R1275" i="1"/>
  <c r="N1275" i="1"/>
  <c r="D1275" i="1"/>
  <c r="B1275" i="1"/>
  <c r="C1275" i="1" s="1"/>
  <c r="R1274" i="1"/>
  <c r="N1274" i="1"/>
  <c r="D1274" i="1"/>
  <c r="C1274" i="1"/>
  <c r="B1274" i="1"/>
  <c r="R1273" i="1"/>
  <c r="N1273" i="1"/>
  <c r="D1273" i="1"/>
  <c r="B1273" i="1"/>
  <c r="C1273" i="1" s="1"/>
  <c r="R1272" i="1"/>
  <c r="N1272" i="1"/>
  <c r="D1272" i="1"/>
  <c r="B1272" i="1"/>
  <c r="C1272" i="1" s="1"/>
  <c r="R1271" i="1"/>
  <c r="N1271" i="1"/>
  <c r="D1271" i="1"/>
  <c r="B1271" i="1"/>
  <c r="C1271" i="1" s="1"/>
  <c r="R1270" i="1"/>
  <c r="N1270" i="1"/>
  <c r="D1270" i="1"/>
  <c r="B1270" i="1"/>
  <c r="C1270" i="1" s="1"/>
  <c r="R1269" i="1"/>
  <c r="N1269" i="1"/>
  <c r="D1269" i="1"/>
  <c r="B1269" i="1"/>
  <c r="C1269" i="1" s="1"/>
  <c r="R1268" i="1"/>
  <c r="N1268" i="1"/>
  <c r="D1268" i="1"/>
  <c r="C1268" i="1"/>
  <c r="B1268" i="1"/>
  <c r="R1267" i="1"/>
  <c r="N1267" i="1"/>
  <c r="D1267" i="1"/>
  <c r="B1267" i="1"/>
  <c r="C1267" i="1" s="1"/>
  <c r="R1266" i="1"/>
  <c r="N1266" i="1"/>
  <c r="D1266" i="1"/>
  <c r="C1266" i="1"/>
  <c r="B1266" i="1"/>
  <c r="R1265" i="1"/>
  <c r="N1265" i="1"/>
  <c r="D1265" i="1"/>
  <c r="B1265" i="1"/>
  <c r="C1265" i="1" s="1"/>
  <c r="R1264" i="1"/>
  <c r="N1264" i="1"/>
  <c r="D1264" i="1"/>
  <c r="B1264" i="1"/>
  <c r="C1264" i="1" s="1"/>
  <c r="R1263" i="1"/>
  <c r="N1263" i="1"/>
  <c r="D1263" i="1"/>
  <c r="B1263" i="1"/>
  <c r="C1263" i="1" s="1"/>
  <c r="R1262" i="1"/>
  <c r="N1262" i="1"/>
  <c r="D1262" i="1"/>
  <c r="C1262" i="1"/>
  <c r="B1262" i="1"/>
  <c r="R1261" i="1"/>
  <c r="N1261" i="1"/>
  <c r="D1261" i="1"/>
  <c r="B1261" i="1"/>
  <c r="C1261" i="1" s="1"/>
  <c r="R1260" i="1"/>
  <c r="N1260" i="1"/>
  <c r="D1260" i="1"/>
  <c r="C1260" i="1"/>
  <c r="B1260" i="1"/>
  <c r="R1259" i="1"/>
  <c r="N1259" i="1"/>
  <c r="D1259" i="1"/>
  <c r="B1259" i="1"/>
  <c r="C1259" i="1" s="1"/>
  <c r="R1258" i="1"/>
  <c r="N1258" i="1"/>
  <c r="D1258" i="1"/>
  <c r="B1258" i="1"/>
  <c r="C1258" i="1" s="1"/>
  <c r="R1257" i="1"/>
  <c r="N1257" i="1"/>
  <c r="D1257" i="1"/>
  <c r="B1257" i="1"/>
  <c r="C1257" i="1" s="1"/>
  <c r="R1256" i="1"/>
  <c r="N1256" i="1"/>
  <c r="D1256" i="1"/>
  <c r="B1256" i="1"/>
  <c r="C1256" i="1" s="1"/>
  <c r="R1255" i="1"/>
  <c r="N1255" i="1"/>
  <c r="D1255" i="1"/>
  <c r="C1255" i="1"/>
  <c r="B1255" i="1"/>
  <c r="R1254" i="1"/>
  <c r="N1254" i="1"/>
  <c r="D1254" i="1"/>
  <c r="C1254" i="1"/>
  <c r="B1254" i="1"/>
  <c r="R1253" i="1"/>
  <c r="N1253" i="1"/>
  <c r="D1253" i="1"/>
  <c r="B1253" i="1"/>
  <c r="C1253" i="1" s="1"/>
  <c r="R1252" i="1"/>
  <c r="N1252" i="1"/>
  <c r="D1252" i="1"/>
  <c r="B1252" i="1"/>
  <c r="C1252" i="1" s="1"/>
  <c r="R1251" i="1"/>
  <c r="N1251" i="1"/>
  <c r="D1251" i="1"/>
  <c r="B1251" i="1"/>
  <c r="C1251" i="1" s="1"/>
  <c r="R1250" i="1"/>
  <c r="N1250" i="1"/>
  <c r="D1250" i="1"/>
  <c r="B1250" i="1"/>
  <c r="C1250" i="1" s="1"/>
  <c r="R1249" i="1"/>
  <c r="N1249" i="1"/>
  <c r="D1249" i="1"/>
  <c r="B1249" i="1"/>
  <c r="C1249" i="1" s="1"/>
  <c r="R1248" i="1"/>
  <c r="N1248" i="1"/>
  <c r="D1248" i="1"/>
  <c r="C1248" i="1"/>
  <c r="B1248" i="1"/>
  <c r="R1247" i="1"/>
  <c r="N1247" i="1"/>
  <c r="D1247" i="1"/>
  <c r="C1247" i="1"/>
  <c r="B1247" i="1"/>
  <c r="R1246" i="1"/>
  <c r="N1246" i="1"/>
  <c r="D1246" i="1"/>
  <c r="B1246" i="1"/>
  <c r="C1246" i="1" s="1"/>
  <c r="R1245" i="1"/>
  <c r="N1245" i="1"/>
  <c r="D1245" i="1"/>
  <c r="B1245" i="1"/>
  <c r="C1245" i="1" s="1"/>
  <c r="R1244" i="1"/>
  <c r="N1244" i="1"/>
  <c r="D1244" i="1"/>
  <c r="B1244" i="1"/>
  <c r="C1244" i="1" s="1"/>
  <c r="R1243" i="1"/>
  <c r="N1243" i="1"/>
  <c r="D1243" i="1"/>
  <c r="B1243" i="1"/>
  <c r="C1243" i="1" s="1"/>
  <c r="R1242" i="1"/>
  <c r="N1242" i="1"/>
  <c r="D1242" i="1"/>
  <c r="C1242" i="1"/>
  <c r="B1242" i="1"/>
  <c r="R1241" i="1"/>
  <c r="N1241" i="1"/>
  <c r="D1241" i="1"/>
  <c r="B1241" i="1"/>
  <c r="C1241" i="1" s="1"/>
  <c r="R1240" i="1"/>
  <c r="N1240" i="1"/>
  <c r="D1240" i="1"/>
  <c r="C1240" i="1"/>
  <c r="B1240" i="1"/>
  <c r="R1239" i="1"/>
  <c r="N1239" i="1"/>
  <c r="D1239" i="1"/>
  <c r="B1239" i="1"/>
  <c r="C1239" i="1" s="1"/>
  <c r="R1238" i="1"/>
  <c r="N1238" i="1"/>
  <c r="D1238" i="1"/>
  <c r="B1238" i="1"/>
  <c r="C1238" i="1" s="1"/>
  <c r="R1237" i="1"/>
  <c r="N1237" i="1"/>
  <c r="D1237" i="1"/>
  <c r="B1237" i="1"/>
  <c r="C1237" i="1" s="1"/>
  <c r="R1236" i="1"/>
  <c r="N1236" i="1"/>
  <c r="D1236" i="1"/>
  <c r="C1236" i="1"/>
  <c r="B1236" i="1"/>
  <c r="R1235" i="1"/>
  <c r="N1235" i="1"/>
  <c r="D1235" i="1"/>
  <c r="B1235" i="1"/>
  <c r="C1235" i="1" s="1"/>
  <c r="R1234" i="1"/>
  <c r="N1234" i="1"/>
  <c r="D1234" i="1"/>
  <c r="C1234" i="1"/>
  <c r="B1234" i="1"/>
  <c r="R1233" i="1"/>
  <c r="N1233" i="1"/>
  <c r="D1233" i="1"/>
  <c r="B1233" i="1"/>
  <c r="C1233" i="1" s="1"/>
  <c r="R1232" i="1"/>
  <c r="N1232" i="1"/>
  <c r="D1232" i="1"/>
  <c r="B1232" i="1"/>
  <c r="C1232" i="1" s="1"/>
  <c r="R1231" i="1"/>
  <c r="N1231" i="1"/>
  <c r="D1231" i="1"/>
  <c r="B1231" i="1"/>
  <c r="C1231" i="1" s="1"/>
  <c r="R1230" i="1"/>
  <c r="N1230" i="1"/>
  <c r="D1230" i="1"/>
  <c r="C1230" i="1"/>
  <c r="B1230" i="1"/>
  <c r="R1229" i="1"/>
  <c r="N1229" i="1"/>
  <c r="D1229" i="1"/>
  <c r="B1229" i="1"/>
  <c r="C1229" i="1" s="1"/>
  <c r="R1228" i="1"/>
  <c r="N1228" i="1"/>
  <c r="D1228" i="1"/>
  <c r="C1228" i="1"/>
  <c r="B1228" i="1"/>
  <c r="R1227" i="1"/>
  <c r="N1227" i="1"/>
  <c r="D1227" i="1"/>
  <c r="B1227" i="1"/>
  <c r="C1227" i="1" s="1"/>
  <c r="R1226" i="1"/>
  <c r="N1226" i="1"/>
  <c r="D1226" i="1"/>
  <c r="B1226" i="1"/>
  <c r="C1226" i="1" s="1"/>
  <c r="R1225" i="1"/>
  <c r="N1225" i="1"/>
  <c r="D1225" i="1"/>
  <c r="B1225" i="1"/>
  <c r="C1225" i="1" s="1"/>
  <c r="R1224" i="1"/>
  <c r="N1224" i="1"/>
  <c r="D1224" i="1"/>
  <c r="B1224" i="1"/>
  <c r="C1224" i="1" s="1"/>
  <c r="R1223" i="1"/>
  <c r="N1223" i="1"/>
  <c r="D1223" i="1"/>
  <c r="C1223" i="1"/>
  <c r="B1223" i="1"/>
  <c r="R1222" i="1"/>
  <c r="N1222" i="1"/>
  <c r="D1222" i="1"/>
  <c r="C1222" i="1"/>
  <c r="B1222" i="1"/>
  <c r="R1221" i="1"/>
  <c r="N1221" i="1"/>
  <c r="D1221" i="1"/>
  <c r="B1221" i="1"/>
  <c r="C1221" i="1" s="1"/>
  <c r="R1220" i="1"/>
  <c r="N1220" i="1"/>
  <c r="D1220" i="1"/>
  <c r="B1220" i="1"/>
  <c r="C1220" i="1" s="1"/>
  <c r="R1219" i="1"/>
  <c r="N1219" i="1"/>
  <c r="D1219" i="1"/>
  <c r="B1219" i="1"/>
  <c r="C1219" i="1" s="1"/>
  <c r="R1218" i="1"/>
  <c r="N1218" i="1"/>
  <c r="D1218" i="1"/>
  <c r="B1218" i="1"/>
  <c r="C1218" i="1" s="1"/>
  <c r="R1217" i="1"/>
  <c r="N1217" i="1"/>
  <c r="D1217" i="1"/>
  <c r="B1217" i="1"/>
  <c r="C1217" i="1" s="1"/>
  <c r="R1216" i="1"/>
  <c r="N1216" i="1"/>
  <c r="D1216" i="1"/>
  <c r="C1216" i="1"/>
  <c r="B1216" i="1"/>
  <c r="R1215" i="1"/>
  <c r="N1215" i="1"/>
  <c r="D1215" i="1"/>
  <c r="C1215" i="1"/>
  <c r="B1215" i="1"/>
  <c r="R1214" i="1"/>
  <c r="N1214" i="1"/>
  <c r="D1214" i="1"/>
  <c r="C1214" i="1"/>
  <c r="B1214" i="1"/>
  <c r="R1213" i="1"/>
  <c r="N1213" i="1"/>
  <c r="D1213" i="1"/>
  <c r="B1213" i="1"/>
  <c r="C1213" i="1" s="1"/>
  <c r="R1212" i="1"/>
  <c r="N1212" i="1"/>
  <c r="D1212" i="1"/>
  <c r="B1212" i="1"/>
  <c r="C1212" i="1" s="1"/>
  <c r="R1211" i="1"/>
  <c r="N1211" i="1"/>
  <c r="D1211" i="1"/>
  <c r="B1211" i="1"/>
  <c r="C1211" i="1" s="1"/>
  <c r="R1210" i="1"/>
  <c r="N1210" i="1"/>
  <c r="D1210" i="1"/>
  <c r="C1210" i="1"/>
  <c r="B1210" i="1"/>
  <c r="R1209" i="1"/>
  <c r="N1209" i="1"/>
  <c r="D1209" i="1"/>
  <c r="B1209" i="1"/>
  <c r="C1209" i="1" s="1"/>
  <c r="R1208" i="1"/>
  <c r="N1208" i="1"/>
  <c r="D1208" i="1"/>
  <c r="C1208" i="1"/>
  <c r="B1208" i="1"/>
  <c r="R1207" i="1"/>
  <c r="N1207" i="1"/>
  <c r="D1207" i="1"/>
  <c r="C1207" i="1"/>
  <c r="B1207" i="1"/>
  <c r="R1206" i="1"/>
  <c r="N1206" i="1"/>
  <c r="D1206" i="1"/>
  <c r="B1206" i="1"/>
  <c r="C1206" i="1" s="1"/>
  <c r="R1205" i="1"/>
  <c r="N1205" i="1"/>
  <c r="D1205" i="1"/>
  <c r="B1205" i="1"/>
  <c r="C1205" i="1" s="1"/>
  <c r="R1204" i="1"/>
  <c r="N1204" i="1"/>
  <c r="D1204" i="1"/>
  <c r="C1204" i="1"/>
  <c r="B1204" i="1"/>
  <c r="R1203" i="1"/>
  <c r="N1203" i="1"/>
  <c r="D1203" i="1"/>
  <c r="B1203" i="1"/>
  <c r="C1203" i="1" s="1"/>
  <c r="R1202" i="1"/>
  <c r="N1202" i="1"/>
  <c r="D1202" i="1"/>
  <c r="C1202" i="1"/>
  <c r="B1202" i="1"/>
  <c r="R1201" i="1"/>
  <c r="N1201" i="1"/>
  <c r="D1201" i="1"/>
  <c r="B1201" i="1"/>
  <c r="C1201" i="1" s="1"/>
  <c r="R1200" i="1"/>
  <c r="N1200" i="1"/>
  <c r="D1200" i="1"/>
  <c r="C1200" i="1"/>
  <c r="B1200" i="1"/>
  <c r="R1199" i="1"/>
  <c r="N1199" i="1"/>
  <c r="D1199" i="1"/>
  <c r="B1199" i="1"/>
  <c r="C1199" i="1" s="1"/>
  <c r="R1198" i="1"/>
  <c r="N1198" i="1"/>
  <c r="D1198" i="1"/>
  <c r="C1198" i="1"/>
  <c r="B1198" i="1"/>
  <c r="R1197" i="1"/>
  <c r="N1197" i="1"/>
  <c r="D1197" i="1"/>
  <c r="B1197" i="1"/>
  <c r="C1197" i="1" s="1"/>
  <c r="R1196" i="1"/>
  <c r="N1196" i="1"/>
  <c r="D1196" i="1"/>
  <c r="C1196" i="1"/>
  <c r="B1196" i="1"/>
  <c r="R1195" i="1"/>
  <c r="N1195" i="1"/>
  <c r="D1195" i="1"/>
  <c r="B1195" i="1"/>
  <c r="C1195" i="1" s="1"/>
  <c r="R1194" i="1"/>
  <c r="N1194" i="1"/>
  <c r="D1194" i="1"/>
  <c r="C1194" i="1"/>
  <c r="B1194" i="1"/>
  <c r="R1193" i="1"/>
  <c r="N1193" i="1"/>
  <c r="D1193" i="1"/>
  <c r="B1193" i="1"/>
  <c r="C1193" i="1" s="1"/>
  <c r="R1192" i="1"/>
  <c r="N1192" i="1"/>
  <c r="D1192" i="1"/>
  <c r="B1192" i="1"/>
  <c r="C1192" i="1" s="1"/>
  <c r="R1191" i="1"/>
  <c r="N1191" i="1"/>
  <c r="D1191" i="1"/>
  <c r="C1191" i="1"/>
  <c r="B1191" i="1"/>
  <c r="R1190" i="1"/>
  <c r="N1190" i="1"/>
  <c r="D1190" i="1"/>
  <c r="C1190" i="1"/>
  <c r="B1190" i="1"/>
  <c r="R1189" i="1"/>
  <c r="N1189" i="1"/>
  <c r="D1189" i="1"/>
  <c r="B1189" i="1"/>
  <c r="C1189" i="1" s="1"/>
  <c r="R1188" i="1"/>
  <c r="N1188" i="1"/>
  <c r="D1188" i="1"/>
  <c r="C1188" i="1"/>
  <c r="B1188" i="1"/>
  <c r="R1187" i="1"/>
  <c r="N1187" i="1"/>
  <c r="D1187" i="1"/>
  <c r="B1187" i="1"/>
  <c r="C1187" i="1" s="1"/>
  <c r="R1186" i="1"/>
  <c r="N1186" i="1"/>
  <c r="D1186" i="1"/>
  <c r="B1186" i="1"/>
  <c r="C1186" i="1" s="1"/>
  <c r="R1185" i="1"/>
  <c r="N1185" i="1"/>
  <c r="D1185" i="1"/>
  <c r="B1185" i="1"/>
  <c r="C1185" i="1" s="1"/>
  <c r="R1184" i="1"/>
  <c r="N1184" i="1"/>
  <c r="D1184" i="1"/>
  <c r="C1184" i="1"/>
  <c r="B1184" i="1"/>
  <c r="R1183" i="1"/>
  <c r="N1183" i="1"/>
  <c r="D1183" i="1"/>
  <c r="C1183" i="1"/>
  <c r="B1183" i="1"/>
  <c r="R1182" i="1"/>
  <c r="N1182" i="1"/>
  <c r="D1182" i="1"/>
  <c r="B1182" i="1"/>
  <c r="C1182" i="1" s="1"/>
  <c r="R1181" i="1"/>
  <c r="N1181" i="1"/>
  <c r="D1181" i="1"/>
  <c r="B1181" i="1"/>
  <c r="C1181" i="1" s="1"/>
  <c r="R1180" i="1"/>
  <c r="N1180" i="1"/>
  <c r="D1180" i="1"/>
  <c r="B1180" i="1"/>
  <c r="C1180" i="1" s="1"/>
  <c r="R1179" i="1"/>
  <c r="N1179" i="1"/>
  <c r="D1179" i="1"/>
  <c r="B1179" i="1"/>
  <c r="C1179" i="1" s="1"/>
  <c r="R1178" i="1"/>
  <c r="N1178" i="1"/>
  <c r="D1178" i="1"/>
  <c r="C1178" i="1"/>
  <c r="B1178" i="1"/>
  <c r="R1177" i="1"/>
  <c r="N1177" i="1"/>
  <c r="D1177" i="1"/>
  <c r="B1177" i="1"/>
  <c r="C1177" i="1" s="1"/>
  <c r="R1176" i="1"/>
  <c r="N1176" i="1"/>
  <c r="D1176" i="1"/>
  <c r="C1176" i="1"/>
  <c r="B1176" i="1"/>
  <c r="R1175" i="1"/>
  <c r="N1175" i="1"/>
  <c r="D1175" i="1"/>
  <c r="B1175" i="1"/>
  <c r="C1175" i="1" s="1"/>
  <c r="R1174" i="1"/>
  <c r="N1174" i="1"/>
  <c r="D1174" i="1"/>
  <c r="B1174" i="1"/>
  <c r="C1174" i="1" s="1"/>
  <c r="R1173" i="1"/>
  <c r="N1173" i="1"/>
  <c r="D1173" i="1"/>
  <c r="B1173" i="1"/>
  <c r="C1173" i="1" s="1"/>
  <c r="R1172" i="1"/>
  <c r="N1172" i="1"/>
  <c r="D1172" i="1"/>
  <c r="C1172" i="1"/>
  <c r="B1172" i="1"/>
  <c r="R1171" i="1"/>
  <c r="N1171" i="1"/>
  <c r="D1171" i="1"/>
  <c r="B1171" i="1"/>
  <c r="C1171" i="1" s="1"/>
  <c r="R1170" i="1"/>
  <c r="N1170" i="1"/>
  <c r="D1170" i="1"/>
  <c r="C1170" i="1"/>
  <c r="B1170" i="1"/>
  <c r="R1169" i="1"/>
  <c r="N1169" i="1"/>
  <c r="D1169" i="1"/>
  <c r="B1169" i="1"/>
  <c r="C1169" i="1" s="1"/>
  <c r="R1168" i="1"/>
  <c r="N1168" i="1"/>
  <c r="D1168" i="1"/>
  <c r="B1168" i="1"/>
  <c r="C1168" i="1" s="1"/>
  <c r="R1167" i="1"/>
  <c r="N1167" i="1"/>
  <c r="D1167" i="1"/>
  <c r="B1167" i="1"/>
  <c r="C1167" i="1" s="1"/>
  <c r="R1166" i="1"/>
  <c r="N1166" i="1"/>
  <c r="D1166" i="1"/>
  <c r="C1166" i="1"/>
  <c r="B1166" i="1"/>
  <c r="R1165" i="1"/>
  <c r="N1165" i="1"/>
  <c r="D1165" i="1"/>
  <c r="B1165" i="1"/>
  <c r="C1165" i="1" s="1"/>
  <c r="R1164" i="1"/>
  <c r="N1164" i="1"/>
  <c r="D1164" i="1"/>
  <c r="C1164" i="1"/>
  <c r="B1164" i="1"/>
  <c r="R1163" i="1"/>
  <c r="N1163" i="1"/>
  <c r="D1163" i="1"/>
  <c r="B1163" i="1"/>
  <c r="C1163" i="1" s="1"/>
  <c r="R1162" i="1"/>
  <c r="N1162" i="1"/>
  <c r="D1162" i="1"/>
  <c r="B1162" i="1"/>
  <c r="C1162" i="1" s="1"/>
  <c r="R1161" i="1"/>
  <c r="N1161" i="1"/>
  <c r="D1161" i="1"/>
  <c r="B1161" i="1"/>
  <c r="C1161" i="1" s="1"/>
  <c r="R1160" i="1"/>
  <c r="N1160" i="1"/>
  <c r="D1160" i="1"/>
  <c r="B1160" i="1"/>
  <c r="C1160" i="1" s="1"/>
  <c r="R1159" i="1"/>
  <c r="N1159" i="1"/>
  <c r="D1159" i="1"/>
  <c r="C1159" i="1"/>
  <c r="B1159" i="1"/>
  <c r="R1158" i="1"/>
  <c r="N1158" i="1"/>
  <c r="D1158" i="1"/>
  <c r="C1158" i="1"/>
  <c r="B1158" i="1"/>
  <c r="R1157" i="1"/>
  <c r="N1157" i="1"/>
  <c r="D1157" i="1"/>
  <c r="B1157" i="1"/>
  <c r="C1157" i="1" s="1"/>
  <c r="R1156" i="1"/>
  <c r="N1156" i="1"/>
  <c r="D1156" i="1"/>
  <c r="B1156" i="1"/>
  <c r="C1156" i="1" s="1"/>
  <c r="R1155" i="1"/>
  <c r="N1155" i="1"/>
  <c r="D1155" i="1"/>
  <c r="B1155" i="1"/>
  <c r="C1155" i="1" s="1"/>
  <c r="R1154" i="1"/>
  <c r="N1154" i="1"/>
  <c r="D1154" i="1"/>
  <c r="B1154" i="1"/>
  <c r="C1154" i="1" s="1"/>
  <c r="R1153" i="1"/>
  <c r="N1153" i="1"/>
  <c r="D1153" i="1"/>
  <c r="B1153" i="1"/>
  <c r="C1153" i="1" s="1"/>
  <c r="R1152" i="1"/>
  <c r="N1152" i="1"/>
  <c r="D1152" i="1"/>
  <c r="C1152" i="1"/>
  <c r="B1152" i="1"/>
  <c r="R1151" i="1"/>
  <c r="N1151" i="1"/>
  <c r="D1151" i="1"/>
  <c r="C1151" i="1"/>
  <c r="B1151" i="1"/>
  <c r="R1150" i="1"/>
  <c r="N1150" i="1"/>
  <c r="D1150" i="1"/>
  <c r="B1150" i="1"/>
  <c r="C1150" i="1" s="1"/>
  <c r="R1149" i="1"/>
  <c r="N1149" i="1"/>
  <c r="D1149" i="1"/>
  <c r="B1149" i="1"/>
  <c r="C1149" i="1" s="1"/>
  <c r="R1148" i="1"/>
  <c r="N1148" i="1"/>
  <c r="D1148" i="1"/>
  <c r="B1148" i="1"/>
  <c r="C1148" i="1" s="1"/>
  <c r="R1147" i="1"/>
  <c r="N1147" i="1"/>
  <c r="D1147" i="1"/>
  <c r="B1147" i="1"/>
  <c r="C1147" i="1" s="1"/>
  <c r="R1146" i="1"/>
  <c r="N1146" i="1"/>
  <c r="D1146" i="1"/>
  <c r="C1146" i="1"/>
  <c r="B1146" i="1"/>
  <c r="R1145" i="1"/>
  <c r="N1145" i="1"/>
  <c r="D1145" i="1"/>
  <c r="B1145" i="1"/>
  <c r="C1145" i="1" s="1"/>
  <c r="R1144" i="1"/>
  <c r="N1144" i="1"/>
  <c r="D1144" i="1"/>
  <c r="C1144" i="1"/>
  <c r="B1144" i="1"/>
  <c r="R1143" i="1"/>
  <c r="N1143" i="1"/>
  <c r="D1143" i="1"/>
  <c r="B1143" i="1"/>
  <c r="C1143" i="1" s="1"/>
  <c r="R1142" i="1"/>
  <c r="N1142" i="1"/>
  <c r="D1142" i="1"/>
  <c r="B1142" i="1"/>
  <c r="C1142" i="1" s="1"/>
  <c r="R1141" i="1"/>
  <c r="N1141" i="1"/>
  <c r="D1141" i="1"/>
  <c r="B1141" i="1"/>
  <c r="C1141" i="1" s="1"/>
  <c r="R1140" i="1"/>
  <c r="N1140" i="1"/>
  <c r="D1140" i="1"/>
  <c r="C1140" i="1"/>
  <c r="B1140" i="1"/>
  <c r="R1139" i="1"/>
  <c r="N1139" i="1"/>
  <c r="D1139" i="1"/>
  <c r="C1139" i="1"/>
  <c r="B1139" i="1"/>
  <c r="R1138" i="1"/>
  <c r="N1138" i="1"/>
  <c r="D1138" i="1"/>
  <c r="B1138" i="1"/>
  <c r="C1138" i="1" s="1"/>
  <c r="R1137" i="1"/>
  <c r="N1137" i="1"/>
  <c r="D1137" i="1"/>
  <c r="B1137" i="1"/>
  <c r="C1137" i="1" s="1"/>
  <c r="R1136" i="1"/>
  <c r="N1136" i="1"/>
  <c r="D1136" i="1"/>
  <c r="B1136" i="1"/>
  <c r="C1136" i="1" s="1"/>
  <c r="R1135" i="1"/>
  <c r="N1135" i="1"/>
  <c r="D1135" i="1"/>
  <c r="C1135" i="1"/>
  <c r="B1135" i="1"/>
  <c r="R1134" i="1"/>
  <c r="N1134" i="1"/>
  <c r="D1134" i="1"/>
  <c r="C1134" i="1"/>
  <c r="B1134" i="1"/>
  <c r="R1133" i="1"/>
  <c r="N1133" i="1"/>
  <c r="D1133" i="1"/>
  <c r="B1133" i="1"/>
  <c r="C1133" i="1" s="1"/>
  <c r="R1132" i="1"/>
  <c r="N1132" i="1"/>
  <c r="D1132" i="1"/>
  <c r="B1132" i="1"/>
  <c r="C1132" i="1" s="1"/>
  <c r="R1131" i="1"/>
  <c r="N1131" i="1"/>
  <c r="D1131" i="1"/>
  <c r="B1131" i="1"/>
  <c r="C1131" i="1" s="1"/>
  <c r="R1130" i="1"/>
  <c r="N1130" i="1"/>
  <c r="D1130" i="1"/>
  <c r="C1130" i="1"/>
  <c r="B1130" i="1"/>
  <c r="R1129" i="1"/>
  <c r="N1129" i="1"/>
  <c r="D1129" i="1"/>
  <c r="B1129" i="1"/>
  <c r="C1129" i="1" s="1"/>
  <c r="R1128" i="1"/>
  <c r="N1128" i="1"/>
  <c r="D1128" i="1"/>
  <c r="C1128" i="1"/>
  <c r="B1128" i="1"/>
  <c r="R1127" i="1"/>
  <c r="N1127" i="1"/>
  <c r="D1127" i="1"/>
  <c r="B1127" i="1"/>
  <c r="C1127" i="1" s="1"/>
  <c r="R1126" i="1"/>
  <c r="N1126" i="1"/>
  <c r="D1126" i="1"/>
  <c r="B1126" i="1"/>
  <c r="C1126" i="1" s="1"/>
  <c r="R1125" i="1"/>
  <c r="N1125" i="1"/>
  <c r="D1125" i="1"/>
  <c r="B1125" i="1"/>
  <c r="C1125" i="1" s="1"/>
  <c r="R1124" i="1"/>
  <c r="N1124" i="1"/>
  <c r="D1124" i="1"/>
  <c r="C1124" i="1"/>
  <c r="B1124" i="1"/>
  <c r="R1123" i="1"/>
  <c r="N1123" i="1"/>
  <c r="D1123" i="1"/>
  <c r="C1123" i="1"/>
  <c r="B1123" i="1"/>
  <c r="R1122" i="1"/>
  <c r="N1122" i="1"/>
  <c r="D1122" i="1"/>
  <c r="B1122" i="1"/>
  <c r="C1122" i="1" s="1"/>
  <c r="R1121" i="1"/>
  <c r="N1121" i="1"/>
  <c r="D1121" i="1"/>
  <c r="B1121" i="1"/>
  <c r="C1121" i="1" s="1"/>
  <c r="R1120" i="1"/>
  <c r="N1120" i="1"/>
  <c r="D1120" i="1"/>
  <c r="B1120" i="1"/>
  <c r="C1120" i="1" s="1"/>
  <c r="R1119" i="1"/>
  <c r="N1119" i="1"/>
  <c r="D1119" i="1"/>
  <c r="C1119" i="1"/>
  <c r="B1119" i="1"/>
  <c r="R1118" i="1"/>
  <c r="N1118" i="1"/>
  <c r="D1118" i="1"/>
  <c r="C1118" i="1"/>
  <c r="B1118" i="1"/>
  <c r="R1117" i="1"/>
  <c r="N1117" i="1"/>
  <c r="D1117" i="1"/>
  <c r="B1117" i="1"/>
  <c r="C1117" i="1" s="1"/>
  <c r="R1116" i="1"/>
  <c r="N1116" i="1"/>
  <c r="D1116" i="1"/>
  <c r="B1116" i="1"/>
  <c r="C1116" i="1" s="1"/>
  <c r="R1115" i="1"/>
  <c r="N1115" i="1"/>
  <c r="D1115" i="1"/>
  <c r="B1115" i="1"/>
  <c r="C1115" i="1" s="1"/>
  <c r="R1114" i="1"/>
  <c r="N1114" i="1"/>
  <c r="D1114" i="1"/>
  <c r="C1114" i="1"/>
  <c r="B1114" i="1"/>
  <c r="R1113" i="1"/>
  <c r="N1113" i="1"/>
  <c r="D1113" i="1"/>
  <c r="B1113" i="1"/>
  <c r="C1113" i="1" s="1"/>
  <c r="R1112" i="1"/>
  <c r="N1112" i="1"/>
  <c r="D1112" i="1"/>
  <c r="C1112" i="1"/>
  <c r="B1112" i="1"/>
  <c r="R1111" i="1"/>
  <c r="N1111" i="1"/>
  <c r="D1111" i="1"/>
  <c r="B1111" i="1"/>
  <c r="C1111" i="1" s="1"/>
  <c r="R1110" i="1"/>
  <c r="N1110" i="1"/>
  <c r="D1110" i="1"/>
  <c r="B1110" i="1"/>
  <c r="C1110" i="1" s="1"/>
  <c r="R1109" i="1"/>
  <c r="N1109" i="1"/>
  <c r="D1109" i="1"/>
  <c r="B1109" i="1"/>
  <c r="C1109" i="1" s="1"/>
  <c r="R1108" i="1"/>
  <c r="N1108" i="1"/>
  <c r="D1108" i="1"/>
  <c r="C1108" i="1"/>
  <c r="B1108" i="1"/>
  <c r="R1107" i="1"/>
  <c r="N1107" i="1"/>
  <c r="D1107" i="1"/>
  <c r="C1107" i="1"/>
  <c r="B1107" i="1"/>
  <c r="R1106" i="1"/>
  <c r="N1106" i="1"/>
  <c r="D1106" i="1"/>
  <c r="B1106" i="1"/>
  <c r="C1106" i="1" s="1"/>
  <c r="R1105" i="1"/>
  <c r="N1105" i="1"/>
  <c r="D1105" i="1"/>
  <c r="B1105" i="1"/>
  <c r="C1105" i="1" s="1"/>
  <c r="R1104" i="1"/>
  <c r="N1104" i="1"/>
  <c r="D1104" i="1"/>
  <c r="B1104" i="1"/>
  <c r="C1104" i="1" s="1"/>
  <c r="R1103" i="1"/>
  <c r="N1103" i="1"/>
  <c r="D1103" i="1"/>
  <c r="C1103" i="1"/>
  <c r="B1103" i="1"/>
  <c r="R1102" i="1"/>
  <c r="N1102" i="1"/>
  <c r="D1102" i="1"/>
  <c r="C1102" i="1"/>
  <c r="B1102" i="1"/>
  <c r="R1101" i="1"/>
  <c r="N1101" i="1"/>
  <c r="D1101" i="1"/>
  <c r="B1101" i="1"/>
  <c r="C1101" i="1" s="1"/>
  <c r="R1100" i="1"/>
  <c r="N1100" i="1"/>
  <c r="D1100" i="1"/>
  <c r="B1100" i="1"/>
  <c r="C1100" i="1" s="1"/>
  <c r="R1099" i="1"/>
  <c r="N1099" i="1"/>
  <c r="D1099" i="1"/>
  <c r="B1099" i="1"/>
  <c r="C1099" i="1" s="1"/>
  <c r="R1098" i="1"/>
  <c r="N1098" i="1"/>
  <c r="D1098" i="1"/>
  <c r="C1098" i="1"/>
  <c r="B1098" i="1"/>
  <c r="R1097" i="1"/>
  <c r="N1097" i="1"/>
  <c r="D1097" i="1"/>
  <c r="B1097" i="1"/>
  <c r="C1097" i="1" s="1"/>
  <c r="R1096" i="1"/>
  <c r="N1096" i="1"/>
  <c r="D1096" i="1"/>
  <c r="C1096" i="1"/>
  <c r="B1096" i="1"/>
  <c r="R1095" i="1"/>
  <c r="N1095" i="1"/>
  <c r="D1095" i="1"/>
  <c r="B1095" i="1"/>
  <c r="C1095" i="1" s="1"/>
  <c r="R1094" i="1"/>
  <c r="N1094" i="1"/>
  <c r="D1094" i="1"/>
  <c r="B1094" i="1"/>
  <c r="C1094" i="1" s="1"/>
  <c r="R1093" i="1"/>
  <c r="N1093" i="1"/>
  <c r="D1093" i="1"/>
  <c r="B1093" i="1"/>
  <c r="C1093" i="1" s="1"/>
  <c r="R1092" i="1"/>
  <c r="N1092" i="1"/>
  <c r="D1092" i="1"/>
  <c r="C1092" i="1"/>
  <c r="B1092" i="1"/>
  <c r="R1091" i="1"/>
  <c r="N1091" i="1"/>
  <c r="D1091" i="1"/>
  <c r="C1091" i="1"/>
  <c r="B1091" i="1"/>
  <c r="R1090" i="1"/>
  <c r="N1090" i="1"/>
  <c r="D1090" i="1"/>
  <c r="B1090" i="1"/>
  <c r="C1090" i="1" s="1"/>
  <c r="R1089" i="1"/>
  <c r="N1089" i="1"/>
  <c r="D1089" i="1"/>
  <c r="B1089" i="1"/>
  <c r="C1089" i="1" s="1"/>
  <c r="R1088" i="1"/>
  <c r="N1088" i="1"/>
  <c r="D1088" i="1"/>
  <c r="B1088" i="1"/>
  <c r="C1088" i="1" s="1"/>
  <c r="R1087" i="1"/>
  <c r="N1087" i="1"/>
  <c r="D1087" i="1"/>
  <c r="C1087" i="1"/>
  <c r="B1087" i="1"/>
  <c r="R1086" i="1"/>
  <c r="N1086" i="1"/>
  <c r="D1086" i="1"/>
  <c r="C1086" i="1"/>
  <c r="B1086" i="1"/>
  <c r="R1085" i="1"/>
  <c r="N1085" i="1"/>
  <c r="D1085" i="1"/>
  <c r="B1085" i="1"/>
  <c r="C1085" i="1" s="1"/>
  <c r="R1084" i="1"/>
  <c r="N1084" i="1"/>
  <c r="D1084" i="1"/>
  <c r="B1084" i="1"/>
  <c r="C1084" i="1" s="1"/>
  <c r="R1083" i="1"/>
  <c r="N1083" i="1"/>
  <c r="D1083" i="1"/>
  <c r="B1083" i="1"/>
  <c r="C1083" i="1" s="1"/>
  <c r="R1082" i="1"/>
  <c r="N1082" i="1"/>
  <c r="D1082" i="1"/>
  <c r="C1082" i="1"/>
  <c r="B1082" i="1"/>
  <c r="R1081" i="1"/>
  <c r="N1081" i="1"/>
  <c r="D1081" i="1"/>
  <c r="B1081" i="1"/>
  <c r="C1081" i="1" s="1"/>
  <c r="R1080" i="1"/>
  <c r="N1080" i="1"/>
  <c r="D1080" i="1"/>
  <c r="C1080" i="1"/>
  <c r="B1080" i="1"/>
  <c r="R1079" i="1"/>
  <c r="N1079" i="1"/>
  <c r="D1079" i="1"/>
  <c r="B1079" i="1"/>
  <c r="C1079" i="1" s="1"/>
  <c r="R1078" i="1"/>
  <c r="N1078" i="1"/>
  <c r="D1078" i="1"/>
  <c r="B1078" i="1"/>
  <c r="C1078" i="1" s="1"/>
  <c r="R1077" i="1"/>
  <c r="N1077" i="1"/>
  <c r="D1077" i="1"/>
  <c r="B1077" i="1"/>
  <c r="C1077" i="1" s="1"/>
  <c r="R1076" i="1"/>
  <c r="N1076" i="1"/>
  <c r="D1076" i="1"/>
  <c r="C1076" i="1"/>
  <c r="B1076" i="1"/>
  <c r="R1075" i="1"/>
  <c r="N1075" i="1"/>
  <c r="D1075" i="1"/>
  <c r="C1075" i="1"/>
  <c r="B1075" i="1"/>
  <c r="R1074" i="1"/>
  <c r="N1074" i="1"/>
  <c r="D1074" i="1"/>
  <c r="B1074" i="1"/>
  <c r="C1074" i="1" s="1"/>
  <c r="R1073" i="1"/>
  <c r="N1073" i="1"/>
  <c r="D1073" i="1"/>
  <c r="B1073" i="1"/>
  <c r="C1073" i="1" s="1"/>
  <c r="R1072" i="1"/>
  <c r="N1072" i="1"/>
  <c r="D1072" i="1"/>
  <c r="B1072" i="1"/>
  <c r="C1072" i="1" s="1"/>
  <c r="R1071" i="1"/>
  <c r="N1071" i="1"/>
  <c r="D1071" i="1"/>
  <c r="C1071" i="1"/>
  <c r="B1071" i="1"/>
  <c r="R1070" i="1"/>
  <c r="N1070" i="1"/>
  <c r="D1070" i="1"/>
  <c r="C1070" i="1"/>
  <c r="B1070" i="1"/>
  <c r="R1069" i="1"/>
  <c r="N1069" i="1"/>
  <c r="D1069" i="1"/>
  <c r="B1069" i="1"/>
  <c r="C1069" i="1" s="1"/>
  <c r="R1068" i="1"/>
  <c r="N1068" i="1"/>
  <c r="D1068" i="1"/>
  <c r="B1068" i="1"/>
  <c r="C1068" i="1" s="1"/>
  <c r="R1067" i="1"/>
  <c r="N1067" i="1"/>
  <c r="D1067" i="1"/>
  <c r="B1067" i="1"/>
  <c r="C1067" i="1" s="1"/>
  <c r="R1066" i="1"/>
  <c r="N1066" i="1"/>
  <c r="D1066" i="1"/>
  <c r="C1066" i="1"/>
  <c r="B1066" i="1"/>
  <c r="R1065" i="1"/>
  <c r="N1065" i="1"/>
  <c r="D1065" i="1"/>
  <c r="B1065" i="1"/>
  <c r="C1065" i="1" s="1"/>
  <c r="R1064" i="1"/>
  <c r="N1064" i="1"/>
  <c r="D1064" i="1"/>
  <c r="C1064" i="1"/>
  <c r="B1064" i="1"/>
  <c r="R1063" i="1"/>
  <c r="N1063" i="1"/>
  <c r="D1063" i="1"/>
  <c r="B1063" i="1"/>
  <c r="C1063" i="1" s="1"/>
  <c r="R1062" i="1"/>
  <c r="N1062" i="1"/>
  <c r="D1062" i="1"/>
  <c r="B1062" i="1"/>
  <c r="C1062" i="1" s="1"/>
  <c r="R1061" i="1"/>
  <c r="N1061" i="1"/>
  <c r="D1061" i="1"/>
  <c r="B1061" i="1"/>
  <c r="C1061" i="1" s="1"/>
  <c r="R1060" i="1"/>
  <c r="N1060" i="1"/>
  <c r="D1060" i="1"/>
  <c r="C1060" i="1"/>
  <c r="B1060" i="1"/>
  <c r="R1059" i="1"/>
  <c r="N1059" i="1"/>
  <c r="D1059" i="1"/>
  <c r="C1059" i="1"/>
  <c r="B1059" i="1"/>
  <c r="R1058" i="1"/>
  <c r="N1058" i="1"/>
  <c r="D1058" i="1"/>
  <c r="B1058" i="1"/>
  <c r="C1058" i="1" s="1"/>
  <c r="R1057" i="1"/>
  <c r="N1057" i="1"/>
  <c r="D1057" i="1"/>
  <c r="B1057" i="1"/>
  <c r="C1057" i="1" s="1"/>
  <c r="R1056" i="1"/>
  <c r="N1056" i="1"/>
  <c r="D1056" i="1"/>
  <c r="B1056" i="1"/>
  <c r="C1056" i="1" s="1"/>
  <c r="R1055" i="1"/>
  <c r="N1055" i="1"/>
  <c r="D1055" i="1"/>
  <c r="C1055" i="1"/>
  <c r="B1055" i="1"/>
  <c r="R1054" i="1"/>
  <c r="N1054" i="1"/>
  <c r="D1054" i="1"/>
  <c r="C1054" i="1"/>
  <c r="B1054" i="1"/>
  <c r="R1053" i="1"/>
  <c r="N1053" i="1"/>
  <c r="D1053" i="1"/>
  <c r="B1053" i="1"/>
  <c r="C1053" i="1" s="1"/>
  <c r="R1052" i="1"/>
  <c r="N1052" i="1"/>
  <c r="D1052" i="1"/>
  <c r="B1052" i="1"/>
  <c r="C1052" i="1" s="1"/>
  <c r="R1051" i="1"/>
  <c r="N1051" i="1"/>
  <c r="D1051" i="1"/>
  <c r="B1051" i="1"/>
  <c r="C1051" i="1" s="1"/>
  <c r="R1050" i="1"/>
  <c r="N1050" i="1"/>
  <c r="D1050" i="1"/>
  <c r="C1050" i="1"/>
  <c r="B1050" i="1"/>
  <c r="R1049" i="1"/>
  <c r="N1049" i="1"/>
  <c r="D1049" i="1"/>
  <c r="B1049" i="1"/>
  <c r="C1049" i="1" s="1"/>
  <c r="R1048" i="1"/>
  <c r="N1048" i="1"/>
  <c r="D1048" i="1"/>
  <c r="C1048" i="1"/>
  <c r="B1048" i="1"/>
  <c r="R1047" i="1"/>
  <c r="N1047" i="1"/>
  <c r="D1047" i="1"/>
  <c r="B1047" i="1"/>
  <c r="C1047" i="1" s="1"/>
  <c r="R1046" i="1"/>
  <c r="N1046" i="1"/>
  <c r="D1046" i="1"/>
  <c r="B1046" i="1"/>
  <c r="C1046" i="1" s="1"/>
  <c r="R1045" i="1"/>
  <c r="N1045" i="1"/>
  <c r="D1045" i="1"/>
  <c r="B1045" i="1"/>
  <c r="C1045" i="1" s="1"/>
  <c r="R1044" i="1"/>
  <c r="N1044" i="1"/>
  <c r="D1044" i="1"/>
  <c r="C1044" i="1"/>
  <c r="B1044" i="1"/>
  <c r="R1043" i="1"/>
  <c r="N1043" i="1"/>
  <c r="D1043" i="1"/>
  <c r="C1043" i="1"/>
  <c r="B1043" i="1"/>
  <c r="R1042" i="1"/>
  <c r="N1042" i="1"/>
  <c r="D1042" i="1"/>
  <c r="B1042" i="1"/>
  <c r="C1042" i="1" s="1"/>
  <c r="R1041" i="1"/>
  <c r="N1041" i="1"/>
  <c r="D1041" i="1"/>
  <c r="B1041" i="1"/>
  <c r="C1041" i="1" s="1"/>
  <c r="R1040" i="1"/>
  <c r="N1040" i="1"/>
  <c r="D1040" i="1"/>
  <c r="B1040" i="1"/>
  <c r="C1040" i="1" s="1"/>
  <c r="R1039" i="1"/>
  <c r="N1039" i="1"/>
  <c r="D1039" i="1"/>
  <c r="C1039" i="1"/>
  <c r="B1039" i="1"/>
  <c r="R1038" i="1"/>
  <c r="N1038" i="1"/>
  <c r="D1038" i="1"/>
  <c r="C1038" i="1"/>
  <c r="B1038" i="1"/>
  <c r="R1037" i="1"/>
  <c r="N1037" i="1"/>
  <c r="D1037" i="1"/>
  <c r="B1037" i="1"/>
  <c r="C1037" i="1" s="1"/>
  <c r="R1036" i="1"/>
  <c r="N1036" i="1"/>
  <c r="D1036" i="1"/>
  <c r="B1036" i="1"/>
  <c r="C1036" i="1" s="1"/>
  <c r="R1035" i="1"/>
  <c r="N1035" i="1"/>
  <c r="D1035" i="1"/>
  <c r="B1035" i="1"/>
  <c r="C1035" i="1" s="1"/>
  <c r="R1034" i="1"/>
  <c r="N1034" i="1"/>
  <c r="D1034" i="1"/>
  <c r="C1034" i="1"/>
  <c r="B1034" i="1"/>
  <c r="R1033" i="1"/>
  <c r="N1033" i="1"/>
  <c r="D1033" i="1"/>
  <c r="B1033" i="1"/>
  <c r="C1033" i="1" s="1"/>
  <c r="R1032" i="1"/>
  <c r="N1032" i="1"/>
  <c r="D1032" i="1"/>
  <c r="C1032" i="1"/>
  <c r="B1032" i="1"/>
  <c r="R1031" i="1"/>
  <c r="N1031" i="1"/>
  <c r="D1031" i="1"/>
  <c r="B1031" i="1"/>
  <c r="C1031" i="1" s="1"/>
  <c r="R1030" i="1"/>
  <c r="N1030" i="1"/>
  <c r="D1030" i="1"/>
  <c r="B1030" i="1"/>
  <c r="C1030" i="1" s="1"/>
  <c r="R1029" i="1"/>
  <c r="N1029" i="1"/>
  <c r="D1029" i="1"/>
  <c r="B1029" i="1"/>
  <c r="C1029" i="1" s="1"/>
  <c r="R1028" i="1"/>
  <c r="N1028" i="1"/>
  <c r="D1028" i="1"/>
  <c r="C1028" i="1"/>
  <c r="B1028" i="1"/>
  <c r="R1027" i="1"/>
  <c r="N1027" i="1"/>
  <c r="D1027" i="1"/>
  <c r="C1027" i="1"/>
  <c r="B1027" i="1"/>
  <c r="R1026" i="1"/>
  <c r="N1026" i="1"/>
  <c r="D1026" i="1"/>
  <c r="B1026" i="1"/>
  <c r="C1026" i="1" s="1"/>
  <c r="R1025" i="1"/>
  <c r="N1025" i="1"/>
  <c r="D1025" i="1"/>
  <c r="B1025" i="1"/>
  <c r="C1025" i="1" s="1"/>
  <c r="R1024" i="1"/>
  <c r="N1024" i="1"/>
  <c r="D1024" i="1"/>
  <c r="B1024" i="1"/>
  <c r="C1024" i="1" s="1"/>
  <c r="R1023" i="1"/>
  <c r="N1023" i="1"/>
  <c r="D1023" i="1"/>
  <c r="C1023" i="1"/>
  <c r="B1023" i="1"/>
  <c r="R1022" i="1"/>
  <c r="N1022" i="1"/>
  <c r="D1022" i="1"/>
  <c r="C1022" i="1"/>
  <c r="B1022" i="1"/>
  <c r="R1021" i="1"/>
  <c r="N1021" i="1"/>
  <c r="D1021" i="1"/>
  <c r="B1021" i="1"/>
  <c r="C1021" i="1" s="1"/>
  <c r="R1020" i="1"/>
  <c r="N1020" i="1"/>
  <c r="D1020" i="1"/>
  <c r="B1020" i="1"/>
  <c r="C1020" i="1" s="1"/>
  <c r="R1019" i="1"/>
  <c r="N1019" i="1"/>
  <c r="D1019" i="1"/>
  <c r="B1019" i="1"/>
  <c r="C1019" i="1" s="1"/>
  <c r="R1018" i="1"/>
  <c r="N1018" i="1"/>
  <c r="D1018" i="1"/>
  <c r="C1018" i="1"/>
  <c r="B1018" i="1"/>
  <c r="R1017" i="1"/>
  <c r="N1017" i="1"/>
  <c r="D1017" i="1"/>
  <c r="B1017" i="1"/>
  <c r="C1017" i="1" s="1"/>
  <c r="R1016" i="1"/>
  <c r="N1016" i="1"/>
  <c r="D1016" i="1"/>
  <c r="C1016" i="1"/>
  <c r="B1016" i="1"/>
  <c r="R1015" i="1"/>
  <c r="N1015" i="1"/>
  <c r="D1015" i="1"/>
  <c r="B1015" i="1"/>
  <c r="C1015" i="1" s="1"/>
  <c r="R1014" i="1"/>
  <c r="N1014" i="1"/>
  <c r="D1014" i="1"/>
  <c r="B1014" i="1"/>
  <c r="C1014" i="1" s="1"/>
  <c r="R1013" i="1"/>
  <c r="N1013" i="1"/>
  <c r="D1013" i="1"/>
  <c r="B1013" i="1"/>
  <c r="C1013" i="1" s="1"/>
  <c r="R1012" i="1"/>
  <c r="N1012" i="1"/>
  <c r="D1012" i="1"/>
  <c r="C1012" i="1"/>
  <c r="B1012" i="1"/>
  <c r="R1011" i="1"/>
  <c r="N1011" i="1"/>
  <c r="D1011" i="1"/>
  <c r="C1011" i="1"/>
  <c r="B1011" i="1"/>
  <c r="R1010" i="1"/>
  <c r="N1010" i="1"/>
  <c r="D1010" i="1"/>
  <c r="B1010" i="1"/>
  <c r="C1010" i="1" s="1"/>
  <c r="R1009" i="1"/>
  <c r="N1009" i="1"/>
  <c r="D1009" i="1"/>
  <c r="B1009" i="1"/>
  <c r="C1009" i="1" s="1"/>
  <c r="R1008" i="1"/>
  <c r="N1008" i="1"/>
  <c r="D1008" i="1"/>
  <c r="B1008" i="1"/>
  <c r="C1008" i="1" s="1"/>
  <c r="R1007" i="1"/>
  <c r="N1007" i="1"/>
  <c r="D1007" i="1"/>
  <c r="C1007" i="1"/>
  <c r="B1007" i="1"/>
  <c r="R1006" i="1"/>
  <c r="N1006" i="1"/>
  <c r="D1006" i="1"/>
  <c r="C1006" i="1"/>
  <c r="B1006" i="1"/>
  <c r="R1005" i="1"/>
  <c r="N1005" i="1"/>
  <c r="D1005" i="1"/>
  <c r="B1005" i="1"/>
  <c r="C1005" i="1" s="1"/>
  <c r="R1004" i="1"/>
  <c r="N1004" i="1"/>
  <c r="D1004" i="1"/>
  <c r="B1004" i="1"/>
  <c r="C1004" i="1" s="1"/>
  <c r="R1003" i="1"/>
  <c r="N1003" i="1"/>
  <c r="D1003" i="1"/>
  <c r="B1003" i="1"/>
  <c r="C1003" i="1" s="1"/>
  <c r="R1002" i="1"/>
  <c r="N1002" i="1"/>
  <c r="D1002" i="1"/>
  <c r="C1002" i="1"/>
  <c r="B1002" i="1"/>
  <c r="R1001" i="1"/>
  <c r="N1001" i="1"/>
  <c r="D1001" i="1"/>
  <c r="B1001" i="1"/>
  <c r="C1001" i="1" s="1"/>
  <c r="R1000" i="1"/>
  <c r="N1000" i="1"/>
  <c r="D1000" i="1"/>
  <c r="C1000" i="1"/>
  <c r="B1000" i="1"/>
  <c r="R999" i="1"/>
  <c r="N999" i="1"/>
  <c r="D999" i="1"/>
  <c r="B999" i="1"/>
  <c r="C999" i="1" s="1"/>
  <c r="R998" i="1"/>
  <c r="N998" i="1"/>
  <c r="D998" i="1"/>
  <c r="B998" i="1"/>
  <c r="C998" i="1" s="1"/>
  <c r="R997" i="1"/>
  <c r="N997" i="1"/>
  <c r="D997" i="1"/>
  <c r="B997" i="1"/>
  <c r="C997" i="1" s="1"/>
  <c r="R996" i="1"/>
  <c r="N996" i="1"/>
  <c r="D996" i="1"/>
  <c r="C996" i="1"/>
  <c r="B996" i="1"/>
  <c r="R995" i="1"/>
  <c r="N995" i="1"/>
  <c r="D995" i="1"/>
  <c r="C995" i="1"/>
  <c r="B995" i="1"/>
  <c r="R994" i="1"/>
  <c r="N994" i="1"/>
  <c r="D994" i="1"/>
  <c r="B994" i="1"/>
  <c r="C994" i="1" s="1"/>
  <c r="R993" i="1"/>
  <c r="N993" i="1"/>
  <c r="D993" i="1"/>
  <c r="B993" i="1"/>
  <c r="C993" i="1" s="1"/>
  <c r="R992" i="1"/>
  <c r="N992" i="1"/>
  <c r="D992" i="1"/>
  <c r="B992" i="1"/>
  <c r="C992" i="1" s="1"/>
  <c r="R991" i="1"/>
  <c r="N991" i="1"/>
  <c r="D991" i="1"/>
  <c r="C991" i="1"/>
  <c r="B991" i="1"/>
  <c r="R990" i="1"/>
  <c r="N990" i="1"/>
  <c r="D990" i="1"/>
  <c r="C990" i="1"/>
  <c r="B990" i="1"/>
  <c r="R989" i="1"/>
  <c r="N989" i="1"/>
  <c r="D989" i="1"/>
  <c r="B989" i="1"/>
  <c r="C989" i="1" s="1"/>
  <c r="R988" i="1"/>
  <c r="N988" i="1"/>
  <c r="D988" i="1"/>
  <c r="B988" i="1"/>
  <c r="C988" i="1" s="1"/>
  <c r="R987" i="1"/>
  <c r="N987" i="1"/>
  <c r="D987" i="1"/>
  <c r="B987" i="1"/>
  <c r="C987" i="1" s="1"/>
  <c r="R986" i="1"/>
  <c r="N986" i="1"/>
  <c r="D986" i="1"/>
  <c r="C986" i="1"/>
  <c r="B986" i="1"/>
  <c r="R985" i="1"/>
  <c r="N985" i="1"/>
  <c r="D985" i="1"/>
  <c r="B985" i="1"/>
  <c r="C985" i="1" s="1"/>
  <c r="R984" i="1"/>
  <c r="N984" i="1"/>
  <c r="D984" i="1"/>
  <c r="C984" i="1"/>
  <c r="B984" i="1"/>
  <c r="R983" i="1"/>
  <c r="N983" i="1"/>
  <c r="D983" i="1"/>
  <c r="C983" i="1"/>
  <c r="B983" i="1"/>
  <c r="R982" i="1"/>
  <c r="N982" i="1"/>
  <c r="D982" i="1"/>
  <c r="B982" i="1"/>
  <c r="C982" i="1" s="1"/>
  <c r="R981" i="1"/>
  <c r="N981" i="1"/>
  <c r="D981" i="1"/>
  <c r="B981" i="1"/>
  <c r="C981" i="1" s="1"/>
  <c r="R980" i="1"/>
  <c r="N980" i="1"/>
  <c r="D980" i="1"/>
  <c r="C980" i="1"/>
  <c r="B980" i="1"/>
  <c r="R979" i="1"/>
  <c r="N979" i="1"/>
  <c r="D979" i="1"/>
  <c r="C979" i="1"/>
  <c r="B979" i="1"/>
  <c r="R978" i="1"/>
  <c r="N978" i="1"/>
  <c r="D978" i="1"/>
  <c r="C978" i="1"/>
  <c r="B978" i="1"/>
  <c r="R977" i="1"/>
  <c r="N977" i="1"/>
  <c r="D977" i="1"/>
  <c r="B977" i="1"/>
  <c r="C977" i="1" s="1"/>
  <c r="R976" i="1"/>
  <c r="N976" i="1"/>
  <c r="D976" i="1"/>
  <c r="B976" i="1"/>
  <c r="C976" i="1" s="1"/>
  <c r="R975" i="1"/>
  <c r="N975" i="1"/>
  <c r="D975" i="1"/>
  <c r="C975" i="1"/>
  <c r="B975" i="1"/>
  <c r="R974" i="1"/>
  <c r="N974" i="1"/>
  <c r="D974" i="1"/>
  <c r="C974" i="1"/>
  <c r="B974" i="1"/>
  <c r="R973" i="1"/>
  <c r="N973" i="1"/>
  <c r="D973" i="1"/>
  <c r="B973" i="1"/>
  <c r="C973" i="1" s="1"/>
  <c r="R972" i="1"/>
  <c r="N972" i="1"/>
  <c r="D972" i="1"/>
  <c r="B972" i="1"/>
  <c r="C972" i="1" s="1"/>
  <c r="R971" i="1"/>
  <c r="N971" i="1"/>
  <c r="D971" i="1"/>
  <c r="C971" i="1"/>
  <c r="B971" i="1"/>
  <c r="R970" i="1"/>
  <c r="N970" i="1"/>
  <c r="D970" i="1"/>
  <c r="B970" i="1"/>
  <c r="C970" i="1" s="1"/>
  <c r="R969" i="1"/>
  <c r="N969" i="1"/>
  <c r="D969" i="1"/>
  <c r="B969" i="1"/>
  <c r="C969" i="1" s="1"/>
  <c r="R968" i="1"/>
  <c r="N968" i="1"/>
  <c r="D968" i="1"/>
  <c r="B968" i="1"/>
  <c r="C968" i="1" s="1"/>
  <c r="R967" i="1"/>
  <c r="N967" i="1"/>
  <c r="D967" i="1"/>
  <c r="C967" i="1"/>
  <c r="B967" i="1"/>
  <c r="R966" i="1"/>
  <c r="N966" i="1"/>
  <c r="D966" i="1"/>
  <c r="C966" i="1"/>
  <c r="B966" i="1"/>
  <c r="R965" i="1"/>
  <c r="N965" i="1"/>
  <c r="D965" i="1"/>
  <c r="B965" i="1"/>
  <c r="C965" i="1" s="1"/>
  <c r="R964" i="1"/>
  <c r="N964" i="1"/>
  <c r="D964" i="1"/>
  <c r="B964" i="1"/>
  <c r="C964" i="1" s="1"/>
  <c r="R963" i="1"/>
  <c r="N963" i="1"/>
  <c r="D963" i="1"/>
  <c r="C963" i="1"/>
  <c r="B963" i="1"/>
  <c r="R962" i="1"/>
  <c r="N962" i="1"/>
  <c r="D962" i="1"/>
  <c r="B962" i="1"/>
  <c r="C962" i="1" s="1"/>
  <c r="R961" i="1"/>
  <c r="N961" i="1"/>
  <c r="D961" i="1"/>
  <c r="B961" i="1"/>
  <c r="C961" i="1" s="1"/>
  <c r="R960" i="1"/>
  <c r="N960" i="1"/>
  <c r="D960" i="1"/>
  <c r="B960" i="1"/>
  <c r="C960" i="1" s="1"/>
  <c r="R959" i="1"/>
  <c r="N959" i="1"/>
  <c r="D959" i="1"/>
  <c r="C959" i="1"/>
  <c r="B959" i="1"/>
  <c r="R958" i="1"/>
  <c r="N958" i="1"/>
  <c r="D958" i="1"/>
  <c r="B958" i="1"/>
  <c r="C958" i="1" s="1"/>
  <c r="R957" i="1"/>
  <c r="N957" i="1"/>
  <c r="D957" i="1"/>
  <c r="B957" i="1"/>
  <c r="C957" i="1" s="1"/>
  <c r="R956" i="1"/>
  <c r="N956" i="1"/>
  <c r="D956" i="1"/>
  <c r="B956" i="1"/>
  <c r="C956" i="1" s="1"/>
  <c r="R955" i="1"/>
  <c r="N955" i="1"/>
  <c r="D955" i="1"/>
  <c r="C955" i="1"/>
  <c r="B955" i="1"/>
  <c r="R954" i="1"/>
  <c r="N954" i="1"/>
  <c r="D954" i="1"/>
  <c r="B954" i="1"/>
  <c r="C954" i="1" s="1"/>
  <c r="R953" i="1"/>
  <c r="N953" i="1"/>
  <c r="D953" i="1"/>
  <c r="B953" i="1"/>
  <c r="C953" i="1" s="1"/>
  <c r="R952" i="1"/>
  <c r="N952" i="1"/>
  <c r="D952" i="1"/>
  <c r="B952" i="1"/>
  <c r="C952" i="1" s="1"/>
  <c r="R951" i="1"/>
  <c r="N951" i="1"/>
  <c r="D951" i="1"/>
  <c r="C951" i="1"/>
  <c r="B951" i="1"/>
  <c r="R950" i="1"/>
  <c r="N950" i="1"/>
  <c r="D950" i="1"/>
  <c r="B950" i="1"/>
  <c r="C950" i="1" s="1"/>
  <c r="R949" i="1"/>
  <c r="N949" i="1"/>
  <c r="D949" i="1"/>
  <c r="B949" i="1"/>
  <c r="C949" i="1" s="1"/>
  <c r="R948" i="1"/>
  <c r="N948" i="1"/>
  <c r="D948" i="1"/>
  <c r="B948" i="1"/>
  <c r="C948" i="1" s="1"/>
  <c r="R947" i="1"/>
  <c r="N947" i="1"/>
  <c r="D947" i="1"/>
  <c r="C947" i="1"/>
  <c r="B947" i="1"/>
  <c r="R946" i="1"/>
  <c r="N946" i="1"/>
  <c r="D946" i="1"/>
  <c r="B946" i="1"/>
  <c r="C946" i="1" s="1"/>
  <c r="R945" i="1"/>
  <c r="N945" i="1"/>
  <c r="D945" i="1"/>
  <c r="B945" i="1"/>
  <c r="C945" i="1" s="1"/>
  <c r="R944" i="1"/>
  <c r="N944" i="1"/>
  <c r="D944" i="1"/>
  <c r="B944" i="1"/>
  <c r="C944" i="1" s="1"/>
  <c r="R943" i="1"/>
  <c r="N943" i="1"/>
  <c r="D943" i="1"/>
  <c r="C943" i="1"/>
  <c r="B943" i="1"/>
  <c r="R942" i="1"/>
  <c r="N942" i="1"/>
  <c r="D942" i="1"/>
  <c r="B942" i="1"/>
  <c r="C942" i="1" s="1"/>
  <c r="R941" i="1"/>
  <c r="N941" i="1"/>
  <c r="D941" i="1"/>
  <c r="B941" i="1"/>
  <c r="C941" i="1" s="1"/>
  <c r="R940" i="1"/>
  <c r="N940" i="1"/>
  <c r="D940" i="1"/>
  <c r="B940" i="1"/>
  <c r="C940" i="1" s="1"/>
  <c r="R939" i="1"/>
  <c r="N939" i="1"/>
  <c r="D939" i="1"/>
  <c r="C939" i="1"/>
  <c r="B939" i="1"/>
  <c r="R938" i="1"/>
  <c r="N938" i="1"/>
  <c r="D938" i="1"/>
  <c r="B938" i="1"/>
  <c r="C938" i="1" s="1"/>
  <c r="R937" i="1"/>
  <c r="N937" i="1"/>
  <c r="D937" i="1"/>
  <c r="B937" i="1"/>
  <c r="C937" i="1" s="1"/>
  <c r="R936" i="1"/>
  <c r="N936" i="1"/>
  <c r="D936" i="1"/>
  <c r="B936" i="1"/>
  <c r="C936" i="1" s="1"/>
  <c r="R935" i="1"/>
  <c r="N935" i="1"/>
  <c r="D935" i="1"/>
  <c r="C935" i="1"/>
  <c r="B935" i="1"/>
  <c r="R934" i="1"/>
  <c r="N934" i="1"/>
  <c r="D934" i="1"/>
  <c r="B934" i="1"/>
  <c r="C934" i="1" s="1"/>
  <c r="R933" i="1"/>
  <c r="N933" i="1"/>
  <c r="D933" i="1"/>
  <c r="B933" i="1"/>
  <c r="C933" i="1" s="1"/>
  <c r="R932" i="1"/>
  <c r="N932" i="1"/>
  <c r="D932" i="1"/>
  <c r="B932" i="1"/>
  <c r="C932" i="1" s="1"/>
  <c r="R931" i="1"/>
  <c r="N931" i="1"/>
  <c r="D931" i="1"/>
  <c r="B931" i="1"/>
  <c r="C931" i="1" s="1"/>
  <c r="R930" i="1"/>
  <c r="N930" i="1"/>
  <c r="D930" i="1"/>
  <c r="B930" i="1"/>
  <c r="C930" i="1" s="1"/>
  <c r="R929" i="1"/>
  <c r="N929" i="1"/>
  <c r="D929" i="1"/>
  <c r="B929" i="1"/>
  <c r="C929" i="1" s="1"/>
  <c r="R928" i="1"/>
  <c r="N928" i="1"/>
  <c r="D928" i="1"/>
  <c r="B928" i="1"/>
  <c r="C928" i="1" s="1"/>
  <c r="R927" i="1"/>
  <c r="N927" i="1"/>
  <c r="D927" i="1"/>
  <c r="C927" i="1"/>
  <c r="B927" i="1"/>
  <c r="R926" i="1"/>
  <c r="N926" i="1"/>
  <c r="D926" i="1"/>
  <c r="B926" i="1"/>
  <c r="C926" i="1" s="1"/>
  <c r="R925" i="1"/>
  <c r="N925" i="1"/>
  <c r="D925" i="1"/>
  <c r="B925" i="1"/>
  <c r="C925" i="1" s="1"/>
  <c r="R924" i="1"/>
  <c r="N924" i="1"/>
  <c r="D924" i="1"/>
  <c r="B924" i="1"/>
  <c r="C924" i="1" s="1"/>
  <c r="R923" i="1"/>
  <c r="N923" i="1"/>
  <c r="D923" i="1"/>
  <c r="B923" i="1"/>
  <c r="C923" i="1" s="1"/>
  <c r="R922" i="1"/>
  <c r="N922" i="1"/>
  <c r="D922" i="1"/>
  <c r="B922" i="1"/>
  <c r="C922" i="1" s="1"/>
  <c r="R921" i="1"/>
  <c r="N921" i="1"/>
  <c r="D921" i="1"/>
  <c r="B921" i="1"/>
  <c r="C921" i="1" s="1"/>
  <c r="R920" i="1"/>
  <c r="N920" i="1"/>
  <c r="D920" i="1"/>
  <c r="B920" i="1"/>
  <c r="C920" i="1" s="1"/>
  <c r="R919" i="1"/>
  <c r="N919" i="1"/>
  <c r="D919" i="1"/>
  <c r="C919" i="1"/>
  <c r="B919" i="1"/>
  <c r="R918" i="1"/>
  <c r="N918" i="1"/>
  <c r="D918" i="1"/>
  <c r="B918" i="1"/>
  <c r="C918" i="1" s="1"/>
  <c r="R917" i="1"/>
  <c r="N917" i="1"/>
  <c r="D917" i="1"/>
  <c r="B917" i="1"/>
  <c r="C917" i="1" s="1"/>
  <c r="R916" i="1"/>
  <c r="N916" i="1"/>
  <c r="D916" i="1"/>
  <c r="B916" i="1"/>
  <c r="C916" i="1" s="1"/>
  <c r="R915" i="1"/>
  <c r="N915" i="1"/>
  <c r="D915" i="1"/>
  <c r="B915" i="1"/>
  <c r="C915" i="1" s="1"/>
  <c r="R914" i="1"/>
  <c r="N914" i="1"/>
  <c r="D914" i="1"/>
  <c r="B914" i="1"/>
  <c r="C914" i="1" s="1"/>
  <c r="R913" i="1"/>
  <c r="N913" i="1"/>
  <c r="D913" i="1"/>
  <c r="B913" i="1"/>
  <c r="C913" i="1" s="1"/>
  <c r="R912" i="1"/>
  <c r="N912" i="1"/>
  <c r="D912" i="1"/>
  <c r="B912" i="1"/>
  <c r="C912" i="1" s="1"/>
  <c r="R911" i="1"/>
  <c r="N911" i="1"/>
  <c r="D911" i="1"/>
  <c r="C911" i="1"/>
  <c r="B911" i="1"/>
  <c r="R910" i="1"/>
  <c r="N910" i="1"/>
  <c r="D910" i="1"/>
  <c r="B910" i="1"/>
  <c r="C910" i="1" s="1"/>
  <c r="R909" i="1"/>
  <c r="N909" i="1"/>
  <c r="D909" i="1"/>
  <c r="B909" i="1"/>
  <c r="C909" i="1" s="1"/>
  <c r="R908" i="1"/>
  <c r="N908" i="1"/>
  <c r="D908" i="1"/>
  <c r="B908" i="1"/>
  <c r="C908" i="1" s="1"/>
  <c r="R907" i="1"/>
  <c r="N907" i="1"/>
  <c r="D907" i="1"/>
  <c r="B907" i="1"/>
  <c r="C907" i="1" s="1"/>
  <c r="R906" i="1"/>
  <c r="N906" i="1"/>
  <c r="D906" i="1"/>
  <c r="B906" i="1"/>
  <c r="C906" i="1" s="1"/>
  <c r="R905" i="1"/>
  <c r="N905" i="1"/>
  <c r="D905" i="1"/>
  <c r="B905" i="1"/>
  <c r="C905" i="1" s="1"/>
  <c r="R904" i="1"/>
  <c r="N904" i="1"/>
  <c r="D904" i="1"/>
  <c r="B904" i="1"/>
  <c r="C904" i="1" s="1"/>
  <c r="R903" i="1"/>
  <c r="N903" i="1"/>
  <c r="D903" i="1"/>
  <c r="C903" i="1"/>
  <c r="B903" i="1"/>
  <c r="R902" i="1"/>
  <c r="N902" i="1"/>
  <c r="D902" i="1"/>
  <c r="B902" i="1"/>
  <c r="C902" i="1" s="1"/>
  <c r="R901" i="1"/>
  <c r="N901" i="1"/>
  <c r="D901" i="1"/>
  <c r="B901" i="1"/>
  <c r="C901" i="1" s="1"/>
  <c r="R900" i="1"/>
  <c r="N900" i="1"/>
  <c r="D900" i="1"/>
  <c r="B900" i="1"/>
  <c r="C900" i="1" s="1"/>
  <c r="R899" i="1"/>
  <c r="N899" i="1"/>
  <c r="D899" i="1"/>
  <c r="B899" i="1"/>
  <c r="C899" i="1" s="1"/>
  <c r="R898" i="1"/>
  <c r="N898" i="1"/>
  <c r="D898" i="1"/>
  <c r="B898" i="1"/>
  <c r="C898" i="1" s="1"/>
  <c r="R897" i="1"/>
  <c r="N897" i="1"/>
  <c r="D897" i="1"/>
  <c r="B897" i="1"/>
  <c r="C897" i="1" s="1"/>
  <c r="R896" i="1"/>
  <c r="N896" i="1"/>
  <c r="D896" i="1"/>
  <c r="B896" i="1"/>
  <c r="C896" i="1" s="1"/>
  <c r="R895" i="1"/>
  <c r="N895" i="1"/>
  <c r="D895" i="1"/>
  <c r="C895" i="1"/>
  <c r="B895" i="1"/>
  <c r="R894" i="1"/>
  <c r="N894" i="1"/>
  <c r="D894" i="1"/>
  <c r="B894" i="1"/>
  <c r="C894" i="1" s="1"/>
  <c r="R893" i="1"/>
  <c r="N893" i="1"/>
  <c r="D893" i="1"/>
  <c r="B893" i="1"/>
  <c r="C893" i="1" s="1"/>
  <c r="R892" i="1"/>
  <c r="N892" i="1"/>
  <c r="D892" i="1"/>
  <c r="B892" i="1"/>
  <c r="C892" i="1" s="1"/>
  <c r="R891" i="1"/>
  <c r="N891" i="1"/>
  <c r="D891" i="1"/>
  <c r="B891" i="1"/>
  <c r="C891" i="1" s="1"/>
  <c r="R890" i="1"/>
  <c r="N890" i="1"/>
  <c r="D890" i="1"/>
  <c r="B890" i="1"/>
  <c r="C890" i="1" s="1"/>
  <c r="R889" i="1"/>
  <c r="N889" i="1"/>
  <c r="D889" i="1"/>
  <c r="B889" i="1"/>
  <c r="C889" i="1" s="1"/>
  <c r="R888" i="1"/>
  <c r="N888" i="1"/>
  <c r="D888" i="1"/>
  <c r="B888" i="1"/>
  <c r="C888" i="1" s="1"/>
  <c r="R887" i="1"/>
  <c r="N887" i="1"/>
  <c r="D887" i="1"/>
  <c r="C887" i="1"/>
  <c r="B887" i="1"/>
  <c r="R886" i="1"/>
  <c r="N886" i="1"/>
  <c r="D886" i="1"/>
  <c r="B886" i="1"/>
  <c r="C886" i="1" s="1"/>
  <c r="R885" i="1"/>
  <c r="N885" i="1"/>
  <c r="D885" i="1"/>
  <c r="B885" i="1"/>
  <c r="C885" i="1" s="1"/>
  <c r="R884" i="1"/>
  <c r="N884" i="1"/>
  <c r="D884" i="1"/>
  <c r="B884" i="1"/>
  <c r="C884" i="1" s="1"/>
  <c r="R883" i="1"/>
  <c r="N883" i="1"/>
  <c r="D883" i="1"/>
  <c r="B883" i="1"/>
  <c r="C883" i="1" s="1"/>
  <c r="R882" i="1"/>
  <c r="N882" i="1"/>
  <c r="D882" i="1"/>
  <c r="B882" i="1"/>
  <c r="C882" i="1" s="1"/>
  <c r="R881" i="1"/>
  <c r="N881" i="1"/>
  <c r="D881" i="1"/>
  <c r="B881" i="1"/>
  <c r="C881" i="1" s="1"/>
  <c r="R880" i="1"/>
  <c r="N880" i="1"/>
  <c r="D880" i="1"/>
  <c r="B880" i="1"/>
  <c r="C880" i="1" s="1"/>
  <c r="R879" i="1"/>
  <c r="N879" i="1"/>
  <c r="D879" i="1"/>
  <c r="C879" i="1"/>
  <c r="B879" i="1"/>
  <c r="R878" i="1"/>
  <c r="N878" i="1"/>
  <c r="D878" i="1"/>
  <c r="B878" i="1"/>
  <c r="C878" i="1" s="1"/>
  <c r="R877" i="1"/>
  <c r="N877" i="1"/>
  <c r="D877" i="1"/>
  <c r="B877" i="1"/>
  <c r="C877" i="1" s="1"/>
  <c r="R876" i="1"/>
  <c r="N876" i="1"/>
  <c r="D876" i="1"/>
  <c r="B876" i="1"/>
  <c r="C876" i="1" s="1"/>
  <c r="R875" i="1"/>
  <c r="N875" i="1"/>
  <c r="D875" i="1"/>
  <c r="B875" i="1"/>
  <c r="C875" i="1" s="1"/>
  <c r="R874" i="1"/>
  <c r="N874" i="1"/>
  <c r="D874" i="1"/>
  <c r="B874" i="1"/>
  <c r="C874" i="1" s="1"/>
  <c r="R873" i="1"/>
  <c r="N873" i="1"/>
  <c r="D873" i="1"/>
  <c r="B873" i="1"/>
  <c r="C873" i="1" s="1"/>
  <c r="R872" i="1"/>
  <c r="N872" i="1"/>
  <c r="D872" i="1"/>
  <c r="B872" i="1"/>
  <c r="C872" i="1" s="1"/>
  <c r="R871" i="1"/>
  <c r="N871" i="1"/>
  <c r="D871" i="1"/>
  <c r="C871" i="1"/>
  <c r="B871" i="1"/>
  <c r="R870" i="1"/>
  <c r="N870" i="1"/>
  <c r="D870" i="1"/>
  <c r="B870" i="1"/>
  <c r="C870" i="1" s="1"/>
  <c r="R869" i="1"/>
  <c r="N869" i="1"/>
  <c r="D869" i="1"/>
  <c r="B869" i="1"/>
  <c r="C869" i="1" s="1"/>
  <c r="R868" i="1"/>
  <c r="N868" i="1"/>
  <c r="D868" i="1"/>
  <c r="B868" i="1"/>
  <c r="C868" i="1" s="1"/>
  <c r="R867" i="1"/>
  <c r="N867" i="1"/>
  <c r="D867" i="1"/>
  <c r="B867" i="1"/>
  <c r="C867" i="1" s="1"/>
  <c r="R866" i="1"/>
  <c r="N866" i="1"/>
  <c r="D866" i="1"/>
  <c r="B866" i="1"/>
  <c r="C866" i="1" s="1"/>
  <c r="R865" i="1"/>
  <c r="N865" i="1"/>
  <c r="D865" i="1"/>
  <c r="B865" i="1"/>
  <c r="C865" i="1" s="1"/>
  <c r="R864" i="1"/>
  <c r="N864" i="1"/>
  <c r="D864" i="1"/>
  <c r="B864" i="1"/>
  <c r="C864" i="1" s="1"/>
  <c r="R863" i="1"/>
  <c r="N863" i="1"/>
  <c r="D863" i="1"/>
  <c r="C863" i="1"/>
  <c r="B863" i="1"/>
  <c r="R862" i="1"/>
  <c r="N862" i="1"/>
  <c r="D862" i="1"/>
  <c r="B862" i="1"/>
  <c r="C862" i="1" s="1"/>
  <c r="R861" i="1"/>
  <c r="N861" i="1"/>
  <c r="D861" i="1"/>
  <c r="B861" i="1"/>
  <c r="C861" i="1" s="1"/>
  <c r="R860" i="1"/>
  <c r="N860" i="1"/>
  <c r="D860" i="1"/>
  <c r="B860" i="1"/>
  <c r="C860" i="1" s="1"/>
  <c r="R859" i="1"/>
  <c r="N859" i="1"/>
  <c r="D859" i="1"/>
  <c r="B859" i="1"/>
  <c r="C859" i="1" s="1"/>
  <c r="R858" i="1"/>
  <c r="N858" i="1"/>
  <c r="D858" i="1"/>
  <c r="B858" i="1"/>
  <c r="C858" i="1" s="1"/>
  <c r="R857" i="1"/>
  <c r="N857" i="1"/>
  <c r="D857" i="1"/>
  <c r="B857" i="1"/>
  <c r="C857" i="1" s="1"/>
  <c r="R856" i="1"/>
  <c r="N856" i="1"/>
  <c r="D856" i="1"/>
  <c r="B856" i="1"/>
  <c r="C856" i="1" s="1"/>
  <c r="R855" i="1"/>
  <c r="N855" i="1"/>
  <c r="D855" i="1"/>
  <c r="C855" i="1"/>
  <c r="B855" i="1"/>
  <c r="R854" i="1"/>
  <c r="N854" i="1"/>
  <c r="D854" i="1"/>
  <c r="B854" i="1"/>
  <c r="C854" i="1" s="1"/>
  <c r="R853" i="1"/>
  <c r="N853" i="1"/>
  <c r="D853" i="1"/>
  <c r="B853" i="1"/>
  <c r="C853" i="1" s="1"/>
  <c r="R852" i="1"/>
  <c r="N852" i="1"/>
  <c r="D852" i="1"/>
  <c r="B852" i="1"/>
  <c r="C852" i="1" s="1"/>
  <c r="R851" i="1"/>
  <c r="N851" i="1"/>
  <c r="D851" i="1"/>
  <c r="B851" i="1"/>
  <c r="C851" i="1" s="1"/>
  <c r="R850" i="1"/>
  <c r="N850" i="1"/>
  <c r="D850" i="1"/>
  <c r="B850" i="1"/>
  <c r="C850" i="1" s="1"/>
  <c r="R849" i="1"/>
  <c r="N849" i="1"/>
  <c r="D849" i="1"/>
  <c r="B849" i="1"/>
  <c r="C849" i="1" s="1"/>
  <c r="R848" i="1"/>
  <c r="N848" i="1"/>
  <c r="D848" i="1"/>
  <c r="B848" i="1"/>
  <c r="C848" i="1" s="1"/>
  <c r="R847" i="1"/>
  <c r="N847" i="1"/>
  <c r="D847" i="1"/>
  <c r="C847" i="1"/>
  <c r="B847" i="1"/>
  <c r="R846" i="1"/>
  <c r="N846" i="1"/>
  <c r="D846" i="1"/>
  <c r="B846" i="1"/>
  <c r="C846" i="1" s="1"/>
  <c r="R845" i="1"/>
  <c r="N845" i="1"/>
  <c r="D845" i="1"/>
  <c r="B845" i="1"/>
  <c r="C845" i="1" s="1"/>
  <c r="R844" i="1"/>
  <c r="N844" i="1"/>
  <c r="D844" i="1"/>
  <c r="B844" i="1"/>
  <c r="C844" i="1" s="1"/>
  <c r="R843" i="1"/>
  <c r="N843" i="1"/>
  <c r="D843" i="1"/>
  <c r="B843" i="1"/>
  <c r="C843" i="1" s="1"/>
  <c r="R842" i="1"/>
  <c r="N842" i="1"/>
  <c r="D842" i="1"/>
  <c r="C842" i="1"/>
  <c r="B842" i="1"/>
  <c r="R841" i="1"/>
  <c r="N841" i="1"/>
  <c r="D841" i="1"/>
  <c r="B841" i="1"/>
  <c r="C841" i="1" s="1"/>
  <c r="R840" i="1"/>
  <c r="N840" i="1"/>
  <c r="D840" i="1"/>
  <c r="B840" i="1"/>
  <c r="C840" i="1" s="1"/>
  <c r="R839" i="1"/>
  <c r="N839" i="1"/>
  <c r="D839" i="1"/>
  <c r="C839" i="1"/>
  <c r="B839" i="1"/>
  <c r="R838" i="1"/>
  <c r="N838" i="1"/>
  <c r="D838" i="1"/>
  <c r="B838" i="1"/>
  <c r="C838" i="1" s="1"/>
  <c r="R837" i="1"/>
  <c r="N837" i="1"/>
  <c r="D837" i="1"/>
  <c r="B837" i="1"/>
  <c r="C837" i="1" s="1"/>
  <c r="R836" i="1"/>
  <c r="N836" i="1"/>
  <c r="D836" i="1"/>
  <c r="B836" i="1"/>
  <c r="C836" i="1" s="1"/>
  <c r="R835" i="1"/>
  <c r="N835" i="1"/>
  <c r="D835" i="1"/>
  <c r="C835" i="1"/>
  <c r="B835" i="1"/>
  <c r="R834" i="1"/>
  <c r="N834" i="1"/>
  <c r="D834" i="1"/>
  <c r="B834" i="1"/>
  <c r="C834" i="1" s="1"/>
  <c r="R833" i="1"/>
  <c r="N833" i="1"/>
  <c r="D833" i="1"/>
  <c r="B833" i="1"/>
  <c r="C833" i="1" s="1"/>
  <c r="R832" i="1"/>
  <c r="N832" i="1"/>
  <c r="D832" i="1"/>
  <c r="B832" i="1"/>
  <c r="C832" i="1" s="1"/>
  <c r="R831" i="1"/>
  <c r="N831" i="1"/>
  <c r="D831" i="1"/>
  <c r="C831" i="1"/>
  <c r="B831" i="1"/>
  <c r="R830" i="1"/>
  <c r="N830" i="1"/>
  <c r="D830" i="1"/>
  <c r="B830" i="1"/>
  <c r="C830" i="1" s="1"/>
  <c r="R829" i="1"/>
  <c r="N829" i="1"/>
  <c r="D829" i="1"/>
  <c r="B829" i="1"/>
  <c r="C829" i="1" s="1"/>
  <c r="R828" i="1"/>
  <c r="N828" i="1"/>
  <c r="D828" i="1"/>
  <c r="B828" i="1"/>
  <c r="C828" i="1" s="1"/>
  <c r="R827" i="1"/>
  <c r="N827" i="1"/>
  <c r="D827" i="1"/>
  <c r="B827" i="1"/>
  <c r="C827" i="1" s="1"/>
  <c r="R826" i="1"/>
  <c r="N826" i="1"/>
  <c r="D826" i="1"/>
  <c r="C826" i="1"/>
  <c r="B826" i="1"/>
  <c r="R825" i="1"/>
  <c r="N825" i="1"/>
  <c r="D825" i="1"/>
  <c r="B825" i="1"/>
  <c r="C825" i="1" s="1"/>
  <c r="R824" i="1"/>
  <c r="N824" i="1"/>
  <c r="D824" i="1"/>
  <c r="B824" i="1"/>
  <c r="C824" i="1" s="1"/>
  <c r="R823" i="1"/>
  <c r="N823" i="1"/>
  <c r="D823" i="1"/>
  <c r="C823" i="1"/>
  <c r="B823" i="1"/>
  <c r="R822" i="1"/>
  <c r="N822" i="1"/>
  <c r="D822" i="1"/>
  <c r="B822" i="1"/>
  <c r="C822" i="1" s="1"/>
  <c r="R821" i="1"/>
  <c r="N821" i="1"/>
  <c r="D821" i="1"/>
  <c r="B821" i="1"/>
  <c r="C821" i="1" s="1"/>
  <c r="R820" i="1"/>
  <c r="N820" i="1"/>
  <c r="D820" i="1"/>
  <c r="B820" i="1"/>
  <c r="C820" i="1" s="1"/>
  <c r="R819" i="1"/>
  <c r="N819" i="1"/>
  <c r="D819" i="1"/>
  <c r="C819" i="1"/>
  <c r="B819" i="1"/>
  <c r="R818" i="1"/>
  <c r="N818" i="1"/>
  <c r="D818" i="1"/>
  <c r="B818" i="1"/>
  <c r="C818" i="1" s="1"/>
  <c r="R817" i="1"/>
  <c r="N817" i="1"/>
  <c r="D817" i="1"/>
  <c r="B817" i="1"/>
  <c r="C817" i="1" s="1"/>
  <c r="R816" i="1"/>
  <c r="N816" i="1"/>
  <c r="D816" i="1"/>
  <c r="B816" i="1"/>
  <c r="C816" i="1" s="1"/>
  <c r="R815" i="1"/>
  <c r="N815" i="1"/>
  <c r="D815" i="1"/>
  <c r="C815" i="1"/>
  <c r="B815" i="1"/>
  <c r="R814" i="1"/>
  <c r="N814" i="1"/>
  <c r="D814" i="1"/>
  <c r="B814" i="1"/>
  <c r="C814" i="1" s="1"/>
  <c r="R813" i="1"/>
  <c r="N813" i="1"/>
  <c r="D813" i="1"/>
  <c r="B813" i="1"/>
  <c r="C813" i="1" s="1"/>
  <c r="R812" i="1"/>
  <c r="N812" i="1"/>
  <c r="D812" i="1"/>
  <c r="B812" i="1"/>
  <c r="C812" i="1" s="1"/>
  <c r="R811" i="1"/>
  <c r="N811" i="1"/>
  <c r="D811" i="1"/>
  <c r="B811" i="1"/>
  <c r="C811" i="1" s="1"/>
  <c r="R810" i="1"/>
  <c r="N810" i="1"/>
  <c r="D810" i="1"/>
  <c r="B810" i="1"/>
  <c r="C810" i="1" s="1"/>
  <c r="R809" i="1"/>
  <c r="N809" i="1"/>
  <c r="D809" i="1"/>
  <c r="B809" i="1"/>
  <c r="C809" i="1" s="1"/>
  <c r="R808" i="1"/>
  <c r="N808" i="1"/>
  <c r="D808" i="1"/>
  <c r="B808" i="1"/>
  <c r="C808" i="1" s="1"/>
  <c r="R807" i="1"/>
  <c r="N807" i="1"/>
  <c r="D807" i="1"/>
  <c r="B807" i="1"/>
  <c r="C807" i="1" s="1"/>
  <c r="R806" i="1"/>
  <c r="N806" i="1"/>
  <c r="D806" i="1"/>
  <c r="C806" i="1"/>
  <c r="B806" i="1"/>
  <c r="R805" i="1"/>
  <c r="N805" i="1"/>
  <c r="D805" i="1"/>
  <c r="C805" i="1"/>
  <c r="B805" i="1"/>
  <c r="R804" i="1"/>
  <c r="N804" i="1"/>
  <c r="D804" i="1"/>
  <c r="B804" i="1"/>
  <c r="C804" i="1" s="1"/>
  <c r="R803" i="1"/>
  <c r="N803" i="1"/>
  <c r="D803" i="1"/>
  <c r="B803" i="1"/>
  <c r="C803" i="1" s="1"/>
  <c r="R802" i="1"/>
  <c r="N802" i="1"/>
  <c r="D802" i="1"/>
  <c r="B802" i="1"/>
  <c r="C802" i="1" s="1"/>
  <c r="R801" i="1"/>
  <c r="N801" i="1"/>
  <c r="D801" i="1"/>
  <c r="B801" i="1"/>
  <c r="C801" i="1" s="1"/>
  <c r="R800" i="1"/>
  <c r="N800" i="1"/>
  <c r="D800" i="1"/>
  <c r="B800" i="1"/>
  <c r="C800" i="1" s="1"/>
  <c r="R799" i="1"/>
  <c r="N799" i="1"/>
  <c r="D799" i="1"/>
  <c r="C799" i="1"/>
  <c r="B799" i="1"/>
  <c r="R798" i="1"/>
  <c r="N798" i="1"/>
  <c r="D798" i="1"/>
  <c r="B798" i="1"/>
  <c r="C798" i="1" s="1"/>
  <c r="R797" i="1"/>
  <c r="N797" i="1"/>
  <c r="D797" i="1"/>
  <c r="C797" i="1"/>
  <c r="B797" i="1"/>
  <c r="R796" i="1"/>
  <c r="N796" i="1"/>
  <c r="D796" i="1"/>
  <c r="B796" i="1"/>
  <c r="C796" i="1" s="1"/>
  <c r="R795" i="1"/>
  <c r="N795" i="1"/>
  <c r="D795" i="1"/>
  <c r="B795" i="1"/>
  <c r="C795" i="1" s="1"/>
  <c r="R794" i="1"/>
  <c r="N794" i="1"/>
  <c r="D794" i="1"/>
  <c r="B794" i="1"/>
  <c r="C794" i="1" s="1"/>
  <c r="R793" i="1"/>
  <c r="N793" i="1"/>
  <c r="D793" i="1"/>
  <c r="B793" i="1"/>
  <c r="C793" i="1" s="1"/>
  <c r="R792" i="1"/>
  <c r="N792" i="1"/>
  <c r="D792" i="1"/>
  <c r="B792" i="1"/>
  <c r="C792" i="1" s="1"/>
  <c r="R791" i="1"/>
  <c r="N791" i="1"/>
  <c r="D791" i="1"/>
  <c r="B791" i="1"/>
  <c r="C791" i="1" s="1"/>
  <c r="R790" i="1"/>
  <c r="N790" i="1"/>
  <c r="D790" i="1"/>
  <c r="C790" i="1"/>
  <c r="B790" i="1"/>
  <c r="R789" i="1"/>
  <c r="N789" i="1"/>
  <c r="D789" i="1"/>
  <c r="C789" i="1"/>
  <c r="B789" i="1"/>
  <c r="R788" i="1"/>
  <c r="N788" i="1"/>
  <c r="D788" i="1"/>
  <c r="B788" i="1"/>
  <c r="C788" i="1" s="1"/>
  <c r="R787" i="1"/>
  <c r="N787" i="1"/>
  <c r="D787" i="1"/>
  <c r="B787" i="1"/>
  <c r="C787" i="1" s="1"/>
  <c r="R786" i="1"/>
  <c r="N786" i="1"/>
  <c r="D786" i="1"/>
  <c r="B786" i="1"/>
  <c r="C786" i="1" s="1"/>
  <c r="R785" i="1"/>
  <c r="N785" i="1"/>
  <c r="D785" i="1"/>
  <c r="B785" i="1"/>
  <c r="C785" i="1" s="1"/>
  <c r="R784" i="1"/>
  <c r="N784" i="1"/>
  <c r="D784" i="1"/>
  <c r="B784" i="1"/>
  <c r="C784" i="1" s="1"/>
  <c r="R783" i="1"/>
  <c r="N783" i="1"/>
  <c r="D783" i="1"/>
  <c r="C783" i="1"/>
  <c r="B783" i="1"/>
  <c r="R782" i="1"/>
  <c r="N782" i="1"/>
  <c r="D782" i="1"/>
  <c r="B782" i="1"/>
  <c r="C782" i="1" s="1"/>
  <c r="R781" i="1"/>
  <c r="N781" i="1"/>
  <c r="D781" i="1"/>
  <c r="C781" i="1"/>
  <c r="B781" i="1"/>
  <c r="R780" i="1"/>
  <c r="N780" i="1"/>
  <c r="D780" i="1"/>
  <c r="B780" i="1"/>
  <c r="C780" i="1" s="1"/>
  <c r="R779" i="1"/>
  <c r="N779" i="1"/>
  <c r="D779" i="1"/>
  <c r="B779" i="1"/>
  <c r="C779" i="1" s="1"/>
  <c r="R778" i="1"/>
  <c r="N778" i="1"/>
  <c r="D778" i="1"/>
  <c r="B778" i="1"/>
  <c r="C778" i="1" s="1"/>
  <c r="R777" i="1"/>
  <c r="N777" i="1"/>
  <c r="D777" i="1"/>
  <c r="B777" i="1"/>
  <c r="C777" i="1" s="1"/>
  <c r="R776" i="1"/>
  <c r="N776" i="1"/>
  <c r="D776" i="1"/>
  <c r="B776" i="1"/>
  <c r="C776" i="1" s="1"/>
  <c r="R775" i="1"/>
  <c r="N775" i="1"/>
  <c r="D775" i="1"/>
  <c r="B775" i="1"/>
  <c r="C775" i="1" s="1"/>
  <c r="R774" i="1"/>
  <c r="N774" i="1"/>
  <c r="D774" i="1"/>
  <c r="C774" i="1"/>
  <c r="B774" i="1"/>
  <c r="R773" i="1"/>
  <c r="N773" i="1"/>
  <c r="D773" i="1"/>
  <c r="B773" i="1"/>
  <c r="C773" i="1" s="1"/>
  <c r="R772" i="1"/>
  <c r="N772" i="1"/>
  <c r="D772" i="1"/>
  <c r="B772" i="1"/>
  <c r="C772" i="1" s="1"/>
  <c r="R771" i="1"/>
  <c r="N771" i="1"/>
  <c r="D771" i="1"/>
  <c r="C771" i="1"/>
  <c r="B771" i="1"/>
  <c r="R770" i="1"/>
  <c r="N770" i="1"/>
  <c r="D770" i="1"/>
  <c r="B770" i="1"/>
  <c r="C770" i="1" s="1"/>
  <c r="R769" i="1"/>
  <c r="N769" i="1"/>
  <c r="D769" i="1"/>
  <c r="B769" i="1"/>
  <c r="C769" i="1" s="1"/>
  <c r="R768" i="1"/>
  <c r="N768" i="1"/>
  <c r="D768" i="1"/>
  <c r="B768" i="1"/>
  <c r="C768" i="1" s="1"/>
  <c r="R767" i="1"/>
  <c r="N767" i="1"/>
  <c r="D767" i="1"/>
  <c r="B767" i="1"/>
  <c r="C767" i="1" s="1"/>
  <c r="R766" i="1"/>
  <c r="N766" i="1"/>
  <c r="D766" i="1"/>
  <c r="C766" i="1"/>
  <c r="B766" i="1"/>
  <c r="R765" i="1"/>
  <c r="N765" i="1"/>
  <c r="D765" i="1"/>
  <c r="B765" i="1"/>
  <c r="C765" i="1" s="1"/>
  <c r="R764" i="1"/>
  <c r="N764" i="1"/>
  <c r="D764" i="1"/>
  <c r="B764" i="1"/>
  <c r="C764" i="1" s="1"/>
  <c r="R763" i="1"/>
  <c r="N763" i="1"/>
  <c r="D763" i="1"/>
  <c r="C763" i="1"/>
  <c r="B763" i="1"/>
  <c r="R762" i="1"/>
  <c r="N762" i="1"/>
  <c r="D762" i="1"/>
  <c r="B762" i="1"/>
  <c r="C762" i="1" s="1"/>
  <c r="R761" i="1"/>
  <c r="N761" i="1"/>
  <c r="D761" i="1"/>
  <c r="B761" i="1"/>
  <c r="C761" i="1" s="1"/>
  <c r="R760" i="1"/>
  <c r="N760" i="1"/>
  <c r="D760" i="1"/>
  <c r="B760" i="1"/>
  <c r="C760" i="1" s="1"/>
  <c r="R759" i="1"/>
  <c r="N759" i="1"/>
  <c r="D759" i="1"/>
  <c r="B759" i="1"/>
  <c r="C759" i="1" s="1"/>
  <c r="R758" i="1"/>
  <c r="N758" i="1"/>
  <c r="D758" i="1"/>
  <c r="C758" i="1"/>
  <c r="B758" i="1"/>
  <c r="R757" i="1"/>
  <c r="N757" i="1"/>
  <c r="D757" i="1"/>
  <c r="B757" i="1"/>
  <c r="C757" i="1" s="1"/>
  <c r="R756" i="1"/>
  <c r="N756" i="1"/>
  <c r="D756" i="1"/>
  <c r="B756" i="1"/>
  <c r="C756" i="1" s="1"/>
  <c r="R755" i="1"/>
  <c r="N755" i="1"/>
  <c r="D755" i="1"/>
  <c r="C755" i="1"/>
  <c r="B755" i="1"/>
  <c r="R754" i="1"/>
  <c r="N754" i="1"/>
  <c r="D754" i="1"/>
  <c r="B754" i="1"/>
  <c r="C754" i="1" s="1"/>
  <c r="R753" i="1"/>
  <c r="N753" i="1"/>
  <c r="D753" i="1"/>
  <c r="B753" i="1"/>
  <c r="C753" i="1" s="1"/>
  <c r="R752" i="1"/>
  <c r="N752" i="1"/>
  <c r="D752" i="1"/>
  <c r="B752" i="1"/>
  <c r="C752" i="1" s="1"/>
  <c r="R751" i="1"/>
  <c r="N751" i="1"/>
  <c r="D751" i="1"/>
  <c r="B751" i="1"/>
  <c r="C751" i="1" s="1"/>
  <c r="R750" i="1"/>
  <c r="N750" i="1"/>
  <c r="D750" i="1"/>
  <c r="C750" i="1"/>
  <c r="B750" i="1"/>
  <c r="R749" i="1"/>
  <c r="N749" i="1"/>
  <c r="D749" i="1"/>
  <c r="B749" i="1"/>
  <c r="C749" i="1" s="1"/>
  <c r="R748" i="1"/>
  <c r="N748" i="1"/>
  <c r="D748" i="1"/>
  <c r="B748" i="1"/>
  <c r="C748" i="1" s="1"/>
  <c r="R747" i="1"/>
  <c r="N747" i="1"/>
  <c r="D747" i="1"/>
  <c r="C747" i="1"/>
  <c r="B747" i="1"/>
  <c r="R746" i="1"/>
  <c r="N746" i="1"/>
  <c r="D746" i="1"/>
  <c r="B746" i="1"/>
  <c r="C746" i="1" s="1"/>
  <c r="R745" i="1"/>
  <c r="N745" i="1"/>
  <c r="D745" i="1"/>
  <c r="B745" i="1"/>
  <c r="C745" i="1" s="1"/>
  <c r="R744" i="1"/>
  <c r="N744" i="1"/>
  <c r="D744" i="1"/>
  <c r="B744" i="1"/>
  <c r="C744" i="1" s="1"/>
  <c r="R743" i="1"/>
  <c r="N743" i="1"/>
  <c r="D743" i="1"/>
  <c r="B743" i="1"/>
  <c r="C743" i="1" s="1"/>
  <c r="R742" i="1"/>
  <c r="N742" i="1"/>
  <c r="D742" i="1"/>
  <c r="C742" i="1"/>
  <c r="B742" i="1"/>
  <c r="R741" i="1"/>
  <c r="N741" i="1"/>
  <c r="D741" i="1"/>
  <c r="B741" i="1"/>
  <c r="C741" i="1" s="1"/>
  <c r="R740" i="1"/>
  <c r="N740" i="1"/>
  <c r="D740" i="1"/>
  <c r="B740" i="1"/>
  <c r="C740" i="1" s="1"/>
  <c r="R739" i="1"/>
  <c r="N739" i="1"/>
  <c r="D739" i="1"/>
  <c r="C739" i="1"/>
  <c r="B739" i="1"/>
  <c r="R738" i="1"/>
  <c r="N738" i="1"/>
  <c r="D738" i="1"/>
  <c r="B738" i="1"/>
  <c r="C738" i="1" s="1"/>
  <c r="R737" i="1"/>
  <c r="N737" i="1"/>
  <c r="D737" i="1"/>
  <c r="B737" i="1"/>
  <c r="C737" i="1" s="1"/>
  <c r="R736" i="1"/>
  <c r="N736" i="1"/>
  <c r="D736" i="1"/>
  <c r="B736" i="1"/>
  <c r="C736" i="1" s="1"/>
  <c r="R735" i="1"/>
  <c r="N735" i="1"/>
  <c r="D735" i="1"/>
  <c r="C735" i="1"/>
  <c r="B735" i="1"/>
  <c r="R734" i="1"/>
  <c r="N734" i="1"/>
  <c r="D734" i="1"/>
  <c r="C734" i="1"/>
  <c r="B734" i="1"/>
  <c r="R733" i="1"/>
  <c r="N733" i="1"/>
  <c r="D733" i="1"/>
  <c r="B733" i="1"/>
  <c r="C733" i="1" s="1"/>
  <c r="R732" i="1"/>
  <c r="N732" i="1"/>
  <c r="D732" i="1"/>
  <c r="B732" i="1"/>
  <c r="C732" i="1" s="1"/>
  <c r="R731" i="1"/>
  <c r="N731" i="1"/>
  <c r="D731" i="1"/>
  <c r="C731" i="1"/>
  <c r="B731" i="1"/>
  <c r="R730" i="1"/>
  <c r="N730" i="1"/>
  <c r="D730" i="1"/>
  <c r="B730" i="1"/>
  <c r="C730" i="1" s="1"/>
  <c r="R729" i="1"/>
  <c r="N729" i="1"/>
  <c r="D729" i="1"/>
  <c r="B729" i="1"/>
  <c r="C729" i="1" s="1"/>
  <c r="R728" i="1"/>
  <c r="N728" i="1"/>
  <c r="D728" i="1"/>
  <c r="B728" i="1"/>
  <c r="C728" i="1" s="1"/>
  <c r="R727" i="1"/>
  <c r="N727" i="1"/>
  <c r="D727" i="1"/>
  <c r="C727" i="1"/>
  <c r="B727" i="1"/>
  <c r="R726" i="1"/>
  <c r="N726" i="1"/>
  <c r="D726" i="1"/>
  <c r="C726" i="1"/>
  <c r="B726" i="1"/>
  <c r="R725" i="1"/>
  <c r="N725" i="1"/>
  <c r="D725" i="1"/>
  <c r="B725" i="1"/>
  <c r="C725" i="1" s="1"/>
  <c r="R724" i="1"/>
  <c r="N724" i="1"/>
  <c r="D724" i="1"/>
  <c r="B724" i="1"/>
  <c r="C724" i="1" s="1"/>
  <c r="R723" i="1"/>
  <c r="N723" i="1"/>
  <c r="D723" i="1"/>
  <c r="C723" i="1"/>
  <c r="B723" i="1"/>
  <c r="R722" i="1"/>
  <c r="N722" i="1"/>
  <c r="D722" i="1"/>
  <c r="B722" i="1"/>
  <c r="C722" i="1" s="1"/>
  <c r="R721" i="1"/>
  <c r="N721" i="1"/>
  <c r="D721" i="1"/>
  <c r="B721" i="1"/>
  <c r="C721" i="1" s="1"/>
  <c r="R720" i="1"/>
  <c r="N720" i="1"/>
  <c r="D720" i="1"/>
  <c r="B720" i="1"/>
  <c r="C720" i="1" s="1"/>
  <c r="R719" i="1"/>
  <c r="N719" i="1"/>
  <c r="D719" i="1"/>
  <c r="C719" i="1"/>
  <c r="B719" i="1"/>
  <c r="R718" i="1"/>
  <c r="N718" i="1"/>
  <c r="D718" i="1"/>
  <c r="C718" i="1"/>
  <c r="B718" i="1"/>
  <c r="R717" i="1"/>
  <c r="N717" i="1"/>
  <c r="D717" i="1"/>
  <c r="B717" i="1"/>
  <c r="C717" i="1" s="1"/>
  <c r="R716" i="1"/>
  <c r="N716" i="1"/>
  <c r="D716" i="1"/>
  <c r="B716" i="1"/>
  <c r="C716" i="1" s="1"/>
  <c r="R715" i="1"/>
  <c r="N715" i="1"/>
  <c r="D715" i="1"/>
  <c r="C715" i="1"/>
  <c r="B715" i="1"/>
  <c r="R714" i="1"/>
  <c r="N714" i="1"/>
  <c r="D714" i="1"/>
  <c r="B714" i="1"/>
  <c r="C714" i="1" s="1"/>
  <c r="R713" i="1"/>
  <c r="N713" i="1"/>
  <c r="D713" i="1"/>
  <c r="B713" i="1"/>
  <c r="C713" i="1" s="1"/>
  <c r="R712" i="1"/>
  <c r="N712" i="1"/>
  <c r="D712" i="1"/>
  <c r="B712" i="1"/>
  <c r="C712" i="1" s="1"/>
  <c r="R711" i="1"/>
  <c r="N711" i="1"/>
  <c r="D711" i="1"/>
  <c r="C711" i="1"/>
  <c r="B711" i="1"/>
  <c r="R710" i="1"/>
  <c r="N710" i="1"/>
  <c r="D710" i="1"/>
  <c r="C710" i="1"/>
  <c r="B710" i="1"/>
  <c r="R709" i="1"/>
  <c r="N709" i="1"/>
  <c r="D709" i="1"/>
  <c r="B709" i="1"/>
  <c r="C709" i="1" s="1"/>
  <c r="R708" i="1"/>
  <c r="N708" i="1"/>
  <c r="D708" i="1"/>
  <c r="B708" i="1"/>
  <c r="C708" i="1" s="1"/>
  <c r="R707" i="1"/>
  <c r="N707" i="1"/>
  <c r="D707" i="1"/>
  <c r="C707" i="1"/>
  <c r="B707" i="1"/>
  <c r="R706" i="1"/>
  <c r="N706" i="1"/>
  <c r="D706" i="1"/>
  <c r="B706" i="1"/>
  <c r="C706" i="1" s="1"/>
  <c r="R705" i="1"/>
  <c r="N705" i="1"/>
  <c r="D705" i="1"/>
  <c r="B705" i="1"/>
  <c r="C705" i="1" s="1"/>
  <c r="R704" i="1"/>
  <c r="N704" i="1"/>
  <c r="D704" i="1"/>
  <c r="B704" i="1"/>
  <c r="C704" i="1" s="1"/>
  <c r="R703" i="1"/>
  <c r="N703" i="1"/>
  <c r="D703" i="1"/>
  <c r="C703" i="1"/>
  <c r="B703" i="1"/>
  <c r="R702" i="1"/>
  <c r="N702" i="1"/>
  <c r="D702" i="1"/>
  <c r="C702" i="1"/>
  <c r="B702" i="1"/>
  <c r="R701" i="1"/>
  <c r="N701" i="1"/>
  <c r="D701" i="1"/>
  <c r="B701" i="1"/>
  <c r="C701" i="1" s="1"/>
  <c r="R700" i="1"/>
  <c r="N700" i="1"/>
  <c r="D700" i="1"/>
  <c r="B700" i="1"/>
  <c r="C700" i="1" s="1"/>
  <c r="R699" i="1"/>
  <c r="N699" i="1"/>
  <c r="D699" i="1"/>
  <c r="C699" i="1"/>
  <c r="B699" i="1"/>
  <c r="R698" i="1"/>
  <c r="N698" i="1"/>
  <c r="D698" i="1"/>
  <c r="B698" i="1"/>
  <c r="C698" i="1" s="1"/>
  <c r="R697" i="1"/>
  <c r="N697" i="1"/>
  <c r="D697" i="1"/>
  <c r="B697" i="1"/>
  <c r="C697" i="1" s="1"/>
  <c r="R696" i="1"/>
  <c r="N696" i="1"/>
  <c r="D696" i="1"/>
  <c r="B696" i="1"/>
  <c r="C696" i="1" s="1"/>
  <c r="R695" i="1"/>
  <c r="N695" i="1"/>
  <c r="D695" i="1"/>
  <c r="C695" i="1"/>
  <c r="B695" i="1"/>
  <c r="R694" i="1"/>
  <c r="N694" i="1"/>
  <c r="D694" i="1"/>
  <c r="C694" i="1"/>
  <c r="B694" i="1"/>
  <c r="R693" i="1"/>
  <c r="N693" i="1"/>
  <c r="D693" i="1"/>
  <c r="B693" i="1"/>
  <c r="C693" i="1" s="1"/>
  <c r="R692" i="1"/>
  <c r="N692" i="1"/>
  <c r="D692" i="1"/>
  <c r="B692" i="1"/>
  <c r="C692" i="1" s="1"/>
  <c r="R691" i="1"/>
  <c r="N691" i="1"/>
  <c r="D691" i="1"/>
  <c r="C691" i="1"/>
  <c r="B691" i="1"/>
  <c r="R690" i="1"/>
  <c r="N690" i="1"/>
  <c r="D690" i="1"/>
  <c r="B690" i="1"/>
  <c r="C690" i="1" s="1"/>
  <c r="R689" i="1"/>
  <c r="N689" i="1"/>
  <c r="D689" i="1"/>
  <c r="B689" i="1"/>
  <c r="C689" i="1" s="1"/>
  <c r="R688" i="1"/>
  <c r="N688" i="1"/>
  <c r="D688" i="1"/>
  <c r="B688" i="1"/>
  <c r="C688" i="1" s="1"/>
  <c r="R687" i="1"/>
  <c r="N687" i="1"/>
  <c r="D687" i="1"/>
  <c r="C687" i="1"/>
  <c r="B687" i="1"/>
  <c r="R686" i="1"/>
  <c r="N686" i="1"/>
  <c r="D686" i="1"/>
  <c r="C686" i="1"/>
  <c r="B686" i="1"/>
  <c r="R685" i="1"/>
  <c r="N685" i="1"/>
  <c r="D685" i="1"/>
  <c r="B685" i="1"/>
  <c r="C685" i="1" s="1"/>
  <c r="R684" i="1"/>
  <c r="N684" i="1"/>
  <c r="D684" i="1"/>
  <c r="B684" i="1"/>
  <c r="C684" i="1" s="1"/>
  <c r="R683" i="1"/>
  <c r="N683" i="1"/>
  <c r="D683" i="1"/>
  <c r="C683" i="1"/>
  <c r="B683" i="1"/>
  <c r="R682" i="1"/>
  <c r="N682" i="1"/>
  <c r="D682" i="1"/>
  <c r="B682" i="1"/>
  <c r="C682" i="1" s="1"/>
  <c r="R681" i="1"/>
  <c r="N681" i="1"/>
  <c r="D681" i="1"/>
  <c r="B681" i="1"/>
  <c r="C681" i="1" s="1"/>
  <c r="R680" i="1"/>
  <c r="N680" i="1"/>
  <c r="D680" i="1"/>
  <c r="B680" i="1"/>
  <c r="C680" i="1" s="1"/>
  <c r="R679" i="1"/>
  <c r="N679" i="1"/>
  <c r="D679" i="1"/>
  <c r="C679" i="1"/>
  <c r="B679" i="1"/>
  <c r="R678" i="1"/>
  <c r="N678" i="1"/>
  <c r="D678" i="1"/>
  <c r="C678" i="1"/>
  <c r="B678" i="1"/>
  <c r="R677" i="1"/>
  <c r="N677" i="1"/>
  <c r="D677" i="1"/>
  <c r="B677" i="1"/>
  <c r="C677" i="1" s="1"/>
  <c r="R676" i="1"/>
  <c r="N676" i="1"/>
  <c r="D676" i="1"/>
  <c r="B676" i="1"/>
  <c r="C676" i="1" s="1"/>
  <c r="R675" i="1"/>
  <c r="N675" i="1"/>
  <c r="D675" i="1"/>
  <c r="C675" i="1"/>
  <c r="B675" i="1"/>
  <c r="R674" i="1"/>
  <c r="N674" i="1"/>
  <c r="D674" i="1"/>
  <c r="B674" i="1"/>
  <c r="C674" i="1" s="1"/>
  <c r="R673" i="1"/>
  <c r="N673" i="1"/>
  <c r="D673" i="1"/>
  <c r="B673" i="1"/>
  <c r="C673" i="1" s="1"/>
  <c r="R672" i="1"/>
  <c r="N672" i="1"/>
  <c r="D672" i="1"/>
  <c r="B672" i="1"/>
  <c r="C672" i="1" s="1"/>
  <c r="R671" i="1"/>
  <c r="N671" i="1"/>
  <c r="D671" i="1"/>
  <c r="C671" i="1"/>
  <c r="B671" i="1"/>
  <c r="R670" i="1"/>
  <c r="N670" i="1"/>
  <c r="D670" i="1"/>
  <c r="C670" i="1"/>
  <c r="B670" i="1"/>
  <c r="R669" i="1"/>
  <c r="N669" i="1"/>
  <c r="D669" i="1"/>
  <c r="B669" i="1"/>
  <c r="C669" i="1" s="1"/>
  <c r="R668" i="1"/>
  <c r="N668" i="1"/>
  <c r="D668" i="1"/>
  <c r="B668" i="1"/>
  <c r="C668" i="1" s="1"/>
  <c r="R667" i="1"/>
  <c r="N667" i="1"/>
  <c r="D667" i="1"/>
  <c r="C667" i="1"/>
  <c r="B667" i="1"/>
  <c r="R666" i="1"/>
  <c r="N666" i="1"/>
  <c r="D666" i="1"/>
  <c r="B666" i="1"/>
  <c r="C666" i="1" s="1"/>
  <c r="R665" i="1"/>
  <c r="N665" i="1"/>
  <c r="D665" i="1"/>
  <c r="B665" i="1"/>
  <c r="C665" i="1" s="1"/>
  <c r="R664" i="1"/>
  <c r="N664" i="1"/>
  <c r="D664" i="1"/>
  <c r="B664" i="1"/>
  <c r="C664" i="1" s="1"/>
  <c r="R663" i="1"/>
  <c r="N663" i="1"/>
  <c r="D663" i="1"/>
  <c r="C663" i="1"/>
  <c r="B663" i="1"/>
  <c r="R662" i="1"/>
  <c r="N662" i="1"/>
  <c r="D662" i="1"/>
  <c r="B662" i="1"/>
  <c r="C662" i="1" s="1"/>
  <c r="R661" i="1"/>
  <c r="N661" i="1"/>
  <c r="D661" i="1"/>
  <c r="C661" i="1"/>
  <c r="B661" i="1"/>
  <c r="R660" i="1"/>
  <c r="N660" i="1"/>
  <c r="D660" i="1"/>
  <c r="B660" i="1"/>
  <c r="C660" i="1" s="1"/>
  <c r="R659" i="1"/>
  <c r="N659" i="1"/>
  <c r="D659" i="1"/>
  <c r="B659" i="1"/>
  <c r="C659" i="1" s="1"/>
  <c r="R658" i="1"/>
  <c r="N658" i="1"/>
  <c r="D658" i="1"/>
  <c r="B658" i="1"/>
  <c r="C658" i="1" s="1"/>
  <c r="R657" i="1"/>
  <c r="N657" i="1"/>
  <c r="D657" i="1"/>
  <c r="B657" i="1"/>
  <c r="C657" i="1" s="1"/>
  <c r="R656" i="1"/>
  <c r="N656" i="1"/>
  <c r="D656" i="1"/>
  <c r="B656" i="1"/>
  <c r="C656" i="1" s="1"/>
  <c r="R655" i="1"/>
  <c r="N655" i="1"/>
  <c r="D655" i="1"/>
  <c r="C655" i="1"/>
  <c r="B655" i="1"/>
  <c r="R654" i="1"/>
  <c r="N654" i="1"/>
  <c r="D654" i="1"/>
  <c r="B654" i="1"/>
  <c r="C654" i="1" s="1"/>
  <c r="R653" i="1"/>
  <c r="N653" i="1"/>
  <c r="D653" i="1"/>
  <c r="C653" i="1"/>
  <c r="B653" i="1"/>
  <c r="R652" i="1"/>
  <c r="N652" i="1"/>
  <c r="D652" i="1"/>
  <c r="B652" i="1"/>
  <c r="C652" i="1" s="1"/>
  <c r="R651" i="1"/>
  <c r="N651" i="1"/>
  <c r="D651" i="1"/>
  <c r="C651" i="1"/>
  <c r="B651" i="1"/>
  <c r="R650" i="1"/>
  <c r="N650" i="1"/>
  <c r="D650" i="1"/>
  <c r="B650" i="1"/>
  <c r="C650" i="1" s="1"/>
  <c r="R649" i="1"/>
  <c r="N649" i="1"/>
  <c r="D649" i="1"/>
  <c r="B649" i="1"/>
  <c r="C649" i="1" s="1"/>
  <c r="R648" i="1"/>
  <c r="N648" i="1"/>
  <c r="D648" i="1"/>
  <c r="B648" i="1"/>
  <c r="C648" i="1" s="1"/>
  <c r="R647" i="1"/>
  <c r="N647" i="1"/>
  <c r="D647" i="1"/>
  <c r="B647" i="1"/>
  <c r="C647" i="1" s="1"/>
  <c r="R646" i="1"/>
  <c r="N646" i="1"/>
  <c r="D646" i="1"/>
  <c r="B646" i="1"/>
  <c r="C646" i="1" s="1"/>
  <c r="R645" i="1"/>
  <c r="N645" i="1"/>
  <c r="D645" i="1"/>
  <c r="C645" i="1"/>
  <c r="B645" i="1"/>
  <c r="R644" i="1"/>
  <c r="N644" i="1"/>
  <c r="D644" i="1"/>
  <c r="B644" i="1"/>
  <c r="C644" i="1" s="1"/>
  <c r="R643" i="1"/>
  <c r="N643" i="1"/>
  <c r="D643" i="1"/>
  <c r="C643" i="1"/>
  <c r="B643" i="1"/>
  <c r="R642" i="1"/>
  <c r="N642" i="1"/>
  <c r="D642" i="1"/>
  <c r="B642" i="1"/>
  <c r="C642" i="1" s="1"/>
  <c r="R641" i="1"/>
  <c r="N641" i="1"/>
  <c r="D641" i="1"/>
  <c r="B641" i="1"/>
  <c r="C641" i="1" s="1"/>
  <c r="R640" i="1"/>
  <c r="N640" i="1"/>
  <c r="D640" i="1"/>
  <c r="B640" i="1"/>
  <c r="C640" i="1" s="1"/>
  <c r="R639" i="1"/>
  <c r="N639" i="1"/>
  <c r="D639" i="1"/>
  <c r="C639" i="1"/>
  <c r="B639" i="1"/>
  <c r="R638" i="1"/>
  <c r="N638" i="1"/>
  <c r="D638" i="1"/>
  <c r="B638" i="1"/>
  <c r="C638" i="1" s="1"/>
  <c r="R637" i="1"/>
  <c r="N637" i="1"/>
  <c r="D637" i="1"/>
  <c r="B637" i="1"/>
  <c r="C637" i="1" s="1"/>
  <c r="R636" i="1"/>
  <c r="N636" i="1"/>
  <c r="D636" i="1"/>
  <c r="B636" i="1"/>
  <c r="C636" i="1" s="1"/>
  <c r="R635" i="1"/>
  <c r="N635" i="1"/>
  <c r="D635" i="1"/>
  <c r="C635" i="1"/>
  <c r="B635" i="1"/>
  <c r="R634" i="1"/>
  <c r="N634" i="1"/>
  <c r="D634" i="1"/>
  <c r="B634" i="1"/>
  <c r="C634" i="1" s="1"/>
  <c r="R633" i="1"/>
  <c r="N633" i="1"/>
  <c r="D633" i="1"/>
  <c r="B633" i="1"/>
  <c r="C633" i="1" s="1"/>
  <c r="R632" i="1"/>
  <c r="N632" i="1"/>
  <c r="D632" i="1"/>
  <c r="B632" i="1"/>
  <c r="C632" i="1" s="1"/>
  <c r="R631" i="1"/>
  <c r="N631" i="1"/>
  <c r="D631" i="1"/>
  <c r="C631" i="1"/>
  <c r="B631" i="1"/>
  <c r="R630" i="1"/>
  <c r="N630" i="1"/>
  <c r="D630" i="1"/>
  <c r="B630" i="1"/>
  <c r="C630" i="1" s="1"/>
  <c r="R629" i="1"/>
  <c r="N629" i="1"/>
  <c r="D629" i="1"/>
  <c r="C629" i="1"/>
  <c r="B629" i="1"/>
  <c r="R628" i="1"/>
  <c r="N628" i="1"/>
  <c r="D628" i="1"/>
  <c r="B628" i="1"/>
  <c r="C628" i="1" s="1"/>
  <c r="R627" i="1"/>
  <c r="N627" i="1"/>
  <c r="D627" i="1"/>
  <c r="B627" i="1"/>
  <c r="C627" i="1" s="1"/>
  <c r="R626" i="1"/>
  <c r="N626" i="1"/>
  <c r="D626" i="1"/>
  <c r="B626" i="1"/>
  <c r="C626" i="1" s="1"/>
  <c r="R625" i="1"/>
  <c r="N625" i="1"/>
  <c r="D625" i="1"/>
  <c r="B625" i="1"/>
  <c r="C625" i="1" s="1"/>
  <c r="R624" i="1"/>
  <c r="N624" i="1"/>
  <c r="D624" i="1"/>
  <c r="B624" i="1"/>
  <c r="C624" i="1" s="1"/>
  <c r="R623" i="1"/>
  <c r="N623" i="1"/>
  <c r="D623" i="1"/>
  <c r="C623" i="1"/>
  <c r="B623" i="1"/>
  <c r="R622" i="1"/>
  <c r="N622" i="1"/>
  <c r="D622" i="1"/>
  <c r="B622" i="1"/>
  <c r="C622" i="1" s="1"/>
  <c r="R621" i="1"/>
  <c r="N621" i="1"/>
  <c r="D621" i="1"/>
  <c r="C621" i="1"/>
  <c r="B621" i="1"/>
  <c r="R620" i="1"/>
  <c r="N620" i="1"/>
  <c r="D620" i="1"/>
  <c r="B620" i="1"/>
  <c r="C620" i="1" s="1"/>
  <c r="R619" i="1"/>
  <c r="N619" i="1"/>
  <c r="D619" i="1"/>
  <c r="C619" i="1"/>
  <c r="B619" i="1"/>
  <c r="R618" i="1"/>
  <c r="N618" i="1"/>
  <c r="D618" i="1"/>
  <c r="B618" i="1"/>
  <c r="C618" i="1" s="1"/>
  <c r="R617" i="1"/>
  <c r="N617" i="1"/>
  <c r="D617" i="1"/>
  <c r="B617" i="1"/>
  <c r="C617" i="1" s="1"/>
  <c r="R616" i="1"/>
  <c r="N616" i="1"/>
  <c r="D616" i="1"/>
  <c r="B616" i="1"/>
  <c r="C616" i="1" s="1"/>
  <c r="R615" i="1"/>
  <c r="N615" i="1"/>
  <c r="D615" i="1"/>
  <c r="B615" i="1"/>
  <c r="C615" i="1" s="1"/>
  <c r="R614" i="1"/>
  <c r="N614" i="1"/>
  <c r="D614" i="1"/>
  <c r="B614" i="1"/>
  <c r="C614" i="1" s="1"/>
  <c r="R613" i="1"/>
  <c r="N613" i="1"/>
  <c r="D613" i="1"/>
  <c r="B613" i="1"/>
  <c r="C613" i="1" s="1"/>
  <c r="R612" i="1"/>
  <c r="N612" i="1"/>
  <c r="D612" i="1"/>
  <c r="B612" i="1"/>
  <c r="C612" i="1" s="1"/>
  <c r="R611" i="1"/>
  <c r="N611" i="1"/>
  <c r="D611" i="1"/>
  <c r="C611" i="1"/>
  <c r="B611" i="1"/>
  <c r="R610" i="1"/>
  <c r="N610" i="1"/>
  <c r="D610" i="1"/>
  <c r="B610" i="1"/>
  <c r="C610" i="1" s="1"/>
  <c r="R609" i="1"/>
  <c r="N609" i="1"/>
  <c r="D609" i="1"/>
  <c r="B609" i="1"/>
  <c r="C609" i="1" s="1"/>
  <c r="R608" i="1"/>
  <c r="N608" i="1"/>
  <c r="D608" i="1"/>
  <c r="B608" i="1"/>
  <c r="C608" i="1" s="1"/>
  <c r="R607" i="1"/>
  <c r="N607" i="1"/>
  <c r="D607" i="1"/>
  <c r="C607" i="1"/>
  <c r="B607" i="1"/>
  <c r="R606" i="1"/>
  <c r="N606" i="1"/>
  <c r="D606" i="1"/>
  <c r="B606" i="1"/>
  <c r="C606" i="1" s="1"/>
  <c r="R605" i="1"/>
  <c r="N605" i="1"/>
  <c r="D605" i="1"/>
  <c r="B605" i="1"/>
  <c r="C605" i="1" s="1"/>
  <c r="R604" i="1"/>
  <c r="N604" i="1"/>
  <c r="D604" i="1"/>
  <c r="B604" i="1"/>
  <c r="C604" i="1" s="1"/>
  <c r="R603" i="1"/>
  <c r="N603" i="1"/>
  <c r="D603" i="1"/>
  <c r="C603" i="1"/>
  <c r="B603" i="1"/>
  <c r="R602" i="1"/>
  <c r="N602" i="1"/>
  <c r="D602" i="1"/>
  <c r="B602" i="1"/>
  <c r="C602" i="1" s="1"/>
  <c r="R601" i="1"/>
  <c r="N601" i="1"/>
  <c r="D601" i="1"/>
  <c r="B601" i="1"/>
  <c r="C601" i="1" s="1"/>
  <c r="R600" i="1"/>
  <c r="N600" i="1"/>
  <c r="D600" i="1"/>
  <c r="B600" i="1"/>
  <c r="C600" i="1" s="1"/>
  <c r="R599" i="1"/>
  <c r="N599" i="1"/>
  <c r="D599" i="1"/>
  <c r="B599" i="1"/>
  <c r="C599" i="1" s="1"/>
  <c r="R598" i="1"/>
  <c r="N598" i="1"/>
  <c r="D598" i="1"/>
  <c r="B598" i="1"/>
  <c r="C598" i="1" s="1"/>
  <c r="R597" i="1"/>
  <c r="N597" i="1"/>
  <c r="D597" i="1"/>
  <c r="B597" i="1"/>
  <c r="C597" i="1" s="1"/>
  <c r="R596" i="1"/>
  <c r="N596" i="1"/>
  <c r="D596" i="1"/>
  <c r="B596" i="1"/>
  <c r="C596" i="1" s="1"/>
  <c r="R595" i="1"/>
  <c r="N595" i="1"/>
  <c r="D595" i="1"/>
  <c r="C595" i="1"/>
  <c r="B595" i="1"/>
  <c r="R594" i="1"/>
  <c r="N594" i="1"/>
  <c r="D594" i="1"/>
  <c r="B594" i="1"/>
  <c r="C594" i="1" s="1"/>
  <c r="R593" i="1"/>
  <c r="N593" i="1"/>
  <c r="D593" i="1"/>
  <c r="B593" i="1"/>
  <c r="C593" i="1" s="1"/>
  <c r="R592" i="1"/>
  <c r="N592" i="1"/>
  <c r="D592" i="1"/>
  <c r="B592" i="1"/>
  <c r="C592" i="1" s="1"/>
  <c r="R591" i="1"/>
  <c r="N591" i="1"/>
  <c r="D591" i="1"/>
  <c r="C591" i="1"/>
  <c r="B591" i="1"/>
  <c r="R590" i="1"/>
  <c r="N590" i="1"/>
  <c r="D590" i="1"/>
  <c r="B590" i="1"/>
  <c r="C590" i="1" s="1"/>
  <c r="R589" i="1"/>
  <c r="N589" i="1"/>
  <c r="D589" i="1"/>
  <c r="B589" i="1"/>
  <c r="C589" i="1" s="1"/>
  <c r="R588" i="1"/>
  <c r="N588" i="1"/>
  <c r="D588" i="1"/>
  <c r="B588" i="1"/>
  <c r="C588" i="1" s="1"/>
  <c r="R587" i="1"/>
  <c r="N587" i="1"/>
  <c r="D587" i="1"/>
  <c r="B587" i="1"/>
  <c r="C587" i="1" s="1"/>
  <c r="R586" i="1"/>
  <c r="N586" i="1"/>
  <c r="D586" i="1"/>
  <c r="B586" i="1"/>
  <c r="C586" i="1" s="1"/>
  <c r="R585" i="1"/>
  <c r="N585" i="1"/>
  <c r="D585" i="1"/>
  <c r="B585" i="1"/>
  <c r="C585" i="1" s="1"/>
  <c r="R584" i="1"/>
  <c r="N584" i="1"/>
  <c r="D584" i="1"/>
  <c r="B584" i="1"/>
  <c r="C584" i="1" s="1"/>
  <c r="R583" i="1"/>
  <c r="N583" i="1"/>
  <c r="D583" i="1"/>
  <c r="B583" i="1"/>
  <c r="C583" i="1" s="1"/>
  <c r="R582" i="1"/>
  <c r="N582" i="1"/>
  <c r="D582" i="1"/>
  <c r="B582" i="1"/>
  <c r="C582" i="1" s="1"/>
  <c r="R581" i="1"/>
  <c r="N581" i="1"/>
  <c r="D581" i="1"/>
  <c r="B581" i="1"/>
  <c r="C581" i="1" s="1"/>
  <c r="R580" i="1"/>
  <c r="N580" i="1"/>
  <c r="D580" i="1"/>
  <c r="B580" i="1"/>
  <c r="C580" i="1" s="1"/>
  <c r="R579" i="1"/>
  <c r="N579" i="1"/>
  <c r="D579" i="1"/>
  <c r="C579" i="1"/>
  <c r="B579" i="1"/>
  <c r="R578" i="1"/>
  <c r="N578" i="1"/>
  <c r="D578" i="1"/>
  <c r="B578" i="1"/>
  <c r="C578" i="1" s="1"/>
  <c r="R577" i="1"/>
  <c r="N577" i="1"/>
  <c r="D577" i="1"/>
  <c r="B577" i="1"/>
  <c r="C577" i="1" s="1"/>
  <c r="R576" i="1"/>
  <c r="N576" i="1"/>
  <c r="D576" i="1"/>
  <c r="B576" i="1"/>
  <c r="C576" i="1" s="1"/>
  <c r="R575" i="1"/>
  <c r="N575" i="1"/>
  <c r="D575" i="1"/>
  <c r="C575" i="1"/>
  <c r="B575" i="1"/>
  <c r="R574" i="1"/>
  <c r="N574" i="1"/>
  <c r="D574" i="1"/>
  <c r="B574" i="1"/>
  <c r="C574" i="1" s="1"/>
  <c r="R573" i="1"/>
  <c r="N573" i="1"/>
  <c r="D573" i="1"/>
  <c r="B573" i="1"/>
  <c r="C573" i="1" s="1"/>
  <c r="R572" i="1"/>
  <c r="N572" i="1"/>
  <c r="D572" i="1"/>
  <c r="B572" i="1"/>
  <c r="C572" i="1" s="1"/>
  <c r="R571" i="1"/>
  <c r="N571" i="1"/>
  <c r="D571" i="1"/>
  <c r="B571" i="1"/>
  <c r="C571" i="1" s="1"/>
  <c r="R570" i="1"/>
  <c r="N570" i="1"/>
  <c r="D570" i="1"/>
  <c r="B570" i="1"/>
  <c r="C570" i="1" s="1"/>
  <c r="R569" i="1"/>
  <c r="N569" i="1"/>
  <c r="D569" i="1"/>
  <c r="B569" i="1"/>
  <c r="C569" i="1" s="1"/>
  <c r="R568" i="1"/>
  <c r="N568" i="1"/>
  <c r="D568" i="1"/>
  <c r="B568" i="1"/>
  <c r="C568" i="1" s="1"/>
  <c r="R567" i="1"/>
  <c r="N567" i="1"/>
  <c r="D567" i="1"/>
  <c r="B567" i="1"/>
  <c r="C567" i="1" s="1"/>
  <c r="R566" i="1"/>
  <c r="N566" i="1"/>
  <c r="D566" i="1"/>
  <c r="B566" i="1"/>
  <c r="C566" i="1" s="1"/>
  <c r="R565" i="1"/>
  <c r="N565" i="1"/>
  <c r="D565" i="1"/>
  <c r="B565" i="1"/>
  <c r="C565" i="1" s="1"/>
  <c r="R564" i="1"/>
  <c r="N564" i="1"/>
  <c r="D564" i="1"/>
  <c r="B564" i="1"/>
  <c r="C564" i="1" s="1"/>
  <c r="R563" i="1"/>
  <c r="N563" i="1"/>
  <c r="D563" i="1"/>
  <c r="C563" i="1"/>
  <c r="B563" i="1"/>
  <c r="R562" i="1"/>
  <c r="N562" i="1"/>
  <c r="D562" i="1"/>
  <c r="B562" i="1"/>
  <c r="C562" i="1" s="1"/>
  <c r="R561" i="1"/>
  <c r="N561" i="1"/>
  <c r="D561" i="1"/>
  <c r="B561" i="1"/>
  <c r="C561" i="1" s="1"/>
  <c r="R560" i="1"/>
  <c r="N560" i="1"/>
  <c r="D560" i="1"/>
  <c r="B560" i="1"/>
  <c r="C560" i="1" s="1"/>
  <c r="R559" i="1"/>
  <c r="N559" i="1"/>
  <c r="D559" i="1"/>
  <c r="C559" i="1"/>
  <c r="B559" i="1"/>
  <c r="R558" i="1"/>
  <c r="N558" i="1"/>
  <c r="D558" i="1"/>
  <c r="B558" i="1"/>
  <c r="C558" i="1" s="1"/>
  <c r="R557" i="1"/>
  <c r="N557" i="1"/>
  <c r="D557" i="1"/>
  <c r="B557" i="1"/>
  <c r="C557" i="1" s="1"/>
  <c r="R556" i="1"/>
  <c r="N556" i="1"/>
  <c r="D556" i="1"/>
  <c r="B556" i="1"/>
  <c r="C556" i="1" s="1"/>
  <c r="R555" i="1"/>
  <c r="N555" i="1"/>
  <c r="D555" i="1"/>
  <c r="B555" i="1"/>
  <c r="C555" i="1" s="1"/>
  <c r="R554" i="1"/>
  <c r="N554" i="1"/>
  <c r="D554" i="1"/>
  <c r="B554" i="1"/>
  <c r="C554" i="1" s="1"/>
  <c r="R553" i="1"/>
  <c r="N553" i="1"/>
  <c r="D553" i="1"/>
  <c r="B553" i="1"/>
  <c r="C553" i="1" s="1"/>
  <c r="R552" i="1"/>
  <c r="N552" i="1"/>
  <c r="D552" i="1"/>
  <c r="B552" i="1"/>
  <c r="C552" i="1" s="1"/>
  <c r="R551" i="1"/>
  <c r="N551" i="1"/>
  <c r="D551" i="1"/>
  <c r="B551" i="1"/>
  <c r="C551" i="1" s="1"/>
  <c r="R550" i="1"/>
  <c r="N550" i="1"/>
  <c r="D550" i="1"/>
  <c r="B550" i="1"/>
  <c r="C550" i="1" s="1"/>
  <c r="R549" i="1"/>
  <c r="N549" i="1"/>
  <c r="D549" i="1"/>
  <c r="B549" i="1"/>
  <c r="C549" i="1" s="1"/>
  <c r="R548" i="1"/>
  <c r="N548" i="1"/>
  <c r="D548" i="1"/>
  <c r="B548" i="1"/>
  <c r="C548" i="1" s="1"/>
  <c r="R547" i="1"/>
  <c r="N547" i="1"/>
  <c r="D547" i="1"/>
  <c r="C547" i="1"/>
  <c r="B547" i="1"/>
  <c r="R546" i="1"/>
  <c r="N546" i="1"/>
  <c r="D546" i="1"/>
  <c r="B546" i="1"/>
  <c r="C546" i="1" s="1"/>
  <c r="R545" i="1"/>
  <c r="N545" i="1"/>
  <c r="D545" i="1"/>
  <c r="B545" i="1"/>
  <c r="C545" i="1" s="1"/>
  <c r="R544" i="1"/>
  <c r="N544" i="1"/>
  <c r="D544" i="1"/>
  <c r="B544" i="1"/>
  <c r="C544" i="1" s="1"/>
  <c r="R543" i="1"/>
  <c r="N543" i="1"/>
  <c r="D543" i="1"/>
  <c r="C543" i="1"/>
  <c r="B543" i="1"/>
  <c r="R542" i="1"/>
  <c r="N542" i="1"/>
  <c r="D542" i="1"/>
  <c r="B542" i="1"/>
  <c r="C542" i="1" s="1"/>
  <c r="R541" i="1"/>
  <c r="N541" i="1"/>
  <c r="D541" i="1"/>
  <c r="B541" i="1"/>
  <c r="C541" i="1" s="1"/>
  <c r="R540" i="1"/>
  <c r="N540" i="1"/>
  <c r="D540" i="1"/>
  <c r="B540" i="1"/>
  <c r="C540" i="1" s="1"/>
  <c r="R539" i="1"/>
  <c r="N539" i="1"/>
  <c r="D539" i="1"/>
  <c r="B539" i="1"/>
  <c r="C539" i="1" s="1"/>
  <c r="R538" i="1"/>
  <c r="N538" i="1"/>
  <c r="D538" i="1"/>
  <c r="B538" i="1"/>
  <c r="C538" i="1" s="1"/>
  <c r="R537" i="1"/>
  <c r="N537" i="1"/>
  <c r="D537" i="1"/>
  <c r="B537" i="1"/>
  <c r="C537" i="1" s="1"/>
  <c r="R536" i="1"/>
  <c r="N536" i="1"/>
  <c r="D536" i="1"/>
  <c r="B536" i="1"/>
  <c r="C536" i="1" s="1"/>
  <c r="R535" i="1"/>
  <c r="N535" i="1"/>
  <c r="D535" i="1"/>
  <c r="C535" i="1"/>
  <c r="B535" i="1"/>
  <c r="R534" i="1"/>
  <c r="N534" i="1"/>
  <c r="D534" i="1"/>
  <c r="B534" i="1"/>
  <c r="C534" i="1" s="1"/>
  <c r="R533" i="1"/>
  <c r="N533" i="1"/>
  <c r="D533" i="1"/>
  <c r="B533" i="1"/>
  <c r="C533" i="1" s="1"/>
  <c r="R532" i="1"/>
  <c r="N532" i="1"/>
  <c r="D532" i="1"/>
  <c r="C532" i="1"/>
  <c r="B532" i="1"/>
  <c r="R531" i="1"/>
  <c r="N531" i="1"/>
  <c r="D531" i="1"/>
  <c r="B531" i="1"/>
  <c r="C531" i="1" s="1"/>
  <c r="R530" i="1"/>
  <c r="N530" i="1"/>
  <c r="D530" i="1"/>
  <c r="B530" i="1"/>
  <c r="C530" i="1" s="1"/>
  <c r="R529" i="1"/>
  <c r="N529" i="1"/>
  <c r="D529" i="1"/>
  <c r="B529" i="1"/>
  <c r="C529" i="1" s="1"/>
  <c r="R528" i="1"/>
  <c r="N528" i="1"/>
  <c r="D528" i="1"/>
  <c r="B528" i="1"/>
  <c r="C528" i="1" s="1"/>
  <c r="R527" i="1"/>
  <c r="N527" i="1"/>
  <c r="D527" i="1"/>
  <c r="C527" i="1"/>
  <c r="B527" i="1"/>
  <c r="R526" i="1"/>
  <c r="N526" i="1"/>
  <c r="D526" i="1"/>
  <c r="B526" i="1"/>
  <c r="C526" i="1" s="1"/>
  <c r="R525" i="1"/>
  <c r="N525" i="1"/>
  <c r="D525" i="1"/>
  <c r="B525" i="1"/>
  <c r="C525" i="1" s="1"/>
  <c r="R524" i="1"/>
  <c r="N524" i="1"/>
  <c r="D524" i="1"/>
  <c r="C524" i="1"/>
  <c r="B524" i="1"/>
  <c r="R523" i="1"/>
  <c r="N523" i="1"/>
  <c r="D523" i="1"/>
  <c r="B523" i="1"/>
  <c r="C523" i="1" s="1"/>
  <c r="R522" i="1"/>
  <c r="N522" i="1"/>
  <c r="D522" i="1"/>
  <c r="B522" i="1"/>
  <c r="C522" i="1" s="1"/>
  <c r="R521" i="1"/>
  <c r="N521" i="1"/>
  <c r="D521" i="1"/>
  <c r="B521" i="1"/>
  <c r="C521" i="1" s="1"/>
  <c r="R520" i="1"/>
  <c r="N520" i="1"/>
  <c r="D520" i="1"/>
  <c r="B520" i="1"/>
  <c r="C520" i="1" s="1"/>
  <c r="R519" i="1"/>
  <c r="N519" i="1"/>
  <c r="D519" i="1"/>
  <c r="C519" i="1"/>
  <c r="B519" i="1"/>
  <c r="R518" i="1"/>
  <c r="N518" i="1"/>
  <c r="D518" i="1"/>
  <c r="B518" i="1"/>
  <c r="C518" i="1" s="1"/>
  <c r="R517" i="1"/>
  <c r="N517" i="1"/>
  <c r="D517" i="1"/>
  <c r="B517" i="1"/>
  <c r="C517" i="1" s="1"/>
  <c r="R516" i="1"/>
  <c r="N516" i="1"/>
  <c r="D516" i="1"/>
  <c r="C516" i="1"/>
  <c r="B516" i="1"/>
  <c r="R515" i="1"/>
  <c r="N515" i="1"/>
  <c r="D515" i="1"/>
  <c r="B515" i="1"/>
  <c r="C515" i="1" s="1"/>
  <c r="R514" i="1"/>
  <c r="N514" i="1"/>
  <c r="D514" i="1"/>
  <c r="B514" i="1"/>
  <c r="C514" i="1" s="1"/>
  <c r="R513" i="1"/>
  <c r="N513" i="1"/>
  <c r="D513" i="1"/>
  <c r="B513" i="1"/>
  <c r="C513" i="1" s="1"/>
  <c r="R512" i="1"/>
  <c r="N512" i="1"/>
  <c r="D512" i="1"/>
  <c r="B512" i="1"/>
  <c r="C512" i="1" s="1"/>
  <c r="R511" i="1"/>
  <c r="N511" i="1"/>
  <c r="D511" i="1"/>
  <c r="C511" i="1"/>
  <c r="B511" i="1"/>
  <c r="R510" i="1"/>
  <c r="N510" i="1"/>
  <c r="D510" i="1"/>
  <c r="B510" i="1"/>
  <c r="C510" i="1" s="1"/>
  <c r="R509" i="1"/>
  <c r="N509" i="1"/>
  <c r="D509" i="1"/>
  <c r="B509" i="1"/>
  <c r="C509" i="1" s="1"/>
  <c r="R508" i="1"/>
  <c r="N508" i="1"/>
  <c r="D508" i="1"/>
  <c r="C508" i="1"/>
  <c r="B508" i="1"/>
  <c r="R507" i="1"/>
  <c r="N507" i="1"/>
  <c r="D507" i="1"/>
  <c r="B507" i="1"/>
  <c r="C507" i="1" s="1"/>
  <c r="R506" i="1"/>
  <c r="N506" i="1"/>
  <c r="D506" i="1"/>
  <c r="B506" i="1"/>
  <c r="C506" i="1" s="1"/>
  <c r="R505" i="1"/>
  <c r="N505" i="1"/>
  <c r="D505" i="1"/>
  <c r="B505" i="1"/>
  <c r="C505" i="1" s="1"/>
  <c r="R504" i="1"/>
  <c r="N504" i="1"/>
  <c r="D504" i="1"/>
  <c r="B504" i="1"/>
  <c r="C504" i="1" s="1"/>
  <c r="R503" i="1"/>
  <c r="N503" i="1"/>
  <c r="D503" i="1"/>
  <c r="C503" i="1"/>
  <c r="B503" i="1"/>
  <c r="R502" i="1"/>
  <c r="N502" i="1"/>
  <c r="D502" i="1"/>
  <c r="B502" i="1"/>
  <c r="C502" i="1" s="1"/>
  <c r="R501" i="1"/>
  <c r="N501" i="1"/>
  <c r="D501" i="1"/>
  <c r="B501" i="1"/>
  <c r="C501" i="1" s="1"/>
  <c r="R500" i="1"/>
  <c r="N500" i="1"/>
  <c r="D500" i="1"/>
  <c r="C500" i="1"/>
  <c r="B500" i="1"/>
  <c r="R499" i="1"/>
  <c r="N499" i="1"/>
  <c r="D499" i="1"/>
  <c r="B499" i="1"/>
  <c r="C499" i="1" s="1"/>
  <c r="R498" i="1"/>
  <c r="N498" i="1"/>
  <c r="D498" i="1"/>
  <c r="B498" i="1"/>
  <c r="C498" i="1" s="1"/>
  <c r="R497" i="1"/>
  <c r="N497" i="1"/>
  <c r="D497" i="1"/>
  <c r="B497" i="1"/>
  <c r="C497" i="1" s="1"/>
  <c r="R496" i="1"/>
  <c r="N496" i="1"/>
  <c r="D496" i="1"/>
  <c r="B496" i="1"/>
  <c r="C496" i="1" s="1"/>
  <c r="R495" i="1"/>
  <c r="N495" i="1"/>
  <c r="D495" i="1"/>
  <c r="C495" i="1"/>
  <c r="B495" i="1"/>
  <c r="R494" i="1"/>
  <c r="N494" i="1"/>
  <c r="D494" i="1"/>
  <c r="B494" i="1"/>
  <c r="C494" i="1" s="1"/>
  <c r="R493" i="1"/>
  <c r="N493" i="1"/>
  <c r="D493" i="1"/>
  <c r="B493" i="1"/>
  <c r="C493" i="1" s="1"/>
  <c r="R492" i="1"/>
  <c r="N492" i="1"/>
  <c r="D492" i="1"/>
  <c r="C492" i="1"/>
  <c r="B492" i="1"/>
  <c r="R491" i="1"/>
  <c r="N491" i="1"/>
  <c r="D491" i="1"/>
  <c r="B491" i="1"/>
  <c r="C491" i="1" s="1"/>
  <c r="R490" i="1"/>
  <c r="N490" i="1"/>
  <c r="D490" i="1"/>
  <c r="B490" i="1"/>
  <c r="C490" i="1" s="1"/>
  <c r="R489" i="1"/>
  <c r="N489" i="1"/>
  <c r="D489" i="1"/>
  <c r="B489" i="1"/>
  <c r="C489" i="1" s="1"/>
  <c r="R488" i="1"/>
  <c r="N488" i="1"/>
  <c r="D488" i="1"/>
  <c r="B488" i="1"/>
  <c r="C488" i="1" s="1"/>
  <c r="R487" i="1"/>
  <c r="N487" i="1"/>
  <c r="D487" i="1"/>
  <c r="C487" i="1"/>
  <c r="B487" i="1"/>
  <c r="R486" i="1"/>
  <c r="N486" i="1"/>
  <c r="D486" i="1"/>
  <c r="B486" i="1"/>
  <c r="C486" i="1" s="1"/>
  <c r="R485" i="1"/>
  <c r="N485" i="1"/>
  <c r="D485" i="1"/>
  <c r="B485" i="1"/>
  <c r="C485" i="1" s="1"/>
  <c r="R484" i="1"/>
  <c r="N484" i="1"/>
  <c r="D484" i="1"/>
  <c r="C484" i="1"/>
  <c r="B484" i="1"/>
  <c r="R483" i="1"/>
  <c r="N483" i="1"/>
  <c r="D483" i="1"/>
  <c r="B483" i="1"/>
  <c r="C483" i="1" s="1"/>
  <c r="R482" i="1"/>
  <c r="N482" i="1"/>
  <c r="D482" i="1"/>
  <c r="B482" i="1"/>
  <c r="C482" i="1" s="1"/>
  <c r="R481" i="1"/>
  <c r="N481" i="1"/>
  <c r="D481" i="1"/>
  <c r="B481" i="1"/>
  <c r="C481" i="1" s="1"/>
  <c r="R480" i="1"/>
  <c r="N480" i="1"/>
  <c r="D480" i="1"/>
  <c r="B480" i="1"/>
  <c r="C480" i="1" s="1"/>
  <c r="R479" i="1"/>
  <c r="N479" i="1"/>
  <c r="D479" i="1"/>
  <c r="C479" i="1"/>
  <c r="B479" i="1"/>
  <c r="R478" i="1"/>
  <c r="N478" i="1"/>
  <c r="D478" i="1"/>
  <c r="B478" i="1"/>
  <c r="C478" i="1" s="1"/>
  <c r="R477" i="1"/>
  <c r="N477" i="1"/>
  <c r="D477" i="1"/>
  <c r="B477" i="1"/>
  <c r="C477" i="1" s="1"/>
  <c r="R476" i="1"/>
  <c r="N476" i="1"/>
  <c r="D476" i="1"/>
  <c r="C476" i="1"/>
  <c r="B476" i="1"/>
  <c r="R475" i="1"/>
  <c r="N475" i="1"/>
  <c r="D475" i="1"/>
  <c r="B475" i="1"/>
  <c r="C475" i="1" s="1"/>
  <c r="R474" i="1"/>
  <c r="N474" i="1"/>
  <c r="D474" i="1"/>
  <c r="B474" i="1"/>
  <c r="C474" i="1" s="1"/>
  <c r="R473" i="1"/>
  <c r="N473" i="1"/>
  <c r="D473" i="1"/>
  <c r="B473" i="1"/>
  <c r="C473" i="1" s="1"/>
  <c r="R472" i="1"/>
  <c r="N472" i="1"/>
  <c r="D472" i="1"/>
  <c r="B472" i="1"/>
  <c r="C472" i="1" s="1"/>
  <c r="R471" i="1"/>
  <c r="N471" i="1"/>
  <c r="D471" i="1"/>
  <c r="C471" i="1"/>
  <c r="B471" i="1"/>
  <c r="R470" i="1"/>
  <c r="N470" i="1"/>
  <c r="D470" i="1"/>
  <c r="B470" i="1"/>
  <c r="C470" i="1" s="1"/>
  <c r="R469" i="1"/>
  <c r="N469" i="1"/>
  <c r="D469" i="1"/>
  <c r="B469" i="1"/>
  <c r="C469" i="1" s="1"/>
  <c r="R468" i="1"/>
  <c r="N468" i="1"/>
  <c r="D468" i="1"/>
  <c r="C468" i="1"/>
  <c r="B468" i="1"/>
  <c r="R467" i="1"/>
  <c r="N467" i="1"/>
  <c r="D467" i="1"/>
  <c r="B467" i="1"/>
  <c r="C467" i="1" s="1"/>
  <c r="R466" i="1"/>
  <c r="N466" i="1"/>
  <c r="D466" i="1"/>
  <c r="B466" i="1"/>
  <c r="C466" i="1" s="1"/>
  <c r="R465" i="1"/>
  <c r="N465" i="1"/>
  <c r="D465" i="1"/>
  <c r="B465" i="1"/>
  <c r="C465" i="1" s="1"/>
  <c r="R464" i="1"/>
  <c r="N464" i="1"/>
  <c r="D464" i="1"/>
  <c r="B464" i="1"/>
  <c r="C464" i="1" s="1"/>
  <c r="R463" i="1"/>
  <c r="N463" i="1"/>
  <c r="D463" i="1"/>
  <c r="C463" i="1"/>
  <c r="B463" i="1"/>
  <c r="R462" i="1"/>
  <c r="N462" i="1"/>
  <c r="D462" i="1"/>
  <c r="B462" i="1"/>
  <c r="C462" i="1" s="1"/>
  <c r="R461" i="1"/>
  <c r="N461" i="1"/>
  <c r="D461" i="1"/>
  <c r="B461" i="1"/>
  <c r="C461" i="1" s="1"/>
  <c r="R460" i="1"/>
  <c r="N460" i="1"/>
  <c r="D460" i="1"/>
  <c r="C460" i="1"/>
  <c r="B460" i="1"/>
  <c r="R459" i="1"/>
  <c r="N459" i="1"/>
  <c r="D459" i="1"/>
  <c r="B459" i="1"/>
  <c r="C459" i="1" s="1"/>
  <c r="R458" i="1"/>
  <c r="N458" i="1"/>
  <c r="D458" i="1"/>
  <c r="B458" i="1"/>
  <c r="C458" i="1" s="1"/>
  <c r="R457" i="1"/>
  <c r="N457" i="1"/>
  <c r="D457" i="1"/>
  <c r="B457" i="1"/>
  <c r="C457" i="1" s="1"/>
  <c r="R456" i="1"/>
  <c r="N456" i="1"/>
  <c r="D456" i="1"/>
  <c r="B456" i="1"/>
  <c r="C456" i="1" s="1"/>
  <c r="R455" i="1"/>
  <c r="N455" i="1"/>
  <c r="D455" i="1"/>
  <c r="C455" i="1"/>
  <c r="B455" i="1"/>
  <c r="R454" i="1"/>
  <c r="N454" i="1"/>
  <c r="D454" i="1"/>
  <c r="B454" i="1"/>
  <c r="C454" i="1" s="1"/>
  <c r="R453" i="1"/>
  <c r="N453" i="1"/>
  <c r="D453" i="1"/>
  <c r="B453" i="1"/>
  <c r="C453" i="1" s="1"/>
  <c r="R452" i="1"/>
  <c r="N452" i="1"/>
  <c r="D452" i="1"/>
  <c r="C452" i="1"/>
  <c r="B452" i="1"/>
  <c r="R451" i="1"/>
  <c r="N451" i="1"/>
  <c r="D451" i="1"/>
  <c r="B451" i="1"/>
  <c r="C451" i="1" s="1"/>
  <c r="R450" i="1"/>
  <c r="N450" i="1"/>
  <c r="D450" i="1"/>
  <c r="B450" i="1"/>
  <c r="C450" i="1" s="1"/>
  <c r="R449" i="1"/>
  <c r="N449" i="1"/>
  <c r="D449" i="1"/>
  <c r="B449" i="1"/>
  <c r="C449" i="1" s="1"/>
  <c r="R448" i="1"/>
  <c r="N448" i="1"/>
  <c r="D448" i="1"/>
  <c r="B448" i="1"/>
  <c r="C448" i="1" s="1"/>
  <c r="R447" i="1"/>
  <c r="N447" i="1"/>
  <c r="D447" i="1"/>
  <c r="C447" i="1"/>
  <c r="B447" i="1"/>
  <c r="R446" i="1"/>
  <c r="N446" i="1"/>
  <c r="D446" i="1"/>
  <c r="B446" i="1"/>
  <c r="C446" i="1" s="1"/>
  <c r="R445" i="1"/>
  <c r="N445" i="1"/>
  <c r="D445" i="1"/>
  <c r="B445" i="1"/>
  <c r="C445" i="1" s="1"/>
  <c r="R444" i="1"/>
  <c r="N444" i="1"/>
  <c r="D444" i="1"/>
  <c r="C444" i="1"/>
  <c r="B444" i="1"/>
  <c r="R443" i="1"/>
  <c r="N443" i="1"/>
  <c r="D443" i="1"/>
  <c r="B443" i="1"/>
  <c r="C443" i="1" s="1"/>
  <c r="R442" i="1"/>
  <c r="N442" i="1"/>
  <c r="D442" i="1"/>
  <c r="B442" i="1"/>
  <c r="C442" i="1" s="1"/>
  <c r="R441" i="1"/>
  <c r="N441" i="1"/>
  <c r="D441" i="1"/>
  <c r="B441" i="1"/>
  <c r="C441" i="1" s="1"/>
  <c r="R440" i="1"/>
  <c r="N440" i="1"/>
  <c r="D440" i="1"/>
  <c r="B440" i="1"/>
  <c r="C440" i="1" s="1"/>
  <c r="R439" i="1"/>
  <c r="N439" i="1"/>
  <c r="D439" i="1"/>
  <c r="C439" i="1"/>
  <c r="B439" i="1"/>
  <c r="R438" i="1"/>
  <c r="N438" i="1"/>
  <c r="D438" i="1"/>
  <c r="B438" i="1"/>
  <c r="C438" i="1" s="1"/>
  <c r="R437" i="1"/>
  <c r="N437" i="1"/>
  <c r="D437" i="1"/>
  <c r="B437" i="1"/>
  <c r="C437" i="1" s="1"/>
  <c r="R436" i="1"/>
  <c r="N436" i="1"/>
  <c r="D436" i="1"/>
  <c r="C436" i="1"/>
  <c r="B436" i="1"/>
  <c r="R435" i="1"/>
  <c r="N435" i="1"/>
  <c r="D435" i="1"/>
  <c r="B435" i="1"/>
  <c r="C435" i="1" s="1"/>
  <c r="R434" i="1"/>
  <c r="N434" i="1"/>
  <c r="D434" i="1"/>
  <c r="B434" i="1"/>
  <c r="C434" i="1" s="1"/>
  <c r="R433" i="1"/>
  <c r="N433" i="1"/>
  <c r="D433" i="1"/>
  <c r="B433" i="1"/>
  <c r="C433" i="1" s="1"/>
  <c r="R432" i="1"/>
  <c r="N432" i="1"/>
  <c r="D432" i="1"/>
  <c r="B432" i="1"/>
  <c r="C432" i="1" s="1"/>
  <c r="R431" i="1"/>
  <c r="N431" i="1"/>
  <c r="D431" i="1"/>
  <c r="C431" i="1"/>
  <c r="B431" i="1"/>
  <c r="R430" i="1"/>
  <c r="N430" i="1"/>
  <c r="D430" i="1"/>
  <c r="B430" i="1"/>
  <c r="C430" i="1" s="1"/>
  <c r="R429" i="1"/>
  <c r="N429" i="1"/>
  <c r="D429" i="1"/>
  <c r="B429" i="1"/>
  <c r="C429" i="1" s="1"/>
  <c r="R428" i="1"/>
  <c r="N428" i="1"/>
  <c r="D428" i="1"/>
  <c r="C428" i="1"/>
  <c r="B428" i="1"/>
  <c r="R427" i="1"/>
  <c r="N427" i="1"/>
  <c r="D427" i="1"/>
  <c r="B427" i="1"/>
  <c r="C427" i="1" s="1"/>
  <c r="R426" i="1"/>
  <c r="N426" i="1"/>
  <c r="D426" i="1"/>
  <c r="B426" i="1"/>
  <c r="C426" i="1" s="1"/>
  <c r="R425" i="1"/>
  <c r="N425" i="1"/>
  <c r="D425" i="1"/>
  <c r="B425" i="1"/>
  <c r="C425" i="1" s="1"/>
  <c r="R424" i="1"/>
  <c r="N424" i="1"/>
  <c r="D424" i="1"/>
  <c r="B424" i="1"/>
  <c r="C424" i="1" s="1"/>
  <c r="R423" i="1"/>
  <c r="N423" i="1"/>
  <c r="D423" i="1"/>
  <c r="C423" i="1"/>
  <c r="B423" i="1"/>
  <c r="R422" i="1"/>
  <c r="N422" i="1"/>
  <c r="D422" i="1"/>
  <c r="B422" i="1"/>
  <c r="C422" i="1" s="1"/>
  <c r="R421" i="1"/>
  <c r="N421" i="1"/>
  <c r="D421" i="1"/>
  <c r="B421" i="1"/>
  <c r="C421" i="1" s="1"/>
  <c r="R420" i="1"/>
  <c r="N420" i="1"/>
  <c r="D420" i="1"/>
  <c r="C420" i="1"/>
  <c r="B420" i="1"/>
  <c r="R419" i="1"/>
  <c r="N419" i="1"/>
  <c r="D419" i="1"/>
  <c r="B419" i="1"/>
  <c r="C419" i="1" s="1"/>
  <c r="R418" i="1"/>
  <c r="N418" i="1"/>
  <c r="D418" i="1"/>
  <c r="B418" i="1"/>
  <c r="C418" i="1" s="1"/>
  <c r="R417" i="1"/>
  <c r="N417" i="1"/>
  <c r="D417" i="1"/>
  <c r="B417" i="1"/>
  <c r="C417" i="1" s="1"/>
  <c r="R416" i="1"/>
  <c r="N416" i="1"/>
  <c r="D416" i="1"/>
  <c r="B416" i="1"/>
  <c r="C416" i="1" s="1"/>
  <c r="R415" i="1"/>
  <c r="N415" i="1"/>
  <c r="D415" i="1"/>
  <c r="C415" i="1"/>
  <c r="B415" i="1"/>
  <c r="R414" i="1"/>
  <c r="N414" i="1"/>
  <c r="D414" i="1"/>
  <c r="B414" i="1"/>
  <c r="C414" i="1" s="1"/>
  <c r="R413" i="1"/>
  <c r="N413" i="1"/>
  <c r="D413" i="1"/>
  <c r="B413" i="1"/>
  <c r="C413" i="1" s="1"/>
  <c r="R412" i="1"/>
  <c r="N412" i="1"/>
  <c r="D412" i="1"/>
  <c r="C412" i="1"/>
  <c r="B412" i="1"/>
  <c r="R411" i="1"/>
  <c r="N411" i="1"/>
  <c r="D411" i="1"/>
  <c r="B411" i="1"/>
  <c r="C411" i="1" s="1"/>
  <c r="R410" i="1"/>
  <c r="N410" i="1"/>
  <c r="D410" i="1"/>
  <c r="B410" i="1"/>
  <c r="C410" i="1" s="1"/>
  <c r="R409" i="1"/>
  <c r="N409" i="1"/>
  <c r="D409" i="1"/>
  <c r="B409" i="1"/>
  <c r="C409" i="1" s="1"/>
  <c r="R408" i="1"/>
  <c r="N408" i="1"/>
  <c r="D408" i="1"/>
  <c r="B408" i="1"/>
  <c r="C408" i="1" s="1"/>
  <c r="R407" i="1"/>
  <c r="N407" i="1"/>
  <c r="D407" i="1"/>
  <c r="C407" i="1"/>
  <c r="B407" i="1"/>
  <c r="R406" i="1"/>
  <c r="N406" i="1"/>
  <c r="D406" i="1"/>
  <c r="B406" i="1"/>
  <c r="C406" i="1" s="1"/>
  <c r="R405" i="1"/>
  <c r="N405" i="1"/>
  <c r="D405" i="1"/>
  <c r="B405" i="1"/>
  <c r="C405" i="1" s="1"/>
  <c r="R404" i="1"/>
  <c r="N404" i="1"/>
  <c r="D404" i="1"/>
  <c r="C404" i="1"/>
  <c r="B404" i="1"/>
  <c r="R403" i="1"/>
  <c r="N403" i="1"/>
  <c r="D403" i="1"/>
  <c r="B403" i="1"/>
  <c r="C403" i="1" s="1"/>
  <c r="R402" i="1"/>
  <c r="N402" i="1"/>
  <c r="D402" i="1"/>
  <c r="B402" i="1"/>
  <c r="C402" i="1" s="1"/>
  <c r="R401" i="1"/>
  <c r="N401" i="1"/>
  <c r="D401" i="1"/>
  <c r="B401" i="1"/>
  <c r="C401" i="1" s="1"/>
  <c r="R400" i="1"/>
  <c r="N400" i="1"/>
  <c r="D400" i="1"/>
  <c r="B400" i="1"/>
  <c r="C400" i="1" s="1"/>
  <c r="R399" i="1"/>
  <c r="N399" i="1"/>
  <c r="D399" i="1"/>
  <c r="C399" i="1"/>
  <c r="B399" i="1"/>
  <c r="R398" i="1"/>
  <c r="N398" i="1"/>
  <c r="D398" i="1"/>
  <c r="B398" i="1"/>
  <c r="C398" i="1" s="1"/>
  <c r="R397" i="1"/>
  <c r="N397" i="1"/>
  <c r="D397" i="1"/>
  <c r="B397" i="1"/>
  <c r="C397" i="1" s="1"/>
  <c r="R396" i="1"/>
  <c r="N396" i="1"/>
  <c r="D396" i="1"/>
  <c r="C396" i="1"/>
  <c r="B396" i="1"/>
  <c r="R395" i="1"/>
  <c r="N395" i="1"/>
  <c r="D395" i="1"/>
  <c r="B395" i="1"/>
  <c r="C395" i="1" s="1"/>
  <c r="R394" i="1"/>
  <c r="N394" i="1"/>
  <c r="D394" i="1"/>
  <c r="B394" i="1"/>
  <c r="C394" i="1" s="1"/>
  <c r="R393" i="1"/>
  <c r="N393" i="1"/>
  <c r="D393" i="1"/>
  <c r="B393" i="1"/>
  <c r="C393" i="1" s="1"/>
  <c r="R392" i="1"/>
  <c r="N392" i="1"/>
  <c r="D392" i="1"/>
  <c r="B392" i="1"/>
  <c r="C392" i="1" s="1"/>
  <c r="R391" i="1"/>
  <c r="N391" i="1"/>
  <c r="D391" i="1"/>
  <c r="C391" i="1"/>
  <c r="B391" i="1"/>
  <c r="R390" i="1"/>
  <c r="N390" i="1"/>
  <c r="D390" i="1"/>
  <c r="B390" i="1"/>
  <c r="C390" i="1" s="1"/>
  <c r="R389" i="1"/>
  <c r="N389" i="1"/>
  <c r="D389" i="1"/>
  <c r="B389" i="1"/>
  <c r="C389" i="1" s="1"/>
  <c r="R388" i="1"/>
  <c r="N388" i="1"/>
  <c r="D388" i="1"/>
  <c r="C388" i="1"/>
  <c r="B388" i="1"/>
  <c r="R387" i="1"/>
  <c r="N387" i="1"/>
  <c r="D387" i="1"/>
  <c r="B387" i="1"/>
  <c r="C387" i="1" s="1"/>
  <c r="R386" i="1"/>
  <c r="N386" i="1"/>
  <c r="D386" i="1"/>
  <c r="B386" i="1"/>
  <c r="C386" i="1" s="1"/>
  <c r="R385" i="1"/>
  <c r="N385" i="1"/>
  <c r="D385" i="1"/>
  <c r="B385" i="1"/>
  <c r="C385" i="1" s="1"/>
  <c r="R384" i="1"/>
  <c r="N384" i="1"/>
  <c r="D384" i="1"/>
  <c r="B384" i="1"/>
  <c r="C384" i="1" s="1"/>
  <c r="R383" i="1"/>
  <c r="N383" i="1"/>
  <c r="D383" i="1"/>
  <c r="C383" i="1"/>
  <c r="B383" i="1"/>
  <c r="R382" i="1"/>
  <c r="N382" i="1"/>
  <c r="D382" i="1"/>
  <c r="B382" i="1"/>
  <c r="C382" i="1" s="1"/>
  <c r="R381" i="1"/>
  <c r="N381" i="1"/>
  <c r="D381" i="1"/>
  <c r="B381" i="1"/>
  <c r="C381" i="1" s="1"/>
  <c r="R380" i="1"/>
  <c r="N380" i="1"/>
  <c r="D380" i="1"/>
  <c r="C380" i="1"/>
  <c r="B380" i="1"/>
  <c r="R379" i="1"/>
  <c r="N379" i="1"/>
  <c r="D379" i="1"/>
  <c r="B379" i="1"/>
  <c r="C379" i="1" s="1"/>
  <c r="R378" i="1"/>
  <c r="N378" i="1"/>
  <c r="D378" i="1"/>
  <c r="B378" i="1"/>
  <c r="C378" i="1" s="1"/>
  <c r="R377" i="1"/>
  <c r="N377" i="1"/>
  <c r="D377" i="1"/>
  <c r="B377" i="1"/>
  <c r="C377" i="1" s="1"/>
  <c r="R376" i="1"/>
  <c r="N376" i="1"/>
  <c r="D376" i="1"/>
  <c r="B376" i="1"/>
  <c r="C376" i="1" s="1"/>
  <c r="R375" i="1"/>
  <c r="N375" i="1"/>
  <c r="D375" i="1"/>
  <c r="C375" i="1"/>
  <c r="B375" i="1"/>
  <c r="R374" i="1"/>
  <c r="N374" i="1"/>
  <c r="D374" i="1"/>
  <c r="B374" i="1"/>
  <c r="C374" i="1" s="1"/>
  <c r="R373" i="1"/>
  <c r="N373" i="1"/>
  <c r="D373" i="1"/>
  <c r="B373" i="1"/>
  <c r="C373" i="1" s="1"/>
  <c r="R372" i="1"/>
  <c r="N372" i="1"/>
  <c r="D372" i="1"/>
  <c r="C372" i="1"/>
  <c r="B372" i="1"/>
  <c r="R371" i="1"/>
  <c r="N371" i="1"/>
  <c r="D371" i="1"/>
  <c r="B371" i="1"/>
  <c r="C371" i="1" s="1"/>
  <c r="R370" i="1"/>
  <c r="N370" i="1"/>
  <c r="D370" i="1"/>
  <c r="B370" i="1"/>
  <c r="C370" i="1" s="1"/>
  <c r="R369" i="1"/>
  <c r="N369" i="1"/>
  <c r="D369" i="1"/>
  <c r="B369" i="1"/>
  <c r="C369" i="1" s="1"/>
  <c r="R368" i="1"/>
  <c r="N368" i="1"/>
  <c r="D368" i="1"/>
  <c r="B368" i="1"/>
  <c r="C368" i="1" s="1"/>
  <c r="R367" i="1"/>
  <c r="N367" i="1"/>
  <c r="D367" i="1"/>
  <c r="C367" i="1"/>
  <c r="B367" i="1"/>
  <c r="R366" i="1"/>
  <c r="N366" i="1"/>
  <c r="D366" i="1"/>
  <c r="B366" i="1"/>
  <c r="C366" i="1" s="1"/>
  <c r="R365" i="1"/>
  <c r="N365" i="1"/>
  <c r="D365" i="1"/>
  <c r="B365" i="1"/>
  <c r="C365" i="1" s="1"/>
  <c r="R364" i="1"/>
  <c r="N364" i="1"/>
  <c r="D364" i="1"/>
  <c r="C364" i="1"/>
  <c r="B364" i="1"/>
  <c r="R363" i="1"/>
  <c r="N363" i="1"/>
  <c r="D363" i="1"/>
  <c r="B363" i="1"/>
  <c r="C363" i="1" s="1"/>
  <c r="R362" i="1"/>
  <c r="N362" i="1"/>
  <c r="D362" i="1"/>
  <c r="B362" i="1"/>
  <c r="C362" i="1" s="1"/>
  <c r="R361" i="1"/>
  <c r="N361" i="1"/>
  <c r="D361" i="1"/>
  <c r="B361" i="1"/>
  <c r="C361" i="1" s="1"/>
  <c r="R360" i="1"/>
  <c r="N360" i="1"/>
  <c r="D360" i="1"/>
  <c r="B360" i="1"/>
  <c r="C360" i="1" s="1"/>
  <c r="R359" i="1"/>
  <c r="N359" i="1"/>
  <c r="D359" i="1"/>
  <c r="C359" i="1"/>
  <c r="B359" i="1"/>
  <c r="R358" i="1"/>
  <c r="N358" i="1"/>
  <c r="D358" i="1"/>
  <c r="B358" i="1"/>
  <c r="C358" i="1" s="1"/>
  <c r="R357" i="1"/>
  <c r="N357" i="1"/>
  <c r="D357" i="1"/>
  <c r="B357" i="1"/>
  <c r="C357" i="1" s="1"/>
  <c r="R356" i="1"/>
  <c r="N356" i="1"/>
  <c r="D356" i="1"/>
  <c r="C356" i="1"/>
  <c r="B356" i="1"/>
  <c r="R355" i="1"/>
  <c r="N355" i="1"/>
  <c r="D355" i="1"/>
  <c r="B355" i="1"/>
  <c r="C355" i="1" s="1"/>
  <c r="R354" i="1"/>
  <c r="N354" i="1"/>
  <c r="D354" i="1"/>
  <c r="B354" i="1"/>
  <c r="C354" i="1" s="1"/>
  <c r="R353" i="1"/>
  <c r="N353" i="1"/>
  <c r="D353" i="1"/>
  <c r="B353" i="1"/>
  <c r="C353" i="1" s="1"/>
  <c r="R352" i="1"/>
  <c r="N352" i="1"/>
  <c r="D352" i="1"/>
  <c r="B352" i="1"/>
  <c r="C352" i="1" s="1"/>
  <c r="R351" i="1"/>
  <c r="N351" i="1"/>
  <c r="D351" i="1"/>
  <c r="C351" i="1"/>
  <c r="B351" i="1"/>
  <c r="R350" i="1"/>
  <c r="N350" i="1"/>
  <c r="D350" i="1"/>
  <c r="B350" i="1"/>
  <c r="C350" i="1" s="1"/>
  <c r="R349" i="1"/>
  <c r="N349" i="1"/>
  <c r="D349" i="1"/>
  <c r="B349" i="1"/>
  <c r="C349" i="1" s="1"/>
  <c r="R348" i="1"/>
  <c r="N348" i="1"/>
  <c r="D348" i="1"/>
  <c r="C348" i="1"/>
  <c r="B348" i="1"/>
  <c r="R347" i="1"/>
  <c r="N347" i="1"/>
  <c r="D347" i="1"/>
  <c r="B347" i="1"/>
  <c r="C347" i="1" s="1"/>
  <c r="R346" i="1"/>
  <c r="N346" i="1"/>
  <c r="D346" i="1"/>
  <c r="B346" i="1"/>
  <c r="C346" i="1" s="1"/>
  <c r="R345" i="1"/>
  <c r="N345" i="1"/>
  <c r="D345" i="1"/>
  <c r="B345" i="1"/>
  <c r="C345" i="1" s="1"/>
  <c r="R344" i="1"/>
  <c r="N344" i="1"/>
  <c r="D344" i="1"/>
  <c r="B344" i="1"/>
  <c r="C344" i="1" s="1"/>
  <c r="R343" i="1"/>
  <c r="N343" i="1"/>
  <c r="D343" i="1"/>
  <c r="C343" i="1"/>
  <c r="B343" i="1"/>
  <c r="R342" i="1"/>
  <c r="N342" i="1"/>
  <c r="D342" i="1"/>
  <c r="B342" i="1"/>
  <c r="C342" i="1" s="1"/>
  <c r="R341" i="1"/>
  <c r="N341" i="1"/>
  <c r="D341" i="1"/>
  <c r="B341" i="1"/>
  <c r="C341" i="1" s="1"/>
  <c r="R340" i="1"/>
  <c r="N340" i="1"/>
  <c r="D340" i="1"/>
  <c r="C340" i="1"/>
  <c r="B340" i="1"/>
  <c r="R339" i="1"/>
  <c r="N339" i="1"/>
  <c r="D339" i="1"/>
  <c r="B339" i="1"/>
  <c r="C339" i="1" s="1"/>
  <c r="R338" i="1"/>
  <c r="N338" i="1"/>
  <c r="D338" i="1"/>
  <c r="B338" i="1"/>
  <c r="C338" i="1" s="1"/>
  <c r="R337" i="1"/>
  <c r="N337" i="1"/>
  <c r="D337" i="1"/>
  <c r="B337" i="1"/>
  <c r="C337" i="1" s="1"/>
  <c r="R336" i="1"/>
  <c r="N336" i="1"/>
  <c r="D336" i="1"/>
  <c r="B336" i="1"/>
  <c r="C336" i="1" s="1"/>
  <c r="R335" i="1"/>
  <c r="N335" i="1"/>
  <c r="D335" i="1"/>
  <c r="C335" i="1"/>
  <c r="B335" i="1"/>
  <c r="R334" i="1"/>
  <c r="N334" i="1"/>
  <c r="D334" i="1"/>
  <c r="B334" i="1"/>
  <c r="C334" i="1" s="1"/>
  <c r="R333" i="1"/>
  <c r="N333" i="1"/>
  <c r="D333" i="1"/>
  <c r="B333" i="1"/>
  <c r="C333" i="1" s="1"/>
  <c r="R332" i="1"/>
  <c r="N332" i="1"/>
  <c r="D332" i="1"/>
  <c r="C332" i="1"/>
  <c r="B332" i="1"/>
  <c r="R331" i="1"/>
  <c r="N331" i="1"/>
  <c r="D331" i="1"/>
  <c r="B331" i="1"/>
  <c r="C331" i="1" s="1"/>
  <c r="R330" i="1"/>
  <c r="N330" i="1"/>
  <c r="D330" i="1"/>
  <c r="B330" i="1"/>
  <c r="C330" i="1" s="1"/>
  <c r="R329" i="1"/>
  <c r="N329" i="1"/>
  <c r="D329" i="1"/>
  <c r="B329" i="1"/>
  <c r="C329" i="1" s="1"/>
  <c r="R328" i="1"/>
  <c r="N328" i="1"/>
  <c r="D328" i="1"/>
  <c r="B328" i="1"/>
  <c r="C328" i="1" s="1"/>
  <c r="R327" i="1"/>
  <c r="N327" i="1"/>
  <c r="D327" i="1"/>
  <c r="C327" i="1"/>
  <c r="B327" i="1"/>
  <c r="R326" i="1"/>
  <c r="N326" i="1"/>
  <c r="D326" i="1"/>
  <c r="B326" i="1"/>
  <c r="C326" i="1" s="1"/>
  <c r="R325" i="1"/>
  <c r="N325" i="1"/>
  <c r="D325" i="1"/>
  <c r="B325" i="1"/>
  <c r="C325" i="1" s="1"/>
  <c r="R324" i="1"/>
  <c r="N324" i="1"/>
  <c r="D324" i="1"/>
  <c r="C324" i="1"/>
  <c r="B324" i="1"/>
  <c r="R323" i="1"/>
  <c r="N323" i="1"/>
  <c r="D323" i="1"/>
  <c r="B323" i="1"/>
  <c r="C323" i="1" s="1"/>
  <c r="R322" i="1"/>
  <c r="N322" i="1"/>
  <c r="D322" i="1"/>
  <c r="B322" i="1"/>
  <c r="C322" i="1" s="1"/>
  <c r="R321" i="1"/>
  <c r="N321" i="1"/>
  <c r="D321" i="1"/>
  <c r="B321" i="1"/>
  <c r="C321" i="1" s="1"/>
  <c r="R320" i="1"/>
  <c r="N320" i="1"/>
  <c r="D320" i="1"/>
  <c r="B320" i="1"/>
  <c r="C320" i="1" s="1"/>
  <c r="R319" i="1"/>
  <c r="N319" i="1"/>
  <c r="D319" i="1"/>
  <c r="C319" i="1"/>
  <c r="B319" i="1"/>
  <c r="R318" i="1"/>
  <c r="N318" i="1"/>
  <c r="D318" i="1"/>
  <c r="B318" i="1"/>
  <c r="C318" i="1" s="1"/>
  <c r="R317" i="1"/>
  <c r="N317" i="1"/>
  <c r="D317" i="1"/>
  <c r="C317" i="1"/>
  <c r="B317" i="1"/>
  <c r="R316" i="1"/>
  <c r="N316" i="1"/>
  <c r="D316" i="1"/>
  <c r="B316" i="1"/>
  <c r="C316" i="1" s="1"/>
  <c r="R315" i="1"/>
  <c r="N315" i="1"/>
  <c r="D315" i="1"/>
  <c r="B315" i="1"/>
  <c r="C315" i="1" s="1"/>
  <c r="R314" i="1"/>
  <c r="N314" i="1"/>
  <c r="D314" i="1"/>
  <c r="B314" i="1"/>
  <c r="C314" i="1" s="1"/>
  <c r="R313" i="1"/>
  <c r="N313" i="1"/>
  <c r="D313" i="1"/>
  <c r="C313" i="1"/>
  <c r="B313" i="1"/>
  <c r="R312" i="1"/>
  <c r="N312" i="1"/>
  <c r="D312" i="1"/>
  <c r="C312" i="1"/>
  <c r="B312" i="1"/>
  <c r="R311" i="1"/>
  <c r="N311" i="1"/>
  <c r="D311" i="1"/>
  <c r="B311" i="1"/>
  <c r="C311" i="1" s="1"/>
  <c r="R310" i="1"/>
  <c r="N310" i="1"/>
  <c r="D310" i="1"/>
  <c r="B310" i="1"/>
  <c r="C310" i="1" s="1"/>
  <c r="R309" i="1"/>
  <c r="N309" i="1"/>
  <c r="D309" i="1"/>
  <c r="B309" i="1"/>
  <c r="C309" i="1" s="1"/>
  <c r="R308" i="1"/>
  <c r="N308" i="1"/>
  <c r="D308" i="1"/>
  <c r="C308" i="1"/>
  <c r="B308" i="1"/>
  <c r="R307" i="1"/>
  <c r="N307" i="1"/>
  <c r="D307" i="1"/>
  <c r="C307" i="1"/>
  <c r="B307" i="1"/>
  <c r="R306" i="1"/>
  <c r="N306" i="1"/>
  <c r="D306" i="1"/>
  <c r="B306" i="1"/>
  <c r="C306" i="1" s="1"/>
  <c r="R305" i="1"/>
  <c r="N305" i="1"/>
  <c r="D305" i="1"/>
  <c r="B305" i="1"/>
  <c r="C305" i="1" s="1"/>
  <c r="R304" i="1"/>
  <c r="N304" i="1"/>
  <c r="D304" i="1"/>
  <c r="B304" i="1"/>
  <c r="C304" i="1" s="1"/>
  <c r="R303" i="1"/>
  <c r="N303" i="1"/>
  <c r="D303" i="1"/>
  <c r="C303" i="1"/>
  <c r="B303" i="1"/>
  <c r="R302" i="1"/>
  <c r="N302" i="1"/>
  <c r="D302" i="1"/>
  <c r="B302" i="1"/>
  <c r="C302" i="1" s="1"/>
  <c r="R301" i="1"/>
  <c r="N301" i="1"/>
  <c r="D301" i="1"/>
  <c r="C301" i="1"/>
  <c r="B301" i="1"/>
  <c r="R300" i="1"/>
  <c r="N300" i="1"/>
  <c r="D300" i="1"/>
  <c r="B300" i="1"/>
  <c r="C300" i="1" s="1"/>
  <c r="R299" i="1"/>
  <c r="N299" i="1"/>
  <c r="D299" i="1"/>
  <c r="B299" i="1"/>
  <c r="C299" i="1" s="1"/>
  <c r="R298" i="1"/>
  <c r="N298" i="1"/>
  <c r="D298" i="1"/>
  <c r="B298" i="1"/>
  <c r="C298" i="1" s="1"/>
  <c r="R297" i="1"/>
  <c r="N297" i="1"/>
  <c r="D297" i="1"/>
  <c r="C297" i="1"/>
  <c r="B297" i="1"/>
  <c r="R296" i="1"/>
  <c r="N296" i="1"/>
  <c r="D296" i="1"/>
  <c r="C296" i="1"/>
  <c r="B296" i="1"/>
  <c r="R295" i="1"/>
  <c r="N295" i="1"/>
  <c r="D295" i="1"/>
  <c r="B295" i="1"/>
  <c r="C295" i="1" s="1"/>
  <c r="R294" i="1"/>
  <c r="N294" i="1"/>
  <c r="D294" i="1"/>
  <c r="B294" i="1"/>
  <c r="C294" i="1" s="1"/>
  <c r="R293" i="1"/>
  <c r="N293" i="1"/>
  <c r="D293" i="1"/>
  <c r="B293" i="1"/>
  <c r="C293" i="1" s="1"/>
  <c r="R292" i="1"/>
  <c r="N292" i="1"/>
  <c r="D292" i="1"/>
  <c r="C292" i="1"/>
  <c r="B292" i="1"/>
  <c r="R291" i="1"/>
  <c r="N291" i="1"/>
  <c r="D291" i="1"/>
  <c r="C291" i="1"/>
  <c r="B291" i="1"/>
  <c r="R290" i="1"/>
  <c r="N290" i="1"/>
  <c r="D290" i="1"/>
  <c r="B290" i="1"/>
  <c r="C290" i="1" s="1"/>
  <c r="R289" i="1"/>
  <c r="N289" i="1"/>
  <c r="D289" i="1"/>
  <c r="B289" i="1"/>
  <c r="C289" i="1" s="1"/>
  <c r="R288" i="1"/>
  <c r="N288" i="1"/>
  <c r="D288" i="1"/>
  <c r="B288" i="1"/>
  <c r="C288" i="1" s="1"/>
  <c r="R287" i="1"/>
  <c r="N287" i="1"/>
  <c r="D287" i="1"/>
  <c r="C287" i="1"/>
  <c r="B287" i="1"/>
  <c r="R286" i="1"/>
  <c r="N286" i="1"/>
  <c r="D286" i="1"/>
  <c r="B286" i="1"/>
  <c r="C286" i="1" s="1"/>
  <c r="R285" i="1"/>
  <c r="N285" i="1"/>
  <c r="D285" i="1"/>
  <c r="C285" i="1"/>
  <c r="B285" i="1"/>
  <c r="R284" i="1"/>
  <c r="N284" i="1"/>
  <c r="D284" i="1"/>
  <c r="B284" i="1"/>
  <c r="C284" i="1" s="1"/>
  <c r="R283" i="1"/>
  <c r="N283" i="1"/>
  <c r="D283" i="1"/>
  <c r="B283" i="1"/>
  <c r="C283" i="1" s="1"/>
  <c r="R282" i="1"/>
  <c r="N282" i="1"/>
  <c r="D282" i="1"/>
  <c r="B282" i="1"/>
  <c r="C282" i="1" s="1"/>
  <c r="R281" i="1"/>
  <c r="N281" i="1"/>
  <c r="D281" i="1"/>
  <c r="C281" i="1"/>
  <c r="B281" i="1"/>
  <c r="R280" i="1"/>
  <c r="N280" i="1"/>
  <c r="D280" i="1"/>
  <c r="C280" i="1"/>
  <c r="B280" i="1"/>
  <c r="R279" i="1"/>
  <c r="N279" i="1"/>
  <c r="D279" i="1"/>
  <c r="B279" i="1"/>
  <c r="C279" i="1" s="1"/>
  <c r="R278" i="1"/>
  <c r="N278" i="1"/>
  <c r="D278" i="1"/>
  <c r="B278" i="1"/>
  <c r="C278" i="1" s="1"/>
  <c r="R277" i="1"/>
  <c r="N277" i="1"/>
  <c r="D277" i="1"/>
  <c r="B277" i="1"/>
  <c r="C277" i="1" s="1"/>
  <c r="R276" i="1"/>
  <c r="N276" i="1"/>
  <c r="D276" i="1"/>
  <c r="C276" i="1"/>
  <c r="B276" i="1"/>
  <c r="R275" i="1"/>
  <c r="N275" i="1"/>
  <c r="D275" i="1"/>
  <c r="C275" i="1"/>
  <c r="B275" i="1"/>
  <c r="R274" i="1"/>
  <c r="N274" i="1"/>
  <c r="D274" i="1"/>
  <c r="B274" i="1"/>
  <c r="C274" i="1" s="1"/>
  <c r="R273" i="1"/>
  <c r="N273" i="1"/>
  <c r="D273" i="1"/>
  <c r="B273" i="1"/>
  <c r="C273" i="1" s="1"/>
  <c r="R272" i="1"/>
  <c r="N272" i="1"/>
  <c r="D272" i="1"/>
  <c r="B272" i="1"/>
  <c r="C272" i="1" s="1"/>
  <c r="R271" i="1"/>
  <c r="N271" i="1"/>
  <c r="D271" i="1"/>
  <c r="C271" i="1"/>
  <c r="B271" i="1"/>
  <c r="R270" i="1"/>
  <c r="N270" i="1"/>
  <c r="D270" i="1"/>
  <c r="B270" i="1"/>
  <c r="C270" i="1" s="1"/>
  <c r="R269" i="1"/>
  <c r="N269" i="1"/>
  <c r="D269" i="1"/>
  <c r="C269" i="1"/>
  <c r="B269" i="1"/>
  <c r="R268" i="1"/>
  <c r="N268" i="1"/>
  <c r="D268" i="1"/>
  <c r="B268" i="1"/>
  <c r="C268" i="1" s="1"/>
  <c r="R267" i="1"/>
  <c r="N267" i="1"/>
  <c r="D267" i="1"/>
  <c r="B267" i="1"/>
  <c r="C267" i="1" s="1"/>
  <c r="R266" i="1"/>
  <c r="N266" i="1"/>
  <c r="D266" i="1"/>
  <c r="B266" i="1"/>
  <c r="C266" i="1" s="1"/>
  <c r="R265" i="1"/>
  <c r="N265" i="1"/>
  <c r="D265" i="1"/>
  <c r="C265" i="1"/>
  <c r="B265" i="1"/>
  <c r="R264" i="1"/>
  <c r="N264" i="1"/>
  <c r="D264" i="1"/>
  <c r="C264" i="1"/>
  <c r="B264" i="1"/>
  <c r="R263" i="1"/>
  <c r="N263" i="1"/>
  <c r="D263" i="1"/>
  <c r="B263" i="1"/>
  <c r="C263" i="1" s="1"/>
  <c r="R262" i="1"/>
  <c r="N262" i="1"/>
  <c r="D262" i="1"/>
  <c r="B262" i="1"/>
  <c r="C262" i="1" s="1"/>
  <c r="R261" i="1"/>
  <c r="N261" i="1"/>
  <c r="D261" i="1"/>
  <c r="B261" i="1"/>
  <c r="C261" i="1" s="1"/>
  <c r="R260" i="1"/>
  <c r="N260" i="1"/>
  <c r="D260" i="1"/>
  <c r="C260" i="1"/>
  <c r="B260" i="1"/>
  <c r="R259" i="1"/>
  <c r="N259" i="1"/>
  <c r="D259" i="1"/>
  <c r="C259" i="1"/>
  <c r="B259" i="1"/>
  <c r="R258" i="1"/>
  <c r="N258" i="1"/>
  <c r="D258" i="1"/>
  <c r="B258" i="1"/>
  <c r="C258" i="1" s="1"/>
  <c r="R257" i="1"/>
  <c r="N257" i="1"/>
  <c r="D257" i="1"/>
  <c r="B257" i="1"/>
  <c r="C257" i="1" s="1"/>
  <c r="R256" i="1"/>
  <c r="N256" i="1"/>
  <c r="D256" i="1"/>
  <c r="B256" i="1"/>
  <c r="C256" i="1" s="1"/>
  <c r="R255" i="1"/>
  <c r="N255" i="1"/>
  <c r="D255" i="1"/>
  <c r="C255" i="1"/>
  <c r="B255" i="1"/>
  <c r="R254" i="1"/>
  <c r="N254" i="1"/>
  <c r="D254" i="1"/>
  <c r="B254" i="1"/>
  <c r="C254" i="1" s="1"/>
  <c r="R253" i="1"/>
  <c r="N253" i="1"/>
  <c r="D253" i="1"/>
  <c r="C253" i="1"/>
  <c r="B253" i="1"/>
  <c r="R252" i="1"/>
  <c r="N252" i="1"/>
  <c r="D252" i="1"/>
  <c r="B252" i="1"/>
  <c r="C252" i="1" s="1"/>
  <c r="R251" i="1"/>
  <c r="N251" i="1"/>
  <c r="D251" i="1"/>
  <c r="B251" i="1"/>
  <c r="C251" i="1" s="1"/>
  <c r="R250" i="1"/>
  <c r="N250" i="1"/>
  <c r="D250" i="1"/>
  <c r="B250" i="1"/>
  <c r="C250" i="1" s="1"/>
  <c r="R249" i="1"/>
  <c r="N249" i="1"/>
  <c r="D249" i="1"/>
  <c r="C249" i="1"/>
  <c r="B249" i="1"/>
  <c r="R248" i="1"/>
  <c r="N248" i="1"/>
  <c r="D248" i="1"/>
  <c r="C248" i="1"/>
  <c r="B248" i="1"/>
  <c r="R247" i="1"/>
  <c r="N247" i="1"/>
  <c r="D247" i="1"/>
  <c r="B247" i="1"/>
  <c r="C247" i="1" s="1"/>
  <c r="R246" i="1"/>
  <c r="N246" i="1"/>
  <c r="D246" i="1"/>
  <c r="B246" i="1"/>
  <c r="C246" i="1" s="1"/>
  <c r="R245" i="1"/>
  <c r="N245" i="1"/>
  <c r="D245" i="1"/>
  <c r="B245" i="1"/>
  <c r="C245" i="1" s="1"/>
  <c r="R244" i="1"/>
  <c r="N244" i="1"/>
  <c r="D244" i="1"/>
  <c r="C244" i="1"/>
  <c r="B244" i="1"/>
  <c r="R243" i="1"/>
  <c r="N243" i="1"/>
  <c r="D243" i="1"/>
  <c r="C243" i="1"/>
  <c r="B243" i="1"/>
  <c r="R242" i="1"/>
  <c r="N242" i="1"/>
  <c r="D242" i="1"/>
  <c r="B242" i="1"/>
  <c r="C242" i="1" s="1"/>
  <c r="R241" i="1"/>
  <c r="N241" i="1"/>
  <c r="D241" i="1"/>
  <c r="B241" i="1"/>
  <c r="C241" i="1" s="1"/>
  <c r="R240" i="1"/>
  <c r="N240" i="1"/>
  <c r="D240" i="1"/>
  <c r="B240" i="1"/>
  <c r="C240" i="1" s="1"/>
  <c r="R239" i="1"/>
  <c r="N239" i="1"/>
  <c r="D239" i="1"/>
  <c r="C239" i="1"/>
  <c r="B239" i="1"/>
  <c r="R238" i="1"/>
  <c r="N238" i="1"/>
  <c r="D238" i="1"/>
  <c r="B238" i="1"/>
  <c r="C238" i="1" s="1"/>
  <c r="R237" i="1"/>
  <c r="N237" i="1"/>
  <c r="D237" i="1"/>
  <c r="C237" i="1"/>
  <c r="B237" i="1"/>
  <c r="R236" i="1"/>
  <c r="N236" i="1"/>
  <c r="D236" i="1"/>
  <c r="B236" i="1"/>
  <c r="C236" i="1" s="1"/>
  <c r="R235" i="1"/>
  <c r="N235" i="1"/>
  <c r="D235" i="1"/>
  <c r="B235" i="1"/>
  <c r="C235" i="1" s="1"/>
  <c r="R234" i="1"/>
  <c r="N234" i="1"/>
  <c r="D234" i="1"/>
  <c r="B234" i="1"/>
  <c r="C234" i="1" s="1"/>
  <c r="R233" i="1"/>
  <c r="N233" i="1"/>
  <c r="D233" i="1"/>
  <c r="C233" i="1"/>
  <c r="B233" i="1"/>
  <c r="R232" i="1"/>
  <c r="N232" i="1"/>
  <c r="D232" i="1"/>
  <c r="C232" i="1"/>
  <c r="B232" i="1"/>
  <c r="R231" i="1"/>
  <c r="N231" i="1"/>
  <c r="D231" i="1"/>
  <c r="B231" i="1"/>
  <c r="C231" i="1" s="1"/>
  <c r="R230" i="1"/>
  <c r="N230" i="1"/>
  <c r="D230" i="1"/>
  <c r="B230" i="1"/>
  <c r="C230" i="1" s="1"/>
  <c r="R229" i="1"/>
  <c r="N229" i="1"/>
  <c r="D229" i="1"/>
  <c r="B229" i="1"/>
  <c r="C229" i="1" s="1"/>
  <c r="R228" i="1"/>
  <c r="N228" i="1"/>
  <c r="D228" i="1"/>
  <c r="C228" i="1"/>
  <c r="B228" i="1"/>
  <c r="R227" i="1"/>
  <c r="N227" i="1"/>
  <c r="D227" i="1"/>
  <c r="C227" i="1"/>
  <c r="B227" i="1"/>
  <c r="R226" i="1"/>
  <c r="N226" i="1"/>
  <c r="D226" i="1"/>
  <c r="B226" i="1"/>
  <c r="C226" i="1" s="1"/>
  <c r="R225" i="1"/>
  <c r="N225" i="1"/>
  <c r="D225" i="1"/>
  <c r="B225" i="1"/>
  <c r="C225" i="1" s="1"/>
  <c r="R224" i="1"/>
  <c r="N224" i="1"/>
  <c r="D224" i="1"/>
  <c r="B224" i="1"/>
  <c r="C224" i="1" s="1"/>
  <c r="R223" i="1"/>
  <c r="N223" i="1"/>
  <c r="D223" i="1"/>
  <c r="C223" i="1"/>
  <c r="B223" i="1"/>
  <c r="R222" i="1"/>
  <c r="N222" i="1"/>
  <c r="D222" i="1"/>
  <c r="B222" i="1"/>
  <c r="C222" i="1" s="1"/>
  <c r="R221" i="1"/>
  <c r="N221" i="1"/>
  <c r="D221" i="1"/>
  <c r="C221" i="1"/>
  <c r="B221" i="1"/>
  <c r="R220" i="1"/>
  <c r="N220" i="1"/>
  <c r="D220" i="1"/>
  <c r="B220" i="1"/>
  <c r="C220" i="1" s="1"/>
  <c r="R219" i="1"/>
  <c r="N219" i="1"/>
  <c r="D219" i="1"/>
  <c r="B219" i="1"/>
  <c r="C219" i="1" s="1"/>
  <c r="R218" i="1"/>
  <c r="N218" i="1"/>
  <c r="D218" i="1"/>
  <c r="B218" i="1"/>
  <c r="C218" i="1" s="1"/>
  <c r="R217" i="1"/>
  <c r="N217" i="1"/>
  <c r="D217" i="1"/>
  <c r="C217" i="1"/>
  <c r="B217" i="1"/>
  <c r="R216" i="1"/>
  <c r="N216" i="1"/>
  <c r="D216" i="1"/>
  <c r="C216" i="1"/>
  <c r="B216" i="1"/>
  <c r="R215" i="1"/>
  <c r="N215" i="1"/>
  <c r="D215" i="1"/>
  <c r="B215" i="1"/>
  <c r="C215" i="1" s="1"/>
  <c r="R214" i="1"/>
  <c r="N214" i="1"/>
  <c r="D214" i="1"/>
  <c r="B214" i="1"/>
  <c r="C214" i="1" s="1"/>
  <c r="R213" i="1"/>
  <c r="N213" i="1"/>
  <c r="D213" i="1"/>
  <c r="B213" i="1"/>
  <c r="C213" i="1" s="1"/>
  <c r="R212" i="1"/>
  <c r="N212" i="1"/>
  <c r="D212" i="1"/>
  <c r="C212" i="1"/>
  <c r="B212" i="1"/>
  <c r="R211" i="1"/>
  <c r="N211" i="1"/>
  <c r="D211" i="1"/>
  <c r="C211" i="1"/>
  <c r="B211" i="1"/>
  <c r="R210" i="1"/>
  <c r="N210" i="1"/>
  <c r="D210" i="1"/>
  <c r="B210" i="1"/>
  <c r="C210" i="1" s="1"/>
  <c r="R209" i="1"/>
  <c r="N209" i="1"/>
  <c r="D209" i="1"/>
  <c r="B209" i="1"/>
  <c r="C209" i="1" s="1"/>
  <c r="R208" i="1"/>
  <c r="N208" i="1"/>
  <c r="D208" i="1"/>
  <c r="B208" i="1"/>
  <c r="C208" i="1" s="1"/>
  <c r="R207" i="1"/>
  <c r="N207" i="1"/>
  <c r="D207" i="1"/>
  <c r="C207" i="1"/>
  <c r="B207" i="1"/>
  <c r="R206" i="1"/>
  <c r="N206" i="1"/>
  <c r="D206" i="1"/>
  <c r="B206" i="1"/>
  <c r="C206" i="1" s="1"/>
  <c r="R205" i="1"/>
  <c r="N205" i="1"/>
  <c r="D205" i="1"/>
  <c r="C205" i="1"/>
  <c r="B205" i="1"/>
  <c r="R204" i="1"/>
  <c r="N204" i="1"/>
  <c r="D204" i="1"/>
  <c r="B204" i="1"/>
  <c r="C204" i="1" s="1"/>
  <c r="R203" i="1"/>
  <c r="N203" i="1"/>
  <c r="D203" i="1"/>
  <c r="B203" i="1"/>
  <c r="C203" i="1" s="1"/>
  <c r="R202" i="1"/>
  <c r="N202" i="1"/>
  <c r="D202" i="1"/>
  <c r="B202" i="1"/>
  <c r="C202" i="1" s="1"/>
  <c r="R201" i="1"/>
  <c r="N201" i="1"/>
  <c r="D201" i="1"/>
  <c r="C201" i="1"/>
  <c r="B201" i="1"/>
  <c r="R200" i="1"/>
  <c r="N200" i="1"/>
  <c r="D200" i="1"/>
  <c r="C200" i="1"/>
  <c r="B200" i="1"/>
  <c r="R199" i="1"/>
  <c r="N199" i="1"/>
  <c r="D199" i="1"/>
  <c r="B199" i="1"/>
  <c r="C199" i="1" s="1"/>
  <c r="R198" i="1"/>
  <c r="N198" i="1"/>
  <c r="D198" i="1"/>
  <c r="B198" i="1"/>
  <c r="C198" i="1" s="1"/>
  <c r="R197" i="1"/>
  <c r="N197" i="1"/>
  <c r="D197" i="1"/>
  <c r="B197" i="1"/>
  <c r="C197" i="1" s="1"/>
  <c r="R196" i="1"/>
  <c r="N196" i="1"/>
  <c r="D196" i="1"/>
  <c r="C196" i="1"/>
  <c r="B196" i="1"/>
  <c r="R195" i="1"/>
  <c r="N195" i="1"/>
  <c r="D195" i="1"/>
  <c r="C195" i="1"/>
  <c r="B195" i="1"/>
  <c r="R194" i="1"/>
  <c r="N194" i="1"/>
  <c r="D194" i="1"/>
  <c r="B194" i="1"/>
  <c r="C194" i="1" s="1"/>
  <c r="R193" i="1"/>
  <c r="N193" i="1"/>
  <c r="D193" i="1"/>
  <c r="B193" i="1"/>
  <c r="C193" i="1" s="1"/>
  <c r="R192" i="1"/>
  <c r="N192" i="1"/>
  <c r="D192" i="1"/>
  <c r="B192" i="1"/>
  <c r="C192" i="1" s="1"/>
  <c r="R191" i="1"/>
  <c r="N191" i="1"/>
  <c r="D191" i="1"/>
  <c r="C191" i="1"/>
  <c r="B191" i="1"/>
  <c r="R190" i="1"/>
  <c r="N190" i="1"/>
  <c r="D190" i="1"/>
  <c r="B190" i="1"/>
  <c r="C190" i="1" s="1"/>
  <c r="R189" i="1"/>
  <c r="N189" i="1"/>
  <c r="D189" i="1"/>
  <c r="C189" i="1"/>
  <c r="B189" i="1"/>
  <c r="R188" i="1"/>
  <c r="N188" i="1"/>
  <c r="D188" i="1"/>
  <c r="B188" i="1"/>
  <c r="C188" i="1" s="1"/>
  <c r="R187" i="1"/>
  <c r="N187" i="1"/>
  <c r="D187" i="1"/>
  <c r="C187" i="1"/>
  <c r="B187" i="1"/>
  <c r="R186" i="1"/>
  <c r="N186" i="1"/>
  <c r="D186" i="1"/>
  <c r="B186" i="1"/>
  <c r="C186" i="1" s="1"/>
  <c r="R185" i="1"/>
  <c r="N185" i="1"/>
  <c r="D185" i="1"/>
  <c r="C185" i="1"/>
  <c r="B185" i="1"/>
  <c r="R184" i="1"/>
  <c r="N184" i="1"/>
  <c r="D184" i="1"/>
  <c r="C184" i="1"/>
  <c r="B184" i="1"/>
  <c r="R183" i="1"/>
  <c r="N183" i="1"/>
  <c r="D183" i="1"/>
  <c r="B183" i="1"/>
  <c r="C183" i="1" s="1"/>
  <c r="R182" i="1"/>
  <c r="N182" i="1"/>
  <c r="D182" i="1"/>
  <c r="B182" i="1"/>
  <c r="C182" i="1" s="1"/>
  <c r="R181" i="1"/>
  <c r="N181" i="1"/>
  <c r="D181" i="1"/>
  <c r="B181" i="1"/>
  <c r="C181" i="1" s="1"/>
  <c r="R180" i="1"/>
  <c r="N180" i="1"/>
  <c r="D180" i="1"/>
  <c r="C180" i="1"/>
  <c r="B180" i="1"/>
  <c r="R179" i="1"/>
  <c r="N179" i="1"/>
  <c r="D179" i="1"/>
  <c r="C179" i="1"/>
  <c r="B179" i="1"/>
  <c r="R178" i="1"/>
  <c r="N178" i="1"/>
  <c r="D178" i="1"/>
  <c r="B178" i="1"/>
  <c r="C178" i="1" s="1"/>
  <c r="R177" i="1"/>
  <c r="N177" i="1"/>
  <c r="D177" i="1"/>
  <c r="B177" i="1"/>
  <c r="C177" i="1" s="1"/>
  <c r="R176" i="1"/>
  <c r="N176" i="1"/>
  <c r="D176" i="1"/>
  <c r="B176" i="1"/>
  <c r="C176" i="1" s="1"/>
  <c r="R175" i="1"/>
  <c r="N175" i="1"/>
  <c r="D175" i="1"/>
  <c r="C175" i="1"/>
  <c r="B175" i="1"/>
  <c r="R174" i="1"/>
  <c r="N174" i="1"/>
  <c r="D174" i="1"/>
  <c r="B174" i="1"/>
  <c r="C174" i="1" s="1"/>
  <c r="R173" i="1"/>
  <c r="N173" i="1"/>
  <c r="D173" i="1"/>
  <c r="C173" i="1"/>
  <c r="B173" i="1"/>
  <c r="R172" i="1"/>
  <c r="N172" i="1"/>
  <c r="D172" i="1"/>
  <c r="B172" i="1"/>
  <c r="C172" i="1" s="1"/>
  <c r="R171" i="1"/>
  <c r="N171" i="1"/>
  <c r="D171" i="1"/>
  <c r="B171" i="1"/>
  <c r="C171" i="1" s="1"/>
  <c r="R170" i="1"/>
  <c r="N170" i="1"/>
  <c r="D170" i="1"/>
  <c r="B170" i="1"/>
  <c r="C170" i="1" s="1"/>
  <c r="R169" i="1"/>
  <c r="N169" i="1"/>
  <c r="D169" i="1"/>
  <c r="C169" i="1"/>
  <c r="B169" i="1"/>
  <c r="R168" i="1"/>
  <c r="N168" i="1"/>
  <c r="D168" i="1"/>
  <c r="C168" i="1"/>
  <c r="B168" i="1"/>
  <c r="R167" i="1"/>
  <c r="N167" i="1"/>
  <c r="D167" i="1"/>
  <c r="B167" i="1"/>
  <c r="C167" i="1" s="1"/>
  <c r="R166" i="1"/>
  <c r="N166" i="1"/>
  <c r="D166" i="1"/>
  <c r="B166" i="1"/>
  <c r="C166" i="1" s="1"/>
  <c r="R165" i="1"/>
  <c r="N165" i="1"/>
  <c r="D165" i="1"/>
  <c r="C165" i="1"/>
  <c r="B165" i="1"/>
  <c r="R164" i="1"/>
  <c r="N164" i="1"/>
  <c r="D164" i="1"/>
  <c r="C164" i="1"/>
  <c r="B164" i="1"/>
  <c r="R163" i="1"/>
  <c r="N163" i="1"/>
  <c r="D163" i="1"/>
  <c r="C163" i="1"/>
  <c r="B163" i="1"/>
  <c r="R162" i="1"/>
  <c r="N162" i="1"/>
  <c r="D162" i="1"/>
  <c r="B162" i="1"/>
  <c r="C162" i="1" s="1"/>
  <c r="R161" i="1"/>
  <c r="N161" i="1"/>
  <c r="D161" i="1"/>
  <c r="B161" i="1"/>
  <c r="C161" i="1" s="1"/>
  <c r="R160" i="1"/>
  <c r="N160" i="1"/>
  <c r="D160" i="1"/>
  <c r="B160" i="1"/>
  <c r="C160" i="1" s="1"/>
  <c r="R159" i="1"/>
  <c r="N159" i="1"/>
  <c r="D159" i="1"/>
  <c r="C159" i="1"/>
  <c r="B159" i="1"/>
  <c r="R158" i="1"/>
  <c r="N158" i="1"/>
  <c r="D158" i="1"/>
  <c r="B158" i="1"/>
  <c r="C158" i="1" s="1"/>
  <c r="R157" i="1"/>
  <c r="N157" i="1"/>
  <c r="D157" i="1"/>
  <c r="C157" i="1"/>
  <c r="B157" i="1"/>
  <c r="R156" i="1"/>
  <c r="N156" i="1"/>
  <c r="D156" i="1"/>
  <c r="B156" i="1"/>
  <c r="C156" i="1" s="1"/>
  <c r="R155" i="1"/>
  <c r="N155" i="1"/>
  <c r="D155" i="1"/>
  <c r="B155" i="1"/>
  <c r="C155" i="1" s="1"/>
  <c r="R154" i="1"/>
  <c r="N154" i="1"/>
  <c r="D154" i="1"/>
  <c r="B154" i="1"/>
  <c r="C154" i="1" s="1"/>
  <c r="R153" i="1"/>
  <c r="N153" i="1"/>
  <c r="D153" i="1"/>
  <c r="C153" i="1"/>
  <c r="B153" i="1"/>
  <c r="R152" i="1"/>
  <c r="N152" i="1"/>
  <c r="D152" i="1"/>
  <c r="C152" i="1"/>
  <c r="B152" i="1"/>
  <c r="R151" i="1"/>
  <c r="N151" i="1"/>
  <c r="D151" i="1"/>
  <c r="B151" i="1"/>
  <c r="C151" i="1" s="1"/>
  <c r="R150" i="1"/>
  <c r="N150" i="1"/>
  <c r="D150" i="1"/>
  <c r="B150" i="1"/>
  <c r="C150" i="1" s="1"/>
  <c r="R149" i="1"/>
  <c r="N149" i="1"/>
  <c r="D149" i="1"/>
  <c r="B149" i="1"/>
  <c r="C149" i="1" s="1"/>
  <c r="R148" i="1"/>
  <c r="N148" i="1"/>
  <c r="D148" i="1"/>
  <c r="C148" i="1"/>
  <c r="B148" i="1"/>
  <c r="R147" i="1"/>
  <c r="N147" i="1"/>
  <c r="D147" i="1"/>
  <c r="C147" i="1"/>
  <c r="B147" i="1"/>
  <c r="R146" i="1"/>
  <c r="N146" i="1"/>
  <c r="D146" i="1"/>
  <c r="B146" i="1"/>
  <c r="C146" i="1" s="1"/>
  <c r="R145" i="1"/>
  <c r="N145" i="1"/>
  <c r="D145" i="1"/>
  <c r="B145" i="1"/>
  <c r="C145" i="1" s="1"/>
  <c r="R144" i="1"/>
  <c r="N144" i="1"/>
  <c r="D144" i="1"/>
  <c r="C144" i="1"/>
  <c r="B144" i="1"/>
  <c r="R143" i="1"/>
  <c r="N143" i="1"/>
  <c r="D143" i="1"/>
  <c r="C143" i="1"/>
  <c r="B143" i="1"/>
  <c r="R142" i="1"/>
  <c r="N142" i="1"/>
  <c r="D142" i="1"/>
  <c r="B142" i="1"/>
  <c r="C142" i="1" s="1"/>
  <c r="R141" i="1"/>
  <c r="N141" i="1"/>
  <c r="D141" i="1"/>
  <c r="C141" i="1"/>
  <c r="B141" i="1"/>
  <c r="R140" i="1"/>
  <c r="N140" i="1"/>
  <c r="D140" i="1"/>
  <c r="B140" i="1"/>
  <c r="C140" i="1" s="1"/>
  <c r="R139" i="1"/>
  <c r="N139" i="1"/>
  <c r="D139" i="1"/>
  <c r="B139" i="1"/>
  <c r="C139" i="1" s="1"/>
  <c r="R138" i="1"/>
  <c r="N138" i="1"/>
  <c r="D138" i="1"/>
  <c r="B138" i="1"/>
  <c r="C138" i="1" s="1"/>
  <c r="R137" i="1"/>
  <c r="N137" i="1"/>
  <c r="D137" i="1"/>
  <c r="C137" i="1"/>
  <c r="B137" i="1"/>
  <c r="R136" i="1"/>
  <c r="N136" i="1"/>
  <c r="D136" i="1"/>
  <c r="C136" i="1"/>
  <c r="B136" i="1"/>
  <c r="R135" i="1"/>
  <c r="N135" i="1"/>
  <c r="D135" i="1"/>
  <c r="B135" i="1"/>
  <c r="C135" i="1" s="1"/>
  <c r="R134" i="1"/>
  <c r="N134" i="1"/>
  <c r="D134" i="1"/>
  <c r="B134" i="1"/>
  <c r="C134" i="1" s="1"/>
  <c r="R133" i="1"/>
  <c r="N133" i="1"/>
  <c r="D133" i="1"/>
  <c r="B133" i="1"/>
  <c r="C133" i="1" s="1"/>
  <c r="R132" i="1"/>
  <c r="N132" i="1"/>
  <c r="D132" i="1"/>
  <c r="C132" i="1"/>
  <c r="B132" i="1"/>
  <c r="R131" i="1"/>
  <c r="N131" i="1"/>
  <c r="D131" i="1"/>
  <c r="C131" i="1"/>
  <c r="B131" i="1"/>
  <c r="R130" i="1"/>
  <c r="N130" i="1"/>
  <c r="D130" i="1"/>
  <c r="B130" i="1"/>
  <c r="C130" i="1" s="1"/>
  <c r="R129" i="1"/>
  <c r="N129" i="1"/>
  <c r="D129" i="1"/>
  <c r="B129" i="1"/>
  <c r="C129" i="1" s="1"/>
  <c r="R128" i="1"/>
  <c r="N128" i="1"/>
  <c r="D128" i="1"/>
  <c r="B128" i="1"/>
  <c r="C128" i="1" s="1"/>
  <c r="R127" i="1"/>
  <c r="N127" i="1"/>
  <c r="D127" i="1"/>
  <c r="C127" i="1"/>
  <c r="B127" i="1"/>
  <c r="R126" i="1"/>
  <c r="N126" i="1"/>
  <c r="D126" i="1"/>
  <c r="B126" i="1"/>
  <c r="C126" i="1" s="1"/>
  <c r="R125" i="1"/>
  <c r="N125" i="1"/>
  <c r="D125" i="1"/>
  <c r="C125" i="1"/>
  <c r="B125" i="1"/>
  <c r="R124" i="1"/>
  <c r="N124" i="1"/>
  <c r="D124" i="1"/>
  <c r="B124" i="1"/>
  <c r="C124" i="1" s="1"/>
  <c r="R123" i="1"/>
  <c r="N123" i="1"/>
  <c r="D123" i="1"/>
  <c r="C123" i="1"/>
  <c r="B123" i="1"/>
  <c r="R122" i="1"/>
  <c r="N122" i="1"/>
  <c r="D122" i="1"/>
  <c r="B122" i="1"/>
  <c r="C122" i="1" s="1"/>
  <c r="R121" i="1"/>
  <c r="N121" i="1"/>
  <c r="D121" i="1"/>
  <c r="C121" i="1"/>
  <c r="B121" i="1"/>
  <c r="R120" i="1"/>
  <c r="N120" i="1"/>
  <c r="D120" i="1"/>
  <c r="C120" i="1"/>
  <c r="B120" i="1"/>
  <c r="R119" i="1"/>
  <c r="N119" i="1"/>
  <c r="D119" i="1"/>
  <c r="B119" i="1"/>
  <c r="C119" i="1" s="1"/>
  <c r="R118" i="1"/>
  <c r="N118" i="1"/>
  <c r="D118" i="1"/>
  <c r="B118" i="1"/>
  <c r="C118" i="1" s="1"/>
  <c r="R117" i="1"/>
  <c r="N117" i="1"/>
  <c r="D117" i="1"/>
  <c r="B117" i="1"/>
  <c r="C117" i="1" s="1"/>
  <c r="R116" i="1"/>
  <c r="N116" i="1"/>
  <c r="D116" i="1"/>
  <c r="C116" i="1"/>
  <c r="B116" i="1"/>
  <c r="R115" i="1"/>
  <c r="N115" i="1"/>
  <c r="D115" i="1"/>
  <c r="C115" i="1"/>
  <c r="B115" i="1"/>
  <c r="R114" i="1"/>
  <c r="N114" i="1"/>
  <c r="D114" i="1"/>
  <c r="B114" i="1"/>
  <c r="C114" i="1" s="1"/>
  <c r="R113" i="1"/>
  <c r="N113" i="1"/>
  <c r="D113" i="1"/>
  <c r="B113" i="1"/>
  <c r="C113" i="1" s="1"/>
  <c r="R112" i="1"/>
  <c r="N112" i="1"/>
  <c r="D112" i="1"/>
  <c r="B112" i="1"/>
  <c r="C112" i="1" s="1"/>
  <c r="R111" i="1"/>
  <c r="N111" i="1"/>
  <c r="D111" i="1"/>
  <c r="B111" i="1"/>
  <c r="C111" i="1" s="1"/>
  <c r="R110" i="1"/>
  <c r="N110" i="1"/>
  <c r="D110" i="1"/>
  <c r="B110" i="1"/>
  <c r="C110" i="1" s="1"/>
  <c r="R109" i="1"/>
  <c r="N109" i="1"/>
  <c r="D109" i="1"/>
  <c r="B109" i="1"/>
  <c r="C109" i="1" s="1"/>
  <c r="R108" i="1"/>
  <c r="N108" i="1"/>
  <c r="D108" i="1"/>
  <c r="C108" i="1"/>
  <c r="B108" i="1"/>
  <c r="R107" i="1"/>
  <c r="N107" i="1"/>
  <c r="D107" i="1"/>
  <c r="C107" i="1"/>
  <c r="B107" i="1"/>
  <c r="R106" i="1"/>
  <c r="N106" i="1"/>
  <c r="D106" i="1"/>
  <c r="B106" i="1"/>
  <c r="C106" i="1" s="1"/>
  <c r="R105" i="1"/>
  <c r="N105" i="1"/>
  <c r="D105" i="1"/>
  <c r="B105" i="1"/>
  <c r="C105" i="1" s="1"/>
  <c r="R104" i="1"/>
  <c r="N104" i="1"/>
  <c r="D104" i="1"/>
  <c r="B104" i="1"/>
  <c r="C104" i="1" s="1"/>
  <c r="R103" i="1"/>
  <c r="N103" i="1"/>
  <c r="D103" i="1"/>
  <c r="B103" i="1"/>
  <c r="C103" i="1" s="1"/>
  <c r="R102" i="1"/>
  <c r="N102" i="1"/>
  <c r="D102" i="1"/>
  <c r="B102" i="1"/>
  <c r="C102" i="1" s="1"/>
  <c r="R101" i="1"/>
  <c r="N101" i="1"/>
  <c r="D101" i="1"/>
  <c r="B101" i="1"/>
  <c r="C101" i="1" s="1"/>
  <c r="R100" i="1"/>
  <c r="N100" i="1"/>
  <c r="D100" i="1"/>
  <c r="C100" i="1"/>
  <c r="B100" i="1"/>
  <c r="R99" i="1"/>
  <c r="N99" i="1"/>
  <c r="D99" i="1"/>
  <c r="C99" i="1"/>
  <c r="B99" i="1"/>
  <c r="R98" i="1"/>
  <c r="N98" i="1"/>
  <c r="D98" i="1"/>
  <c r="B98" i="1"/>
  <c r="C98" i="1" s="1"/>
  <c r="R97" i="1"/>
  <c r="N97" i="1"/>
  <c r="D97" i="1"/>
  <c r="B97" i="1"/>
  <c r="C97" i="1" s="1"/>
  <c r="R96" i="1"/>
  <c r="N96" i="1"/>
  <c r="D96" i="1"/>
  <c r="B96" i="1"/>
  <c r="C96" i="1" s="1"/>
  <c r="R95" i="1"/>
  <c r="N95" i="1"/>
  <c r="D95" i="1"/>
  <c r="C95" i="1"/>
  <c r="B95" i="1"/>
  <c r="R94" i="1"/>
  <c r="N94" i="1"/>
  <c r="D94" i="1"/>
  <c r="B94" i="1"/>
  <c r="C94" i="1" s="1"/>
  <c r="R93" i="1"/>
  <c r="N93" i="1"/>
  <c r="D93" i="1"/>
  <c r="B93" i="1"/>
  <c r="C93" i="1" s="1"/>
  <c r="R92" i="1"/>
  <c r="N92" i="1"/>
  <c r="D92" i="1"/>
  <c r="C92" i="1"/>
  <c r="B92" i="1"/>
  <c r="R91" i="1"/>
  <c r="N91" i="1"/>
  <c r="D91" i="1"/>
  <c r="C91" i="1"/>
  <c r="B91" i="1"/>
  <c r="R90" i="1"/>
  <c r="N90" i="1"/>
  <c r="D90" i="1"/>
  <c r="B90" i="1"/>
  <c r="C90" i="1" s="1"/>
  <c r="R89" i="1"/>
  <c r="N89" i="1"/>
  <c r="D89" i="1"/>
  <c r="B89" i="1"/>
  <c r="C89" i="1" s="1"/>
  <c r="R88" i="1"/>
  <c r="N88" i="1"/>
  <c r="D88" i="1"/>
  <c r="B88" i="1"/>
  <c r="C88" i="1" s="1"/>
  <c r="R87" i="1"/>
  <c r="N87" i="1"/>
  <c r="D87" i="1"/>
  <c r="B87" i="1"/>
  <c r="C87" i="1" s="1"/>
  <c r="R86" i="1"/>
  <c r="N86" i="1"/>
  <c r="D86" i="1"/>
  <c r="B86" i="1"/>
  <c r="C86" i="1" s="1"/>
  <c r="R85" i="1"/>
  <c r="N85" i="1"/>
  <c r="D85" i="1"/>
  <c r="B85" i="1"/>
  <c r="C85" i="1" s="1"/>
  <c r="R84" i="1"/>
  <c r="N84" i="1"/>
  <c r="D84" i="1"/>
  <c r="C84" i="1"/>
  <c r="B84" i="1"/>
  <c r="R83" i="1"/>
  <c r="N83" i="1"/>
  <c r="D83" i="1"/>
  <c r="C83" i="1"/>
  <c r="B83" i="1"/>
  <c r="R82" i="1"/>
  <c r="N82" i="1"/>
  <c r="D82" i="1"/>
  <c r="B82" i="1"/>
  <c r="C82" i="1" s="1"/>
  <c r="R81" i="1"/>
  <c r="N81" i="1"/>
  <c r="D81" i="1"/>
  <c r="B81" i="1"/>
  <c r="C81" i="1" s="1"/>
  <c r="R80" i="1"/>
  <c r="N80" i="1"/>
  <c r="D80" i="1"/>
  <c r="B80" i="1"/>
  <c r="C80" i="1" s="1"/>
  <c r="R79" i="1"/>
  <c r="N79" i="1"/>
  <c r="D79" i="1"/>
  <c r="B79" i="1"/>
  <c r="C79" i="1" s="1"/>
  <c r="R78" i="1"/>
  <c r="N78" i="1"/>
  <c r="D78" i="1"/>
  <c r="B78" i="1"/>
  <c r="C78" i="1" s="1"/>
  <c r="R77" i="1"/>
  <c r="N77" i="1"/>
  <c r="D77" i="1"/>
  <c r="B77" i="1"/>
  <c r="C77" i="1" s="1"/>
  <c r="R76" i="1"/>
  <c r="N76" i="1"/>
  <c r="D76" i="1"/>
  <c r="C76" i="1"/>
  <c r="B76" i="1"/>
  <c r="R75" i="1"/>
  <c r="N75" i="1"/>
  <c r="D75" i="1"/>
  <c r="C75" i="1"/>
  <c r="B75" i="1"/>
  <c r="R74" i="1"/>
  <c r="N74" i="1"/>
  <c r="D74" i="1"/>
  <c r="B74" i="1"/>
  <c r="C74" i="1" s="1"/>
  <c r="R73" i="1"/>
  <c r="N73" i="1"/>
  <c r="D73" i="1"/>
  <c r="B73" i="1"/>
  <c r="C73" i="1" s="1"/>
  <c r="R72" i="1"/>
  <c r="N72" i="1"/>
  <c r="D72" i="1"/>
  <c r="B72" i="1"/>
  <c r="C72" i="1" s="1"/>
  <c r="R71" i="1"/>
  <c r="N71" i="1"/>
  <c r="D71" i="1"/>
  <c r="B71" i="1"/>
  <c r="C71" i="1" s="1"/>
  <c r="R70" i="1"/>
  <c r="N70" i="1"/>
  <c r="D70" i="1"/>
  <c r="B70" i="1"/>
  <c r="C70" i="1" s="1"/>
  <c r="R69" i="1"/>
  <c r="N69" i="1"/>
  <c r="D69" i="1"/>
  <c r="B69" i="1"/>
  <c r="C69" i="1" s="1"/>
  <c r="R68" i="1"/>
  <c r="N68" i="1"/>
  <c r="D68" i="1"/>
  <c r="C68" i="1"/>
  <c r="B68" i="1"/>
  <c r="R67" i="1"/>
  <c r="N67" i="1"/>
  <c r="D67" i="1"/>
  <c r="C67" i="1"/>
  <c r="B67" i="1"/>
  <c r="R66" i="1"/>
  <c r="N66" i="1"/>
  <c r="D66" i="1"/>
  <c r="B66" i="1"/>
  <c r="C66" i="1" s="1"/>
  <c r="R65" i="1"/>
  <c r="N65" i="1"/>
  <c r="D65" i="1"/>
  <c r="B65" i="1"/>
  <c r="C65" i="1" s="1"/>
  <c r="R64" i="1"/>
  <c r="N64" i="1"/>
  <c r="D64" i="1"/>
  <c r="B64" i="1"/>
  <c r="C64" i="1" s="1"/>
  <c r="R63" i="1"/>
  <c r="N63" i="1"/>
  <c r="D63" i="1"/>
  <c r="C63" i="1"/>
  <c r="B63" i="1"/>
  <c r="R62" i="1"/>
  <c r="N62" i="1"/>
  <c r="D62" i="1"/>
  <c r="B62" i="1"/>
  <c r="C62" i="1" s="1"/>
  <c r="R61" i="1"/>
  <c r="N61" i="1"/>
  <c r="D61" i="1"/>
  <c r="B61" i="1"/>
  <c r="C61" i="1" s="1"/>
  <c r="R60" i="1"/>
  <c r="N60" i="1"/>
  <c r="D60" i="1"/>
  <c r="C60" i="1"/>
  <c r="B60" i="1"/>
  <c r="R59" i="1"/>
  <c r="N59" i="1"/>
  <c r="D59" i="1"/>
  <c r="C59" i="1"/>
  <c r="B59" i="1"/>
  <c r="R58" i="1"/>
  <c r="N58" i="1"/>
  <c r="D58" i="1"/>
  <c r="B58" i="1"/>
  <c r="C58" i="1" s="1"/>
  <c r="R57" i="1"/>
  <c r="N57" i="1"/>
  <c r="D57" i="1"/>
  <c r="B57" i="1"/>
  <c r="C57" i="1" s="1"/>
  <c r="R56" i="1"/>
  <c r="N56" i="1"/>
  <c r="D56" i="1"/>
  <c r="B56" i="1"/>
  <c r="C56" i="1" s="1"/>
  <c r="R55" i="1"/>
  <c r="N55" i="1"/>
  <c r="D55" i="1"/>
  <c r="B55" i="1"/>
  <c r="C55" i="1" s="1"/>
  <c r="R54" i="1"/>
  <c r="N54" i="1"/>
  <c r="D54" i="1"/>
  <c r="B54" i="1"/>
  <c r="C54" i="1" s="1"/>
  <c r="R53" i="1"/>
  <c r="N53" i="1"/>
  <c r="D53" i="1"/>
  <c r="B53" i="1"/>
  <c r="C53" i="1" s="1"/>
  <c r="R52" i="1"/>
  <c r="N52" i="1"/>
  <c r="D52" i="1"/>
  <c r="C52" i="1"/>
  <c r="B52" i="1"/>
  <c r="R51" i="1"/>
  <c r="N51" i="1"/>
  <c r="D51" i="1"/>
  <c r="C51" i="1"/>
  <c r="B51" i="1"/>
  <c r="R50" i="1"/>
  <c r="N50" i="1"/>
  <c r="D50" i="1"/>
  <c r="B50" i="1"/>
  <c r="C50" i="1" s="1"/>
  <c r="R49" i="1"/>
  <c r="N49" i="1"/>
  <c r="D49" i="1"/>
  <c r="B49" i="1"/>
  <c r="C49" i="1" s="1"/>
  <c r="R48" i="1"/>
  <c r="N48" i="1"/>
  <c r="D48" i="1"/>
  <c r="B48" i="1"/>
  <c r="C48" i="1" s="1"/>
  <c r="R47" i="1"/>
  <c r="N47" i="1"/>
  <c r="D47" i="1"/>
  <c r="B47" i="1"/>
  <c r="C47" i="1" s="1"/>
  <c r="R46" i="1"/>
  <c r="N46" i="1"/>
  <c r="D46" i="1"/>
  <c r="B46" i="1"/>
  <c r="C46" i="1" s="1"/>
  <c r="R45" i="1"/>
  <c r="N45" i="1"/>
  <c r="D45" i="1"/>
  <c r="B45" i="1"/>
  <c r="C45" i="1" s="1"/>
  <c r="R44" i="1"/>
  <c r="N44" i="1"/>
  <c r="D44" i="1"/>
  <c r="C44" i="1"/>
  <c r="B44" i="1"/>
  <c r="R43" i="1"/>
  <c r="N43" i="1"/>
  <c r="D43" i="1"/>
  <c r="B43" i="1"/>
  <c r="C43" i="1" s="1"/>
  <c r="R42" i="1"/>
  <c r="N42" i="1"/>
  <c r="D42" i="1"/>
  <c r="B42" i="1"/>
  <c r="C42" i="1" s="1"/>
  <c r="R41" i="1"/>
  <c r="N41" i="1"/>
  <c r="D41" i="1"/>
  <c r="B41" i="1"/>
  <c r="C41" i="1" s="1"/>
  <c r="R40" i="1"/>
  <c r="N40" i="1"/>
  <c r="D40" i="1"/>
  <c r="B40" i="1"/>
  <c r="C40" i="1" s="1"/>
  <c r="R39" i="1"/>
  <c r="N39" i="1"/>
  <c r="D39" i="1"/>
  <c r="B39" i="1"/>
  <c r="C39" i="1" s="1"/>
  <c r="R38" i="1"/>
  <c r="N38" i="1"/>
  <c r="D38" i="1"/>
  <c r="B38" i="1"/>
  <c r="C38" i="1" s="1"/>
  <c r="R37" i="1"/>
  <c r="N37" i="1"/>
  <c r="D37" i="1"/>
  <c r="B37" i="1"/>
  <c r="C37" i="1" s="1"/>
  <c r="R36" i="1"/>
  <c r="N36" i="1"/>
  <c r="D36" i="1"/>
  <c r="C36" i="1"/>
  <c r="B36" i="1"/>
  <c r="R35" i="1"/>
  <c r="N35" i="1"/>
  <c r="D35" i="1"/>
  <c r="B35" i="1"/>
  <c r="C35" i="1" s="1"/>
  <c r="R34" i="1"/>
  <c r="N34" i="1"/>
  <c r="D34" i="1"/>
  <c r="B34" i="1"/>
  <c r="C34" i="1" s="1"/>
  <c r="R33" i="1"/>
  <c r="N33" i="1"/>
  <c r="D33" i="1"/>
  <c r="B33" i="1"/>
  <c r="C33" i="1" s="1"/>
  <c r="R32" i="1"/>
  <c r="N32" i="1"/>
  <c r="D32" i="1"/>
  <c r="C32" i="1"/>
  <c r="B32" i="1"/>
  <c r="R31" i="1"/>
  <c r="N31" i="1"/>
  <c r="D31" i="1"/>
  <c r="B31" i="1"/>
  <c r="C31" i="1" s="1"/>
  <c r="R30" i="1"/>
  <c r="N30" i="1"/>
  <c r="D30" i="1"/>
  <c r="B30" i="1"/>
  <c r="C30" i="1" s="1"/>
  <c r="R29" i="1"/>
  <c r="N29" i="1"/>
  <c r="D29" i="1"/>
  <c r="B29" i="1"/>
  <c r="C29" i="1" s="1"/>
  <c r="R28" i="1"/>
  <c r="N28" i="1"/>
  <c r="D28" i="1"/>
  <c r="C28" i="1"/>
  <c r="B28" i="1"/>
  <c r="R27" i="1"/>
  <c r="N27" i="1"/>
  <c r="D27" i="1"/>
  <c r="B27" i="1"/>
  <c r="C27" i="1" s="1"/>
  <c r="R26" i="1"/>
  <c r="N26" i="1"/>
  <c r="D26" i="1"/>
  <c r="B26" i="1"/>
  <c r="C26" i="1" s="1"/>
  <c r="R25" i="1"/>
  <c r="N25" i="1"/>
  <c r="D25" i="1"/>
  <c r="B25" i="1"/>
  <c r="C25" i="1" s="1"/>
  <c r="R24" i="1"/>
  <c r="N24" i="1"/>
  <c r="D24" i="1"/>
  <c r="B24" i="1"/>
  <c r="C24" i="1" s="1"/>
  <c r="R23" i="1"/>
  <c r="N23" i="1"/>
  <c r="D23" i="1"/>
  <c r="C23" i="1"/>
  <c r="B23" i="1"/>
  <c r="R22" i="1"/>
  <c r="N22" i="1"/>
  <c r="D22" i="1"/>
  <c r="B22" i="1"/>
  <c r="C22" i="1" s="1"/>
  <c r="R21" i="1"/>
  <c r="N21" i="1"/>
  <c r="D21" i="1"/>
  <c r="B21" i="1"/>
  <c r="C21" i="1" s="1"/>
  <c r="R20" i="1"/>
  <c r="N20" i="1"/>
  <c r="D20" i="1"/>
  <c r="C20" i="1"/>
  <c r="B20" i="1"/>
  <c r="R19" i="1"/>
  <c r="N19" i="1"/>
  <c r="D19" i="1"/>
  <c r="B19" i="1"/>
  <c r="C19" i="1" s="1"/>
  <c r="R18" i="1"/>
  <c r="N18" i="1"/>
  <c r="D18" i="1"/>
  <c r="B18" i="1"/>
  <c r="C18" i="1" s="1"/>
  <c r="R17" i="1"/>
  <c r="N17" i="1"/>
  <c r="D17" i="1"/>
  <c r="B17" i="1"/>
  <c r="C17" i="1" s="1"/>
  <c r="R16" i="1"/>
  <c r="N16" i="1"/>
  <c r="D16" i="1"/>
  <c r="B16" i="1"/>
  <c r="C16" i="1" s="1"/>
  <c r="R15" i="1"/>
  <c r="N15" i="1"/>
  <c r="D15" i="1"/>
  <c r="B15" i="1"/>
  <c r="C15" i="1" s="1"/>
  <c r="R14" i="1"/>
  <c r="N14" i="1"/>
  <c r="D14" i="1"/>
  <c r="B14" i="1"/>
  <c r="C14" i="1" s="1"/>
  <c r="R13" i="1"/>
  <c r="N13" i="1"/>
  <c r="D13" i="1"/>
  <c r="B13" i="1"/>
  <c r="C13" i="1" s="1"/>
  <c r="R12" i="1"/>
  <c r="N12" i="1"/>
  <c r="D12" i="1"/>
  <c r="C12" i="1"/>
  <c r="B12" i="1"/>
  <c r="R11" i="1"/>
  <c r="N11" i="1"/>
  <c r="D11" i="1"/>
  <c r="B11" i="1"/>
  <c r="C11" i="1" s="1"/>
  <c r="R10" i="1"/>
  <c r="N10" i="1"/>
  <c r="D10" i="1"/>
  <c r="B10" i="1"/>
  <c r="C10" i="1" s="1"/>
  <c r="R9" i="1"/>
  <c r="N9" i="1"/>
  <c r="D9" i="1"/>
  <c r="B9" i="1"/>
  <c r="C9" i="1" s="1"/>
  <c r="R8" i="1"/>
  <c r="N8" i="1"/>
  <c r="D8" i="1"/>
  <c r="B8" i="1"/>
  <c r="C8" i="1" s="1"/>
  <c r="R7" i="1"/>
  <c r="N7" i="1"/>
  <c r="D7" i="1"/>
  <c r="B7" i="1"/>
  <c r="C7" i="1" s="1"/>
  <c r="R6" i="1"/>
  <c r="N6" i="1"/>
  <c r="D6" i="1"/>
  <c r="B6" i="1"/>
  <c r="C6" i="1" s="1"/>
  <c r="R5" i="1"/>
  <c r="N5" i="1"/>
  <c r="D5" i="1"/>
  <c r="B5" i="1"/>
  <c r="C5" i="1" s="1"/>
  <c r="R4" i="1"/>
  <c r="N4" i="1"/>
  <c r="D4" i="1"/>
  <c r="C4" i="1"/>
  <c r="B4" i="1"/>
  <c r="R3" i="1"/>
  <c r="N3" i="1"/>
  <c r="D3" i="1"/>
  <c r="B3" i="1"/>
  <c r="C3" i="1" s="1"/>
  <c r="R2" i="1"/>
  <c r="N2" i="1"/>
  <c r="D2" i="1"/>
  <c r="B2" i="1"/>
  <c r="C2" i="1" s="1"/>
  <c r="C11" i="5"/>
  <c r="C10" i="5"/>
  <c r="C12" i="5"/>
  <c r="C14" i="5"/>
  <c r="C13" i="5" l="1"/>
</calcChain>
</file>

<file path=xl/sharedStrings.xml><?xml version="1.0" encoding="utf-8"?>
<sst xmlns="http://schemas.openxmlformats.org/spreadsheetml/2006/main" count="15147" uniqueCount="5008">
  <si>
    <t>`</t>
  </si>
  <si>
    <t>Colors</t>
  </si>
  <si>
    <t>Background Color</t>
  </si>
  <si>
    <t>#66FFCC</t>
  </si>
  <si>
    <t>Overlay Color</t>
  </si>
  <si>
    <t>#000000</t>
  </si>
  <si>
    <t>Patient_ID</t>
  </si>
  <si>
    <t>Cards and Charts Background</t>
  </si>
  <si>
    <t>#111111</t>
  </si>
  <si>
    <t>Month</t>
  </si>
  <si>
    <t>Short_Month</t>
  </si>
  <si>
    <t>Month_Num</t>
  </si>
  <si>
    <t>Admission_Date</t>
  </si>
  <si>
    <t>Patient_Name</t>
  </si>
  <si>
    <t>Facility_Name</t>
  </si>
  <si>
    <t>Gender</t>
  </si>
  <si>
    <t>Age</t>
  </si>
  <si>
    <t>Clinical_Status</t>
  </si>
  <si>
    <t>CareStage</t>
  </si>
  <si>
    <t>Medical_Department</t>
  </si>
  <si>
    <t>MD_Short</t>
  </si>
  <si>
    <t>Patient_Bill</t>
  </si>
  <si>
    <t>Operational_Cost</t>
  </si>
  <si>
    <t>Staff_Overtime_Hrs</t>
  </si>
  <si>
    <t>Risk_Tier</t>
  </si>
  <si>
    <t>Age_Group_Class</t>
  </si>
  <si>
    <t>NHM-2024-102404</t>
  </si>
  <si>
    <t>Albert King</t>
  </si>
  <si>
    <t>NovaHealth Chicago Medical Center</t>
  </si>
  <si>
    <t>Male</t>
  </si>
  <si>
    <t>Discharged</t>
  </si>
  <si>
    <t>Neurology</t>
  </si>
  <si>
    <t>NHM-2026-102164</t>
  </si>
  <si>
    <t>Cynthia Clark</t>
  </si>
  <si>
    <t>NovaHealth Lakeside Medical Center</t>
  </si>
  <si>
    <t>Female</t>
  </si>
  <si>
    <t>Cardiology</t>
  </si>
  <si>
    <t>NHM-2023-100823</t>
  </si>
  <si>
    <t>Michelle Graham</t>
  </si>
  <si>
    <t>General Medicine</t>
  </si>
  <si>
    <t>NHM-2023-102060</t>
  </si>
  <si>
    <t>Amy Hill</t>
  </si>
  <si>
    <t>NovaHealth Lakeshore Regional Center</t>
  </si>
  <si>
    <t>NHM-2025-101899</t>
  </si>
  <si>
    <t>Evelyn Woods</t>
  </si>
  <si>
    <t>Readmitted</t>
  </si>
  <si>
    <t>Orthopedics</t>
  </si>
  <si>
    <t>NHM-2026-101384</t>
  </si>
  <si>
    <t>Michelle Martinez</t>
  </si>
  <si>
    <t>NovaHealth Midtown Medical Center</t>
  </si>
  <si>
    <t>Intensive Care Unit</t>
  </si>
  <si>
    <t>NHM-2023-102093</t>
  </si>
  <si>
    <t>Austin Webb</t>
  </si>
  <si>
    <t>NovaHealth Greenfield Clinic</t>
  </si>
  <si>
    <t>In-Patient Care</t>
  </si>
  <si>
    <t>NHM-2023-100762</t>
  </si>
  <si>
    <t>Jacob Lee</t>
  </si>
  <si>
    <t>Nova Health Chicago Medical Center</t>
  </si>
  <si>
    <t>NHM-2026-102456</t>
  </si>
  <si>
    <t>Theresa Ross</t>
  </si>
  <si>
    <t>NHM-2025-100770</t>
  </si>
  <si>
    <t>James Castillo</t>
  </si>
  <si>
    <t>NHM-2025-101456</t>
  </si>
  <si>
    <t>Sarah Diaz</t>
  </si>
  <si>
    <t>Nova Health Lakeshore Regional Center</t>
  </si>
  <si>
    <t>NHM-2023-102375</t>
  </si>
  <si>
    <t>Debra Brooks</t>
  </si>
  <si>
    <t>NHM-2026-102243</t>
  </si>
  <si>
    <t>Jason Boyd</t>
  </si>
  <si>
    <t>NovaHealth Midtown Medical Ctr</t>
  </si>
  <si>
    <t>NHM-2025-100715</t>
  </si>
  <si>
    <t>Jason Rogers</t>
  </si>
  <si>
    <t>Surgery</t>
  </si>
  <si>
    <t>NHM-2026-100839</t>
  </si>
  <si>
    <t>Madison Wright</t>
  </si>
  <si>
    <t>NovaHealth Oakridge Community Hospital</t>
  </si>
  <si>
    <t>NHM-2025-100894</t>
  </si>
  <si>
    <t>Raymond Cook</t>
  </si>
  <si>
    <t>NovaHealth Chicago Med. Center</t>
  </si>
  <si>
    <t>Pediatrics</t>
  </si>
  <si>
    <t>NHM-2026-100813</t>
  </si>
  <si>
    <t>Austin Porter</t>
  </si>
  <si>
    <t>NovaHealth Northside Hospital</t>
  </si>
  <si>
    <t>Emergency Room</t>
  </si>
  <si>
    <t>NHM-2024-101002</t>
  </si>
  <si>
    <t>Charles Bryant</t>
  </si>
  <si>
    <t>NHM-2025-100558</t>
  </si>
  <si>
    <t>Michelle Hamilton</t>
  </si>
  <si>
    <t>NHM-2025-101085</t>
  </si>
  <si>
    <t>Tyler Butler</t>
  </si>
  <si>
    <t>NHM-2023-102118</t>
  </si>
  <si>
    <t>Michelle Reyes</t>
  </si>
  <si>
    <t>NHM-2023-100384</t>
  </si>
  <si>
    <t>Paul Ward</t>
  </si>
  <si>
    <t>NHM-2026-102153</t>
  </si>
  <si>
    <t>Abigail Price</t>
  </si>
  <si>
    <t>NHM-2024-102241</t>
  </si>
  <si>
    <t>Willie Foster</t>
  </si>
  <si>
    <t>NovaHealth Metro General Hospital</t>
  </si>
  <si>
    <t>NHM-2023-101102</t>
  </si>
  <si>
    <t>Frances Ellis</t>
  </si>
  <si>
    <t>novahealth northside hospital</t>
  </si>
  <si>
    <t>NHM-2026-101020</t>
  </si>
  <si>
    <t>Kyle Jordan</t>
  </si>
  <si>
    <t>NHM-2023-102094</t>
  </si>
  <si>
    <t>Randy Lewis</t>
  </si>
  <si>
    <t>NHM-2025-102031</t>
  </si>
  <si>
    <t>Bryan Hall</t>
  </si>
  <si>
    <t>Nova Health Greenfield Clinic</t>
  </si>
  <si>
    <t>NHM-2026-100905</t>
  </si>
  <si>
    <t>Jacob Cruz</t>
  </si>
  <si>
    <t>NOVAHEALTH NORTHSIDE HOSPITAL</t>
  </si>
  <si>
    <t>NHM-2024-100602</t>
  </si>
  <si>
    <t>Virginia Martinez</t>
  </si>
  <si>
    <t>NHM-2024-101275</t>
  </si>
  <si>
    <t>Eric Hamilton</t>
  </si>
  <si>
    <t>Nova Health Midtown Medical Center</t>
  </si>
  <si>
    <t>NHM-2023-101210</t>
  </si>
  <si>
    <t>Olivia Warren</t>
  </si>
  <si>
    <t>NHM-2026-101482</t>
  </si>
  <si>
    <t>Michelle Morgan</t>
  </si>
  <si>
    <t>NHM-2023-102137</t>
  </si>
  <si>
    <t>Joshua Flores</t>
  </si>
  <si>
    <t>NHM-2023-100075</t>
  </si>
  <si>
    <t>Alexander Moore</t>
  </si>
  <si>
    <t>NOVAHEALTH LAKESIDE MEDICAL CENTER</t>
  </si>
  <si>
    <t>NHM-2023-101253</t>
  </si>
  <si>
    <t>Donald Sanchez</t>
  </si>
  <si>
    <t>NHM-2026-102347</t>
  </si>
  <si>
    <t>Timothy Gonzalez</t>
  </si>
  <si>
    <t>NHM-2026-102224</t>
  </si>
  <si>
    <t>Henry Stewart</t>
  </si>
  <si>
    <t>NovaHealth River Valley Hospital</t>
  </si>
  <si>
    <t>NHM-2026-101231</t>
  </si>
  <si>
    <t>Steven Tucker</t>
  </si>
  <si>
    <t>NHM-2026-102430</t>
  </si>
  <si>
    <t>Teresa Morales</t>
  </si>
  <si>
    <t>novahealth chicago medical center</t>
  </si>
  <si>
    <t>NHM-2024-100661</t>
  </si>
  <si>
    <t>Thomas Flores</t>
  </si>
  <si>
    <t>NOVAHEALTH GREENFIELD CLINIC</t>
  </si>
  <si>
    <t>NHM-2025-102466</t>
  </si>
  <si>
    <t>Paul Morris</t>
  </si>
  <si>
    <t>NHM-2025-100986</t>
  </si>
  <si>
    <t>Arthur Washington</t>
  </si>
  <si>
    <t>NHM-2023-102449</t>
  </si>
  <si>
    <t>Elijah Butler</t>
  </si>
  <si>
    <t>NHM-2024-101622</t>
  </si>
  <si>
    <t>Patrick Butler</t>
  </si>
  <si>
    <t>novahealth midtown medical center</t>
  </si>
  <si>
    <t>NHM-2026-100612</t>
  </si>
  <si>
    <t>Eugene Ramos</t>
  </si>
  <si>
    <t>NHM-2023-101074</t>
  </si>
  <si>
    <t>Megan Davis</t>
  </si>
  <si>
    <t>NHM-2023-100559</t>
  </si>
  <si>
    <t>Deborah Reyes</t>
  </si>
  <si>
    <t>NHM-2023-102372</t>
  </si>
  <si>
    <t>Wayne Howard</t>
  </si>
  <si>
    <t>NHM-2026-101924</t>
  </si>
  <si>
    <t>Amy Thompson</t>
  </si>
  <si>
    <t>NHM-2023-102187</t>
  </si>
  <si>
    <t>Alice Gibson</t>
  </si>
  <si>
    <t>NHM-2023-100983</t>
  </si>
  <si>
    <t>Diane Carter</t>
  </si>
  <si>
    <t>NovaHealth Chicago Medical Ctr</t>
  </si>
  <si>
    <t>NHM-2026-101949</t>
  </si>
  <si>
    <t>Adam Cooper</t>
  </si>
  <si>
    <t>novahealth river valley hospital</t>
  </si>
  <si>
    <t>NHM-2026-102214</t>
  </si>
  <si>
    <t>Sonia Gonzales</t>
  </si>
  <si>
    <t>Nova Health Lakeside Medical Center</t>
  </si>
  <si>
    <t>NHM-2025-101228</t>
  </si>
  <si>
    <t>Eric Foster</t>
  </si>
  <si>
    <t>NHM-2026-100945</t>
  </si>
  <si>
    <t>David Moore</t>
  </si>
  <si>
    <t>NHM-2024-101417</t>
  </si>
  <si>
    <t>Carolyn Gomez</t>
  </si>
  <si>
    <t>NHM-2024-101095</t>
  </si>
  <si>
    <t>Gary Watson</t>
  </si>
  <si>
    <t>NHM-2024-100067</t>
  </si>
  <si>
    <t>Jesse Wright</t>
  </si>
  <si>
    <t>NHM-2025-100414</t>
  </si>
  <si>
    <t>Alan Parker</t>
  </si>
  <si>
    <t>NHM-2026-101545</t>
  </si>
  <si>
    <t>Nancy Ruiz</t>
  </si>
  <si>
    <t>NHM-2026-102308</t>
  </si>
  <si>
    <t>Fiona Flores</t>
  </si>
  <si>
    <t>Nova Health River Valley Hospital</t>
  </si>
  <si>
    <t>NHM-2026-101652</t>
  </si>
  <si>
    <t>Amber Wilson</t>
  </si>
  <si>
    <t>NOVAHEALTH CHICAGO MEDICAL CENTER</t>
  </si>
  <si>
    <t>NHM-2024-100125</t>
  </si>
  <si>
    <t>Jonathan Turner</t>
  </si>
  <si>
    <t>NHM-2024-101077</t>
  </si>
  <si>
    <t>Daniel Martin</t>
  </si>
  <si>
    <t>NHM-2023-100440</t>
  </si>
  <si>
    <t>Rachel Harrison</t>
  </si>
  <si>
    <t>NHM-2023-100957</t>
  </si>
  <si>
    <t>Donald Evans</t>
  </si>
  <si>
    <t>novahealth oakridge community hospital</t>
  </si>
  <si>
    <t>NHM-2026-101820</t>
  </si>
  <si>
    <t>Elijah Graham</t>
  </si>
  <si>
    <t>NHM-2025-101537</t>
  </si>
  <si>
    <t>Nicole Stevens</t>
  </si>
  <si>
    <t>NovaHealth Lakeshore Regional Ctr</t>
  </si>
  <si>
    <t>NHM-2026-101942</t>
  </si>
  <si>
    <t>Shirley Wood</t>
  </si>
  <si>
    <t>NHM-2024-102269</t>
  </si>
  <si>
    <t>Jennifer Ellis</t>
  </si>
  <si>
    <t>NHM-2026-101995</t>
  </si>
  <si>
    <t>Benjamin Bennett</t>
  </si>
  <si>
    <t>NHM-2026-101370</t>
  </si>
  <si>
    <t>Ruth Long</t>
  </si>
  <si>
    <t>NHM-2023-102325</t>
  </si>
  <si>
    <t>Shirley Cruz</t>
  </si>
  <si>
    <t>NHM-2025-100555</t>
  </si>
  <si>
    <t>Scott Walker</t>
  </si>
  <si>
    <t>NHM-2023-100533</t>
  </si>
  <si>
    <t>Edward Bell</t>
  </si>
  <si>
    <t>NHM-2024-101900</t>
  </si>
  <si>
    <t>Raymond Hunter</t>
  </si>
  <si>
    <t>NHM-2023-101908</t>
  </si>
  <si>
    <t>Terry Davis</t>
  </si>
  <si>
    <t>novahealth lakeside medical center</t>
  </si>
  <si>
    <t>NHM-2025-100591</t>
  </si>
  <si>
    <t>Joe Carter</t>
  </si>
  <si>
    <t>NHM-2023-101401</t>
  </si>
  <si>
    <t>Nathan Morris</t>
  </si>
  <si>
    <t>NHM-2026-101422</t>
  </si>
  <si>
    <t>Samuel Roberts</t>
  </si>
  <si>
    <t>NHM-2024-101705</t>
  </si>
  <si>
    <t>Christine Howard</t>
  </si>
  <si>
    <t>NHM-2023-100710</t>
  </si>
  <si>
    <t>Laura Woods</t>
  </si>
  <si>
    <t>NHM-2023-100352</t>
  </si>
  <si>
    <t>Barbara Morris</t>
  </si>
  <si>
    <t>NOVAHEALTH METRO GENERAL HOSPITAL</t>
  </si>
  <si>
    <t>NHM-2025-102076</t>
  </si>
  <si>
    <t>Megan Fisher</t>
  </si>
  <si>
    <t>NOVAHEALTH MIDTOWN MEDICAL CENTER</t>
  </si>
  <si>
    <t>NHM-2024-101746</t>
  </si>
  <si>
    <t>Keith Collins</t>
  </si>
  <si>
    <t>NHM-2026-101406</t>
  </si>
  <si>
    <t>Susan Long</t>
  </si>
  <si>
    <t>NHM-2026-100221</t>
  </si>
  <si>
    <t>Frank Walker</t>
  </si>
  <si>
    <t>NHM-2023-102455</t>
  </si>
  <si>
    <t>Cynthia Martinez</t>
  </si>
  <si>
    <t>NHM-2024-101258</t>
  </si>
  <si>
    <t>Abigail Marshall</t>
  </si>
  <si>
    <t>NHM-2026-101475</t>
  </si>
  <si>
    <t>Amy Reed</t>
  </si>
  <si>
    <t>NHM-2023-102388</t>
  </si>
  <si>
    <t>Cynthia Wallace</t>
  </si>
  <si>
    <t>NHM-2023-100192</t>
  </si>
  <si>
    <t>Frances Ruiz</t>
  </si>
  <si>
    <t>NHM-2024-100495</t>
  </si>
  <si>
    <t>Ann Gomez</t>
  </si>
  <si>
    <t>NHM-2026-100017</t>
  </si>
  <si>
    <t>Joe Freeman</t>
  </si>
  <si>
    <t>NHM-2025-102343</t>
  </si>
  <si>
    <t>Elizabeth Reed</t>
  </si>
  <si>
    <t>NHM-2026-100012</t>
  </si>
  <si>
    <t>Jessica Castillo</t>
  </si>
  <si>
    <t>NHM-2023-100789</t>
  </si>
  <si>
    <t>Linda Cooper</t>
  </si>
  <si>
    <t>NHM-2024-102113</t>
  </si>
  <si>
    <t>Daniel Ford</t>
  </si>
  <si>
    <t>NHM-2026-101321</t>
  </si>
  <si>
    <t>Deborah Thompson</t>
  </si>
  <si>
    <t>NHM-2025-100635</t>
  </si>
  <si>
    <t>Kyle Hughes</t>
  </si>
  <si>
    <t>NHM-2023-100382</t>
  </si>
  <si>
    <t>Brandon Martinez</t>
  </si>
  <si>
    <t>NHM-2026-101549</t>
  </si>
  <si>
    <t>Rachel Marshall</t>
  </si>
  <si>
    <t>NHM-2025-102422</t>
  </si>
  <si>
    <t>Diane Reynolds</t>
  </si>
  <si>
    <t>NHM-2023-101918</t>
  </si>
  <si>
    <t>Joe Myers</t>
  </si>
  <si>
    <t>NHM-2024-102496</t>
  </si>
  <si>
    <t>James Jenkins</t>
  </si>
  <si>
    <t>NHM-2024-102468</t>
  </si>
  <si>
    <t>Ralph Miller</t>
  </si>
  <si>
    <t>NHM-2025-100756</t>
  </si>
  <si>
    <t>Bruce Diaz</t>
  </si>
  <si>
    <t>NHM-2024-100952</t>
  </si>
  <si>
    <t>Grace Alexander</t>
  </si>
  <si>
    <t>NHM-2023-101702</t>
  </si>
  <si>
    <t>Juan Patel</t>
  </si>
  <si>
    <t>NHM-2023-101430</t>
  </si>
  <si>
    <t>Edward Coleman</t>
  </si>
  <si>
    <t>NHM-2023-100623</t>
  </si>
  <si>
    <t>Janice Crawford</t>
  </si>
  <si>
    <t>NHM-2024-101884</t>
  </si>
  <si>
    <t>Beverly Stevens</t>
  </si>
  <si>
    <t>NHM-2024-100230</t>
  </si>
  <si>
    <t>Catherine Russell</t>
  </si>
  <si>
    <t>NHM-2025-100947</t>
  </si>
  <si>
    <t>Martha Hughes</t>
  </si>
  <si>
    <t>NHM-2024-101222</t>
  </si>
  <si>
    <t>Noah Murray</t>
  </si>
  <si>
    <t>NHM-2024-100850</t>
  </si>
  <si>
    <t>Justin Morris</t>
  </si>
  <si>
    <t>NHM-2023-101928</t>
  </si>
  <si>
    <t>Sandra Ortiz</t>
  </si>
  <si>
    <t>NHM-2023-101259</t>
  </si>
  <si>
    <t>Juan Lewis</t>
  </si>
  <si>
    <t>NHM-2026-100081</t>
  </si>
  <si>
    <t>Beverly Sanchez</t>
  </si>
  <si>
    <t>NHM-2026-100481</t>
  </si>
  <si>
    <t>Teresa Mitchell</t>
  </si>
  <si>
    <t>NHM-2026-100527</t>
  </si>
  <si>
    <t>Nathan Wood</t>
  </si>
  <si>
    <t>NHM-2025-100338</t>
  </si>
  <si>
    <t>Thomas Powell</t>
  </si>
  <si>
    <t>NHM-2023-100022</t>
  </si>
  <si>
    <t>Carol Davis</t>
  </si>
  <si>
    <t>NHM-2023-101288</t>
  </si>
  <si>
    <t>Valerie Kelly</t>
  </si>
  <si>
    <t>NHM-2026-100155</t>
  </si>
  <si>
    <t>David Murphy</t>
  </si>
  <si>
    <t>NHM-2026-100086</t>
  </si>
  <si>
    <t>Lauren Perry</t>
  </si>
  <si>
    <t>NHM-2025-101554</t>
  </si>
  <si>
    <t>Richard James</t>
  </si>
  <si>
    <t>NHM-2024-101981</t>
  </si>
  <si>
    <t>Joan Ford</t>
  </si>
  <si>
    <t>NHM-2025-100173</t>
  </si>
  <si>
    <t>Patrick Gibson</t>
  </si>
  <si>
    <t>NHM-2026-100323</t>
  </si>
  <si>
    <t>Alexander Hughes</t>
  </si>
  <si>
    <t>NHM-2026-100195</t>
  </si>
  <si>
    <t>Kathryn Walker</t>
  </si>
  <si>
    <t>NHM-2023-100381</t>
  </si>
  <si>
    <t>Julia Martin</t>
  </si>
  <si>
    <t>NHM-2023-101439</t>
  </si>
  <si>
    <t>David Cox</t>
  </si>
  <si>
    <t>NHM-2025-102236</t>
  </si>
  <si>
    <t>Juan Griffin</t>
  </si>
  <si>
    <t>NHM-2026-101438</t>
  </si>
  <si>
    <t>Ann Jenkins</t>
  </si>
  <si>
    <t>NHM-2026-100873</t>
  </si>
  <si>
    <t>Amanda Hicks</t>
  </si>
  <si>
    <t>NHM-2026-101447</t>
  </si>
  <si>
    <t>Lawrence Diaz</t>
  </si>
  <si>
    <t>NHM-2024-101689</t>
  </si>
  <si>
    <t>Jesse Simmons</t>
  </si>
  <si>
    <t>NHM-2024-101703</t>
  </si>
  <si>
    <t>Emily Sullivan</t>
  </si>
  <si>
    <t>NHM-2025-100190</t>
  </si>
  <si>
    <t>Debra Roberts</t>
  </si>
  <si>
    <t>NHM-2026-101675</t>
  </si>
  <si>
    <t>Michael Sullivan</t>
  </si>
  <si>
    <t>NHM-2026-102398</t>
  </si>
  <si>
    <t>Virginia Reed</t>
  </si>
  <si>
    <t>NHM-2026-101534</t>
  </si>
  <si>
    <t>Ronald Jenkins</t>
  </si>
  <si>
    <t>NHM-2026-101678</t>
  </si>
  <si>
    <t>Gregory Gonzalez</t>
  </si>
  <si>
    <t>NHM-2023-102177</t>
  </si>
  <si>
    <t>Ralph Kim</t>
  </si>
  <si>
    <t>NHM-2023-100974</t>
  </si>
  <si>
    <t>Harold Adams</t>
  </si>
  <si>
    <t>NHM-2026-100807</t>
  </si>
  <si>
    <t>Michael Ramos</t>
  </si>
  <si>
    <t>NHM-2025-101300</t>
  </si>
  <si>
    <t>Anthony Crawford</t>
  </si>
  <si>
    <t>NHM-2026-101961</t>
  </si>
  <si>
    <t>Gregory Butler</t>
  </si>
  <si>
    <t>NHM-2026-100432</t>
  </si>
  <si>
    <t>Nathan Fisher</t>
  </si>
  <si>
    <t>NHM-2023-101559</t>
  </si>
  <si>
    <t>Jeffrey Lopez</t>
  </si>
  <si>
    <t>NHM-2025-101337</t>
  </si>
  <si>
    <t>Gerald Stevens</t>
  </si>
  <si>
    <t>NHM-2026-100783</t>
  </si>
  <si>
    <t>Vincent Sullivan</t>
  </si>
  <si>
    <t>NHM-2023-100771</t>
  </si>
  <si>
    <t>Judy Reyes</t>
  </si>
  <si>
    <t>NHM-2025-102204</t>
  </si>
  <si>
    <t>Jose Warren</t>
  </si>
  <si>
    <t>NHM-2024-100348</t>
  </si>
  <si>
    <t>Eric Boyd</t>
  </si>
  <si>
    <t>NHM-2023-100853</t>
  </si>
  <si>
    <t>Joshua Rodriguez</t>
  </si>
  <si>
    <t>NHM-2024-102054</t>
  </si>
  <si>
    <t>Stephanie Reyes</t>
  </si>
  <si>
    <t>NHM-2026-100129</t>
  </si>
  <si>
    <t>Elizabeth Simmons</t>
  </si>
  <si>
    <t>NHM-2024-101810</t>
  </si>
  <si>
    <t>Gary Butler</t>
  </si>
  <si>
    <t>NHM-2026-101025</t>
  </si>
  <si>
    <t>Evelyn Patterson</t>
  </si>
  <si>
    <t>NHM-2026-101715</t>
  </si>
  <si>
    <t>Joshua Perry</t>
  </si>
  <si>
    <t>NHM-2024-102062</t>
  </si>
  <si>
    <t>Jennifer Porter</t>
  </si>
  <si>
    <t>NHM-2023-101011</t>
  </si>
  <si>
    <t>Carol Reyes</t>
  </si>
  <si>
    <t>NHM-2025-101066</t>
  </si>
  <si>
    <t>Andrew Russell</t>
  </si>
  <si>
    <t>NHM-2025-100634</t>
  </si>
  <si>
    <t>Kelly Campbell</t>
  </si>
  <si>
    <t>NHM-2023-101451</t>
  </si>
  <si>
    <t>Joe Rodriguez</t>
  </si>
  <si>
    <t>NHM-2023-100331</t>
  </si>
  <si>
    <t>Megan Morales</t>
  </si>
  <si>
    <t>NHM-2023-101129</t>
  </si>
  <si>
    <t>Maria Lopez</t>
  </si>
  <si>
    <t>NHM-2023-101434</t>
  </si>
  <si>
    <t>Rachel Taylor</t>
  </si>
  <si>
    <t>NHM-2024-101413</t>
  </si>
  <si>
    <t>Sean Robinson</t>
  </si>
  <si>
    <t>NHM-2023-100429</t>
  </si>
  <si>
    <t>Jason Stevens</t>
  </si>
  <si>
    <t>NHM-2023-102183</t>
  </si>
  <si>
    <t>Kathleen Reyes</t>
  </si>
  <si>
    <t>NHM-2025-101619</t>
  </si>
  <si>
    <t>Benjamin Graham</t>
  </si>
  <si>
    <t>NHM-2023-101974</t>
  </si>
  <si>
    <t>Gregory Foster</t>
  </si>
  <si>
    <t>NHM-2026-100198</t>
  </si>
  <si>
    <t>Tyler Richardson</t>
  </si>
  <si>
    <t>NHM-2024-100907</t>
  </si>
  <si>
    <t>Nathan Stevens</t>
  </si>
  <si>
    <t>NHM-2026-102316</t>
  </si>
  <si>
    <t>Donna Hamilton</t>
  </si>
  <si>
    <t>NHM-2023-102159</t>
  </si>
  <si>
    <t>Jeremy Diaz</t>
  </si>
  <si>
    <t>NHM-2026-100547</t>
  </si>
  <si>
    <t>Jeffrey Mcdonald</t>
  </si>
  <si>
    <t>NHM-2025-101957</t>
  </si>
  <si>
    <t>Kelly Watson</t>
  </si>
  <si>
    <t>NHM-2023-100846</t>
  </si>
  <si>
    <t>Logan Tucker</t>
  </si>
  <si>
    <t>NHM-2023-101808</t>
  </si>
  <si>
    <t>Nancy Ford</t>
  </si>
  <si>
    <t>NHM-2025-100193</t>
  </si>
  <si>
    <t>Emma Jackson</t>
  </si>
  <si>
    <t>NHM-2023-100114</t>
  </si>
  <si>
    <t>Lauren Porter</t>
  </si>
  <si>
    <t>NHM-2025-101037</t>
  </si>
  <si>
    <t>Ronald Baker</t>
  </si>
  <si>
    <t>NHM-2024-101036</t>
  </si>
  <si>
    <t>Melissa Miller</t>
  </si>
  <si>
    <t>NHM-2025-101727</t>
  </si>
  <si>
    <t>NHM-2025-101226</t>
  </si>
  <si>
    <t>Karen Stewart</t>
  </si>
  <si>
    <t>NHM-2026-100616</t>
  </si>
  <si>
    <t>Terry Stevens</t>
  </si>
  <si>
    <t>NHM-2026-102242</t>
  </si>
  <si>
    <t>Joseph Sanchez</t>
  </si>
  <si>
    <t>NHM-2023-100256</t>
  </si>
  <si>
    <t>Scott Reynolds</t>
  </si>
  <si>
    <t>NHM-2026-102336</t>
  </si>
  <si>
    <t>Jonathan Hall</t>
  </si>
  <si>
    <t>NHM-2024-100186</t>
  </si>
  <si>
    <t>Vincent Ramos</t>
  </si>
  <si>
    <t>NHM-2023-100357</t>
  </si>
  <si>
    <t>Sharon Stewart</t>
  </si>
  <si>
    <t>NHM-2025-100497</t>
  </si>
  <si>
    <t>Jonathan Ortiz</t>
  </si>
  <si>
    <t>NHM-2026-100642</t>
  </si>
  <si>
    <t>Shirley Hughes</t>
  </si>
  <si>
    <t>NHM-2023-101254</t>
  </si>
  <si>
    <t>Willie Walker</t>
  </si>
  <si>
    <t>NHM-2025-102451</t>
  </si>
  <si>
    <t>Judith Morales</t>
  </si>
  <si>
    <t>NHM-2025-102429</t>
  </si>
  <si>
    <t>Peter Henderson</t>
  </si>
  <si>
    <t>NHM-2026-101431</t>
  </si>
  <si>
    <t>NHM-2024-101994</t>
  </si>
  <si>
    <t>Aaron Thompson</t>
  </si>
  <si>
    <t>NHM-2026-102196</t>
  </si>
  <si>
    <t>Paul Wilson</t>
  </si>
  <si>
    <t>NHM-2025-101869</t>
  </si>
  <si>
    <t>Mary Wood</t>
  </si>
  <si>
    <t>NHM-2024-101821</t>
  </si>
  <si>
    <t>Grace Hernandez</t>
  </si>
  <si>
    <t>NHM-2024-102003</t>
  </si>
  <si>
    <t>Joe Cruz</t>
  </si>
  <si>
    <t>NHM-2023-101440</t>
  </si>
  <si>
    <t>Megan Gomez</t>
  </si>
  <si>
    <t>NHM-2023-101916</t>
  </si>
  <si>
    <t>Steven Warren</t>
  </si>
  <si>
    <t>NHM-2023-102245</t>
  </si>
  <si>
    <t>Jack Clark</t>
  </si>
  <si>
    <t>NHM-2026-102012</t>
  </si>
  <si>
    <t>Frances Henderson</t>
  </si>
  <si>
    <t>NHM-2026-102228</t>
  </si>
  <si>
    <t>Karen Russell</t>
  </si>
  <si>
    <t>NHM-2023-100747</t>
  </si>
  <si>
    <t>Eugene Simmons</t>
  </si>
  <si>
    <t>NHM-2023-102490</t>
  </si>
  <si>
    <t>Elizabeth Cox</t>
  </si>
  <si>
    <t>NHM-2024-101792</t>
  </si>
  <si>
    <t>Rachel Boyd</t>
  </si>
  <si>
    <t>NHM-2024-101330</t>
  </si>
  <si>
    <t>Jason Sullivan</t>
  </si>
  <si>
    <t>NHM-2026-100930</t>
  </si>
  <si>
    <t>Kathryn Cooper</t>
  </si>
  <si>
    <t>NHM-2026-101647</t>
  </si>
  <si>
    <t>Cheryl James</t>
  </si>
  <si>
    <t>NHM-2023-100927</t>
  </si>
  <si>
    <t>Tyler Wood</t>
  </si>
  <si>
    <t>NHM-2026-101852</t>
  </si>
  <si>
    <t>Jessica Reyes</t>
  </si>
  <si>
    <t>NHM-2024-102366</t>
  </si>
  <si>
    <t>Amanda Henry</t>
  </si>
  <si>
    <t>NHM-2023-100896</t>
  </si>
  <si>
    <t>Terry Owens</t>
  </si>
  <si>
    <t>NHM-2024-100458</t>
  </si>
  <si>
    <t>Randy Turner</t>
  </si>
  <si>
    <t>NHM-2025-102473</t>
  </si>
  <si>
    <t>Gerald Reed</t>
  </si>
  <si>
    <t>NHM-2024-100021</t>
  </si>
  <si>
    <t>Harold Kelly</t>
  </si>
  <si>
    <t>NHM-2024-101624</t>
  </si>
  <si>
    <t>Randy Cole</t>
  </si>
  <si>
    <t>NHM-2025-102379</t>
  </si>
  <si>
    <t>Janet Kim</t>
  </si>
  <si>
    <t>NHM-2023-101674</t>
  </si>
  <si>
    <t>Douglas Crawford</t>
  </si>
  <si>
    <t>NHM-2024-100819</t>
  </si>
  <si>
    <t>Larry Sullivan</t>
  </si>
  <si>
    <t>NHM-2025-101811</t>
  </si>
  <si>
    <t>Marilyn Howard</t>
  </si>
  <si>
    <t>NHM-2023-100808</t>
  </si>
  <si>
    <t>Anthony Jenkins</t>
  </si>
  <si>
    <t>NHM-2023-100184</t>
  </si>
  <si>
    <t>Charles Diaz</t>
  </si>
  <si>
    <t>NHM-2026-101677</t>
  </si>
  <si>
    <t>Ann Murray</t>
  </si>
  <si>
    <t>NHM-2026-102201</t>
  </si>
  <si>
    <t>Rachel Davis</t>
  </si>
  <si>
    <t>NHM-2024-101531</t>
  </si>
  <si>
    <t>Amber Graham</t>
  </si>
  <si>
    <t>NHM-2025-100681</t>
  </si>
  <si>
    <t>Victoria Bell</t>
  </si>
  <si>
    <t>NHM-2023-100655</t>
  </si>
  <si>
    <t>Doris Martin</t>
  </si>
  <si>
    <t>NHM-2026-100549</t>
  </si>
  <si>
    <t>Teresa Ramos</t>
  </si>
  <si>
    <t>NHM-2024-101738</t>
  </si>
  <si>
    <t>Joseph Butler</t>
  </si>
  <si>
    <t>NHM-2025-102021</t>
  </si>
  <si>
    <t>Juan Jimenez</t>
  </si>
  <si>
    <t>NHM-2025-101404</t>
  </si>
  <si>
    <t>Jeremy Jackson</t>
  </si>
  <si>
    <t>NHM-2024-101202</t>
  </si>
  <si>
    <t>Marilyn Marshall</t>
  </si>
  <si>
    <t>NHM-2023-101403</t>
  </si>
  <si>
    <t>Jeffrey Gonzales</t>
  </si>
  <si>
    <t>NHM-2026-101463</t>
  </si>
  <si>
    <t>Vincent Garcia</t>
  </si>
  <si>
    <t>NHM-2023-100961</t>
  </si>
  <si>
    <t>Christina Taylor</t>
  </si>
  <si>
    <t>NHM-2025-102086</t>
  </si>
  <si>
    <t>Joseph Bryant</t>
  </si>
  <si>
    <t>NHM-2023-101759</t>
  </si>
  <si>
    <t>Lisa Graham</t>
  </si>
  <si>
    <t>NHM-2025-100335</t>
  </si>
  <si>
    <t>Anthony Martin</t>
  </si>
  <si>
    <t>NHM-2026-102154</t>
  </si>
  <si>
    <t>Matthew Ramos</t>
  </si>
  <si>
    <t>NHM-2026-100779</t>
  </si>
  <si>
    <t>Joan Cox</t>
  </si>
  <si>
    <t>NHM-2026-102350</t>
  </si>
  <si>
    <t>Deborah King</t>
  </si>
  <si>
    <t>NHM-2023-100448</t>
  </si>
  <si>
    <t>Scott Castillo</t>
  </si>
  <si>
    <t>NHM-2026-101057</t>
  </si>
  <si>
    <t>Roy Cruz</t>
  </si>
  <si>
    <t>NHM-2024-101335</t>
  </si>
  <si>
    <t>Alexander Lee</t>
  </si>
  <si>
    <t>NHM-2024-101780</t>
  </si>
  <si>
    <t>Brandon Hayes</t>
  </si>
  <si>
    <t>NHM-2026-102065</t>
  </si>
  <si>
    <t>Pamela Nelson</t>
  </si>
  <si>
    <t>NHM-2026-102101</t>
  </si>
  <si>
    <t>Jack Mcdonald</t>
  </si>
  <si>
    <t>NHM-2023-102237</t>
  </si>
  <si>
    <t>Douglas Morris</t>
  </si>
  <si>
    <t>NHM-2023-100992</t>
  </si>
  <si>
    <t>Debra Campbell</t>
  </si>
  <si>
    <t>NHM-2024-101940</t>
  </si>
  <si>
    <t>Barbara Hill</t>
  </si>
  <si>
    <t>NHM-2025-100463</t>
  </si>
  <si>
    <t>Sandra Morales</t>
  </si>
  <si>
    <t>NHM-2024-102304</t>
  </si>
  <si>
    <t>Julie Sullivan</t>
  </si>
  <si>
    <t>NHM-2026-102457</t>
  </si>
  <si>
    <t>Angela Kelly</t>
  </si>
  <si>
    <t>NHM-2025-102015</t>
  </si>
  <si>
    <t>Joseph Chavez</t>
  </si>
  <si>
    <t>NHM-2026-102488</t>
  </si>
  <si>
    <t>Rachel Rivera</t>
  </si>
  <si>
    <t>NHM-2024-101185</t>
  </si>
  <si>
    <t>Justin Hall</t>
  </si>
  <si>
    <t>NHM-2023-101763</t>
  </si>
  <si>
    <t>Tyler Castillo</t>
  </si>
  <si>
    <t>Nova Health Northside Hospital</t>
  </si>
  <si>
    <t>NHM-2026-101840</t>
  </si>
  <si>
    <t>David Young</t>
  </si>
  <si>
    <t>NHM-2026-101219</t>
  </si>
  <si>
    <t>Bruce Ruiz</t>
  </si>
  <si>
    <t>NHM-2024-100102</t>
  </si>
  <si>
    <t>Jeffrey Wallace</t>
  </si>
  <si>
    <t>NHM-2024-101522</t>
  </si>
  <si>
    <t>Gabriel Gonzalez</t>
  </si>
  <si>
    <t>NHM-2025-100171</t>
  </si>
  <si>
    <t>Andrew King</t>
  </si>
  <si>
    <t>NHM-2023-100643</t>
  </si>
  <si>
    <t>Christine Rogers</t>
  </si>
  <si>
    <t>NHM-2026-102037</t>
  </si>
  <si>
    <t>David Gibson</t>
  </si>
  <si>
    <t>NHM-2023-102126</t>
  </si>
  <si>
    <t>Roger Gonzales</t>
  </si>
  <si>
    <t>NHM-2025-101931</t>
  </si>
  <si>
    <t>Adam Wood</t>
  </si>
  <si>
    <t>NHM-2025-101992</t>
  </si>
  <si>
    <t>Evelyn Jordan</t>
  </si>
  <si>
    <t>NOVAHEALTH LAKESHORE REGIONAL CENTER</t>
  </si>
  <si>
    <t>NHM-2026-100281</t>
  </si>
  <si>
    <t>Amber Garcia</t>
  </si>
  <si>
    <t>NHM-2026-100062</t>
  </si>
  <si>
    <t>Roger Boyd</t>
  </si>
  <si>
    <t>NHM-2026-100326</t>
  </si>
  <si>
    <t>Alice Jordan</t>
  </si>
  <si>
    <t>NHM-2024-100395</t>
  </si>
  <si>
    <t>Richard Webb</t>
  </si>
  <si>
    <t>NHM-2026-101540</t>
  </si>
  <si>
    <t>Justin Thomas</t>
  </si>
  <si>
    <t>NHM-2024-100665</t>
  </si>
  <si>
    <t>Debra Diaz</t>
  </si>
  <si>
    <t>NHM-2026-100139</t>
  </si>
  <si>
    <t>Jesse Washington</t>
  </si>
  <si>
    <t>NOVAHEALTH OAKRIDGE COMMUNITY HOSPITAL</t>
  </si>
  <si>
    <t>NHM-2024-101394</t>
  </si>
  <si>
    <t>Christine Hall</t>
  </si>
  <si>
    <t>NHM-2025-100586</t>
  </si>
  <si>
    <t>Debra Hall</t>
  </si>
  <si>
    <t>NHM-2026-102147</t>
  </si>
  <si>
    <t>Jennifer Tucker</t>
  </si>
  <si>
    <t>NHM-2023-100743</t>
  </si>
  <si>
    <t>Margaret Baker</t>
  </si>
  <si>
    <t>NHM-2025-101726</t>
  </si>
  <si>
    <t>Gloria Barnes</t>
  </si>
  <si>
    <t>NHM-2024-101670</t>
  </si>
  <si>
    <t>Robert Flores</t>
  </si>
  <si>
    <t>NHM-2025-102394</t>
  </si>
  <si>
    <t>Angela Moore</t>
  </si>
  <si>
    <t>NHM-2023-100685</t>
  </si>
  <si>
    <t>James Morales</t>
  </si>
  <si>
    <t>NHM-2024-102051</t>
  </si>
  <si>
    <t>NHM-2023-100699</t>
  </si>
  <si>
    <t>Samuel Castillo</t>
  </si>
  <si>
    <t>NHM-2024-102374</t>
  </si>
  <si>
    <t>Roy Gonzales</t>
  </si>
  <si>
    <t>NHM-2023-102193</t>
  </si>
  <si>
    <t>Timothy Patel</t>
  </si>
  <si>
    <t>NHM-2024-100883</t>
  </si>
  <si>
    <t>Frank Mason</t>
  </si>
  <si>
    <t>NHM-2023-101510</t>
  </si>
  <si>
    <t>Joe Tucker</t>
  </si>
  <si>
    <t>NHM-2025-101626</t>
  </si>
  <si>
    <t>Debra Johnson</t>
  </si>
  <si>
    <t>NHM-2024-102378</t>
  </si>
  <si>
    <t>Timothy Morris</t>
  </si>
  <si>
    <t>NHM-2025-101704</t>
  </si>
  <si>
    <t>Margaret Washington</t>
  </si>
  <si>
    <t>NHM-2025-101688</t>
  </si>
  <si>
    <t>Kyle Gomez</t>
  </si>
  <si>
    <t>novahealth lakeshore regional center</t>
  </si>
  <si>
    <t>NHM-2025-102053</t>
  </si>
  <si>
    <t>Brian Roberts</t>
  </si>
  <si>
    <t>NHM-2024-101628</t>
  </si>
  <si>
    <t>William Adams</t>
  </si>
  <si>
    <t>NHM-2024-102013</t>
  </si>
  <si>
    <t>Joshua Gibson</t>
  </si>
  <si>
    <t>NHM-2024-100386</t>
  </si>
  <si>
    <t>Dorothy Fisher</t>
  </si>
  <si>
    <t>NovaHealth Lakeside Medical Ctr</t>
  </si>
  <si>
    <t>NHM-2026-100282</t>
  </si>
  <si>
    <t>Teresa Alvarez</t>
  </si>
  <si>
    <t>NHM-2026-101734</t>
  </si>
  <si>
    <t>Kelly Crawford</t>
  </si>
  <si>
    <t>NHM-2026-100311</t>
  </si>
  <si>
    <t>Stephanie Davis</t>
  </si>
  <si>
    <t>NHM-2025-101132</t>
  </si>
  <si>
    <t>Jacqueline Hill</t>
  </si>
  <si>
    <t>NHM-2023-102184</t>
  </si>
  <si>
    <t>Carolyn Flores</t>
  </si>
  <si>
    <t>NHM-2026-102240</t>
  </si>
  <si>
    <t>Evelyn Anderson</t>
  </si>
  <si>
    <t>NHM-2024-101691</t>
  </si>
  <si>
    <t>Justin Davis</t>
  </si>
  <si>
    <t>NHM-2026-100928</t>
  </si>
  <si>
    <t>Jennifer Hill</t>
  </si>
  <si>
    <t>NHM-2024-101079</t>
  </si>
  <si>
    <t>Jerry Johnson</t>
  </si>
  <si>
    <t>NHM-2023-100984</t>
  </si>
  <si>
    <t>Alice Butler</t>
  </si>
  <si>
    <t>NHM-2025-100960</t>
  </si>
  <si>
    <t>Joan Hamilton</t>
  </si>
  <si>
    <t>NHM-2024-100398</t>
  </si>
  <si>
    <t>Beverly Hughes</t>
  </si>
  <si>
    <t>NOVAHEALTH RIVER VALLEY HOSPITAL</t>
  </si>
  <si>
    <t>NHM-2024-100343</t>
  </si>
  <si>
    <t>Fiona King</t>
  </si>
  <si>
    <t>NHM-2025-101982</t>
  </si>
  <si>
    <t>Susan Campbell</t>
  </si>
  <si>
    <t>NHM-2024-102209</t>
  </si>
  <si>
    <t>Marilyn Graham</t>
  </si>
  <si>
    <t>NHM-2024-102367</t>
  </si>
  <si>
    <t>Ann Phillips</t>
  </si>
  <si>
    <t>NHM-2023-101711</t>
  </si>
  <si>
    <t>Betty Price</t>
  </si>
  <si>
    <t>NHM-2026-101243</t>
  </si>
  <si>
    <t>Gerald Patterson</t>
  </si>
  <si>
    <t>NHM-2026-100057</t>
  </si>
  <si>
    <t>Richard Bell</t>
  </si>
  <si>
    <t>NHM-2024-101317</t>
  </si>
  <si>
    <t>Marilyn Sullivan</t>
  </si>
  <si>
    <t>NHM-2025-100328</t>
  </si>
  <si>
    <t>Patrick Lopez</t>
  </si>
  <si>
    <t>NHM-2025-100573</t>
  </si>
  <si>
    <t>Samantha Murray</t>
  </si>
  <si>
    <t>NHM-2023-100922</t>
  </si>
  <si>
    <t>Bryan Morgan</t>
  </si>
  <si>
    <t>NHM-2023-102386</t>
  </si>
  <si>
    <t>Maria Martinez</t>
  </si>
  <si>
    <t>NHM-2026-101331</t>
  </si>
  <si>
    <t>Charles Hughes</t>
  </si>
  <si>
    <t>NHM-2026-101410</t>
  </si>
  <si>
    <t>Joseph Campbell</t>
  </si>
  <si>
    <t>NHM-2024-101919</t>
  </si>
  <si>
    <t>Denise Alexander</t>
  </si>
  <si>
    <t>NHM-2024-100691</t>
  </si>
  <si>
    <t>Nicholas Cruz</t>
  </si>
  <si>
    <t>NHM-2026-102307</t>
  </si>
  <si>
    <t>Laura Gomez</t>
  </si>
  <si>
    <t>NHM-2026-102047</t>
  </si>
  <si>
    <t>Jasmine Mcdonald</t>
  </si>
  <si>
    <t>NHM-2026-100149</t>
  </si>
  <si>
    <t>Lisa Adams</t>
  </si>
  <si>
    <t>NHM-2023-100043</t>
  </si>
  <si>
    <t>Aaron Johnson</t>
  </si>
  <si>
    <t>NHM-2024-100611</t>
  </si>
  <si>
    <t>Christopher Phillips</t>
  </si>
  <si>
    <t>NHM-2023-100029</t>
  </si>
  <si>
    <t>Kyle Evans</t>
  </si>
  <si>
    <t>NHM-2026-101386</t>
  </si>
  <si>
    <t>Roy Bell</t>
  </si>
  <si>
    <t>NHM-2024-100521</t>
  </si>
  <si>
    <t>Ryan Bryant</t>
  </si>
  <si>
    <t>NHM-2025-100418</t>
  </si>
  <si>
    <t>Diane Cole</t>
  </si>
  <si>
    <t>NHM-2025-100854</t>
  </si>
  <si>
    <t>Anna Marshall</t>
  </si>
  <si>
    <t>NHM-2025-100625</t>
  </si>
  <si>
    <t>Nicole Watson</t>
  </si>
  <si>
    <t>NHM-2024-101441</t>
  </si>
  <si>
    <t>Joseph Wood</t>
  </si>
  <si>
    <t>NHM-2025-101956</t>
  </si>
  <si>
    <t>Amanda Green</t>
  </si>
  <si>
    <t>NHM-2024-102155</t>
  </si>
  <si>
    <t>Alan Cole</t>
  </si>
  <si>
    <t>NHM-2024-100137</t>
  </si>
  <si>
    <t>Evelyn Garcia</t>
  </si>
  <si>
    <t>NHM-2026-100379</t>
  </si>
  <si>
    <t>Rachel Butler</t>
  </si>
  <si>
    <t>NHM-2023-100071</t>
  </si>
  <si>
    <t>Albert Foster</t>
  </si>
  <si>
    <t>NHM-2024-101452</t>
  </si>
  <si>
    <t>Sarah King</t>
  </si>
  <si>
    <t>NHM-2024-101285</t>
  </si>
  <si>
    <t>Elizabeth Gonzales</t>
  </si>
  <si>
    <t>NHM-2026-102267</t>
  </si>
  <si>
    <t>Jeremy Parker</t>
  </si>
  <si>
    <t>NHM-2026-101673</t>
  </si>
  <si>
    <t>Jerry Adams</t>
  </si>
  <si>
    <t>NHM-2026-101645</t>
  </si>
  <si>
    <t>Adam Johnson</t>
  </si>
  <si>
    <t>NHM-2023-101469</t>
  </si>
  <si>
    <t>Laura Bailey</t>
  </si>
  <si>
    <t>NHM-2024-101846</t>
  </si>
  <si>
    <t>Judith Nelson</t>
  </si>
  <si>
    <t>NHM-2025-102262</t>
  </si>
  <si>
    <t>Anthony Cook</t>
  </si>
  <si>
    <t>NHM-2023-102231</t>
  </si>
  <si>
    <t>Pamela Murray</t>
  </si>
  <si>
    <t>NHM-2024-102462</t>
  </si>
  <si>
    <t>Juan Jenkins</t>
  </si>
  <si>
    <t>NHM-2024-102282</t>
  </si>
  <si>
    <t>Jonathan Ramos</t>
  </si>
  <si>
    <t>NHM-2023-100728</t>
  </si>
  <si>
    <t>Jeffrey Howard</t>
  </si>
  <si>
    <t>NHM-2024-100554</t>
  </si>
  <si>
    <t>Nicole Long</t>
  </si>
  <si>
    <t>NHM-2026-100294</t>
  </si>
  <si>
    <t>Terry Edwards</t>
  </si>
  <si>
    <t>NHM-2023-101509</t>
  </si>
  <si>
    <t>NHM-2024-101864</t>
  </si>
  <si>
    <t>NHM-2025-101267</t>
  </si>
  <si>
    <t>Ronald Reyes</t>
  </si>
  <si>
    <t>NHM-2023-102329</t>
  </si>
  <si>
    <t>Edward Patel</t>
  </si>
  <si>
    <t>NHM-2026-102148</t>
  </si>
  <si>
    <t>Randy Diaz</t>
  </si>
  <si>
    <t>NHM-2023-101304</t>
  </si>
  <si>
    <t>Zachary Lee</t>
  </si>
  <si>
    <t>NHM-2025-102023</t>
  </si>
  <si>
    <t>Sean Garcia</t>
  </si>
  <si>
    <t>NHM-2026-100891</t>
  </si>
  <si>
    <t>Ruth White</t>
  </si>
  <si>
    <t>NHM-2026-102050</t>
  </si>
  <si>
    <t>Jennifer Coleman</t>
  </si>
  <si>
    <t>NHM-2024-100741</t>
  </si>
  <si>
    <t>Katherine Davis</t>
  </si>
  <si>
    <t>NHM-2024-100976</t>
  </si>
  <si>
    <t>Keith Sanchez</t>
  </si>
  <si>
    <t>NHM-2025-100499</t>
  </si>
  <si>
    <t>Kevin Rivera</t>
  </si>
  <si>
    <t>NHM-2026-101794</t>
  </si>
  <si>
    <t>Gabriel Ramos</t>
  </si>
  <si>
    <t>NHM-2025-102128</t>
  </si>
  <si>
    <t>Maria Reed</t>
  </si>
  <si>
    <t>NHM-2026-101641</t>
  </si>
  <si>
    <t>Margaret Anderson</t>
  </si>
  <si>
    <t>NHM-2023-100981</t>
  </si>
  <si>
    <t>Gabriel Russell</t>
  </si>
  <si>
    <t>NHM-2026-101613</t>
  </si>
  <si>
    <t>Aaron Morales</t>
  </si>
  <si>
    <t>NHM-2025-101387</t>
  </si>
  <si>
    <t>Rebecca Peterson</t>
  </si>
  <si>
    <t>NHM-2024-100144</t>
  </si>
  <si>
    <t>Michael Patterson</t>
  </si>
  <si>
    <t>NHM-2023-100204</t>
  </si>
  <si>
    <t>Ethan Foster</t>
  </si>
  <si>
    <t>NHM-2025-101188</t>
  </si>
  <si>
    <t>Daniel Russell</t>
  </si>
  <si>
    <t>NHM-2023-101781</t>
  </si>
  <si>
    <t>Anna Crawford</t>
  </si>
  <si>
    <t>NHM-2023-102133</t>
  </si>
  <si>
    <t>Carol Gonzalez</t>
  </si>
  <si>
    <t>NHM-2026-101100</t>
  </si>
  <si>
    <t>Joseph Parker</t>
  </si>
  <si>
    <t>NHM-2025-101166</t>
  </si>
  <si>
    <t>Doris Russell</t>
  </si>
  <si>
    <t>NHM-2026-101143</t>
  </si>
  <si>
    <t>Willie Patterson</t>
  </si>
  <si>
    <t>NHM-2025-101651</t>
  </si>
  <si>
    <t>John Butler</t>
  </si>
  <si>
    <t>NHM-2023-101601</t>
  </si>
  <si>
    <t>Paul Ford</t>
  </si>
  <si>
    <t>NHM-2025-101595</t>
  </si>
  <si>
    <t>Thomas Richardson</t>
  </si>
  <si>
    <t>NHM-2024-101941</t>
  </si>
  <si>
    <t>Rachel Webb</t>
  </si>
  <si>
    <t>NHM-2025-100963</t>
  </si>
  <si>
    <t>Ashley Fisher</t>
  </si>
  <si>
    <t>NHM-2025-102326</t>
  </si>
  <si>
    <t>Bruce Richardson</t>
  </si>
  <si>
    <t>NHM-2025-101634</t>
  </si>
  <si>
    <t>Steven Morales</t>
  </si>
  <si>
    <t>NHM-2023-100174</t>
  </si>
  <si>
    <t>Danielle Nguyen</t>
  </si>
  <si>
    <t>NHM-2023-100442</t>
  </si>
  <si>
    <t>Adam Ford</t>
  </si>
  <si>
    <t>NHM-2026-102424</t>
  </si>
  <si>
    <t>Diane Myers</t>
  </si>
  <si>
    <t>NHM-2026-101365</t>
  </si>
  <si>
    <t>Olivia White</t>
  </si>
  <si>
    <t>NHM-2023-102139</t>
  </si>
  <si>
    <t>Tyler Jordan</t>
  </si>
  <si>
    <t>NHM-2025-100374</t>
  </si>
  <si>
    <t>Gabriel Torres</t>
  </si>
  <si>
    <t>NHM-2026-100703</t>
  </si>
  <si>
    <t>Carolyn Long</t>
  </si>
  <si>
    <t>NHM-2024-102281</t>
  </si>
  <si>
    <t>Andrew Nguyen</t>
  </si>
  <si>
    <t>NHM-2026-102392</t>
  </si>
  <si>
    <t>Heather Flores</t>
  </si>
  <si>
    <t>NHM-2024-101893</t>
  </si>
  <si>
    <t>Nicholas Simmons</t>
  </si>
  <si>
    <t>NHM-2024-101849</t>
  </si>
  <si>
    <t>Jean Griffin</t>
  </si>
  <si>
    <t>NHM-2024-102400</t>
  </si>
  <si>
    <t>Douglas Gutierrez</t>
  </si>
  <si>
    <t>NHM-2023-101198</t>
  </si>
  <si>
    <t>Mark Jimenez</t>
  </si>
  <si>
    <t>NHM-2023-101139</t>
  </si>
  <si>
    <t>Joan Adams</t>
  </si>
  <si>
    <t>NHM-2023-100020</t>
  </si>
  <si>
    <t>Elijah Gomez</t>
  </si>
  <si>
    <t>NHM-2023-100956</t>
  </si>
  <si>
    <t>Fiona Ellis</t>
  </si>
  <si>
    <t>NHM-2023-100999</t>
  </si>
  <si>
    <t>Kenneth Roberts</t>
  </si>
  <si>
    <t>NHM-2025-101962</t>
  </si>
  <si>
    <t>Cynthia Ruiz</t>
  </si>
  <si>
    <t>NHM-2026-101087</t>
  </si>
  <si>
    <t>Michael Gomez</t>
  </si>
  <si>
    <t>NHM-2026-101068</t>
  </si>
  <si>
    <t>Eugene Porter</t>
  </si>
  <si>
    <t>NHM-2025-102000</t>
  </si>
  <si>
    <t>Amy Alexander</t>
  </si>
  <si>
    <t>NHM-2026-101966</t>
  </si>
  <si>
    <t>Samantha Morales</t>
  </si>
  <si>
    <t>NHM-2025-101194</t>
  </si>
  <si>
    <t>Jacqueline Williams</t>
  </si>
  <si>
    <t>NHM-2026-100683</t>
  </si>
  <si>
    <t>Ryan Diaz</t>
  </si>
  <si>
    <t>NHM-2026-100773</t>
  </si>
  <si>
    <t>Larry West</t>
  </si>
  <si>
    <t>NHM-2023-101805</t>
  </si>
  <si>
    <t>Jasmine Hicks</t>
  </si>
  <si>
    <t>NHM-2026-101627</t>
  </si>
  <si>
    <t>Samantha Sanchez</t>
  </si>
  <si>
    <t>NHM-2025-101636</t>
  </si>
  <si>
    <t>Gloria Patterson</t>
  </si>
  <si>
    <t>NHM-2024-101684</t>
  </si>
  <si>
    <t>Nicholas Kim</t>
  </si>
  <si>
    <t>NHM-2026-100751</t>
  </si>
  <si>
    <t>Brenda Barnes</t>
  </si>
  <si>
    <t>NHM-2026-102069</t>
  </si>
  <si>
    <t>Wayne Jenkins</t>
  </si>
  <si>
    <t>NHM-2023-100478</t>
  </si>
  <si>
    <t>Amanda Johnson</t>
  </si>
  <si>
    <t>NHM-2025-100727</t>
  </si>
  <si>
    <t>Patrick Allen</t>
  </si>
  <si>
    <t>NHM-2025-102272</t>
  </si>
  <si>
    <t>Alan Ward</t>
  </si>
  <si>
    <t>NHM-2023-100140</t>
  </si>
  <si>
    <t>Linda Hunter</t>
  </si>
  <si>
    <t>NHM-2024-100118</t>
  </si>
  <si>
    <t>Eugene Woods</t>
  </si>
  <si>
    <t>NHM-2026-100706</t>
  </si>
  <si>
    <t>Nicole Brooks</t>
  </si>
  <si>
    <t>NHM-2023-102481</t>
  </si>
  <si>
    <t>Mark Moore</t>
  </si>
  <si>
    <t>NHM-2026-101735</t>
  </si>
  <si>
    <t>Alexander Smith</t>
  </si>
  <si>
    <t>NHM-2026-100267</t>
  </si>
  <si>
    <t>Judy Rodriguez</t>
  </si>
  <si>
    <t>NHM-2023-101432</t>
  </si>
  <si>
    <t>Martha Phillips</t>
  </si>
  <si>
    <t>NHM-2023-100289</t>
  </si>
  <si>
    <t>Katherine Bennett</t>
  </si>
  <si>
    <t>NHM-2026-101987</t>
  </si>
  <si>
    <t>Jerry Clark</t>
  </si>
  <si>
    <t>NHM-2024-100272</t>
  </si>
  <si>
    <t>Austin Harris</t>
  </si>
  <si>
    <t>NHM-2024-100083</t>
  </si>
  <si>
    <t>Jose Perry</t>
  </si>
  <si>
    <t>NHM-2025-101659</t>
  </si>
  <si>
    <t>Christina Rodriguez</t>
  </si>
  <si>
    <t>NHM-2023-102354</t>
  </si>
  <si>
    <t>Justin White</t>
  </si>
  <si>
    <t>NHM-2024-100589</t>
  </si>
  <si>
    <t>Harold Sullivan</t>
  </si>
  <si>
    <t>NHM-2025-102212</t>
  </si>
  <si>
    <t>Debra Boyd</t>
  </si>
  <si>
    <t>NHM-2023-100248</t>
  </si>
  <si>
    <t>Andrea Gomez</t>
  </si>
  <si>
    <t>NHM-2026-101241</t>
  </si>
  <si>
    <t>Joan Brown</t>
  </si>
  <si>
    <t>NHM-2025-100721</t>
  </si>
  <si>
    <t>Roger Reyes</t>
  </si>
  <si>
    <t>NHM-2023-100925</t>
  </si>
  <si>
    <t>Victoria Morales</t>
  </si>
  <si>
    <t>NHM-2025-101569</t>
  </si>
  <si>
    <t>Stephen Baker</t>
  </si>
  <si>
    <t>NHM-2024-100265</t>
  </si>
  <si>
    <t>Ashley Kim</t>
  </si>
  <si>
    <t>NHM-2024-100733</t>
  </si>
  <si>
    <t>Arthur Hayes</t>
  </si>
  <si>
    <t>NHM-2025-101136</t>
  </si>
  <si>
    <t>Anna Watson</t>
  </si>
  <si>
    <t>NHM-2024-101938</t>
  </si>
  <si>
    <t>NHM-2024-100829</t>
  </si>
  <si>
    <t>Emma Kelly</t>
  </si>
  <si>
    <t>NHM-2026-102041</t>
  </si>
  <si>
    <t>Samantha Young</t>
  </si>
  <si>
    <t>NHM-2024-100888</t>
  </si>
  <si>
    <t>Carl Smith</t>
  </si>
  <si>
    <t>NHM-2025-100403</t>
  </si>
  <si>
    <t>Sean Wilson</t>
  </si>
  <si>
    <t>NHM-2026-100552</t>
  </si>
  <si>
    <t>Andrew Jenkins</t>
  </si>
  <si>
    <t>NHM-2026-100207</t>
  </si>
  <si>
    <t>Steven Hicks</t>
  </si>
  <si>
    <t>NHM-2023-101853</t>
  </si>
  <si>
    <t>Keith Patel</t>
  </si>
  <si>
    <t>NHM-2023-100462</t>
  </si>
  <si>
    <t>Katherine Tucker</t>
  </si>
  <si>
    <t>NHM-2026-102227</t>
  </si>
  <si>
    <t>Roger Anderson</t>
  </si>
  <si>
    <t>NHM-2024-100168</t>
  </si>
  <si>
    <t>Jordan Bennett</t>
  </si>
  <si>
    <t>NHM-2026-102239</t>
  </si>
  <si>
    <t>Logan Roberts</t>
  </si>
  <si>
    <t>NHM-2023-102474</t>
  </si>
  <si>
    <t>Maria Anderson</t>
  </si>
  <si>
    <t>NHM-2023-101862</t>
  </si>
  <si>
    <t>Wayne Graham</t>
  </si>
  <si>
    <t>NHM-2025-102288</t>
  </si>
  <si>
    <t>Christian Cook</t>
  </si>
  <si>
    <t>NHM-2025-102384</t>
  </si>
  <si>
    <t>Keith Mcdonald</t>
  </si>
  <si>
    <t>NHM-2026-101724</t>
  </si>
  <si>
    <t>Kimberly Gutierrez</t>
  </si>
  <si>
    <t>NHM-2026-102150</t>
  </si>
  <si>
    <t>Timothy Mitchell</t>
  </si>
  <si>
    <t>NHM-2024-100725</t>
  </si>
  <si>
    <t>Bryan Reynolds</t>
  </si>
  <si>
    <t>NHM-2025-100380</t>
  </si>
  <si>
    <t>Ethan Cook</t>
  </si>
  <si>
    <t>NHM-2024-101777</t>
  </si>
  <si>
    <t>Denise Marshall</t>
  </si>
  <si>
    <t>NHM-2024-100933</t>
  </si>
  <si>
    <t>Rachel Wood</t>
  </si>
  <si>
    <t>NHM-2023-101103</t>
  </si>
  <si>
    <t>Scott Adams</t>
  </si>
  <si>
    <t>NHM-2023-102035</t>
  </si>
  <si>
    <t>Ryan Morris</t>
  </si>
  <si>
    <t>NHM-2023-100631</t>
  </si>
  <si>
    <t>Frank Jenkins</t>
  </si>
  <si>
    <t>NHM-2023-100180</t>
  </si>
  <si>
    <t>Helen Hughes</t>
  </si>
  <si>
    <t>NHM-2024-100582</t>
  </si>
  <si>
    <t>Heather Jenkins</t>
  </si>
  <si>
    <t>NHM-2023-100718</t>
  </si>
  <si>
    <t>James Foster</t>
  </si>
  <si>
    <t>NHM-2026-102079</t>
  </si>
  <si>
    <t>Susan Coleman</t>
  </si>
  <si>
    <t>NHM-2026-102027</t>
  </si>
  <si>
    <t>Wayne Kennedy</t>
  </si>
  <si>
    <t>NHM-2025-100124</t>
  </si>
  <si>
    <t>Frank White</t>
  </si>
  <si>
    <t>NHM-2025-102439</t>
  </si>
  <si>
    <t>Jonathan Hughes</t>
  </si>
  <si>
    <t>NHM-2024-100971</t>
  </si>
  <si>
    <t>Ethan Ruiz</t>
  </si>
  <si>
    <t>NHM-2025-100835</t>
  </si>
  <si>
    <t>Timothy Young</t>
  </si>
  <si>
    <t>NHM-2025-100496</t>
  </si>
  <si>
    <t>Ryan Jackson</t>
  </si>
  <si>
    <t>NHM-2023-100460</t>
  </si>
  <si>
    <t>Ryan Bennett</t>
  </si>
  <si>
    <t>NHM-2023-101823</t>
  </si>
  <si>
    <t>Amy White</t>
  </si>
  <si>
    <t>NHM-2024-101147</t>
  </si>
  <si>
    <t>Nancy Murphy</t>
  </si>
  <si>
    <t>NHM-2025-100739</t>
  </si>
  <si>
    <t>Julie Lopez</t>
  </si>
  <si>
    <t>NHM-2025-102472</t>
  </si>
  <si>
    <t>Sarah Sanders</t>
  </si>
  <si>
    <t>NHM-2025-102312</t>
  </si>
  <si>
    <t>Kevin Wood</t>
  </si>
  <si>
    <t>NHM-2026-101955</t>
  </si>
  <si>
    <t>Teresa Owens</t>
  </si>
  <si>
    <t>NHM-2023-102445</t>
  </si>
  <si>
    <t>Albert Long</t>
  </si>
  <si>
    <t>NHM-2025-101516</t>
  </si>
  <si>
    <t>Douglas Evans</t>
  </si>
  <si>
    <t>NHM-2025-100457</t>
  </si>
  <si>
    <t>Anthony Kelly</t>
  </si>
  <si>
    <t>NHM-2025-101496</t>
  </si>
  <si>
    <t>Amanda Mendoza</t>
  </si>
  <si>
    <t>NHM-2025-100430</t>
  </si>
  <si>
    <t>Joshua Mason</t>
  </si>
  <si>
    <t>NHM-2024-101195</t>
  </si>
  <si>
    <t>Donald Foster</t>
  </si>
  <si>
    <t>NHM-2025-101457</t>
  </si>
  <si>
    <t>Lauren King</t>
  </si>
  <si>
    <t>NHM-2023-102290</t>
  </si>
  <si>
    <t>Charles Woods</t>
  </si>
  <si>
    <t>NHM-2023-100470</t>
  </si>
  <si>
    <t>Hannah Sullivan</t>
  </si>
  <si>
    <t>NHM-2023-100830</t>
  </si>
  <si>
    <t>Alan Phillips</t>
  </si>
  <si>
    <t>NHM-2026-101467</t>
  </si>
  <si>
    <t>Keith Reyes</t>
  </si>
  <si>
    <t>NHM-2024-101566</t>
  </si>
  <si>
    <t>Nathan Patel</t>
  </si>
  <si>
    <t>NHM-2024-102346</t>
  </si>
  <si>
    <t>Patrick Cole</t>
  </si>
  <si>
    <t>NHM-2023-101213</t>
  </si>
  <si>
    <t>Dylan Ford</t>
  </si>
  <si>
    <t>NHM-2024-101698</t>
  </si>
  <si>
    <t>Jeffrey Foster</t>
  </si>
  <si>
    <t>NHM-2024-101224</t>
  </si>
  <si>
    <t>Zachary Young</t>
  </si>
  <si>
    <t>NHM-2023-101014</t>
  </si>
  <si>
    <t>Heather Graham</t>
  </si>
  <si>
    <t>NHM-2023-101606</t>
  </si>
  <si>
    <t>Theresa Simpson</t>
  </si>
  <si>
    <t>NHM-2023-102172</t>
  </si>
  <si>
    <t>Kathryn Castillo</t>
  </si>
  <si>
    <t>NHM-2024-102096</t>
  </si>
  <si>
    <t>Walter Alvarez</t>
  </si>
  <si>
    <t>NHM-2024-100511</t>
  </si>
  <si>
    <t>Megan Porter</t>
  </si>
  <si>
    <t>NHM-2023-100200</t>
  </si>
  <si>
    <t>Jeffrey Price</t>
  </si>
  <si>
    <t>NHM-2025-100013</t>
  </si>
  <si>
    <t>Matthew Stewart</t>
  </si>
  <si>
    <t>NHM-2025-102203</t>
  </si>
  <si>
    <t>Rachel James</t>
  </si>
  <si>
    <t>NHM-2025-102058</t>
  </si>
  <si>
    <t>Debra Cruz</t>
  </si>
  <si>
    <t>NHM-2023-101774</t>
  </si>
  <si>
    <t>Charles Mason</t>
  </si>
  <si>
    <t>NHM-2025-100624</t>
  </si>
  <si>
    <t>Evelyn Thomas</t>
  </si>
  <si>
    <t>NHM-2024-100745</t>
  </si>
  <si>
    <t>Kimberly Reynolds</t>
  </si>
  <si>
    <t>NHM-2025-101128</t>
  </si>
  <si>
    <t>Judith Hernandez</t>
  </si>
  <si>
    <t>NHM-2025-101154</t>
  </si>
  <si>
    <t>Aaron Ellis</t>
  </si>
  <si>
    <t>NHM-2023-100882</t>
  </si>
  <si>
    <t>Jonathan Brown</t>
  </si>
  <si>
    <t>NHM-2026-102168</t>
  </si>
  <si>
    <t>Scott Roberts</t>
  </si>
  <si>
    <t>NHM-2025-101528</t>
  </si>
  <si>
    <t>Nathan Wright</t>
  </si>
  <si>
    <t>NHM-2024-100513</t>
  </si>
  <si>
    <t>Bruce Coleman</t>
  </si>
  <si>
    <t>NHM-2026-100943</t>
  </si>
  <si>
    <t>Jeremy Campbell</t>
  </si>
  <si>
    <t>NHM-2026-101486</t>
  </si>
  <si>
    <t>Barbara Jones</t>
  </si>
  <si>
    <t>NHM-2026-101376</t>
  </si>
  <si>
    <t>Charles Patterson</t>
  </si>
  <si>
    <t>NHM-2025-100132</t>
  </si>
  <si>
    <t>Roger Cruz</t>
  </si>
  <si>
    <t>NHM-2025-100851</t>
  </si>
  <si>
    <t>Gabriel Gonzales</t>
  </si>
  <si>
    <t>NHM-2026-100601</t>
  </si>
  <si>
    <t>Anna Griffin</t>
  </si>
  <si>
    <t>NHM-2024-101583</t>
  </si>
  <si>
    <t>Fiona Russell</t>
  </si>
  <si>
    <t>NHM-2023-100989</t>
  </si>
  <si>
    <t>Rachel Wright</t>
  </si>
  <si>
    <t>NHM-2025-101314</t>
  </si>
  <si>
    <t>Nancy Butler</t>
  </si>
  <si>
    <t>NHM-2025-100866</t>
  </si>
  <si>
    <t>Hannah Moore</t>
  </si>
  <si>
    <t>NHM-2023-101360</t>
  </si>
  <si>
    <t>Nathan Chavez</t>
  </si>
  <si>
    <t>NHM-2024-101872</t>
  </si>
  <si>
    <t>Joshua Gutierrez</t>
  </si>
  <si>
    <t>NHM-2024-102115</t>
  </si>
  <si>
    <t>Linda Thompson</t>
  </si>
  <si>
    <t>NHM-2026-101048</t>
  </si>
  <si>
    <t>Ruth Baker</t>
  </si>
  <si>
    <t>NHM-2023-101687</t>
  </si>
  <si>
    <t>Catherine Stevens</t>
  </si>
  <si>
    <t>NHM-2026-100059</t>
  </si>
  <si>
    <t>Emma Ortiz</t>
  </si>
  <si>
    <t>NHM-2026-100406</t>
  </si>
  <si>
    <t>Sharon Powell</t>
  </si>
  <si>
    <t>NHM-2023-101926</t>
  </si>
  <si>
    <t>Julie Jenkins</t>
  </si>
  <si>
    <t>NHM-2024-100131</t>
  </si>
  <si>
    <t>Alexander Bryant</t>
  </si>
  <si>
    <t>NHM-2026-101768</t>
  </si>
  <si>
    <t>Charles Ward</t>
  </si>
  <si>
    <t>NHM-2026-101383</t>
  </si>
  <si>
    <t>Eric West</t>
  </si>
  <si>
    <t>NHM-2024-100415</t>
  </si>
  <si>
    <t>Theresa Morales</t>
  </si>
  <si>
    <t>NHM-2026-100300</t>
  </si>
  <si>
    <t>Aaron Hughes</t>
  </si>
  <si>
    <t>NHM-2024-102064</t>
  </si>
  <si>
    <t>Edward Fisher</t>
  </si>
  <si>
    <t>NHM-2025-100197</t>
  </si>
  <si>
    <t>Christine Henry</t>
  </si>
  <si>
    <t>NHM-2024-100222</t>
  </si>
  <si>
    <t>Jean Price</t>
  </si>
  <si>
    <t>NHM-2023-100339</t>
  </si>
  <si>
    <t>Mark Fisher</t>
  </si>
  <si>
    <t>NHM-2025-100906</t>
  </si>
  <si>
    <t>Lisa Green</t>
  </si>
  <si>
    <t>NHM-2026-101879</t>
  </si>
  <si>
    <t>Wayne Wells</t>
  </si>
  <si>
    <t>NHM-2025-100416</t>
  </si>
  <si>
    <t>Melissa Diaz</t>
  </si>
  <si>
    <t>NHM-2023-101104</t>
  </si>
  <si>
    <t>Alan Chavez</t>
  </si>
  <si>
    <t>NHM-2025-101579</t>
  </si>
  <si>
    <t>NHM-2026-101061</t>
  </si>
  <si>
    <t>Judy Cooper</t>
  </si>
  <si>
    <t>NHM-2025-100776</t>
  </si>
  <si>
    <t>Madison Murphy</t>
  </si>
  <si>
    <t>NHM-2025-102387</t>
  </si>
  <si>
    <t>Joyce Warren</t>
  </si>
  <si>
    <t>NHM-2024-100121</t>
  </si>
  <si>
    <t>Ronald Mendoza</t>
  </si>
  <si>
    <t>NHM-2025-100397</t>
  </si>
  <si>
    <t>Jasmine Ortiz</t>
  </si>
  <si>
    <t>NHM-2026-101748</t>
  </si>
  <si>
    <t>Paul Bryant</t>
  </si>
  <si>
    <t>NHM-2024-101612</t>
  </si>
  <si>
    <t>Debra Henderson</t>
  </si>
  <si>
    <t>NHM-2024-101178</t>
  </si>
  <si>
    <t>John Torres</t>
  </si>
  <si>
    <t>NHM-2023-100236</t>
  </si>
  <si>
    <t>Mary Hamilton</t>
  </si>
  <si>
    <t>NHM-2026-100054</t>
  </si>
  <si>
    <t>Margaret Stewart</t>
  </si>
  <si>
    <t>NHM-2025-100742</t>
  </si>
  <si>
    <t>Frances Gibson</t>
  </si>
  <si>
    <t>NHM-2026-100274</t>
  </si>
  <si>
    <t>Randy Cooper</t>
  </si>
  <si>
    <t>NHM-2024-100011</t>
  </si>
  <si>
    <t>Patrick Harrison</t>
  </si>
  <si>
    <t>NHM-2023-101374</t>
  </si>
  <si>
    <t>Lisa Powell</t>
  </si>
  <si>
    <t>NHM-2024-101266</t>
  </si>
  <si>
    <t>Raymond Patel</t>
  </si>
  <si>
    <t>NHM-2026-101035</t>
  </si>
  <si>
    <t>Patricia Morales</t>
  </si>
  <si>
    <t>NHM-2024-101167</t>
  </si>
  <si>
    <t>Gloria Hayes</t>
  </si>
  <si>
    <t>NHM-2026-101353</t>
  </si>
  <si>
    <t>Teresa Brown</t>
  </si>
  <si>
    <t>NHM-2026-100941</t>
  </si>
  <si>
    <t>Larry Bennett</t>
  </si>
  <si>
    <t>NHM-2024-101658</t>
  </si>
  <si>
    <t>Alexander Graham</t>
  </si>
  <si>
    <t>NHM-2024-101391</t>
  </si>
  <si>
    <t>Evelyn Ellis</t>
  </si>
  <si>
    <t>NHM-2025-100656</t>
  </si>
  <si>
    <t>Paul Murphy</t>
  </si>
  <si>
    <t>NHM-2025-101354</t>
  </si>
  <si>
    <t>Grace Cox</t>
  </si>
  <si>
    <t>NHM-2024-102335</t>
  </si>
  <si>
    <t>Nicholas Cole</t>
  </si>
  <si>
    <t>NHM-2025-100061</t>
  </si>
  <si>
    <t>Sandra James</t>
  </si>
  <si>
    <t>NHM-2026-100408</t>
  </si>
  <si>
    <t>Valerie Stewart</t>
  </si>
  <si>
    <t>NHM-2023-102467</t>
  </si>
  <si>
    <t>Gabriel Ortiz</t>
  </si>
  <si>
    <t>NHM-2025-100568</t>
  </si>
  <si>
    <t>Kathryn Cruz</t>
  </si>
  <si>
    <t>NHM-2025-100797</t>
  </si>
  <si>
    <t>Janet Stewart</t>
  </si>
  <si>
    <t>NHM-2025-102360</t>
  </si>
  <si>
    <t>Sandra Anderson</t>
  </si>
  <si>
    <t>NHM-2024-102108</t>
  </si>
  <si>
    <t>Aaron Henderson</t>
  </si>
  <si>
    <t>NHM-2023-102030</t>
  </si>
  <si>
    <t>Larry Brooks</t>
  </si>
  <si>
    <t>NHM-2026-101766</t>
  </si>
  <si>
    <t>Janet Walker</t>
  </si>
  <si>
    <t>NHM-2024-100220</t>
  </si>
  <si>
    <t>Eugene King</t>
  </si>
  <si>
    <t>NHM-2024-101340</t>
  </si>
  <si>
    <t>Stephen Adams</t>
  </si>
  <si>
    <t>NHM-2023-102405</t>
  </si>
  <si>
    <t>Gary Hicks</t>
  </si>
  <si>
    <t>NHM-2025-101498</t>
  </si>
  <si>
    <t>Austin Mendoza</t>
  </si>
  <si>
    <t>NHM-2023-100738</t>
  </si>
  <si>
    <t>Timothy Reed</t>
  </si>
  <si>
    <t>NHM-2023-101032</t>
  </si>
  <si>
    <t>Kimberly Reyes</t>
  </si>
  <si>
    <t>NHM-2023-101341</t>
  </si>
  <si>
    <t>Emma Murray</t>
  </si>
  <si>
    <t>NHM-2025-100191</t>
  </si>
  <si>
    <t>Dorothy Hayes</t>
  </si>
  <si>
    <t>NHM-2023-101328</t>
  </si>
  <si>
    <t>NHM-2026-100865</t>
  </si>
  <si>
    <t>Charles Jenkins</t>
  </si>
  <si>
    <t>NHM-2026-102055</t>
  </si>
  <si>
    <t>Lisa Porter</t>
  </si>
  <si>
    <t>NHM-2026-100709</t>
  </si>
  <si>
    <t>Keith Nelson</t>
  </si>
  <si>
    <t>NHM-2026-100610</t>
  </si>
  <si>
    <t>Martha Warren</t>
  </si>
  <si>
    <t>NHM-2026-100203</t>
  </si>
  <si>
    <t>Rachel Gomez</t>
  </si>
  <si>
    <t>NHM-2026-102476</t>
  </si>
  <si>
    <t>Bruce Mcdonald</t>
  </si>
  <si>
    <t>NHM-2025-100345</t>
  </si>
  <si>
    <t>Amanda Ortiz</t>
  </si>
  <si>
    <t>NHM-2023-100614</t>
  </si>
  <si>
    <t>Elizabeth Diaz</t>
  </si>
  <si>
    <t>NHM-2023-101134</t>
  </si>
  <si>
    <t>Ronald Ramos</t>
  </si>
  <si>
    <t>NHM-2023-102254</t>
  </si>
  <si>
    <t>Christine Cruz</t>
  </si>
  <si>
    <t>NHM-2023-100585</t>
  </si>
  <si>
    <t>Maria Hughes</t>
  </si>
  <si>
    <t>NHM-2024-101343</t>
  </si>
  <si>
    <t>Deborah Hernandez</t>
  </si>
  <si>
    <t>NHM-2024-101609</t>
  </si>
  <si>
    <t>Stephanie Perez</t>
  </si>
  <si>
    <t>NHM-2025-100076</t>
  </si>
  <si>
    <t>Angela Porter</t>
  </si>
  <si>
    <t>NHM-2024-101518</t>
  </si>
  <si>
    <t>Dennis Murray</t>
  </si>
  <si>
    <t>NHM-2025-101775</t>
  </si>
  <si>
    <t>Jose Jenkins</t>
  </si>
  <si>
    <t>NHM-2025-101797</t>
  </si>
  <si>
    <t>Scott Rivera</t>
  </si>
  <si>
    <t>NHM-2025-102436</t>
  </si>
  <si>
    <t>Betty Jimenez</t>
  </si>
  <si>
    <t>NHM-2024-101312</t>
  </si>
  <si>
    <t>Willie Porter</t>
  </si>
  <si>
    <t>NHM-2024-102397</t>
  </si>
  <si>
    <t>Gabriel Adams</t>
  </si>
  <si>
    <t>NHM-2026-100689</t>
  </si>
  <si>
    <t>NHM-2023-101806</t>
  </si>
  <si>
    <t>Larry Marshall</t>
  </si>
  <si>
    <t>NHM-2023-101749</t>
  </si>
  <si>
    <t>Marilyn Murphy</t>
  </si>
  <si>
    <t>NHM-2023-100098</t>
  </si>
  <si>
    <t>Keith Allen</t>
  </si>
  <si>
    <t>NHM-2023-100781</t>
  </si>
  <si>
    <t>Martha Bennett</t>
  </si>
  <si>
    <t>NHM-2025-100292</t>
  </si>
  <si>
    <t>Sharon Flores</t>
  </si>
  <si>
    <t>NHM-2026-101573</t>
  </si>
  <si>
    <t>Dylan Ortiz</t>
  </si>
  <si>
    <t>NHM-2023-100714</t>
  </si>
  <si>
    <t>Timothy Jackson</t>
  </si>
  <si>
    <t>NHM-2025-101005</t>
  </si>
  <si>
    <t>Sharon Kim</t>
  </si>
  <si>
    <t>NHM-2023-101839</t>
  </si>
  <si>
    <t>Donna Martin</t>
  </si>
  <si>
    <t>NHM-2026-100449</t>
  </si>
  <si>
    <t>Bruce Reyes</t>
  </si>
  <si>
    <t>NHM-2023-102410</t>
  </si>
  <si>
    <t>Adam Clark</t>
  </si>
  <si>
    <t>NHM-2024-102222</t>
  </si>
  <si>
    <t>Austin Ross</t>
  </si>
  <si>
    <t>NHM-2025-101656</t>
  </si>
  <si>
    <t>Nancy Gomez</t>
  </si>
  <si>
    <t>NHM-2023-101030</t>
  </si>
  <si>
    <t>Frank Nguyen</t>
  </si>
  <si>
    <t>NHM-2023-101111</t>
  </si>
  <si>
    <t>Sandra Reed</t>
  </si>
  <si>
    <t>NHM-2026-102412</t>
  </si>
  <si>
    <t>NHM-2026-100389</t>
  </si>
  <si>
    <t>Joan Butler</t>
  </si>
  <si>
    <t>NHM-2026-100889</t>
  </si>
  <si>
    <t>Amy Simmons</t>
  </si>
  <si>
    <t>NHM-2023-102034</t>
  </si>
  <si>
    <t>Samantha Gutierrez</t>
  </si>
  <si>
    <t>NHM-2025-101174</t>
  </si>
  <si>
    <t>Rachel Gonzales</t>
  </si>
  <si>
    <t>NHM-2025-101284</t>
  </si>
  <si>
    <t>Michael Peterson</t>
  </si>
  <si>
    <t>NHM-2026-101761</t>
  </si>
  <si>
    <t>Angela Gibson</t>
  </si>
  <si>
    <t>NHM-2025-100199</t>
  </si>
  <si>
    <t>Samuel Diaz</t>
  </si>
  <si>
    <t>NHM-2023-101034</t>
  </si>
  <si>
    <t>Walter Long</t>
  </si>
  <si>
    <t>NHM-2025-100680</t>
  </si>
  <si>
    <t>Julia Webb</t>
  </si>
  <si>
    <t>NHM-2024-101073</t>
  </si>
  <si>
    <t>Sarah Hughes</t>
  </si>
  <si>
    <t>NHM-2023-100803</t>
  </si>
  <si>
    <t>John Ramos</t>
  </si>
  <si>
    <t>NHM-2024-101513</t>
  </si>
  <si>
    <t>Dennis Hamilton</t>
  </si>
  <si>
    <t>NHM-2026-100666</t>
  </si>
  <si>
    <t>Anna Flores</t>
  </si>
  <si>
    <t>NHM-2023-100997</t>
  </si>
  <si>
    <t>Thomas Jenkins</t>
  </si>
  <si>
    <t>NHM-2024-101969</t>
  </si>
  <si>
    <t>Christina Davis</t>
  </si>
  <si>
    <t>NHM-2024-101586</t>
  </si>
  <si>
    <t>Virginia Hill</t>
  </si>
  <si>
    <t>NHM-2024-101094</t>
  </si>
  <si>
    <t>Abigail Collins</t>
  </si>
  <si>
    <t>NHM-2026-101785</t>
  </si>
  <si>
    <t>John Hughes</t>
  </si>
  <si>
    <t>NHM-2025-100870</t>
  </si>
  <si>
    <t>Kelly Martinez</t>
  </si>
  <si>
    <t>NHM-2025-100711</t>
  </si>
  <si>
    <t>Betty Walker</t>
  </si>
  <si>
    <t>NHM-2026-100401</t>
  </si>
  <si>
    <t>Angela Russell</t>
  </si>
  <si>
    <t>NHM-2025-101203</t>
  </si>
  <si>
    <t>Deborah Patterson</t>
  </si>
  <si>
    <t>NHM-2023-100630</t>
  </si>
  <si>
    <t>Deborah Ruiz</t>
  </si>
  <si>
    <t>NHM-2024-102181</t>
  </si>
  <si>
    <t>Roy Reynolds</t>
  </si>
  <si>
    <t>NHM-2026-102192</t>
  </si>
  <si>
    <t>NHM-2023-102006</t>
  </si>
  <si>
    <t>Lawrence Lewis</t>
  </si>
  <si>
    <t>NHM-2025-100209</t>
  </si>
  <si>
    <t>Henry Morgan</t>
  </si>
  <si>
    <t>NHM-2026-101345</t>
  </si>
  <si>
    <t>Scott Mitchell</t>
  </si>
  <si>
    <t>NHM-2024-101047</t>
  </si>
  <si>
    <t>Randy Rogers</t>
  </si>
  <si>
    <t>NHM-2026-100008</t>
  </si>
  <si>
    <t>Katherine Young</t>
  </si>
  <si>
    <t>NHM-2026-101831</t>
  </si>
  <si>
    <t>Scott Sanders</t>
  </si>
  <si>
    <t>NHM-2023-100251</t>
  </si>
  <si>
    <t>Sharon Alexander</t>
  </si>
  <si>
    <t>NHM-2023-100060</t>
  </si>
  <si>
    <t>Juan Patterson</t>
  </si>
  <si>
    <t>NHM-2026-102406</t>
  </si>
  <si>
    <t>Danielle Harrison</t>
  </si>
  <si>
    <t>NHM-2025-101589</t>
  </si>
  <si>
    <t>Mark Cook</t>
  </si>
  <si>
    <t>NHM-2023-102207</t>
  </si>
  <si>
    <t>Matthew Bryant</t>
  </si>
  <si>
    <t>NHM-2026-100584</t>
  </si>
  <si>
    <t>Amber Ortiz</t>
  </si>
  <si>
    <t>NHM-2025-100761</t>
  </si>
  <si>
    <t>NHM-2023-100869</t>
  </si>
  <si>
    <t>Beverly Long</t>
  </si>
  <si>
    <t>NHM-2026-101980</t>
  </si>
  <si>
    <t>Donna James</t>
  </si>
  <si>
    <t>NHM-2026-101418</t>
  </si>
  <si>
    <t>Doris Cruz</t>
  </si>
  <si>
    <t>NHM-2024-100308</t>
  </si>
  <si>
    <t>Cynthia Tucker</t>
  </si>
  <si>
    <t>NHM-2024-101508</t>
  </si>
  <si>
    <t>Jean Kelly</t>
  </si>
  <si>
    <t>NHM-2026-100696</t>
  </si>
  <si>
    <t>Arthur Morales</t>
  </si>
  <si>
    <t>NHM-2024-102063</t>
  </si>
  <si>
    <t>Danielle Alvarez</t>
  </si>
  <si>
    <t>NHM-2023-101903</t>
  </si>
  <si>
    <t>Sara Howard</t>
  </si>
  <si>
    <t>NHM-2024-100878</t>
  </si>
  <si>
    <t>Jacqueline Foster</t>
  </si>
  <si>
    <t>NHM-2025-100356</t>
  </si>
  <si>
    <t>Gabriel Nguyen</t>
  </si>
  <si>
    <t>NHM-2023-101842</t>
  </si>
  <si>
    <t>Juan Myers</t>
  </si>
  <si>
    <t>NHM-2025-101676</t>
  </si>
  <si>
    <t>Stephanie Boyd</t>
  </si>
  <si>
    <t>NHM-2025-101555</t>
  </si>
  <si>
    <t>Grace Wells</t>
  </si>
  <si>
    <t>NHM-2023-101970</t>
  </si>
  <si>
    <t>Brenda Murray</t>
  </si>
  <si>
    <t>NHM-2023-100226</t>
  </si>
  <si>
    <t>Rachel Roberts</t>
  </si>
  <si>
    <t>NHM-2026-100263</t>
  </si>
  <si>
    <t>Beverly Hill</t>
  </si>
  <si>
    <t>NHM-2023-100269</t>
  </si>
  <si>
    <t>Justin Hughes</t>
  </si>
  <si>
    <t>NHM-2023-100078</t>
  </si>
  <si>
    <t>Janice Ramirez</t>
  </si>
  <si>
    <t>NHM-2023-100260</t>
  </si>
  <si>
    <t>Juan Cooper</t>
  </si>
  <si>
    <t>NHM-2023-102285</t>
  </si>
  <si>
    <t>Frances Dixon</t>
  </si>
  <si>
    <t>NHM-2026-101433</t>
  </si>
  <si>
    <t>Julia Wilson</t>
  </si>
  <si>
    <t>NHM-2025-101649</t>
  </si>
  <si>
    <t>Alexander Cruz</t>
  </si>
  <si>
    <t>NHM-2026-101476</t>
  </si>
  <si>
    <t>Donald Parker</t>
  </si>
  <si>
    <t>NHM-2024-102165</t>
  </si>
  <si>
    <t>Margaret Hunter</t>
  </si>
  <si>
    <t>NHM-2024-100757</t>
  </si>
  <si>
    <t>Thomas Reyes</t>
  </si>
  <si>
    <t>NHM-2026-102297</t>
  </si>
  <si>
    <t>Peter Martinez</t>
  </si>
  <si>
    <t>NHM-2024-100504</t>
  </si>
  <si>
    <t>Julie Diaz</t>
  </si>
  <si>
    <t>NHM-2023-100046</t>
  </si>
  <si>
    <t>Amanda Stewart</t>
  </si>
  <si>
    <t>NHM-2023-101663</t>
  </si>
  <si>
    <t>Christine Roberts</t>
  </si>
  <si>
    <t>NHM-2024-100520</t>
  </si>
  <si>
    <t>Nathan Martin</t>
  </si>
  <si>
    <t>NHM-2026-101758</t>
  </si>
  <si>
    <t>Christine Porter</t>
  </si>
  <si>
    <t>NHM-2025-101788</t>
  </si>
  <si>
    <t>Dennis Jenkins</t>
  </si>
  <si>
    <t>NHM-2024-101578</t>
  </si>
  <si>
    <t>Billy Hall</t>
  </si>
  <si>
    <t>NHM-2026-101568</t>
  </si>
  <si>
    <t>Julie Turner</t>
  </si>
  <si>
    <t>NHM-2025-100617</t>
  </si>
  <si>
    <t>Ashley Jimenez</t>
  </si>
  <si>
    <t>NHM-2026-100660</t>
  </si>
  <si>
    <t>Jordan Scott</t>
  </si>
  <si>
    <t>NHM-2025-100404</t>
  </si>
  <si>
    <t>Willie Russell</t>
  </si>
  <si>
    <t>NHM-2024-102022</t>
  </si>
  <si>
    <t>Terry Flores</t>
  </si>
  <si>
    <t>NHM-2024-100366</t>
  </si>
  <si>
    <t>Lisa Hill</t>
  </si>
  <si>
    <t>NHM-2026-101411</t>
  </si>
  <si>
    <t>Robert Henry</t>
  </si>
  <si>
    <t>NHM-2025-101605</t>
  </si>
  <si>
    <t>Terry Ramos</t>
  </si>
  <si>
    <t>NHM-2026-101685</t>
  </si>
  <si>
    <t>Fiona Sanders</t>
  </si>
  <si>
    <t>NHM-2024-100152</t>
  </si>
  <si>
    <t>Kathryn Freeman</t>
  </si>
  <si>
    <t>NHM-2025-100301</t>
  </si>
  <si>
    <t>Catherine Henderson</t>
  </si>
  <si>
    <t>NHM-2026-101402</t>
  </si>
  <si>
    <t>Benjamin Sanders</t>
  </si>
  <si>
    <t>NHM-2024-102470</t>
  </si>
  <si>
    <t>Jean Jones</t>
  </si>
  <si>
    <t>NHM-2025-102275</t>
  </si>
  <si>
    <t>Michelle Hayes</t>
  </si>
  <si>
    <t>NHM-2024-100615</t>
  </si>
  <si>
    <t>Justin Wood</t>
  </si>
  <si>
    <t>NHM-2024-100639</t>
  </si>
  <si>
    <t>Hannah Peterson</t>
  </si>
  <si>
    <t>NHM-2025-101914</t>
  </si>
  <si>
    <t>Wayne Myers</t>
  </si>
  <si>
    <t>NHM-2024-102341</t>
  </si>
  <si>
    <t>Joan Walker</t>
  </si>
  <si>
    <t>NHM-2024-100787</t>
  </si>
  <si>
    <t>Melissa Lopez</t>
  </si>
  <si>
    <t>NHM-2023-100648</t>
  </si>
  <si>
    <t>Stephen Morris</t>
  </si>
  <si>
    <t>NHM-2026-100526</t>
  </si>
  <si>
    <t>Laura Butler</t>
  </si>
  <si>
    <t>NHM-2026-102305</t>
  </si>
  <si>
    <t>NHM-2025-101003</t>
  </si>
  <si>
    <t>Diane Peterson</t>
  </si>
  <si>
    <t>NHM-2024-100664</t>
  </si>
  <si>
    <t>NHM-2023-102277</t>
  </si>
  <si>
    <t>Lauren Green</t>
  </si>
  <si>
    <t>NHM-2023-102403</t>
  </si>
  <si>
    <t>Kelly Hamilton</t>
  </si>
  <si>
    <t>NHM-2025-102082</t>
  </si>
  <si>
    <t>Janice Evans</t>
  </si>
  <si>
    <t>NHM-2024-101050</t>
  </si>
  <si>
    <t>Alice Lee</t>
  </si>
  <si>
    <t>NHM-2026-101731</t>
  </si>
  <si>
    <t>Amber Russell</t>
  </si>
  <si>
    <t>NHM-2026-100123</t>
  </si>
  <si>
    <t>Alexander Jordan</t>
  </si>
  <si>
    <t>NHM-2025-100758</t>
  </si>
  <si>
    <t>Paul Diaz</t>
  </si>
  <si>
    <t>NHM-2024-100881</t>
  </si>
  <si>
    <t>Peter Simmons</t>
  </si>
  <si>
    <t>NHM-2023-101220</t>
  </si>
  <si>
    <t>Sarah Russell</t>
  </si>
  <si>
    <t>NHM-2025-100451</t>
  </si>
  <si>
    <t>Judy Jordan</t>
  </si>
  <si>
    <t>NHM-2026-100133</t>
  </si>
  <si>
    <t>Jesse Ross</t>
  </si>
  <si>
    <t>NHM-2026-101501</t>
  </si>
  <si>
    <t>Olivia Collins</t>
  </si>
  <si>
    <t>NHM-2024-100347</t>
  </si>
  <si>
    <t>Keith Rogers</t>
  </si>
  <si>
    <t>NHM-2026-101344</t>
  </si>
  <si>
    <t>NHM-2024-102190</t>
  </si>
  <si>
    <t>Peter Alvarez</t>
  </si>
  <si>
    <t>NHM-2025-100780</t>
  </si>
  <si>
    <t>Robert Phillips</t>
  </si>
  <si>
    <t>NHM-2026-100286</t>
  </si>
  <si>
    <t>Aaron Perry</t>
  </si>
  <si>
    <t>NHM-2023-100159</t>
  </si>
  <si>
    <t>Abigail Evans</t>
  </si>
  <si>
    <t>NHM-2023-101280</t>
  </si>
  <si>
    <t>Lauren Brown</t>
  </si>
  <si>
    <t>NHM-2026-100128</t>
  </si>
  <si>
    <t>Juan Kennedy</t>
  </si>
  <si>
    <t>NHM-2024-101951</t>
  </si>
  <si>
    <t>NHM-2025-101975</t>
  </si>
  <si>
    <t>Kenneth Kelly</t>
  </si>
  <si>
    <t>NHM-2023-100954</t>
  </si>
  <si>
    <t>Aaron King</t>
  </si>
  <si>
    <t>NHM-2023-101694</t>
  </si>
  <si>
    <t>Benjamin Patel</t>
  </si>
  <si>
    <t>NHM-2025-102119</t>
  </si>
  <si>
    <t>Brandon Marshall</t>
  </si>
  <si>
    <t>NHM-2026-101773</t>
  </si>
  <si>
    <t>Bryan Butler</t>
  </si>
  <si>
    <t>NHM-2023-100622</t>
  </si>
  <si>
    <t>Evelyn Howard</t>
  </si>
  <si>
    <t>NHM-2023-102492</t>
  </si>
  <si>
    <t>Barbara Bryant</t>
  </si>
  <si>
    <t>NHM-2025-101282</t>
  </si>
  <si>
    <t>Katherine Foster</t>
  </si>
  <si>
    <t>NHM-2024-100620</t>
  </si>
  <si>
    <t>Mark Long</t>
  </si>
  <si>
    <t>NHM-2025-100486</t>
  </si>
  <si>
    <t>Joan Cook</t>
  </si>
  <si>
    <t>NHM-2023-100838</t>
  </si>
  <si>
    <t>NHM-2024-101732</t>
  </si>
  <si>
    <t>Cheryl Phillips</t>
  </si>
  <si>
    <t>NHM-2024-102129</t>
  </si>
  <si>
    <t>Sandra Stevens</t>
  </si>
  <si>
    <t>NHM-2024-101979</t>
  </si>
  <si>
    <t>Alexander Baker</t>
  </si>
  <si>
    <t>NHM-2023-101782</t>
  </si>
  <si>
    <t>Virginia Morgan</t>
  </si>
  <si>
    <t>NHM-2023-101208</t>
  </si>
  <si>
    <t>Donald Mendoza</t>
  </si>
  <si>
    <t>NHM-2026-100085</t>
  </si>
  <si>
    <t>Benjamin Walker</t>
  </si>
  <si>
    <t>NHM-2026-102438</t>
  </si>
  <si>
    <t>Peter Jenkins</t>
  </si>
  <si>
    <t>NHM-2025-100058</t>
  </si>
  <si>
    <t>Laura Patel</t>
  </si>
  <si>
    <t>NHM-2024-101264</t>
  </si>
  <si>
    <t>Margaret Freeman</t>
  </si>
  <si>
    <t>NHM-2025-100600</t>
  </si>
  <si>
    <t>Joyce Kennedy</t>
  </si>
  <si>
    <t>NHM-2023-100372</t>
  </si>
  <si>
    <t>Amy Jenkins</t>
  </si>
  <si>
    <t>NHM-2024-100304</t>
  </si>
  <si>
    <t>Joseph Jordan</t>
  </si>
  <si>
    <t>NHM-2025-101929</t>
  </si>
  <si>
    <t>Susan Chavez</t>
  </si>
  <si>
    <t>NHM-2025-101239</t>
  </si>
  <si>
    <t>Lauren Patel</t>
  </si>
  <si>
    <t>NHM-2025-100798</t>
  </si>
  <si>
    <t>Jerry Rivera</t>
  </si>
  <si>
    <t>NHM-2025-100035</t>
  </si>
  <si>
    <t>Lisa Butler</t>
  </si>
  <si>
    <t>NHM-2026-101127</t>
  </si>
  <si>
    <t>Sara Gonzales</t>
  </si>
  <si>
    <t>NHM-2024-101201</t>
  </si>
  <si>
    <t>Victoria Barnes</t>
  </si>
  <si>
    <t>NHM-2025-100821</t>
  </si>
  <si>
    <t>Ralph Hamilton</t>
  </si>
  <si>
    <t>NHM-2026-101572</t>
  </si>
  <si>
    <t>Kevin Allen</t>
  </si>
  <si>
    <t>NHM-2025-101157</t>
  </si>
  <si>
    <t>Charles Murray</t>
  </si>
  <si>
    <t>NHM-2023-102306</t>
  </si>
  <si>
    <t>Vincent Patel</t>
  </si>
  <si>
    <t>NHM-2023-100581</t>
  </si>
  <si>
    <t>Wayne Ortiz</t>
  </si>
  <si>
    <t>NHM-2026-100096</t>
  </si>
  <si>
    <t>Paul Henderson</t>
  </si>
  <si>
    <t>NHM-2025-102097</t>
  </si>
  <si>
    <t>Rachel Price</t>
  </si>
  <si>
    <t>NHM-2023-101462</t>
  </si>
  <si>
    <t>Jordan Long</t>
  </si>
  <si>
    <t>NHM-2024-102311</t>
  </si>
  <si>
    <t>Scott Ross</t>
  </si>
  <si>
    <t>NHM-2025-101590</t>
  </si>
  <si>
    <t>Kyle Davis</t>
  </si>
  <si>
    <t>NHM-2025-100427</t>
  </si>
  <si>
    <t>Joan Flores</t>
  </si>
  <si>
    <t>NHM-2023-100450</t>
  </si>
  <si>
    <t>Samantha Cole</t>
  </si>
  <si>
    <t>NHM-2025-100669</t>
  </si>
  <si>
    <t>Anna Brooks</t>
  </si>
  <si>
    <t>NHM-2026-101936</t>
  </si>
  <si>
    <t>Daniel Bailey</t>
  </si>
  <si>
    <t>NHM-2023-101859</t>
  </si>
  <si>
    <t>Patrick Dixon</t>
  </si>
  <si>
    <t>NHM-2025-101971</t>
  </si>
  <si>
    <t>Jean Sullivan</t>
  </si>
  <si>
    <t>NHM-2025-100488</t>
  </si>
  <si>
    <t>Pamela Jenkins</t>
  </si>
  <si>
    <t>NHM-2024-101247</t>
  </si>
  <si>
    <t>Willie Crawford</t>
  </si>
  <si>
    <t>NHM-2026-102432</t>
  </si>
  <si>
    <t>Nancy Gonzalez</t>
  </si>
  <si>
    <t>NHM-2024-101952</t>
  </si>
  <si>
    <t>Jasmine Webb</t>
  </si>
  <si>
    <t>NHM-2026-101140</t>
  </si>
  <si>
    <t>Gloria Gibson</t>
  </si>
  <si>
    <t>NHM-2025-102077</t>
  </si>
  <si>
    <t>NHM-2026-101024</t>
  </si>
  <si>
    <t>Megan Russell</t>
  </si>
  <si>
    <t>NHM-2024-100697</t>
  </si>
  <si>
    <t>Ryan Evans</t>
  </si>
  <si>
    <t>NHM-2025-101144</t>
  </si>
  <si>
    <t>Joshua Barnes</t>
  </si>
  <si>
    <t>NHM-2024-101072</t>
  </si>
  <si>
    <t>Hannah Martinez</t>
  </si>
  <si>
    <t>NHM-2024-101018</t>
  </si>
  <si>
    <t>Adam Hughes</t>
  </si>
  <si>
    <t>NHM-2024-101295</t>
  </si>
  <si>
    <t>Nancy Ramos</t>
  </si>
  <si>
    <t>NHM-2023-100452</t>
  </si>
  <si>
    <t>Kenneth Morris</t>
  </si>
  <si>
    <t>NHM-2026-100675</t>
  </si>
  <si>
    <t>Doris Lewis</t>
  </si>
  <si>
    <t>NHM-2025-101237</t>
  </si>
  <si>
    <t>Jacqueline Ward</t>
  </si>
  <si>
    <t>NHM-2025-100818</t>
  </si>
  <si>
    <t>Diane Reyes</t>
  </si>
  <si>
    <t>NHM-2025-100926</t>
  </si>
  <si>
    <t>Katherine Gonzalez</t>
  </si>
  <si>
    <t>NHM-2023-102359</t>
  </si>
  <si>
    <t>Victoria James</t>
  </si>
  <si>
    <t>NHM-2025-100099</t>
  </si>
  <si>
    <t>Megan Graham</t>
  </si>
  <si>
    <t>NHM-2025-100447</t>
  </si>
  <si>
    <t>Charles Sullivan</t>
  </si>
  <si>
    <t>NHM-2023-102299</t>
  </si>
  <si>
    <t>Charles Gibson</t>
  </si>
  <si>
    <t>NHM-2023-100024</t>
  </si>
  <si>
    <t>Jeremy Richardson</t>
  </si>
  <si>
    <t>NHM-2026-102408</t>
  </si>
  <si>
    <t>Jose Harris</t>
  </si>
  <si>
    <t>NHM-2024-101907</t>
  </si>
  <si>
    <t>Andrew Peterson</t>
  </si>
  <si>
    <t>NHM-2026-102018</t>
  </si>
  <si>
    <t>Joyce Graham</t>
  </si>
  <si>
    <t>NHM-2023-102090</t>
  </si>
  <si>
    <t>Scott Gutierrez</t>
  </si>
  <si>
    <t>NHM-2025-101664</t>
  </si>
  <si>
    <t>Gregory Nelson</t>
  </si>
  <si>
    <t>NHM-2023-101921</t>
  </si>
  <si>
    <t>Evelyn Ramirez</t>
  </si>
  <si>
    <t>NHM-2023-100044</t>
  </si>
  <si>
    <t>Catherine Butler</t>
  </si>
  <si>
    <t>NHM-2023-101291</t>
  </si>
  <si>
    <t>Samuel Patterson</t>
  </si>
  <si>
    <t>NHM-2023-100530</t>
  </si>
  <si>
    <t>Julie Flores</t>
  </si>
  <si>
    <t>NHM-2023-101611</t>
  </si>
  <si>
    <t>Kenneth Bailey</t>
  </si>
  <si>
    <t>NHM-2026-101117</t>
  </si>
  <si>
    <t>Sarah Cruz</t>
  </si>
  <si>
    <t>NHM-2024-101232</t>
  </si>
  <si>
    <t>Margaret Wright</t>
  </si>
  <si>
    <t>NHM-2026-101927</t>
  </si>
  <si>
    <t>Julia Cooper</t>
  </si>
  <si>
    <t>NHM-2026-101192</t>
  </si>
  <si>
    <t>Carol Wilson</t>
  </si>
  <si>
    <t>NHM-2023-101062</t>
  </si>
  <si>
    <t>Scott Ellis</t>
  </si>
  <si>
    <t>NHM-2025-100550</t>
  </si>
  <si>
    <t>Scott Ward</t>
  </si>
  <si>
    <t>NHM-2023-101396</t>
  </si>
  <si>
    <t>Bryan Kennedy</t>
  </si>
  <si>
    <t>NHM-2025-101944</t>
  </si>
  <si>
    <t>Cheryl Butler</t>
  </si>
  <si>
    <t>NHM-2026-101278</t>
  </si>
  <si>
    <t>NHM-2025-102292</t>
  </si>
  <si>
    <t>Patrick Powell</t>
  </si>
  <si>
    <t>NHM-2026-101114</t>
  </si>
  <si>
    <t>Bruce Garcia</t>
  </si>
  <si>
    <t>NHM-2023-100734</t>
  </si>
  <si>
    <t>Denise Hall</t>
  </si>
  <si>
    <t>NHM-2025-100187</t>
  </si>
  <si>
    <t>Anthony Baker</t>
  </si>
  <si>
    <t>NHM-2023-100884</t>
  </si>
  <si>
    <t>Gary Ortiz</t>
  </si>
  <si>
    <t>NHM-2026-101179</t>
  </si>
  <si>
    <t>NHM-2025-101790</t>
  </si>
  <si>
    <t>Megan Anderson</t>
  </si>
  <si>
    <t>NHM-2025-101989</t>
  </si>
  <si>
    <t>Andrew Scott</t>
  </si>
  <si>
    <t>NHM-2024-101332</t>
  </si>
  <si>
    <t>Kevin Henderson</t>
  </si>
  <si>
    <t>NHM-2023-100276</t>
  </si>
  <si>
    <t>Jeremy Thompson</t>
  </si>
  <si>
    <t>NHM-2023-100257</t>
  </si>
  <si>
    <t>Arthur Diaz</t>
  </si>
  <si>
    <t>NHM-2026-101984</t>
  </si>
  <si>
    <t>Brandon Ortiz</t>
  </si>
  <si>
    <t>NHM-2023-101520</t>
  </si>
  <si>
    <t>Ralph Patel</t>
  </si>
  <si>
    <t>NHM-2025-100862</t>
  </si>
  <si>
    <t>Steven Washington</t>
  </si>
  <si>
    <t>NHM-2024-101399</t>
  </si>
  <si>
    <t>Kevin Harris</t>
  </si>
  <si>
    <t>NHM-2026-101156</t>
  </si>
  <si>
    <t>Rachel Bell</t>
  </si>
  <si>
    <t>NHM-2026-100208</t>
  </si>
  <si>
    <t>Olivia Rogers</t>
  </si>
  <si>
    <t>NHM-2023-100562</t>
  </si>
  <si>
    <t>Roger Mcdonald</t>
  </si>
  <si>
    <t>NHM-2026-102274</t>
  </si>
  <si>
    <t>Jordan Jenkins</t>
  </si>
  <si>
    <t>NHM-2024-101978</t>
  </si>
  <si>
    <t>Albert Gutierrez</t>
  </si>
  <si>
    <t>NHM-2024-102263</t>
  </si>
  <si>
    <t>Jasmine Freeman</t>
  </si>
  <si>
    <t>NHM-2025-102112</t>
  </si>
  <si>
    <t>Ashley Brooks</t>
  </si>
  <si>
    <t>NHM-2023-101983</t>
  </si>
  <si>
    <t>Doris Reyes</t>
  </si>
  <si>
    <t>NHM-2023-101302</t>
  </si>
  <si>
    <t>Christine Ramos</t>
  </si>
  <si>
    <t>NHM-2026-101708</t>
  </si>
  <si>
    <t>Danielle Clark</t>
  </si>
  <si>
    <t>NHM-2024-100151</t>
  </si>
  <si>
    <t>Betty Ross</t>
  </si>
  <si>
    <t>NHM-2026-101535</t>
  </si>
  <si>
    <t>Laura Powell</t>
  </si>
  <si>
    <t>NHM-2026-100688</t>
  </si>
  <si>
    <t>NHM-2026-100487</t>
  </si>
  <si>
    <t>NHM-2023-101155</t>
  </si>
  <si>
    <t>Peter Scott</t>
  </si>
  <si>
    <t>NHM-2024-101361</t>
  </si>
  <si>
    <t>Jennifer White</t>
  </si>
  <si>
    <t>NHM-2024-101898</t>
  </si>
  <si>
    <t>Elizabeth Ortiz</t>
  </si>
  <si>
    <t>NHM-2026-101186</t>
  </si>
  <si>
    <t>Nathan Ford</t>
  </si>
  <si>
    <t>NHM-2025-101695</t>
  </si>
  <si>
    <t>Helen Warren</t>
  </si>
  <si>
    <t>NHM-2023-102197</t>
  </si>
  <si>
    <t>Walter Brooks</t>
  </si>
  <si>
    <t>NHM-2024-102450</t>
  </si>
  <si>
    <t>Christina Thomas</t>
  </si>
  <si>
    <t>NHM-2023-102485</t>
  </si>
  <si>
    <t>Stephen Reyes</t>
  </si>
  <si>
    <t>NHM-2024-100969</t>
  </si>
  <si>
    <t>Laura Moore</t>
  </si>
  <si>
    <t>NHM-2023-100512</t>
  </si>
  <si>
    <t>Sara Jenkins</t>
  </si>
  <si>
    <t>NHM-2025-101500</t>
  </si>
  <si>
    <t>Ronald Stewart</t>
  </si>
  <si>
    <t>NHM-2025-100834</t>
  </si>
  <si>
    <t>Frank Bell</t>
  </si>
  <si>
    <t>NHM-2025-101356</t>
  </si>
  <si>
    <t>Susan Moore</t>
  </si>
  <si>
    <t>NHM-2023-101517</t>
  </si>
  <si>
    <t>Jonathan Wallace</t>
  </si>
  <si>
    <t>NHM-2026-101802</t>
  </si>
  <si>
    <t>Daniel Wallace</t>
  </si>
  <si>
    <t>NHM-2026-100346</t>
  </si>
  <si>
    <t>Jean Brown</t>
  </si>
  <si>
    <t>NHM-2025-100936</t>
  </si>
  <si>
    <t>Jeffrey Thompson</t>
  </si>
  <si>
    <t>NHM-2024-101503</t>
  </si>
  <si>
    <t>Evelyn Stewart</t>
  </si>
  <si>
    <t>NHM-2026-101650</t>
  </si>
  <si>
    <t>Christine Wright</t>
  </si>
  <si>
    <t>NHM-2025-101739</t>
  </si>
  <si>
    <t>Aaron Roberts</t>
  </si>
  <si>
    <t>NHM-2026-102493</t>
  </si>
  <si>
    <t>Richard Smith</t>
  </si>
  <si>
    <t>NHM-2025-101599</t>
  </si>
  <si>
    <t>Daniel Perry</t>
  </si>
  <si>
    <t>NHM-2026-100576</t>
  </si>
  <si>
    <t>Willie Garcia</t>
  </si>
  <si>
    <t>NHM-2026-101400</t>
  </si>
  <si>
    <t>Jessica Rivera</t>
  </si>
  <si>
    <t>NHM-2025-101455</t>
  </si>
  <si>
    <t>Samuel Flores</t>
  </si>
  <si>
    <t>NHM-2023-102499</t>
  </si>
  <si>
    <t>Sara Myers</t>
  </si>
  <si>
    <t>NHM-2024-102180</t>
  </si>
  <si>
    <t>Lisa Wallace</t>
  </si>
  <si>
    <t>NHM-2026-101947</t>
  </si>
  <si>
    <t>Jeremy Barnes</t>
  </si>
  <si>
    <t>NHM-2023-101058</t>
  </si>
  <si>
    <t>Barbara Hall</t>
  </si>
  <si>
    <t>NHM-2026-100791</t>
  </si>
  <si>
    <t>Laura Wallace</t>
  </si>
  <si>
    <t>NHM-2023-102141</t>
  </si>
  <si>
    <t>Joseph Walker</t>
  </si>
  <si>
    <t>NHM-2025-101171</t>
  </si>
  <si>
    <t>Rachel Martinez</t>
  </si>
  <si>
    <t>NHM-2024-100570</t>
  </si>
  <si>
    <t>Helen Ward</t>
  </si>
  <si>
    <t>NHM-2023-101033</t>
  </si>
  <si>
    <t>Kyle Smith</t>
  </si>
  <si>
    <t>NHM-2026-101123</t>
  </si>
  <si>
    <t>Matthew Myers</t>
  </si>
  <si>
    <t>NHM-2024-102182</t>
  </si>
  <si>
    <t>Lauren Hamilton</t>
  </si>
  <si>
    <t>NHM-2024-101141</t>
  </si>
  <si>
    <t>Melissa Sanders</t>
  </si>
  <si>
    <t>NHM-2023-100291</t>
  </si>
  <si>
    <t>NHM-2023-100411</t>
  </si>
  <si>
    <t>Carl Collins</t>
  </si>
  <si>
    <t>NHM-2026-101098</t>
  </si>
  <si>
    <t>Dennis Harris</t>
  </si>
  <si>
    <t>NHM-2023-100314</t>
  </si>
  <si>
    <t>Christian Russell</t>
  </si>
  <si>
    <t>NHM-2024-100514</t>
  </si>
  <si>
    <t>Brenda Morris</t>
  </si>
  <si>
    <t>NHM-2023-102320</t>
  </si>
  <si>
    <t>Ryan Chavez</t>
  </si>
  <si>
    <t>NHM-2026-101075</t>
  </si>
  <si>
    <t>Ashley Murphy</t>
  </si>
  <si>
    <t>NHM-2025-101329</t>
  </si>
  <si>
    <t>Vincent Barnes</t>
  </si>
  <si>
    <t>NHM-2024-100898</t>
  </si>
  <si>
    <t>Gabriel Foster</t>
  </si>
  <si>
    <t>NHM-2026-102202</t>
  </si>
  <si>
    <t>Vincent Gibson</t>
  </si>
  <si>
    <t>NHM-2024-100565</t>
  </si>
  <si>
    <t>Jean Hayes</t>
  </si>
  <si>
    <t>NHM-2026-102084</t>
  </si>
  <si>
    <t>Eric Jackson</t>
  </si>
  <si>
    <t>NHM-2024-102418</t>
  </si>
  <si>
    <t>Carol Patel</t>
  </si>
  <si>
    <t>NHM-2023-101767</t>
  </si>
  <si>
    <t>Kimberly Ellis</t>
  </si>
  <si>
    <t>NHM-2026-102195</t>
  </si>
  <si>
    <t>Robert Wells</t>
  </si>
  <si>
    <t>NHM-2026-101988</t>
  </si>
  <si>
    <t>Cynthia Reed</t>
  </si>
  <si>
    <t>NHM-2025-101878</t>
  </si>
  <si>
    <t>Theresa Graham</t>
  </si>
  <si>
    <t>NHM-2024-101493</t>
  </si>
  <si>
    <t>Douglas Martin</t>
  </si>
  <si>
    <t>NHM-2025-100654</t>
  </si>
  <si>
    <t>Sara Lewis</t>
  </si>
  <si>
    <t>NHM-2024-102478</t>
  </si>
  <si>
    <t>Nicholas Russell</t>
  </si>
  <si>
    <t>NHM-2024-101121</t>
  </si>
  <si>
    <t>Marilyn Johnson</t>
  </si>
  <si>
    <t>NHM-2024-100532</t>
  </si>
  <si>
    <t>Nathan Hughes</t>
  </si>
  <si>
    <t>NHM-2025-102088</t>
  </si>
  <si>
    <t>Andrew Bennett</t>
  </si>
  <si>
    <t>NHM-2024-100730</t>
  </si>
  <si>
    <t>Jordan Collins</t>
  </si>
  <si>
    <t>NHM-2026-100863</t>
  </si>
  <si>
    <t>Julia Wright</t>
  </si>
  <si>
    <t>NHM-2023-101693</t>
  </si>
  <si>
    <t>Linda Perry</t>
  </si>
  <si>
    <t>NHM-2026-100500</t>
  </si>
  <si>
    <t>Cynthia Sullivan</t>
  </si>
  <si>
    <t>NHM-2023-100677</t>
  </si>
  <si>
    <t>Jessica Hughes</t>
  </si>
  <si>
    <t>NHM-2023-102157</t>
  </si>
  <si>
    <t>Kathleen Lewis</t>
  </si>
  <si>
    <t>NHM-2026-100480</t>
  </si>
  <si>
    <t>Rebecca Owens</t>
  </si>
  <si>
    <t>NHM-2023-100349</t>
  </si>
  <si>
    <t>Albert Gonzales</t>
  </si>
  <si>
    <t>NHM-2025-102199</t>
  </si>
  <si>
    <t>NHM-2026-100307</t>
  </si>
  <si>
    <t>Stephanie Evans</t>
  </si>
  <si>
    <t>NHM-2025-100316</t>
  </si>
  <si>
    <t>Kenneth Brown</t>
  </si>
  <si>
    <t>NHM-2024-100885</t>
  </si>
  <si>
    <t>Valerie Adams</t>
  </si>
  <si>
    <t>NHM-2024-101993</t>
  </si>
  <si>
    <t>Matthew Dixon</t>
  </si>
  <si>
    <t>NHM-2026-100255</t>
  </si>
  <si>
    <t>Kyle Kennedy</t>
  </si>
  <si>
    <t>NHM-2024-102117</t>
  </si>
  <si>
    <t>Patricia Cox</t>
  </si>
  <si>
    <t>NHM-2026-101039</t>
  </si>
  <si>
    <t>NHM-2025-102380</t>
  </si>
  <si>
    <t>Walter Mason</t>
  </si>
  <si>
    <t>NHM-2025-101550</t>
  </si>
  <si>
    <t>Marilyn Boyd</t>
  </si>
  <si>
    <t>NHM-2023-100165</t>
  </si>
  <si>
    <t>Kathleen Warren</t>
  </si>
  <si>
    <t>NHM-2026-100064</t>
  </si>
  <si>
    <t>Arthur Coleman</t>
  </si>
  <si>
    <t>NHM-2025-101242</t>
  </si>
  <si>
    <t>Julia Hicks</t>
  </si>
  <si>
    <t>NHM-2023-101950</t>
  </si>
  <si>
    <t>Angela Coleman</t>
  </si>
  <si>
    <t>NHM-2023-100167</t>
  </si>
  <si>
    <t>Jacqueline Watson</t>
  </si>
  <si>
    <t>NHM-2025-100477</t>
  </si>
  <si>
    <t>Betty Morales</t>
  </si>
  <si>
    <t>NHM-2026-100977</t>
  </si>
  <si>
    <t>Brenda Rodriguez</t>
  </si>
  <si>
    <t>NHM-2024-101577</t>
  </si>
  <si>
    <t>Kimberly Kennedy</t>
  </si>
  <si>
    <t>NHM-2024-101287</t>
  </si>
  <si>
    <t>Roy Turner</t>
  </si>
  <si>
    <t>NHM-2026-102411</t>
  </si>
  <si>
    <t>John Peterson</t>
  </si>
  <si>
    <t>NHM-2024-101435</t>
  </si>
  <si>
    <t>Arthur Garcia</t>
  </si>
  <si>
    <t>NHM-2025-100667</t>
  </si>
  <si>
    <t>Peter Mendoza</t>
  </si>
  <si>
    <t>NHM-2023-101817</t>
  </si>
  <si>
    <t>Jacqueline Kelly</t>
  </si>
  <si>
    <t>NHM-2025-101801</t>
  </si>
  <si>
    <t>NHM-2024-101056</t>
  </si>
  <si>
    <t>Richard Richardson</t>
  </si>
  <si>
    <t>NHM-2024-102349</t>
  </si>
  <si>
    <t>Kathryn Morales</t>
  </si>
  <si>
    <t>NHM-2024-100417</t>
  </si>
  <si>
    <t>Megan Mitchell</t>
  </si>
  <si>
    <t>NHM-2026-100253</t>
  </si>
  <si>
    <t>Edward Mitchell</t>
  </si>
  <si>
    <t>NHM-2025-102102</t>
  </si>
  <si>
    <t>Ashley Mason</t>
  </si>
  <si>
    <t>NHM-2026-100413</t>
  </si>
  <si>
    <t>Kyle Harris</t>
  </si>
  <si>
    <t>NHM-2024-100909</t>
  </si>
  <si>
    <t>Judith Edwards</t>
  </si>
  <si>
    <t>NHM-2024-101318</t>
  </si>
  <si>
    <t>Ruth Nelson</t>
  </si>
  <si>
    <t>NHM-2025-101990</t>
  </si>
  <si>
    <t>Maria Jenkins</t>
  </si>
  <si>
    <t>NHM-2023-101407</t>
  </si>
  <si>
    <t>Deborah Howard</t>
  </si>
  <si>
    <t>NHM-2024-101514</t>
  </si>
  <si>
    <t>Andrew Wood</t>
  </si>
  <si>
    <t>NHM-2023-100551</t>
  </si>
  <si>
    <t>Anna Simmons</t>
  </si>
  <si>
    <t>NHM-2025-100290</t>
  </si>
  <si>
    <t>Sarah Nguyen</t>
  </si>
  <si>
    <t>NHM-2025-102098</t>
  </si>
  <si>
    <t>Martha Myers</t>
  </si>
  <si>
    <t>NHM-2025-102319</t>
  </si>
  <si>
    <t>Dylan Freeman</t>
  </si>
  <si>
    <t>NHM-2026-102376</t>
  </si>
  <si>
    <t>Jesse Ruiz</t>
  </si>
  <si>
    <t>NHM-2023-100034</t>
  </si>
  <si>
    <t>NHM-2025-100141</t>
  </si>
  <si>
    <t>Gloria Richardson</t>
  </si>
  <si>
    <t>NHM-2024-100519</t>
  </si>
  <si>
    <t>Eric Flores</t>
  </si>
  <si>
    <t>NHM-2024-101108</t>
  </si>
  <si>
    <t>Valerie Gomez</t>
  </si>
  <si>
    <t>NHM-2023-101349</t>
  </si>
  <si>
    <t>Harold Tucker</t>
  </si>
  <si>
    <t>NHM-2025-100988</t>
  </si>
  <si>
    <t>Joshua Patel</t>
  </si>
  <si>
    <t>NHM-2023-101205</t>
  </si>
  <si>
    <t>Joan Hicks</t>
  </si>
  <si>
    <t>NHM-2025-101524</t>
  </si>
  <si>
    <t>Patrick Kennedy</t>
  </si>
  <si>
    <t>NHM-2026-100079</t>
  </si>
  <si>
    <t>Matthew Henderson</t>
  </si>
  <si>
    <t>NHM-2025-100472</t>
  </si>
  <si>
    <t>Elijah Russell</t>
  </si>
  <si>
    <t>NHM-2023-100259</t>
  </si>
  <si>
    <t>Jean Ortiz</t>
  </si>
  <si>
    <t>NHM-2025-101507</t>
  </si>
  <si>
    <t>Dorothy Brooks</t>
  </si>
  <si>
    <t>NHM-2025-102278</t>
  </si>
  <si>
    <t>Grace Price</t>
  </si>
  <si>
    <t>NHM-2026-102078</t>
  </si>
  <si>
    <t>Juan Kim</t>
  </si>
  <si>
    <t>NHM-2024-102186</t>
  </si>
  <si>
    <t>Kevin Smith</t>
  </si>
  <si>
    <t>NHM-2024-102351</t>
  </si>
  <si>
    <t>Hannah Long</t>
  </si>
  <si>
    <t>NHM-2026-101868</t>
  </si>
  <si>
    <t>Alice West</t>
  </si>
  <si>
    <t>NHM-2025-100103</t>
  </si>
  <si>
    <t>Judith Ramos</t>
  </si>
  <si>
    <t>NHM-2024-100014</t>
  </si>
  <si>
    <t>NHM-2023-100686</t>
  </si>
  <si>
    <t>John Lee</t>
  </si>
  <si>
    <t>NHM-2023-100924</t>
  </si>
  <si>
    <t>Sean Flores</t>
  </si>
  <si>
    <t>NHM-2025-100176</t>
  </si>
  <si>
    <t>Christine Cole</t>
  </si>
  <si>
    <t>NHM-2026-100148</t>
  </si>
  <si>
    <t>Elizabeth Morgan</t>
  </si>
  <si>
    <t>NHM-2023-102143</t>
  </si>
  <si>
    <t>Ryan Dixon</t>
  </si>
  <si>
    <t>NHM-2026-102099</t>
  </si>
  <si>
    <t>Ann Moore</t>
  </si>
  <si>
    <t>NHM-2023-101838</t>
  </si>
  <si>
    <t>Lauren Hunter</t>
  </si>
  <si>
    <t>NHM-2026-100369</t>
  </si>
  <si>
    <t>Alan Baker</t>
  </si>
  <si>
    <t>NHM-2025-101022</t>
  </si>
  <si>
    <t>Gary Hall</t>
  </si>
  <si>
    <t>NHM-2026-101099</t>
  </si>
  <si>
    <t>Grace Bryant</t>
  </si>
  <si>
    <t>NHM-2023-101845</t>
  </si>
  <si>
    <t>Carol Turner</t>
  </si>
  <si>
    <t>NHM-2025-101084</t>
  </si>
  <si>
    <t>Barbara Russell</t>
  </si>
  <si>
    <t>NHM-2026-101614</t>
  </si>
  <si>
    <t>Austin Myers</t>
  </si>
  <si>
    <t>NHM-2023-100795</t>
  </si>
  <si>
    <t>Joan Hayes</t>
  </si>
  <si>
    <t>NHM-2023-101894</t>
  </si>
  <si>
    <t>Albert Bennett</t>
  </si>
  <si>
    <t>NHM-2024-101031</t>
  </si>
  <si>
    <t>Jean Young</t>
  </si>
  <si>
    <t>NHM-2024-101436</t>
  </si>
  <si>
    <t>Matthew Thomas</t>
  </si>
  <si>
    <t>NHM-2026-100056</t>
  </si>
  <si>
    <t>Daniel Hughes</t>
  </si>
  <si>
    <t>NHM-2024-102217</t>
  </si>
  <si>
    <t>Thomas James</t>
  </si>
  <si>
    <t>NHM-2023-102369</t>
  </si>
  <si>
    <t>Kyle Morgan</t>
  </si>
  <si>
    <t>NHM-2026-101850</t>
  </si>
  <si>
    <t>Maria Owens</t>
  </si>
  <si>
    <t>NHM-2023-101889</t>
  </si>
  <si>
    <t>William Mitchell</t>
  </si>
  <si>
    <t>NHM-2023-100806</t>
  </si>
  <si>
    <t>Victoria Alvarez</t>
  </si>
  <si>
    <t>NHM-2024-100473</t>
  </si>
  <si>
    <t>Janet Nguyen</t>
  </si>
  <si>
    <t>NHM-2026-100089</t>
  </si>
  <si>
    <t>Jesse Ellis</t>
  </si>
  <si>
    <t>NHM-2024-101506</t>
  </si>
  <si>
    <t>Evelyn Flores</t>
  </si>
  <si>
    <t>NHM-2023-100529</t>
  </si>
  <si>
    <t>Christopher Coleman</t>
  </si>
  <si>
    <t>NHM-2026-100243</t>
  </si>
  <si>
    <t>Roger Simmons</t>
  </si>
  <si>
    <t>NHM-2025-101819</t>
  </si>
  <si>
    <t>Danielle Green</t>
  </si>
  <si>
    <t>NHM-2026-101013</t>
  </si>
  <si>
    <t>Adam Campbell</t>
  </si>
  <si>
    <t>NHM-2023-101804</t>
  </si>
  <si>
    <t>NHM-2024-101492</t>
  </si>
  <si>
    <t>Gregory Scott</t>
  </si>
  <si>
    <t>NHM-2026-100911</t>
  </si>
  <si>
    <t>Rachel Alvarez</t>
  </si>
  <si>
    <t>NHM-2024-100964</t>
  </si>
  <si>
    <t>Steven Mitchell</t>
  </si>
  <si>
    <t>NHM-2024-101019</t>
  </si>
  <si>
    <t>Robert Hunter</t>
  </si>
  <si>
    <t>NHM-2025-101137</t>
  </si>
  <si>
    <t>Marilyn Brooks</t>
  </si>
  <si>
    <t>NHM-2025-100041</t>
  </si>
  <si>
    <t>Amy Wells</t>
  </si>
  <si>
    <t>NHM-2025-101851</t>
  </si>
  <si>
    <t>Barbara Long</t>
  </si>
  <si>
    <t>NHM-2023-102415</t>
  </si>
  <si>
    <t>Gerald Hicks</t>
  </si>
  <si>
    <t>NHM-2025-101729</t>
  </si>
  <si>
    <t>Robert Henderson</t>
  </si>
  <si>
    <t>NHM-2026-100826</t>
  </si>
  <si>
    <t>Ruth Wallace</t>
  </si>
  <si>
    <t>NHM-2023-102264</t>
  </si>
  <si>
    <t>Rachel Gibson</t>
  </si>
  <si>
    <t>NHM-2026-100904</t>
  </si>
  <si>
    <t>Douglas Alvarez</t>
  </si>
  <si>
    <t>NHM-2026-100712</t>
  </si>
  <si>
    <t>Deborah Ortiz</t>
  </si>
  <si>
    <t>NHM-2024-101553</t>
  </si>
  <si>
    <t>James Taylor</t>
  </si>
  <si>
    <t>NHM-2024-100785</t>
  </si>
  <si>
    <t>Maria Lee</t>
  </si>
  <si>
    <t>NHM-2024-102333</t>
  </si>
  <si>
    <t>Diane Sullivan</t>
  </si>
  <si>
    <t>NHM-2024-102125</t>
  </si>
  <si>
    <t>Lauren Alexander</t>
  </si>
  <si>
    <t>NHM-2026-100849</t>
  </si>
  <si>
    <t>Melissa Martinez</t>
  </si>
  <si>
    <t>NHM-2026-101169</t>
  </si>
  <si>
    <t>Eugene Wright</t>
  </si>
  <si>
    <t>NHM-2026-102298</t>
  </si>
  <si>
    <t>Peter Rodriguez</t>
  </si>
  <si>
    <t>NHM-2025-101006</t>
  </si>
  <si>
    <t>Rachel Fisher</t>
  </si>
  <si>
    <t>NHM-2024-102075</t>
  </si>
  <si>
    <t>Joe Perry</t>
  </si>
  <si>
    <t>NHM-2023-100506</t>
  </si>
  <si>
    <t>Ruth Jenkins</t>
  </si>
  <si>
    <t>NHM-2024-101880</t>
  </si>
  <si>
    <t>Marilyn Jenkins</t>
  </si>
  <si>
    <t>NHM-2024-102123</t>
  </si>
  <si>
    <t>James Long</t>
  </si>
  <si>
    <t>NHM-2025-102314</t>
  </si>
  <si>
    <t>Megan Flores</t>
  </si>
  <si>
    <t>NHM-2026-100143</t>
  </si>
  <si>
    <t>Jacob Bryant</t>
  </si>
  <si>
    <t>NHM-2025-101346</t>
  </si>
  <si>
    <t>Valerie Jordan</t>
  </si>
  <si>
    <t>NHM-2026-101298</t>
  </si>
  <si>
    <t>Judy Long</t>
  </si>
  <si>
    <t>NHM-2023-101986</t>
  </si>
  <si>
    <t>Judith Ortiz</t>
  </si>
  <si>
    <t>NHM-2024-101697</t>
  </si>
  <si>
    <t>Margaret Morales</t>
  </si>
  <si>
    <t>NHM-2026-100288</t>
  </si>
  <si>
    <t>Paul Walker</t>
  </si>
  <si>
    <t>NHM-2024-100740</t>
  </si>
  <si>
    <t>Elijah Griffin</t>
  </si>
  <si>
    <t>NHM-2025-102010</t>
  </si>
  <si>
    <t>NHM-2023-100537</t>
  </si>
  <si>
    <t>Sharon Mason</t>
  </si>
  <si>
    <t>NHM-2023-101369</t>
  </si>
  <si>
    <t>Kathryn Kim</t>
  </si>
  <si>
    <t>NHM-2024-101470</t>
  </si>
  <si>
    <t>NHM-2024-102246</t>
  </si>
  <si>
    <t>Thomas Gutierrez</t>
  </si>
  <si>
    <t>NHM-2026-101106</t>
  </si>
  <si>
    <t>Daniel Woods</t>
  </si>
  <si>
    <t>NHM-2025-102417</t>
  </si>
  <si>
    <t>NHM-2026-100358</t>
  </si>
  <si>
    <t>Kathleen Smith</t>
  </si>
  <si>
    <t>NHM-2026-101183</t>
  </si>
  <si>
    <t>Emma Mitchell</t>
  </si>
  <si>
    <t>NHM-2024-101485</t>
  </si>
  <si>
    <t>Scott Hamilton</t>
  </si>
  <si>
    <t>NHM-2024-101449</t>
  </si>
  <si>
    <t>Jonathan Jenkins</t>
  </si>
  <si>
    <t>NHM-2024-100777</t>
  </si>
  <si>
    <t>Debra Foster</t>
  </si>
  <si>
    <t>NHM-2024-100164</t>
  </si>
  <si>
    <t>Ralph Ramos</t>
  </si>
  <si>
    <t>NHM-2025-101276</t>
  </si>
  <si>
    <t>Arthur Gonzales</t>
  </si>
  <si>
    <t>NHM-2024-101274</t>
  </si>
  <si>
    <t>Joshua Sanchez</t>
  </si>
  <si>
    <t>NHM-2026-101223</t>
  </si>
  <si>
    <t>Michelle Cooper</t>
  </si>
  <si>
    <t>NHM-2026-100213</t>
  </si>
  <si>
    <t>Christine Diaz</t>
  </si>
  <si>
    <t>NHM-2025-100050</t>
  </si>
  <si>
    <t>Virginia Simmons</t>
  </si>
  <si>
    <t>NHM-2025-101339</t>
  </si>
  <si>
    <t>Brenda Alvarez</t>
  </si>
  <si>
    <t>NHM-2023-100508</t>
  </si>
  <si>
    <t>Christina Rivera</t>
  </si>
  <si>
    <t>NHM-2025-101618</t>
  </si>
  <si>
    <t>Jessica Gonzales</t>
  </si>
  <si>
    <t>NHM-2025-100238</t>
  </si>
  <si>
    <t>Matthew Diaz</t>
  </si>
  <si>
    <t>NHM-2026-101686</t>
  </si>
  <si>
    <t>Adam Graham</t>
  </si>
  <si>
    <t>NHM-2026-102356</t>
  </si>
  <si>
    <t>Danielle Castillo</t>
  </si>
  <si>
    <t>NHM-2025-102009</t>
  </si>
  <si>
    <t>Thomas Edwards</t>
  </si>
  <si>
    <t>NHM-2023-101378</t>
  </si>
  <si>
    <t>Shirley Myers</t>
  </si>
  <si>
    <t>NHM-2024-101026</t>
  </si>
  <si>
    <t>Janice Walker</t>
  </si>
  <si>
    <t>NHM-2023-101395</t>
  </si>
  <si>
    <t>Lisa Alvarez</t>
  </si>
  <si>
    <t>NHM-2024-100094</t>
  </si>
  <si>
    <t>Raymond Ruiz</t>
  </si>
  <si>
    <t>NHM-2026-100973</t>
  </si>
  <si>
    <t>Sharon Butler</t>
  </si>
  <si>
    <t>NHM-2024-100007</t>
  </si>
  <si>
    <t>Dylan King</t>
  </si>
  <si>
    <t>NHM-2024-101953</t>
  </si>
  <si>
    <t>Christopher Patterson</t>
  </si>
  <si>
    <t>NHM-2023-100350</t>
  </si>
  <si>
    <t>Elijah Powell</t>
  </si>
  <si>
    <t>NHM-2024-101299</t>
  </si>
  <si>
    <t>Eric Nguyen</t>
  </si>
  <si>
    <t>NHM-2023-100453</t>
  </si>
  <si>
    <t>Maria West</t>
  </si>
  <si>
    <t>NHM-2023-101046</t>
  </si>
  <si>
    <t>Maria Henry</t>
  </si>
  <si>
    <t>NHM-2023-100072</t>
  </si>
  <si>
    <t>Martha Foster</t>
  </si>
  <si>
    <t>NHM-2024-101021</t>
  </si>
  <si>
    <t>Doris Flores</t>
  </si>
  <si>
    <t>NHM-2025-101464</t>
  </si>
  <si>
    <t>Diane Hughes</t>
  </si>
  <si>
    <t>NHM-2026-101372</t>
  </si>
  <si>
    <t>Margaret Mendoza</t>
  </si>
  <si>
    <t>NHM-2025-102167</t>
  </si>
  <si>
    <t>Gary Castillo</t>
  </si>
  <si>
    <t>NHM-2025-100564</t>
  </si>
  <si>
    <t>Noah Rivera</t>
  </si>
  <si>
    <t>NHM-2026-101778</t>
  </si>
  <si>
    <t>Gregory Miller</t>
  </si>
  <si>
    <t>NHM-2026-100461</t>
  </si>
  <si>
    <t>Melissa Bailey</t>
  </si>
  <si>
    <t>NHM-2026-100918</t>
  </si>
  <si>
    <t>Kyle Wilson</t>
  </si>
  <si>
    <t>NHM-2026-101359</t>
  </si>
  <si>
    <t>Willie Gomez</t>
  </si>
  <si>
    <t>NHM-2025-100609</t>
  </si>
  <si>
    <t>Jack Butler</t>
  </si>
  <si>
    <t>NHM-2026-100437</t>
  </si>
  <si>
    <t>Sarah Kennedy</t>
  </si>
  <si>
    <t>NHM-2023-100423</t>
  </si>
  <si>
    <t>Patrick Brooks</t>
  </si>
  <si>
    <t>NHM-2024-100671</t>
  </si>
  <si>
    <t>Jonathan Powell</t>
  </si>
  <si>
    <t>NHM-2024-100320</t>
  </si>
  <si>
    <t>Justin Roberts</t>
  </si>
  <si>
    <t>NHM-2023-102103</t>
  </si>
  <si>
    <t>Carol Collins</t>
  </si>
  <si>
    <t>NHM-2024-101829</t>
  </si>
  <si>
    <t>Emily Miller</t>
  </si>
  <si>
    <t>NHM-2023-101567</t>
  </si>
  <si>
    <t>Adam Price</t>
  </si>
  <si>
    <t>NHM-2025-101939</t>
  </si>
  <si>
    <t>Angela Cox</t>
  </si>
  <si>
    <t>NHM-2024-101212</t>
  </si>
  <si>
    <t>Andrew Campbell</t>
  </si>
  <si>
    <t>NHM-2023-100387</t>
  </si>
  <si>
    <t>Janice Coleman</t>
  </si>
  <si>
    <t>NHM-2023-100828</t>
  </si>
  <si>
    <t>Amy Ford</t>
  </si>
  <si>
    <t>NHM-2025-101610</t>
  </si>
  <si>
    <t>Joyce Freeman</t>
  </si>
  <si>
    <t>NHM-2025-101177</t>
  </si>
  <si>
    <t>Nancy Gonzales</t>
  </si>
  <si>
    <t>NHM-2026-100994</t>
  </si>
  <si>
    <t>Andrew Murray</t>
  </si>
  <si>
    <t>NHM-2026-101816</t>
  </si>
  <si>
    <t>Douglas Young</t>
  </si>
  <si>
    <t>NHM-2023-102132</t>
  </si>
  <si>
    <t>Christopher Young</t>
  </si>
  <si>
    <t>NHM-2025-100303</t>
  </si>
  <si>
    <t>Jacqueline Alvarez</t>
  </si>
  <si>
    <t>NHM-2023-101479</t>
  </si>
  <si>
    <t>Kimberly Adams</t>
  </si>
  <si>
    <t>NHM-2023-100445</t>
  </si>
  <si>
    <t>Dennis Hernandez</t>
  </si>
  <si>
    <t>NHM-2023-101901</t>
  </si>
  <si>
    <t>NHM-2024-100074</t>
  </si>
  <si>
    <t>NHM-2026-100505</t>
  </si>
  <si>
    <t>Mark Foster</t>
  </si>
  <si>
    <t>NHM-2026-102357</t>
  </si>
  <si>
    <t>Carol Thompson</t>
  </si>
  <si>
    <t>NHM-2024-101363</t>
  </si>
  <si>
    <t>Austin Owens</t>
  </si>
  <si>
    <t>NHM-2026-101229</t>
  </si>
  <si>
    <t>Nancy Mitchell</t>
  </si>
  <si>
    <t>NHM-2026-102317</t>
  </si>
  <si>
    <t>NHM-2024-102477</t>
  </si>
  <si>
    <t>Joseph Powell</t>
  </si>
  <si>
    <t>NHM-2023-100501</t>
  </si>
  <si>
    <t>Helen Morales</t>
  </si>
  <si>
    <t>NHM-2025-100032</t>
  </si>
  <si>
    <t>Ann Hall</t>
  </si>
  <si>
    <t>NHM-2023-100786</t>
  </si>
  <si>
    <t>Mark Hernandez</t>
  </si>
  <si>
    <t>NHM-2024-100464</t>
  </si>
  <si>
    <t>Anthony Walker</t>
  </si>
  <si>
    <t>NHM-2025-101320</t>
  </si>
  <si>
    <t>Kenneth Miller</t>
  </si>
  <si>
    <t>NHM-2025-101706</t>
  </si>
  <si>
    <t>NHM-2025-100082</t>
  </si>
  <si>
    <t>Gregory Harris</t>
  </si>
  <si>
    <t>NHM-2025-101543</t>
  </si>
  <si>
    <t>Hannah Ramirez</t>
  </si>
  <si>
    <t>NHM-2023-101196</t>
  </si>
  <si>
    <t>Judith Russell</t>
  </si>
  <si>
    <t>NHM-2023-101490</t>
  </si>
  <si>
    <t>Marilyn Cooper</t>
  </si>
  <si>
    <t>NHM-2025-100227</t>
  </si>
  <si>
    <t>Ashley Diaz</t>
  </si>
  <si>
    <t>NHM-2026-100856</t>
  </si>
  <si>
    <t>NHM-2026-101271</t>
  </si>
  <si>
    <t>Daniel Evans</t>
  </si>
  <si>
    <t>NHM-2026-100938</t>
  </si>
  <si>
    <t>Brian Wilson</t>
  </si>
  <si>
    <t>NHM-2024-100027</t>
  </si>
  <si>
    <t>Jessica Russell</t>
  </si>
  <si>
    <t>NHM-2024-100868</t>
  </si>
  <si>
    <t>Lisa Morris</t>
  </si>
  <si>
    <t>NHM-2024-101892</t>
  </si>
  <si>
    <t>Juan Henry</t>
  </si>
  <si>
    <t>NHM-2025-102045</t>
  </si>
  <si>
    <t>Adam Torres</t>
  </si>
  <si>
    <t>NHM-2026-102377</t>
  </si>
  <si>
    <t>Aaron Bailey</t>
  </si>
  <si>
    <t>NHM-2026-102421</t>
  </si>
  <si>
    <t>Andrea Hall</t>
  </si>
  <si>
    <t>NHM-2024-100175</t>
  </si>
  <si>
    <t>Raymond Murphy</t>
  </si>
  <si>
    <t>NHM-2024-100261</t>
  </si>
  <si>
    <t>Billy Long</t>
  </si>
  <si>
    <t>NHM-2023-102138</t>
  </si>
  <si>
    <t>Raymond Reynolds</t>
  </si>
  <si>
    <t>NHM-2023-100055</t>
  </si>
  <si>
    <t>Roger Crawford</t>
  </si>
  <si>
    <t>NHM-2025-102498</t>
  </si>
  <si>
    <t>Daniel Mcdonald</t>
  </si>
  <si>
    <t>NHM-2026-102497</t>
  </si>
  <si>
    <t>Nicholas Rivera</t>
  </si>
  <si>
    <t>NHM-2025-100545</t>
  </si>
  <si>
    <t>Virginia Fisher</t>
  </si>
  <si>
    <t>NHM-2026-101843</t>
  </si>
  <si>
    <t>Willie Williams</t>
  </si>
  <si>
    <t>NHM-2024-102124</t>
  </si>
  <si>
    <t>Raymond Stevens</t>
  </si>
  <si>
    <t>NHM-2024-102252</t>
  </si>
  <si>
    <t>Victoria Ortiz</t>
  </si>
  <si>
    <t>NHM-2023-101322</t>
  </si>
  <si>
    <t>Jasmine Smith</t>
  </si>
  <si>
    <t>NHM-2026-101367</t>
  </si>
  <si>
    <t>Jennifer Mcdonald</t>
  </si>
  <si>
    <t>NHM-2023-101009</t>
  </si>
  <si>
    <t>Brian Brooks</t>
  </si>
  <si>
    <t>NHM-2025-101863</t>
  </si>
  <si>
    <t>Jeffrey Powell</t>
  </si>
  <si>
    <t>NHM-2025-100951</t>
  </si>
  <si>
    <t>Dorothy Jones</t>
  </si>
  <si>
    <t>NHM-2025-101890</t>
  </si>
  <si>
    <t>Fiona Cooper</t>
  </si>
  <si>
    <t>NHM-2024-100201</t>
  </si>
  <si>
    <t>Jeffrey Davis</t>
  </si>
  <si>
    <t>NHM-2025-101389</t>
  </si>
  <si>
    <t>Charles Thompson</t>
  </si>
  <si>
    <t>NHM-2025-100815</t>
  </si>
  <si>
    <t>Anna Thompson</t>
  </si>
  <si>
    <t>NHM-2026-101857</t>
  </si>
  <si>
    <t>Albert Stevens</t>
  </si>
  <si>
    <t>NHM-2024-100279</t>
  </si>
  <si>
    <t>Frank Turner</t>
  </si>
  <si>
    <t>NHM-2024-100760</t>
  </si>
  <si>
    <t>Mary Martinez</t>
  </si>
  <si>
    <t>NHM-2026-100538</t>
  </si>
  <si>
    <t>Angela Nelson</t>
  </si>
  <si>
    <t>NHM-2026-101558</t>
  </si>
  <si>
    <t>Logan Smith</t>
  </si>
  <si>
    <t>NHM-2023-101937</t>
  </si>
  <si>
    <t>Angela Cooper</t>
  </si>
  <si>
    <t>NHM-2024-101135</t>
  </si>
  <si>
    <t>Vincent Thomas</t>
  </si>
  <si>
    <t>NHM-2024-100599</t>
  </si>
  <si>
    <t>Alice Parker</t>
  </si>
  <si>
    <t>NHM-2026-102092</t>
  </si>
  <si>
    <t>Timothy Owens</t>
  </si>
  <si>
    <t>NHM-2026-101461</t>
  </si>
  <si>
    <t>George Long</t>
  </si>
  <si>
    <t>NHM-2025-101985</t>
  </si>
  <si>
    <t>Brandon Ruiz</t>
  </si>
  <si>
    <t>NHM-2023-101876</t>
  </si>
  <si>
    <t>Beverly Mcdonald</t>
  </si>
  <si>
    <t>NHM-2026-102427</t>
  </si>
  <si>
    <t>Angela Morris</t>
  </si>
  <si>
    <t>NHM-2024-102402</t>
  </si>
  <si>
    <t>Margaret Collins</t>
  </si>
  <si>
    <t>NHM-2023-100117</t>
  </si>
  <si>
    <t>Debra Rodriguez</t>
  </si>
  <si>
    <t>NHM-2023-101251</t>
  </si>
  <si>
    <t>Pamela Price</t>
  </si>
  <si>
    <t>NHM-2023-101660</t>
  </si>
  <si>
    <t>Linda Williams</t>
  </si>
  <si>
    <t>NHM-2024-102105</t>
  </si>
  <si>
    <t>Vincent Patterson</t>
  </si>
  <si>
    <t>NHM-2025-102211</t>
  </si>
  <si>
    <t>Nicole Thompson</t>
  </si>
  <si>
    <t>NHM-2023-100541</t>
  </si>
  <si>
    <t>Judy Walker</t>
  </si>
  <si>
    <t>NHM-2023-100153</t>
  </si>
  <si>
    <t>Sean Ortiz</t>
  </si>
  <si>
    <t>NHM-2023-101016</t>
  </si>
  <si>
    <t>Grace Cruz</t>
  </si>
  <si>
    <t>NHM-2024-100166</t>
  </si>
  <si>
    <t>Alexander Sanders</t>
  </si>
  <si>
    <t>NHM-2023-101615</t>
  </si>
  <si>
    <t>Kenneth Wilson</t>
  </si>
  <si>
    <t>NHM-2025-102007</t>
  </si>
  <si>
    <t>Matthew Mendoza</t>
  </si>
  <si>
    <t>NHM-2024-102443</t>
  </si>
  <si>
    <t>Jeffrey Ortiz</t>
  </si>
  <si>
    <t>NHM-2026-101896</t>
  </si>
  <si>
    <t>Jordan Garcia</t>
  </si>
  <si>
    <t>NHM-2026-100744</t>
  </si>
  <si>
    <t>Andrea Harrison</t>
  </si>
  <si>
    <t>NHM-2025-100471</t>
  </si>
  <si>
    <t>William Cox</t>
  </si>
  <si>
    <t>NHM-2026-100914</t>
  </si>
  <si>
    <t>Carolyn Powell</t>
  </si>
  <si>
    <t>NHM-2023-101544</t>
  </si>
  <si>
    <t>Charles West</t>
  </si>
  <si>
    <t>NHM-2024-100765</t>
  </si>
  <si>
    <t>Andrea Graham</t>
  </si>
  <si>
    <t>NHM-2025-100115</t>
  </si>
  <si>
    <t>Joyce Williams</t>
  </si>
  <si>
    <t>NHM-2026-101600</t>
  </si>
  <si>
    <t>Pamela Roberts</t>
  </si>
  <si>
    <t>NHM-2025-101118</t>
  </si>
  <si>
    <t>Jessica Murphy</t>
  </si>
  <si>
    <t>NHM-2026-100242</t>
  </si>
  <si>
    <t>Angela Hernandez</t>
  </si>
  <si>
    <t>NHM-2023-100778</t>
  </si>
  <si>
    <t>Beverly Graham</t>
  </si>
  <si>
    <t>NHM-2023-101557</t>
  </si>
  <si>
    <t>Austin Hamilton</t>
  </si>
  <si>
    <t>NHM-2023-101078</t>
  </si>
  <si>
    <t>Daniel Nguyen</t>
  </si>
  <si>
    <t>NHM-2025-100006</t>
  </si>
  <si>
    <t>Henry Gonzales</t>
  </si>
  <si>
    <t>NHM-2025-100178</t>
  </si>
  <si>
    <t>Janet Stevens</t>
  </si>
  <si>
    <t>NHM-2026-102194</t>
  </si>
  <si>
    <t>Arthur Powell</t>
  </si>
  <si>
    <t>NHM-2023-102226</t>
  </si>
  <si>
    <t>William Gibson</t>
  </si>
  <si>
    <t>NHM-2025-100402</t>
  </si>
  <si>
    <t>Aaron Reynolds</t>
  </si>
  <si>
    <t>NHM-2026-101844</t>
  </si>
  <si>
    <t>Angela Wood</t>
  </si>
  <si>
    <t>NHM-2025-101150</t>
  </si>
  <si>
    <t>Debra Collins</t>
  </si>
  <si>
    <t>NHM-2024-102453</t>
  </si>
  <si>
    <t>Anthony Lopez</t>
  </si>
  <si>
    <t>NHM-2024-101342</t>
  </si>
  <si>
    <t>Scott Fisher</t>
  </si>
  <si>
    <t>NHM-2024-100262</t>
  </si>
  <si>
    <t>Gloria Parker</t>
  </si>
  <si>
    <t>NHM-2026-101296</t>
  </si>
  <si>
    <t>Gerald Turner</t>
  </si>
  <si>
    <t>NHM-2024-101468</t>
  </si>
  <si>
    <t>Gloria Roberts</t>
  </si>
  <si>
    <t>NHM-2023-100975</t>
  </si>
  <si>
    <t>Danielle Anderson</t>
  </si>
  <si>
    <t>NHM-2025-100534</t>
  </si>
  <si>
    <t>Jacob Simpson</t>
  </si>
  <si>
    <t>NHM-2026-100702</t>
  </si>
  <si>
    <t>Jonathan Robinson</t>
  </si>
  <si>
    <t>NHM-2023-102393</t>
  </si>
  <si>
    <t>Donald Allen</t>
  </si>
  <si>
    <t>NHM-2024-100899</t>
  </si>
  <si>
    <t>Danielle Butler</t>
  </si>
  <si>
    <t>NHM-2026-100607</t>
  </si>
  <si>
    <t>Elizabeth Jackson</t>
  </si>
  <si>
    <t>NHM-2024-100832</t>
  </si>
  <si>
    <t>Patrick Hamilton</t>
  </si>
  <si>
    <t>NHM-2025-100676</t>
  </si>
  <si>
    <t>Linda Perez</t>
  </si>
  <si>
    <t>NHM-2026-101556</t>
  </si>
  <si>
    <t>Joe Price</t>
  </si>
  <si>
    <t>NHM-2026-102302</t>
  </si>
  <si>
    <t>Melissa Rivera</t>
  </si>
  <si>
    <t>NHM-2025-100393</t>
  </si>
  <si>
    <t>Barbara Ruiz</t>
  </si>
  <si>
    <t>NHM-2024-100698</t>
  </si>
  <si>
    <t>Doris Adams</t>
  </si>
  <si>
    <t>NHM-2024-101081</t>
  </si>
  <si>
    <t>Paul Gibson</t>
  </si>
  <si>
    <t>NHM-2023-100483</t>
  </si>
  <si>
    <t>Gloria Morales</t>
  </si>
  <si>
    <t>NHM-2024-101080</t>
  </si>
  <si>
    <t>Amy Ellis</t>
  </si>
  <si>
    <t>NHM-2026-100169</t>
  </si>
  <si>
    <t>Jasmine Scott</t>
  </si>
  <si>
    <t>NHM-2024-100621</t>
  </si>
  <si>
    <t>Christina Ramos</t>
  </si>
  <si>
    <t>NHM-2025-100036</t>
  </si>
  <si>
    <t>Timothy White</t>
  </si>
  <si>
    <t>NHM-2026-100019</t>
  </si>
  <si>
    <t>Joshua Crawford</t>
  </si>
  <si>
    <t>NHM-2023-100716</t>
  </si>
  <si>
    <t>Tyler Ortiz</t>
  </si>
  <si>
    <t>NHM-2023-101718</t>
  </si>
  <si>
    <t>Ashley Marshall</t>
  </si>
  <si>
    <t>NHM-2025-102414</t>
  </si>
  <si>
    <t>Matthew Cole</t>
  </si>
  <si>
    <t>NHM-2026-101565</t>
  </si>
  <si>
    <t>Andrea Scott</t>
  </si>
  <si>
    <t>NHM-2025-100163</t>
  </si>
  <si>
    <t>Kevin Flores</t>
  </si>
  <si>
    <t>NHM-2026-101871</t>
  </si>
  <si>
    <t>Keith Robinson</t>
  </si>
  <si>
    <t>NHM-2024-101076</t>
  </si>
  <si>
    <t>Virginia Henry</t>
  </si>
  <si>
    <t>NHM-2025-100105</t>
  </si>
  <si>
    <t>Abigail Morgan</t>
  </si>
  <si>
    <t>NHM-2023-102448</t>
  </si>
  <si>
    <t>Frank Lee</t>
  </si>
  <si>
    <t>NHM-2024-100211</t>
  </si>
  <si>
    <t>Dylan Foster</t>
  </si>
  <si>
    <t>NHM-2025-101526</t>
  </si>
  <si>
    <t>NHM-2026-101146</t>
  </si>
  <si>
    <t>Kathleen Alexander</t>
  </si>
  <si>
    <t>NHM-2025-101960</t>
  </si>
  <si>
    <t>Samantha Wood</t>
  </si>
  <si>
    <t>NHM-2024-101211</t>
  </si>
  <si>
    <t>Kimberly Chavez</t>
  </si>
  <si>
    <t>NHM-2025-101362</t>
  </si>
  <si>
    <t>Jeffrey Peterson</t>
  </si>
  <si>
    <t>NHM-2024-100658</t>
  </si>
  <si>
    <t>Olivia Long</t>
  </si>
  <si>
    <t>NHM-2025-100705</t>
  </si>
  <si>
    <t>NHM-2024-100182</t>
  </si>
  <si>
    <t>Sara Nguyen</t>
  </si>
  <si>
    <t>NHM-2026-100321</t>
  </si>
  <si>
    <t>Jason Bennett</t>
  </si>
  <si>
    <t>NHM-2026-100893</t>
  </si>
  <si>
    <t>Danielle Perez</t>
  </si>
  <si>
    <t>NHM-2024-100376</t>
  </si>
  <si>
    <t>Sandra Diaz</t>
  </si>
  <si>
    <t>NHM-2025-102001</t>
  </si>
  <si>
    <t>Richard Hamilton</t>
  </si>
  <si>
    <t>NHM-2026-101657</t>
  </si>
  <si>
    <t>Jerry Stewart</t>
  </si>
  <si>
    <t>NHM-2025-101176</t>
  </si>
  <si>
    <t>Nathan Wells</t>
  </si>
  <si>
    <t>NHM-2023-102255</t>
  </si>
  <si>
    <t>Vincent Powell</t>
  </si>
  <si>
    <t>NHM-2023-100636</t>
  </si>
  <si>
    <t>Kenneth Cooper</t>
  </si>
  <si>
    <t>NHM-2024-101252</t>
  </si>
  <si>
    <t>Denise Richardson</t>
  </si>
  <si>
    <t>NHM-2026-101911</t>
  </si>
  <si>
    <t>Cynthia James</t>
  </si>
  <si>
    <t>NHM-2026-102152</t>
  </si>
  <si>
    <t>NHM-2023-102315</t>
  </si>
  <si>
    <t>Charles Butler</t>
  </si>
  <si>
    <t>NHM-2023-102461</t>
  </si>
  <si>
    <t>Joshua Sullivan</t>
  </si>
  <si>
    <t>NHM-2026-101283</t>
  </si>
  <si>
    <t>Arthur Howard</t>
  </si>
  <si>
    <t>NHM-2023-101290</t>
  </si>
  <si>
    <t>Carolyn Bryant</t>
  </si>
  <si>
    <t>NHM-2024-100627</t>
  </si>
  <si>
    <t>Jordan Henderson</t>
  </si>
  <si>
    <t>NHM-2026-100412</t>
  </si>
  <si>
    <t>Jessica Lewis</t>
  </si>
  <si>
    <t>NHM-2026-101130</t>
  </si>
  <si>
    <t>Carl Adams</t>
  </si>
  <si>
    <t>NHM-2025-100650</t>
  </si>
  <si>
    <t>Carl Cook</t>
  </si>
  <si>
    <t>NHM-2024-100309</t>
  </si>
  <si>
    <t>Lauren Tucker</t>
  </si>
  <si>
    <t>NHM-2025-102344</t>
  </si>
  <si>
    <t>Elizabeth Mitchell</t>
  </si>
  <si>
    <t>NHM-2024-100790</t>
  </si>
  <si>
    <t>Karen Ruiz</t>
  </si>
  <si>
    <t>NHM-2024-101245</t>
  </si>
  <si>
    <t>Jack Harrison</t>
  </si>
  <si>
    <t>NHM-2023-100284</t>
  </si>
  <si>
    <t>Joyce Green</t>
  </si>
  <si>
    <t>NHM-2025-101854</t>
  </si>
  <si>
    <t>Judith Bell</t>
  </si>
  <si>
    <t>NHM-2025-101324</t>
  </si>
  <si>
    <t>Janice Reynolds</t>
  </si>
  <si>
    <t>NHM-2025-100444</t>
  </si>
  <si>
    <t>Andrew Washington</t>
  </si>
  <si>
    <t>NHM-2025-101152</t>
  </si>
  <si>
    <t>Adam Ramos</t>
  </si>
  <si>
    <t>NHM-2023-100001</t>
  </si>
  <si>
    <t>Judy Clark</t>
  </si>
  <si>
    <t>NHM-2023-100245</t>
  </si>
  <si>
    <t>Anthony Coleman</t>
  </si>
  <si>
    <t>NHM-2026-101877</t>
  </si>
  <si>
    <t>Jonathan Castillo</t>
  </si>
  <si>
    <t>NHM-2026-101012</t>
  </si>
  <si>
    <t>Amanda Jenkins</t>
  </si>
  <si>
    <t>NHM-2023-101497</t>
  </si>
  <si>
    <t>Arthur Morgan</t>
  </si>
  <si>
    <t>NHM-2025-100088</t>
  </si>
  <si>
    <t>Randy Wilson</t>
  </si>
  <si>
    <t>NHM-2023-100312</t>
  </si>
  <si>
    <t>Angela Reynolds</t>
  </si>
  <si>
    <t>NHM-2026-101710</t>
  </si>
  <si>
    <t>Martha Gonzales</t>
  </si>
  <si>
    <t>NHM-2025-100845</t>
  </si>
  <si>
    <t>Rebecca Lewis</t>
  </si>
  <si>
    <t>NHM-2024-101107</t>
  </si>
  <si>
    <t>Sarah Ramirez</t>
  </si>
  <si>
    <t>NHM-2026-102089</t>
  </si>
  <si>
    <t>Carol Cruz</t>
  </si>
  <si>
    <t>NHM-2026-101814</t>
  </si>
  <si>
    <t>Jonathan Lee</t>
  </si>
  <si>
    <t>NHM-2024-102332</t>
  </si>
  <si>
    <t>Randy Harris</t>
  </si>
  <si>
    <t>NHM-2025-101070</t>
  </si>
  <si>
    <t>David Watson</t>
  </si>
  <si>
    <t>NHM-2024-101873</t>
  </si>
  <si>
    <t>Michelle Flores</t>
  </si>
  <si>
    <t>NHM-2024-100604</t>
  </si>
  <si>
    <t>Anna Bryant</t>
  </si>
  <si>
    <t>NHM-2025-101235</t>
  </si>
  <si>
    <t>Frances Ortiz</t>
  </si>
  <si>
    <t>NHM-2025-100158</t>
  </si>
  <si>
    <t>Anna Long</t>
  </si>
  <si>
    <t>NHM-2024-101265</t>
  </si>
  <si>
    <t>Bruce Griffin</t>
  </si>
  <si>
    <t>NHM-2024-101175</t>
  </si>
  <si>
    <t>Steven Jordan</t>
  </si>
  <si>
    <t>NHM-2025-100042</t>
  </si>
  <si>
    <t>Jonathan Coleman</t>
  </si>
  <si>
    <t>NHM-2025-100126</t>
  </si>
  <si>
    <t>Angela Reed</t>
  </si>
  <si>
    <t>NHM-2025-100577</t>
  </si>
  <si>
    <t>Shirley Owens</t>
  </si>
  <si>
    <t>NHM-2026-100142</t>
  </si>
  <si>
    <t>Kenneth Price</t>
  </si>
  <si>
    <t>NHM-2023-101236</t>
  </si>
  <si>
    <t>Sean Anderson</t>
  </si>
  <si>
    <t>NHM-2026-102256</t>
  </si>
  <si>
    <t>Tyler Diaz</t>
  </si>
  <si>
    <t>NHM-2023-102044</t>
  </si>
  <si>
    <t>Doris Chavez</t>
  </si>
  <si>
    <t>NHM-2025-100732</t>
  </si>
  <si>
    <t>Linda Lewis</t>
  </si>
  <si>
    <t>NHM-2024-101448</t>
  </si>
  <si>
    <t>Gabriel Morales</t>
  </si>
  <si>
    <t>NHM-2023-102444</t>
  </si>
  <si>
    <t>Jesse Phillips</t>
  </si>
  <si>
    <t>NHM-2026-102270</t>
  </si>
  <si>
    <t>Kyle Ortiz</t>
  </si>
  <si>
    <t>NHM-2026-100657</t>
  </si>
  <si>
    <t>Brian Miller</t>
  </si>
  <si>
    <t>NHM-2026-101648</t>
  </si>
  <si>
    <t>Patrick Hughes</t>
  </si>
  <si>
    <t>NHM-2024-100596</t>
  </si>
  <si>
    <t>Virginia Ramos</t>
  </si>
  <si>
    <t>NHM-2025-100003</t>
  </si>
  <si>
    <t>NHM-2026-101477</t>
  </si>
  <si>
    <t>Robert Cruz</t>
  </si>
  <si>
    <t>NHM-2025-100107</t>
  </si>
  <si>
    <t>Carolyn Clark</t>
  </si>
  <si>
    <t>NHM-2023-100232</t>
  </si>
  <si>
    <t>Brian Young</t>
  </si>
  <si>
    <t>NHM-2025-100852</t>
  </si>
  <si>
    <t>Charles Brooks</t>
  </si>
  <si>
    <t>NHM-2025-100031</t>
  </si>
  <si>
    <t>Nicole Parker</t>
  </si>
  <si>
    <t>NHM-2023-102426</t>
  </si>
  <si>
    <t>Henry Cole</t>
  </si>
  <si>
    <t>NHM-2024-101607</t>
  </si>
  <si>
    <t>Terry Reed</t>
  </si>
  <si>
    <t>NHM-2026-100002</t>
  </si>
  <si>
    <t>Nicholas Price</t>
  </si>
  <si>
    <t>NHM-2023-101256</t>
  </si>
  <si>
    <t>Jacob Owens</t>
  </si>
  <si>
    <t>NHM-2024-100844</t>
  </si>
  <si>
    <t>Nicole Ford</t>
  </si>
  <si>
    <t>NHM-2026-102321</t>
  </si>
  <si>
    <t>Rebecca Jimenez</t>
  </si>
  <si>
    <t>NHM-2025-100390</t>
  </si>
  <si>
    <t>Elijah Warren</t>
  </si>
  <si>
    <t>NHM-2026-100979</t>
  </si>
  <si>
    <t>Emma Flores</t>
  </si>
  <si>
    <t>NHM-2025-102419</t>
  </si>
  <si>
    <t>Dennis Evans</t>
  </si>
  <si>
    <t>NHM-2025-101998</t>
  </si>
  <si>
    <t>Jack Brown</t>
  </si>
  <si>
    <t>NHM-2023-102368</t>
  </si>
  <si>
    <t>James King</t>
  </si>
  <si>
    <t>NHM-2026-101963</t>
  </si>
  <si>
    <t>Mark Turner</t>
  </si>
  <si>
    <t>NHM-2026-101701</t>
  </si>
  <si>
    <t>Evelyn Ortiz</t>
  </si>
  <si>
    <t>NHM-2026-100606</t>
  </si>
  <si>
    <t>Eugene Walker</t>
  </si>
  <si>
    <t>NHM-2024-101798</t>
  </si>
  <si>
    <t>Thomas Jackson</t>
  </si>
  <si>
    <t>NHM-2025-102163</t>
  </si>
  <si>
    <t>Stephen Martinez</t>
  </si>
  <si>
    <t>NHM-2025-101170</t>
  </si>
  <si>
    <t>Madison Collins</t>
  </si>
  <si>
    <t>NHM-2025-100510</t>
  </si>
  <si>
    <t>Jeremy Ruiz</t>
  </si>
  <si>
    <t>NHM-2024-101191</t>
  </si>
  <si>
    <t>Judith Freeman</t>
  </si>
  <si>
    <t>NHM-2025-100293</t>
  </si>
  <si>
    <t>Arthur Ross</t>
  </si>
  <si>
    <t>NHM-2023-100354</t>
  </si>
  <si>
    <t>Janice Carter</t>
  </si>
  <si>
    <t>NHM-2025-101841</t>
  </si>
  <si>
    <t>Noah Thomas</t>
  </si>
  <si>
    <t>NHM-2024-100748</t>
  </si>
  <si>
    <t>Amanda Ramos</t>
  </si>
  <si>
    <t>NHM-2024-102447</t>
  </si>
  <si>
    <t>Albert Simmons</t>
  </si>
  <si>
    <t>NHM-2023-101083</t>
  </si>
  <si>
    <t>Nicholas Ruiz</t>
  </si>
  <si>
    <t>NHM-2023-102032</t>
  </si>
  <si>
    <t>John Diaz</t>
  </si>
  <si>
    <t>NHM-2023-102145</t>
  </si>
  <si>
    <t>Joyce Gonzales</t>
  </si>
  <si>
    <t>NHM-2023-101382</t>
  </si>
  <si>
    <t>Juan Miller</t>
  </si>
  <si>
    <t>NHM-2026-101530</t>
  </si>
  <si>
    <t>Harold Moore</t>
  </si>
  <si>
    <t>NHM-2024-100784</t>
  </si>
  <si>
    <t>Danielle Kim</t>
  </si>
  <si>
    <t>NHM-2024-102323</t>
  </si>
  <si>
    <t>Olivia Gomez</t>
  </si>
  <si>
    <t>NHM-2023-100872</t>
  </si>
  <si>
    <t>Nathan Bailey</t>
  </si>
  <si>
    <t>NHM-2024-100047</t>
  </si>
  <si>
    <t>Beverly Chavez</t>
  </si>
  <si>
    <t>NHM-2026-101643</t>
  </si>
  <si>
    <t>Justin Long</t>
  </si>
  <si>
    <t>NHM-2026-102116</t>
  </si>
  <si>
    <t>NHM-2024-102232</t>
  </si>
  <si>
    <t>Margaret Jordan</t>
  </si>
  <si>
    <t>NHM-2025-100900</t>
  </si>
  <si>
    <t>Catherine Owens</t>
  </si>
  <si>
    <t>NHM-2026-100560</t>
  </si>
  <si>
    <t>Barbara Mendoza</t>
  </si>
  <si>
    <t>NHM-2025-100629</t>
  </si>
  <si>
    <t>Judy Russell</t>
  </si>
  <si>
    <t>NHM-2023-102110</t>
  </si>
  <si>
    <t>Gabriel Nelson</t>
  </si>
  <si>
    <t>NHM-2025-101119</t>
  </si>
  <si>
    <t>Kevin Anderson</t>
  </si>
  <si>
    <t>NHM-2026-100814</t>
  </si>
  <si>
    <t>Ann Cruz</t>
  </si>
  <si>
    <t>NHM-2024-100569</t>
  </si>
  <si>
    <t>Roger Cooper</t>
  </si>
  <si>
    <t>NHM-2026-100812</t>
  </si>
  <si>
    <t>Ashley Johnson</t>
  </si>
  <si>
    <t>NHM-2026-100608</t>
  </si>
  <si>
    <t>Andrea Murphy</t>
  </si>
  <si>
    <t>NHM-2024-102358</t>
  </si>
  <si>
    <t>Jacqueline Sullivan</t>
  </si>
  <si>
    <t>NHM-2023-102109</t>
  </si>
  <si>
    <t>Doris Wood</t>
  </si>
  <si>
    <t>NHM-2024-102273</t>
  </si>
  <si>
    <t>Christine Hicks</t>
  </si>
  <si>
    <t>NHM-2025-100319</t>
  </si>
  <si>
    <t>Sharon Ford</t>
  </si>
  <si>
    <t>NHM-2025-100588</t>
  </si>
  <si>
    <t>Eric Perry</t>
  </si>
  <si>
    <t>NHM-2025-102011</t>
  </si>
  <si>
    <t>John Murray</t>
  </si>
  <si>
    <t>NHM-2025-101523</t>
  </si>
  <si>
    <t>Ann Reed</t>
  </si>
  <si>
    <t>NHM-2023-101187</t>
  </si>
  <si>
    <t>John Jones</t>
  </si>
  <si>
    <t>NHM-2024-101633</t>
  </si>
  <si>
    <t>Denise Russell</t>
  </si>
  <si>
    <t>NHM-2024-101414</t>
  </si>
  <si>
    <t>Denise Foster</t>
  </si>
  <si>
    <t>NHM-2026-100383</t>
  </si>
  <si>
    <t>Bryan Wright</t>
  </si>
  <si>
    <t>NHM-2026-100575</t>
  </si>
  <si>
    <t>Albert Martinez</t>
  </si>
  <si>
    <t>NHM-2023-100782</t>
  </si>
  <si>
    <t>Billy Gomez</t>
  </si>
  <si>
    <t>NHM-2025-101881</t>
  </si>
  <si>
    <t>George Garcia</t>
  </si>
  <si>
    <t>NHM-2026-101428</t>
  </si>
  <si>
    <t>Janet Reyes</t>
  </si>
  <si>
    <t>NHM-2025-101954</t>
  </si>
  <si>
    <t>Cheryl Evans</t>
  </si>
  <si>
    <t>NHM-2025-101795</t>
  </si>
  <si>
    <t>Doris Brooks</t>
  </si>
  <si>
    <t>NHM-2024-100507</t>
  </si>
  <si>
    <t>Elizabeth Jones</t>
  </si>
  <si>
    <t>NHM-2026-102265</t>
  </si>
  <si>
    <t>Brenda Nguyen</t>
  </si>
  <si>
    <t>NHM-2024-101640</t>
  </si>
  <si>
    <t>Heather Scott</t>
  </si>
  <si>
    <t>NHM-2025-100991</t>
  </si>
  <si>
    <t>Sharon Henry</t>
  </si>
  <si>
    <t>NHM-2024-100638</t>
  </si>
  <si>
    <t>Douglas Cruz</t>
  </si>
  <si>
    <t>NHM-2025-100120</t>
  </si>
  <si>
    <t>Noah Gonzales</t>
  </si>
  <si>
    <t>NHM-2025-101707</t>
  </si>
  <si>
    <t>Marilyn Gutierrez</t>
  </si>
  <si>
    <t>NHM-2023-100147</t>
  </si>
  <si>
    <t>Stephanie Wright</t>
  </si>
  <si>
    <t>NHM-2023-101023</t>
  </si>
  <si>
    <t>Melissa Baker</t>
  </si>
  <si>
    <t>NHM-2026-101592</t>
  </si>
  <si>
    <t>Anthony Harrison</t>
  </si>
  <si>
    <t>NHM-2025-100228</t>
  </si>
  <si>
    <t>Beverly Patterson</t>
  </si>
  <si>
    <t>NHM-2025-101416</t>
  </si>
  <si>
    <t>Janet Warren</t>
  </si>
  <si>
    <t>NHM-2023-101268</t>
  </si>
  <si>
    <t>Jason Marshall</t>
  </si>
  <si>
    <t>NHM-2024-101886</t>
  </si>
  <si>
    <t>Jordan Lopez</t>
  </si>
  <si>
    <t>NHM-2026-100005</t>
  </si>
  <si>
    <t>Stephanie Gutierrez</t>
  </si>
  <si>
    <t>NHM-2026-100766</t>
  </si>
  <si>
    <t>Richard Griffin</t>
  </si>
  <si>
    <t>NHM-2026-100842</t>
  </si>
  <si>
    <t>Rachel Cruz</t>
  </si>
  <si>
    <t>NHM-2025-100726</t>
  </si>
  <si>
    <t>Carolyn Reed</t>
  </si>
  <si>
    <t>NHM-2023-101053</t>
  </si>
  <si>
    <t>Heather Roberts</t>
  </si>
  <si>
    <t>NHM-2023-102091</t>
  </si>
  <si>
    <t>Judith Fisher</t>
  </si>
  <si>
    <t>NHM-2025-100053</t>
  </si>
  <si>
    <t>Cheryl Price</t>
  </si>
  <si>
    <t>NHM-2025-102334</t>
  </si>
  <si>
    <t>Logan Turner</t>
  </si>
  <si>
    <t>NHM-2025-100066</t>
  </si>
  <si>
    <t>Charles Edwards</t>
  </si>
  <si>
    <t>NHM-2023-100536</t>
  </si>
  <si>
    <t>Stephanie Hamilton</t>
  </si>
  <si>
    <t>NHM-2025-102338</t>
  </si>
  <si>
    <t>Roger King</t>
  </si>
  <si>
    <t>NHM-2024-100322</t>
  </si>
  <si>
    <t>Walter Green</t>
  </si>
  <si>
    <t>NHM-2026-102200</t>
  </si>
  <si>
    <t>Joyce Martin</t>
  </si>
  <si>
    <t>NHM-2023-101216</t>
  </si>
  <si>
    <t>Rachel Flores</t>
  </si>
  <si>
    <t>NHM-2026-101736</t>
  </si>
  <si>
    <t>Austin Sullivan</t>
  </si>
  <si>
    <t>NHM-2025-101722</t>
  </si>
  <si>
    <t>Nicholas Morales</t>
  </si>
  <si>
    <t>NHM-2026-100234</t>
  </si>
  <si>
    <t>Benjamin Parker</t>
  </si>
  <si>
    <t>NHM-2023-100580</t>
  </si>
  <si>
    <t>Brandon Reyes</t>
  </si>
  <si>
    <t>NHM-2025-100690</t>
  </si>
  <si>
    <t>Willie Lewis</t>
  </si>
  <si>
    <t>NHM-2026-100641</t>
  </si>
  <si>
    <t>Michelle Nelson</t>
  </si>
  <si>
    <t>NHM-2023-101263</t>
  </si>
  <si>
    <t>Randy Kim</t>
  </si>
  <si>
    <t>NHM-2026-101912</t>
  </si>
  <si>
    <t>NHM-2026-101672</t>
  </si>
  <si>
    <t>Gabriel Lewis</t>
  </si>
  <si>
    <t>NHM-2025-102301</t>
  </si>
  <si>
    <t>Wayne Lopez</t>
  </si>
  <si>
    <t>NHM-2023-100972</t>
  </si>
  <si>
    <t>Joshua Griffin</t>
  </si>
  <si>
    <t>NHM-2024-101310</t>
  </si>
  <si>
    <t>Pamela Diaz</t>
  </si>
  <si>
    <t>NHM-2024-100270</t>
  </si>
  <si>
    <t>Willie Gutierrez</t>
  </si>
  <si>
    <t>NHM-2026-100810</t>
  </si>
  <si>
    <t>Diane Butler</t>
  </si>
  <si>
    <t>NHM-2024-101227</t>
  </si>
  <si>
    <t>NHM-2023-100792</t>
  </si>
  <si>
    <t>Joan Moore</t>
  </si>
  <si>
    <t>NHM-2024-100917</t>
  </si>
  <si>
    <t>Pamela Green</t>
  </si>
  <si>
    <t>NHM-2026-100435</t>
  </si>
  <si>
    <t>NHM-2025-101001</t>
  </si>
  <si>
    <t>Beverly Hall</t>
  </si>
  <si>
    <t>NHM-2024-100247</t>
  </si>
  <si>
    <t>Peter Perry</t>
  </si>
  <si>
    <t>NHM-2026-101719</t>
  </si>
  <si>
    <t>NHM-2024-101665</t>
  </si>
  <si>
    <t>Hannah Hamilton</t>
  </si>
  <si>
    <t>NHM-2026-101225</t>
  </si>
  <si>
    <t>Terry Gonzalez</t>
  </si>
  <si>
    <t>NHM-2025-101740</t>
  </si>
  <si>
    <t>George Jordan</t>
  </si>
  <si>
    <t>NHM-2026-101834</t>
  </si>
  <si>
    <t>David Parker</t>
  </si>
  <si>
    <t>NHM-2025-102176</t>
  </si>
  <si>
    <t>Diane Parker</t>
  </si>
  <si>
    <t>NHM-2024-102080</t>
  </si>
  <si>
    <t>Grace Coleman</t>
  </si>
  <si>
    <t>NHM-2026-102106</t>
  </si>
  <si>
    <t>Kathleen Watson</t>
  </si>
  <si>
    <t>NHM-2026-102416</t>
  </si>
  <si>
    <t>NHM-2026-100619</t>
  </si>
  <si>
    <t>Tyler Hall</t>
  </si>
  <si>
    <t>NHM-2025-101690</t>
  </si>
  <si>
    <t>Theresa Freeman</t>
  </si>
  <si>
    <t>NHM-2023-102286</t>
  </si>
  <si>
    <t>Emma James</t>
  </si>
  <si>
    <t>NHM-2024-101923</t>
  </si>
  <si>
    <t>Matthew Patterson</t>
  </si>
  <si>
    <t>NHM-2023-101450</t>
  </si>
  <si>
    <t>Rachel Murray</t>
  </si>
  <si>
    <t>NHM-2024-101644</t>
  </si>
  <si>
    <t>Nicholas Coleman</t>
  </si>
  <si>
    <t>NHM-2025-102178</t>
  </si>
  <si>
    <t>Heather Moore</t>
  </si>
  <si>
    <t>NHM-2026-102454</t>
  </si>
  <si>
    <t>Olivia Cole</t>
  </si>
  <si>
    <t>NHM-2025-101217</t>
  </si>
  <si>
    <t>Katherine Diaz</t>
  </si>
  <si>
    <t>NHM-2023-100454</t>
  </si>
  <si>
    <t>Gregory Rivera</t>
  </si>
  <si>
    <t>NHM-2025-102348</t>
  </si>
  <si>
    <t>Gregory Chavez</t>
  </si>
  <si>
    <t>NHM-2024-100595</t>
  </si>
  <si>
    <t>Kelly Russell</t>
  </si>
  <si>
    <t>NHM-2023-101541</t>
  </si>
  <si>
    <t>James Gutierrez</t>
  </si>
  <si>
    <t>NHM-2024-101091</t>
  </si>
  <si>
    <t>Cynthia Jenkins</t>
  </si>
  <si>
    <t>NHM-2025-102446</t>
  </si>
  <si>
    <t>Sonia Jackson</t>
  </si>
  <si>
    <t>NHM-2026-101654</t>
  </si>
  <si>
    <t>Grace Gutierrez</t>
  </si>
  <si>
    <t>NHM-2024-100723</t>
  </si>
  <si>
    <t>Noah Morales</t>
  </si>
  <si>
    <t>NHM-2023-100563</t>
  </si>
  <si>
    <t>Maria Thomas</t>
  </si>
  <si>
    <t>NHM-2025-100618</t>
  </si>
  <si>
    <t>Sara Lee</t>
  </si>
  <si>
    <t>NHM-2025-102409</t>
  </si>
  <si>
    <t>Carl Morris</t>
  </si>
  <si>
    <t>NHM-2023-100548</t>
  </si>
  <si>
    <t>Amy Cruz</t>
  </si>
  <si>
    <t>NHM-2024-101429</t>
  </si>
  <si>
    <t>Nathan Cook</t>
  </si>
  <si>
    <t>NHM-2024-101818</t>
  </si>
  <si>
    <t>Jennifer Murphy</t>
  </si>
  <si>
    <t>NHM-2025-102198</t>
  </si>
  <si>
    <t>Kathleen Kelly</t>
  </si>
  <si>
    <t>NHM-2026-102486</t>
  </si>
  <si>
    <t>Logan Phillips</t>
  </si>
  <si>
    <t>NHM-2025-101709</t>
  </si>
  <si>
    <t>Terry Walker</t>
  </si>
  <si>
    <t>NHM-2026-100692</t>
  </si>
  <si>
    <t>Wayne Marshall</t>
  </si>
  <si>
    <t>NHM-2024-102459</t>
  </si>
  <si>
    <t>Gregory Gonzales</t>
  </si>
  <si>
    <t>NHM-2026-101680</t>
  </si>
  <si>
    <t>Susan Reyes</t>
  </si>
  <si>
    <t>NHM-2023-100855</t>
  </si>
  <si>
    <t>Doris Wallace</t>
  </si>
  <si>
    <t>NHM-2025-102085</t>
  </si>
  <si>
    <t>Sandra Hamilton</t>
  </si>
  <si>
    <t>NHM-2023-102431</t>
  </si>
  <si>
    <t>Beverly Hayes</t>
  </si>
  <si>
    <t>NHM-2023-102166</t>
  </si>
  <si>
    <t>Timothy Hernandez</t>
  </si>
  <si>
    <t>NHM-2024-101587</t>
  </si>
  <si>
    <t>Carolyn Coleman</t>
  </si>
  <si>
    <t>NHM-2024-100772</t>
  </si>
  <si>
    <t>Arthur Campbell</t>
  </si>
  <si>
    <t>NHM-2023-101925</t>
  </si>
  <si>
    <t>Deborah Davis</t>
  </si>
  <si>
    <t>NHM-2025-101848</t>
  </si>
  <si>
    <t>Sean Graham</t>
  </si>
  <si>
    <t>NHM-2024-100268</t>
  </si>
  <si>
    <t>Julia Collins</t>
  </si>
  <si>
    <t>NHM-2025-102033</t>
  </si>
  <si>
    <t>Ashley Dixon</t>
  </si>
  <si>
    <t>NHM-2025-101909</t>
  </si>
  <si>
    <t>Willie Ortiz</t>
  </si>
  <si>
    <t>NHM-2025-101512</t>
  </si>
  <si>
    <t>Rebecca Myers</t>
  </si>
  <si>
    <t>NHM-2023-100903</t>
  </si>
  <si>
    <t>Dylan Mcdonald</t>
  </si>
  <si>
    <t>NHM-2024-101313</t>
  </si>
  <si>
    <t>Gabriel Hill</t>
  </si>
  <si>
    <t>NHM-2026-100892</t>
  </si>
  <si>
    <t>Elizabeth Robinson</t>
  </si>
  <si>
    <t>NHM-2026-101581</t>
  </si>
  <si>
    <t>Joyce Murphy</t>
  </si>
  <si>
    <t>NHM-2024-101972</t>
  </si>
  <si>
    <t>Willie Flores</t>
  </si>
  <si>
    <t>NHM-2023-101366</t>
  </si>
  <si>
    <t>Stephanie Edwards</t>
  </si>
  <si>
    <t>NHM-2024-102210</t>
  </si>
  <si>
    <t>Laura Harris</t>
  </si>
  <si>
    <t>NHM-2024-102215</t>
  </si>
  <si>
    <t>Anna Roberts</t>
  </si>
  <si>
    <t>NHM-2023-100731</t>
  </si>
  <si>
    <t>Nancy Diaz</t>
  </si>
  <si>
    <t>NHM-2026-101412</t>
  </si>
  <si>
    <t>Diane Ward</t>
  </si>
  <si>
    <t>NHM-2024-100097</t>
  </si>
  <si>
    <t>William Ortiz</t>
  </si>
  <si>
    <t>NHM-2025-100948</t>
  </si>
  <si>
    <t>Diane Simmons</t>
  </si>
  <si>
    <t>NHM-2025-100825</t>
  </si>
  <si>
    <t>Amy Garcia</t>
  </si>
  <si>
    <t>NHM-2023-100329</t>
  </si>
  <si>
    <t>Paul Simpson</t>
  </si>
  <si>
    <t>NHM-2026-101502</t>
  </si>
  <si>
    <t>Kathryn Foster</t>
  </si>
  <si>
    <t>NHM-2025-102046</t>
  </si>
  <si>
    <t>Jonathan Ford</t>
  </si>
  <si>
    <t>NHM-2023-102019</t>
  </si>
  <si>
    <t>Lawrence Graham</t>
  </si>
  <si>
    <t>NHM-2026-100919</t>
  </si>
  <si>
    <t>Eric Sanchez</t>
  </si>
  <si>
    <t>NHM-2025-100109</t>
  </si>
  <si>
    <t>Dennis Myers</t>
  </si>
  <si>
    <t>NHM-2023-100410</t>
  </si>
  <si>
    <t>Logan Cruz</t>
  </si>
  <si>
    <t>NHM-2024-101826</t>
  </si>
  <si>
    <t>Ethan Fisher</t>
  </si>
  <si>
    <t>NHM-2025-100799</t>
  </si>
  <si>
    <t>Julia Rogers</t>
  </si>
  <si>
    <t>NHM-2026-100871</t>
  </si>
  <si>
    <t>Christopher Diaz</t>
  </si>
  <si>
    <t>NHM-2025-101260</t>
  </si>
  <si>
    <t>Amy Hughes</t>
  </si>
  <si>
    <t>NHM-2024-100877</t>
  </si>
  <si>
    <t>Vincent Long</t>
  </si>
  <si>
    <t>NHM-2024-101762</t>
  </si>
  <si>
    <t>Grace Gonzales</t>
  </si>
  <si>
    <t>NHM-2026-102066</t>
  </si>
  <si>
    <t>Billy Cooper</t>
  </si>
  <si>
    <t>NHM-2026-100212</t>
  </si>
  <si>
    <t>Denise Lopez</t>
  </si>
  <si>
    <t>NHM-2025-102276</t>
  </si>
  <si>
    <t>Madison Davis</t>
  </si>
  <si>
    <t>NHM-2025-102309</t>
  </si>
  <si>
    <t>Alexander Wilson</t>
  </si>
  <si>
    <t>NHM-2024-100233</t>
  </si>
  <si>
    <t>Roger Taylor</t>
  </si>
  <si>
    <t>NHM-2023-100695</t>
  </si>
  <si>
    <t>Laura Cox</t>
  </si>
  <si>
    <t>NHM-2023-100684</t>
  </si>
  <si>
    <t>Elizabeth Russell</t>
  </si>
  <si>
    <t>NHM-2024-100857</t>
  </si>
  <si>
    <t>Patrick Davis</t>
  </si>
  <si>
    <t>NHM-2024-100678</t>
  </si>
  <si>
    <t>Randy Barnes</t>
  </si>
  <si>
    <t>NHM-2024-101991</t>
  </si>
  <si>
    <t>Emily Mason</t>
  </si>
  <si>
    <t>NHM-2026-100985</t>
  </si>
  <si>
    <t>Arthur Hernandez</t>
  </si>
  <si>
    <t>NHM-2026-100333</t>
  </si>
  <si>
    <t>Susan Watson</t>
  </si>
  <si>
    <t>NHM-2025-101964</t>
  </si>
  <si>
    <t>Anthony Howard</t>
  </si>
  <si>
    <t>NHM-2023-100890</t>
  </si>
  <si>
    <t>Alexander West</t>
  </si>
  <si>
    <t>NHM-2024-100130</t>
  </si>
  <si>
    <t>Jonathan Evans</t>
  </si>
  <si>
    <t>NHM-2024-101381</t>
  </si>
  <si>
    <t>Charles Morales</t>
  </si>
  <si>
    <t>NHM-2026-100859</t>
  </si>
  <si>
    <t>Melissa Butler</t>
  </si>
  <si>
    <t>NHM-2026-100362</t>
  </si>
  <si>
    <t>Andrea Dixon</t>
  </si>
  <si>
    <t>NHM-2025-100768</t>
  </si>
  <si>
    <t>Samuel Jackson</t>
  </si>
  <si>
    <t>NHM-2024-101532</t>
  </si>
  <si>
    <t>Anthony Young</t>
  </si>
  <si>
    <t>NHM-2024-100754</t>
  </si>
  <si>
    <t>Janice Tucker</t>
  </si>
  <si>
    <t>NHM-2023-100337</t>
  </si>
  <si>
    <t>Maria Walker</t>
  </si>
  <si>
    <t>NHM-2025-101160</t>
  </si>
  <si>
    <t>Henry Freeman</t>
  </si>
  <si>
    <t>NHM-2024-100583</t>
  </si>
  <si>
    <t>Janice Kim</t>
  </si>
  <si>
    <t>NHM-2026-102061</t>
  </si>
  <si>
    <t>Olivia Mason</t>
  </si>
  <si>
    <t>NHM-2024-100091</t>
  </si>
  <si>
    <t>Eugene Boyd</t>
  </si>
  <si>
    <t>NHM-2024-100330</t>
  </si>
  <si>
    <t>Kimberly Jones</t>
  </si>
  <si>
    <t>NHM-2024-100297</t>
  </si>
  <si>
    <t>Pamela Castillo</t>
  </si>
  <si>
    <t>NHM-2025-101597</t>
  </si>
  <si>
    <t>Emma Johnson</t>
  </si>
  <si>
    <t>NHM-2026-100407</t>
  </si>
  <si>
    <t>Lawrence Hicks</t>
  </si>
  <si>
    <t>NHM-2025-101380</t>
  </si>
  <si>
    <t>Elizabeth Murphy</t>
  </si>
  <si>
    <t>NHM-2023-101218</t>
  </si>
  <si>
    <t>Debra Coleman</t>
  </si>
  <si>
    <t>NHM-2024-100987</t>
  </si>
  <si>
    <t>Billy Boyd</t>
  </si>
  <si>
    <t>NHM-2024-102250</t>
  </si>
  <si>
    <t>Paul Mendoza</t>
  </si>
  <si>
    <t>NHM-2023-100467</t>
  </si>
  <si>
    <t>Jonathan Fisher</t>
  </si>
  <si>
    <t>NHM-2025-100161</t>
  </si>
  <si>
    <t>Juan Lopez</t>
  </si>
  <si>
    <t>NHM-2025-102280</t>
  </si>
  <si>
    <t>Marilyn Miller</t>
  </si>
  <si>
    <t>NHM-2023-100194</t>
  </si>
  <si>
    <t>NHM-2023-100246</t>
  </si>
  <si>
    <t>Kimberly Brooks</t>
  </si>
  <si>
    <t>NHM-2023-100651</t>
  </si>
  <si>
    <t>Albert Diaz</t>
  </si>
  <si>
    <t>NHM-2023-101277</t>
  </si>
  <si>
    <t>Christine Bell</t>
  </si>
  <si>
    <t>NHM-2025-100646</t>
  </si>
  <si>
    <t>Shirley Porter</t>
  </si>
  <si>
    <t>NHM-2023-102257</t>
  </si>
  <si>
    <t>Gerald Reynolds</t>
  </si>
  <si>
    <t>NHM-2024-100827</t>
  </si>
  <si>
    <t>Helen Ortiz</t>
  </si>
  <si>
    <t>NHM-2026-100127</t>
  </si>
  <si>
    <t>NHM-2023-101419</t>
  </si>
  <si>
    <t>Donald Fisher</t>
  </si>
  <si>
    <t>NHM-2026-102437</t>
  </si>
  <si>
    <t>Barbara Brown</t>
  </si>
  <si>
    <t>NHM-2026-100421</t>
  </si>
  <si>
    <t>Emma Owens</t>
  </si>
  <si>
    <t>NHM-2025-102185</t>
  </si>
  <si>
    <t>Alan Myers</t>
  </si>
  <si>
    <t>NHM-2025-100188</t>
  </si>
  <si>
    <t>Danielle Gonzales</t>
  </si>
  <si>
    <t>NHM-2024-102395</t>
  </si>
  <si>
    <t>Patrick Wright</t>
  </si>
  <si>
    <t>NHM-2025-100385</t>
  </si>
  <si>
    <t>Martha Henderson</t>
  </si>
  <si>
    <t>NHM-2025-100493</t>
  </si>
  <si>
    <t>Amanda Hernandez</t>
  </si>
  <si>
    <t>NHM-2026-102081</t>
  </si>
  <si>
    <t>Christine Campbell</t>
  </si>
  <si>
    <t>NHM-2023-100181</t>
  </si>
  <si>
    <t>NHM-2023-100235</t>
  </si>
  <si>
    <t>NHM-2024-101207</t>
  </si>
  <si>
    <t>Anna Cox</t>
  </si>
  <si>
    <t>NHM-2023-100049</t>
  </si>
  <si>
    <t>Alice Hayes</t>
  </si>
  <si>
    <t>NHM-2025-101671</t>
  </si>
  <si>
    <t>Michael Williams</t>
  </si>
  <si>
    <t>NHM-2025-101752</t>
  </si>
  <si>
    <t>Sonia Patel</t>
  </si>
  <si>
    <t>NHM-2024-100939</t>
  </si>
  <si>
    <t>Joan Mitchell</t>
  </si>
  <si>
    <t>NHM-2024-100708</t>
  </si>
  <si>
    <t>Justin Foster</t>
  </si>
  <si>
    <t>NHM-2025-100037</t>
  </si>
  <si>
    <t>Emma Henry</t>
  </si>
  <si>
    <t>NHM-2024-101197</t>
  </si>
  <si>
    <t>Aaron Russell</t>
  </si>
  <si>
    <t>NHM-2024-101593</t>
  </si>
  <si>
    <t>Stephen Simmons</t>
  </si>
  <si>
    <t>NHM-2023-100073</t>
  </si>
  <si>
    <t>Sharon Stevens</t>
  </si>
  <si>
    <t>NHM-2025-100931</t>
  </si>
  <si>
    <t>Anthony Miller</t>
  </si>
  <si>
    <t>NHM-2024-100546</t>
  </si>
  <si>
    <t>Denise Alvarez</t>
  </si>
  <si>
    <t>NHM-2026-102043</t>
  </si>
  <si>
    <t>Christine Myers</t>
  </si>
  <si>
    <t>NHM-2024-101547</t>
  </si>
  <si>
    <t>Judy Gomez</t>
  </si>
  <si>
    <t>NHM-2026-100724</t>
  </si>
  <si>
    <t>Matthew White</t>
  </si>
  <si>
    <t>NHM-2026-101301</t>
  </si>
  <si>
    <t>Christopher Stevens</t>
  </si>
  <si>
    <t>NHM-2025-100026</t>
  </si>
  <si>
    <t>NHM-2025-100860</t>
  </si>
  <si>
    <t>Sarah Long</t>
  </si>
  <si>
    <t>NHM-2025-101248</t>
  </si>
  <si>
    <t>Frank Gibson</t>
  </si>
  <si>
    <t>NHM-2026-101666</t>
  </si>
  <si>
    <t>Aaron Wilson</t>
  </si>
  <si>
    <t>NHM-2026-100277</t>
  </si>
  <si>
    <t>Gerald Watson</t>
  </si>
  <si>
    <t>NHM-2023-102487</t>
  </si>
  <si>
    <t>Angela Crawford</t>
  </si>
  <si>
    <t>NHM-2023-101060</t>
  </si>
  <si>
    <t>John Jackson</t>
  </si>
  <si>
    <t>NHM-2024-101855</t>
  </si>
  <si>
    <t>Nicholas Lewis</t>
  </si>
  <si>
    <t>NHM-2025-101474</t>
  </si>
  <si>
    <t>Melissa Turner</t>
  </si>
  <si>
    <t>NHM-2023-102074</t>
  </si>
  <si>
    <t>Emma Reynolds</t>
  </si>
  <si>
    <t>NHM-2023-100755</t>
  </si>
  <si>
    <t>Joseph Reynolds</t>
  </si>
  <si>
    <t>NHM-2024-101270</t>
  </si>
  <si>
    <t>Jerry Hall</t>
  </si>
  <si>
    <t>NHM-2023-102489</t>
  </si>
  <si>
    <t>Ralph Adams</t>
  </si>
  <si>
    <t>NHM-2023-102318</t>
  </si>
  <si>
    <t>NHM-2023-100090</t>
  </si>
  <si>
    <t>Joshua Smith</t>
  </si>
  <si>
    <t>NHM-2026-100219</t>
  </si>
  <si>
    <t>Adam Jordan</t>
  </si>
  <si>
    <t>NHM-2024-100970</t>
  </si>
  <si>
    <t>Martha Powell</t>
  </si>
  <si>
    <t>NHM-2026-102004</t>
  </si>
  <si>
    <t>Robert Hall</t>
  </si>
  <si>
    <t>NHM-2025-101172</t>
  </si>
  <si>
    <t>Elizabeth Foster</t>
  </si>
  <si>
    <t>NHM-2025-101771</t>
  </si>
  <si>
    <t>Maria Collins</t>
  </si>
  <si>
    <t>NHM-2025-100597</t>
  </si>
  <si>
    <t>Nicholas Rogers</t>
  </si>
  <si>
    <t>NHM-2024-101948</t>
  </si>
  <si>
    <t>Emily Edwards</t>
  </si>
  <si>
    <t>NHM-2025-101742</t>
  </si>
  <si>
    <t>Jordan Crawford</t>
  </si>
  <si>
    <t>NHM-2026-101273</t>
  </si>
  <si>
    <t>Larry Peterson</t>
  </si>
  <si>
    <t>NHM-2026-101511</t>
  </si>
  <si>
    <t>Judith Turner</t>
  </si>
  <si>
    <t>NHM-2026-100990</t>
  </si>
  <si>
    <t>Emma Hughes</t>
  </si>
  <si>
    <t>NHM-2023-100996</t>
  </si>
  <si>
    <t>Sandra Tucker</t>
  </si>
  <si>
    <t>NHM-2025-100913</t>
  </si>
  <si>
    <t>Samuel Perry</t>
  </si>
  <si>
    <t>NHM-2026-100887</t>
  </si>
  <si>
    <t>Lisa Evans</t>
  </si>
  <si>
    <t>NHM-2025-100942</t>
  </si>
  <si>
    <t>Alexander Stewart</t>
  </si>
  <si>
    <t>NHM-2024-101800</t>
  </si>
  <si>
    <t>Julia Flores</t>
  </si>
  <si>
    <t>NHM-2023-102221</t>
  </si>
  <si>
    <t>Danielle Ramirez</t>
  </si>
  <si>
    <t>NHM-2024-100422</t>
  </si>
  <si>
    <t>Ashley Clark</t>
  </si>
  <si>
    <t>NHM-2024-100254</t>
  </si>
  <si>
    <t>Matthew Graham</t>
  </si>
  <si>
    <t>NHM-2023-101491</t>
  </si>
  <si>
    <t>Judy Fisher</t>
  </si>
  <si>
    <t>NHM-2025-101720</t>
  </si>
  <si>
    <t>Doris Morris</t>
  </si>
  <si>
    <t>NHM-2024-102095</t>
  </si>
  <si>
    <t>Katherine Henry</t>
  </si>
  <si>
    <t>NHM-2023-100574</t>
  </si>
  <si>
    <t>NHM-2026-102331</t>
  </si>
  <si>
    <t>Jordan Foster</t>
  </si>
  <si>
    <t>NHM-2023-102174</t>
  </si>
  <si>
    <t>Charles Miller</t>
  </si>
  <si>
    <t>NHM-2026-100278</t>
  </si>
  <si>
    <t>Wayne Lee</t>
  </si>
  <si>
    <t>NHM-2026-102363</t>
  </si>
  <si>
    <t>Frances Howard</t>
  </si>
  <si>
    <t>NHM-2025-101279</t>
  </si>
  <si>
    <t>Judith Anderson</t>
  </si>
  <si>
    <t>NHM-2026-100518</t>
  </si>
  <si>
    <t>Zachary Stewart</t>
  </si>
  <si>
    <t>NHM-2023-101906</t>
  </si>
  <si>
    <t>Jose Baker</t>
  </si>
  <si>
    <t>NHM-2025-102399</t>
  </si>
  <si>
    <t>Jordan Ortiz</t>
  </si>
  <si>
    <t>NHM-2024-101813</t>
  </si>
  <si>
    <t>Albert Reed</t>
  </si>
  <si>
    <t>NHM-2026-101352</t>
  </si>
  <si>
    <t>Austin Ford</t>
  </si>
  <si>
    <t>NHM-2025-100378</t>
  </si>
  <si>
    <t>Cynthia Dixon</t>
  </si>
  <si>
    <t>NHM-2025-101305</t>
  </si>
  <si>
    <t>Linda Martin</t>
  </si>
  <si>
    <t>NHM-2025-100475</t>
  </si>
  <si>
    <t>Steven Hamilton</t>
  </si>
  <si>
    <t>NHM-2023-101027</t>
  </si>
  <si>
    <t>Joan Mendoza</t>
  </si>
  <si>
    <t>NHM-2023-101725</t>
  </si>
  <si>
    <t>Lauren Hill</t>
  </si>
  <si>
    <t>NHM-2025-102100</t>
  </si>
  <si>
    <t>Austin Scott</t>
  </si>
  <si>
    <t>NHM-2025-101930</t>
  </si>
  <si>
    <t>Laura Hamilton</t>
  </si>
  <si>
    <t>NHM-2026-101249</t>
  </si>
  <si>
    <t>Timothy Simmons</t>
  </si>
  <si>
    <t>NHM-2024-100359</t>
  </si>
  <si>
    <t>Vincent Cooper</t>
  </si>
  <si>
    <t>NHM-2026-100010</t>
  </si>
  <si>
    <t>Dorothy Wood</t>
  </si>
  <si>
    <t>NHM-2026-101770</t>
  </si>
  <si>
    <t>Tyler Wallace</t>
  </si>
  <si>
    <t>NHM-2026-101454</t>
  </si>
  <si>
    <t>Cynthia Williams</t>
  </si>
  <si>
    <t>NHM-2024-101546</t>
  </si>
  <si>
    <t>Dorothy Simpson</t>
  </si>
  <si>
    <t>NHM-2024-102136</t>
  </si>
  <si>
    <t>Kevin Davis</t>
  </si>
  <si>
    <t>NHM-2023-100068</t>
  </si>
  <si>
    <t>Marilyn Butler</t>
  </si>
  <si>
    <t>NHM-2023-100801</t>
  </si>
  <si>
    <t>Kevin Washington</t>
  </si>
  <si>
    <t>NHM-2025-101028</t>
  </si>
  <si>
    <t>Cheryl Boyd</t>
  </si>
  <si>
    <t>NHM-2024-101700</t>
  </si>
  <si>
    <t>Raymond Graham</t>
  </si>
  <si>
    <t>NHM-2023-101221</t>
  </si>
  <si>
    <t>Jeffrey Woods</t>
  </si>
  <si>
    <t>NHM-2023-101323</t>
  </si>
  <si>
    <t>Anthony Long</t>
  </si>
  <si>
    <t>NHM-2023-101379</t>
  </si>
  <si>
    <t>Bruce Rogers</t>
  </si>
  <si>
    <t>NHM-2025-102460</t>
  </si>
  <si>
    <t>NHM-2024-100966</t>
  </si>
  <si>
    <t>Samuel Ortiz</t>
  </si>
  <si>
    <t>NHM-2026-101055</t>
  </si>
  <si>
    <t>Jason Bailey</t>
  </si>
  <si>
    <t>NHM-2023-100373</t>
  </si>
  <si>
    <t>Jerry Gibson</t>
  </si>
  <si>
    <t>NHM-2024-101115</t>
  </si>
  <si>
    <t>Edward Bryant</t>
  </si>
  <si>
    <t>NHM-2024-100185</t>
  </si>
  <si>
    <t>Bruce Reynolds</t>
  </si>
  <si>
    <t>NHM-2025-100223</t>
  </si>
  <si>
    <t>Sharon Young</t>
  </si>
  <si>
    <t>NHM-2026-101015</t>
  </si>
  <si>
    <t>Judy Gutierrez</t>
  </si>
  <si>
    <t>NHM-2024-100340</t>
  </si>
  <si>
    <t>Sean Hicks</t>
  </si>
  <si>
    <t>NHM-2023-101847</t>
  </si>
  <si>
    <t>Lisa Diaz</t>
  </si>
  <si>
    <t>NHM-2023-100016</t>
  </si>
  <si>
    <t>Adam Jimenez</t>
  </si>
  <si>
    <t>NHM-2023-102385</t>
  </si>
  <si>
    <t>Harold Perry</t>
  </si>
  <si>
    <t>NHM-2026-102296</t>
  </si>
  <si>
    <t>Roger Peterson</t>
  </si>
  <si>
    <t>NHM-2026-101054</t>
  </si>
  <si>
    <t>Steven Ellis</t>
  </si>
  <si>
    <t>NHM-2025-100879</t>
  </si>
  <si>
    <t>Martha Johnson</t>
  </si>
  <si>
    <t>NHM-2023-100598</t>
  </si>
  <si>
    <t>Douglas Adams</t>
  </si>
  <si>
    <t>NHM-2024-100774</t>
  </si>
  <si>
    <t>Virginia Woods</t>
  </si>
  <si>
    <t>NHM-2024-101723</t>
  </si>
  <si>
    <t>Jeremy Gonzales</t>
  </si>
  <si>
    <t>NHM-2024-101397</t>
  </si>
  <si>
    <t>Edward Henderson</t>
  </si>
  <si>
    <t>NHM-2024-100932</t>
  </si>
  <si>
    <t>Julia Sullivan</t>
  </si>
  <si>
    <t>NHM-2023-100424</t>
  </si>
  <si>
    <t>NHM-2023-101487</t>
  </si>
  <si>
    <t>Nathan Powell</t>
  </si>
  <si>
    <t>NHM-2026-102131</t>
  </si>
  <si>
    <t>Linda Ramirez</t>
  </si>
  <si>
    <t>NHM-2024-102475</t>
  </si>
  <si>
    <t>Jordan Ford</t>
  </si>
  <si>
    <t>NHM-2025-102156</t>
  </si>
  <si>
    <t>Jean Perez</t>
  </si>
  <si>
    <t>NHM-2026-102495</t>
  </si>
  <si>
    <t>Gloria Myers</t>
  </si>
  <si>
    <t>NHM-2026-100995</t>
  </si>
  <si>
    <t>Mary Hall</t>
  </si>
  <si>
    <t>NHM-2025-100101</t>
  </si>
  <si>
    <t>Albert Jenkins</t>
  </si>
  <si>
    <t>NHM-2023-101297</t>
  </si>
  <si>
    <t>Karen Cruz</t>
  </si>
  <si>
    <t>NHM-2023-101860</t>
  </si>
  <si>
    <t>Walter Ward</t>
  </si>
  <si>
    <t>NHM-2025-100848</t>
  </si>
  <si>
    <t>Frank Powell</t>
  </si>
  <si>
    <t>NHM-2024-101922</t>
  </si>
  <si>
    <t>Cynthia Roberts</t>
  </si>
  <si>
    <t>NHM-2024-101973</t>
  </si>
  <si>
    <t>Justin Wright</t>
  </si>
  <si>
    <t>NHM-2024-100935</t>
  </si>
  <si>
    <t>Terry Hamilton</t>
  </si>
  <si>
    <t>NHM-2026-101089</t>
  </si>
  <si>
    <t>Michael Torres</t>
  </si>
  <si>
    <t>NHM-2023-100104</t>
  </si>
  <si>
    <t>Eric Watson</t>
  </si>
  <si>
    <t>NHM-2024-102158</t>
  </si>
  <si>
    <t>Helen Ramos</t>
  </si>
  <si>
    <t>NHM-2024-102071</t>
  </si>
  <si>
    <t>John Warren</t>
  </si>
  <si>
    <t>NHM-2025-101631</t>
  </si>
  <si>
    <t>Anna Kim</t>
  </si>
  <si>
    <t>NHM-2024-100632</t>
  </si>
  <si>
    <t>Sara Coleman</t>
  </si>
  <si>
    <t>NHM-2023-100237</t>
  </si>
  <si>
    <t>Sara Owens</t>
  </si>
  <si>
    <t>NHM-2024-100880</t>
  </si>
  <si>
    <t>Patricia Graham</t>
  </si>
  <si>
    <t>NHM-2026-101044</t>
  </si>
  <si>
    <t>Randy Graham</t>
  </si>
  <si>
    <t>NHM-2023-101307</t>
  </si>
  <si>
    <t>Margaret Cox</t>
  </si>
  <si>
    <t>NHM-2024-100764</t>
  </si>
  <si>
    <t>Rebecca Bailey</t>
  </si>
  <si>
    <t>NHM-2026-101473</t>
  </si>
  <si>
    <t>Janet Garcia</t>
  </si>
  <si>
    <t>NHM-2026-100804</t>
  </si>
  <si>
    <t>Benjamin Green</t>
  </si>
  <si>
    <t>NHM-2024-100327</t>
  </si>
  <si>
    <t>Pamela James</t>
  </si>
  <si>
    <t>NHM-2025-102218</t>
  </si>
  <si>
    <t>Nathan Scott</t>
  </si>
  <si>
    <t>NHM-2026-101255</t>
  </si>
  <si>
    <t>Stephen Cruz</t>
  </si>
  <si>
    <t>NHM-2023-101874</t>
  </si>
  <si>
    <t>Julie Jackson</t>
  </si>
  <si>
    <t>NHM-2023-101065</t>
  </si>
  <si>
    <t>Justin Stewart</t>
  </si>
  <si>
    <t>NHM-2023-102330</t>
  </si>
  <si>
    <t>Austin Kennedy</t>
  </si>
  <si>
    <t>NHM-2023-101333</t>
  </si>
  <si>
    <t>Gloria Martinez</t>
  </si>
  <si>
    <t>NHM-2025-101096</t>
  </si>
  <si>
    <t>Dennis Taylor</t>
  </si>
  <si>
    <t>NHM-2023-101234</t>
  </si>
  <si>
    <t>Carol Sullivan</t>
  </si>
  <si>
    <t>NHM-2025-102253</t>
  </si>
  <si>
    <t>Virginia Hughes</t>
  </si>
  <si>
    <t>NHM-2025-101716</t>
  </si>
  <si>
    <t>Patricia Murphy</t>
  </si>
  <si>
    <t>NHM-2024-100275</t>
  </si>
  <si>
    <t>Megan Morgan</t>
  </si>
  <si>
    <t>NHM-2024-102337</t>
  </si>
  <si>
    <t>Harold Collins</t>
  </si>
  <si>
    <t>NHM-2025-100179</t>
  </si>
  <si>
    <t>Christine Owens</t>
  </si>
  <si>
    <t>NHM-2026-100004</t>
  </si>
  <si>
    <t>Aaron Ward</t>
  </si>
  <si>
    <t>NHM-2026-100110</t>
  </si>
  <si>
    <t>Linda Kennedy</t>
  </si>
  <si>
    <t>NHM-2023-102130</t>
  </si>
  <si>
    <t>Rachel Ramirez</t>
  </si>
  <si>
    <t>NHM-2024-100351</t>
  </si>
  <si>
    <t>Bryan Edwards</t>
  </si>
  <si>
    <t>NHM-2023-100250</t>
  </si>
  <si>
    <t>Joshua Hamilton</t>
  </si>
  <si>
    <t>NHM-2026-100498</t>
  </si>
  <si>
    <t>Teresa Foster</t>
  </si>
  <si>
    <t>NHM-2025-101206</t>
  </si>
  <si>
    <t>Walter Kelly</t>
  </si>
  <si>
    <t>NHM-2025-101375</t>
  </si>
  <si>
    <t>Joan Hernandez</t>
  </si>
  <si>
    <t>NHM-2023-100693</t>
  </si>
  <si>
    <t>Harold Robinson</t>
  </si>
  <si>
    <t>NHM-2024-100436</t>
  </si>
  <si>
    <t>Linda Anderson</t>
  </si>
  <si>
    <t>NHM-2024-100283</t>
  </si>
  <si>
    <t>Joshua Scott</t>
  </si>
  <si>
    <t>NHM-2026-101867</t>
  </si>
  <si>
    <t>Anna Tucker</t>
  </si>
  <si>
    <t>NHM-2026-101539</t>
  </si>
  <si>
    <t>Edward Gibson</t>
  </si>
  <si>
    <t>NHM-2023-101049</t>
  </si>
  <si>
    <t>Valerie Hall</t>
  </si>
  <si>
    <t>NHM-2025-102266</t>
  </si>
  <si>
    <t>NHM-2026-102259</t>
  </si>
  <si>
    <t>Benjamin Wood</t>
  </si>
  <si>
    <t>NHM-2024-101112</t>
  </si>
  <si>
    <t>Logan Boyd</t>
  </si>
  <si>
    <t>NHM-2026-101269</t>
  </si>
  <si>
    <t>Kathryn Bennett</t>
  </si>
  <si>
    <t>NHM-2026-100713</t>
  </si>
  <si>
    <t>Zachary Foster</t>
  </si>
  <si>
    <t>NHM-2024-101571</t>
  </si>
  <si>
    <t>Kelly Hall</t>
  </si>
  <si>
    <t>NHM-2023-102452</t>
  </si>
  <si>
    <t>Ryan Carter</t>
  </si>
  <si>
    <t>NHM-2025-101783</t>
  </si>
  <si>
    <t>Mark Price</t>
  </si>
  <si>
    <t>NHM-2023-101308</t>
  </si>
  <si>
    <t>NHM-2025-101712</t>
  </si>
  <si>
    <t>Gary Roberts</t>
  </si>
  <si>
    <t>NHM-2025-100025</t>
  </si>
  <si>
    <t>Ruth Diaz</t>
  </si>
  <si>
    <t>NHM-2025-100492</t>
  </si>
  <si>
    <t>Amanda Bailey</t>
  </si>
  <si>
    <t>NHM-2024-101997</t>
  </si>
  <si>
    <t>Walter Patterson</t>
  </si>
  <si>
    <t>NHM-2023-101655</t>
  </si>
  <si>
    <t>Teresa Young</t>
  </si>
  <si>
    <t>NHM-2024-102135</t>
  </si>
  <si>
    <t>Betty Reynolds</t>
  </si>
  <si>
    <t>NHM-2024-100557</t>
  </si>
  <si>
    <t>Brandon Anderson</t>
  </si>
  <si>
    <t>NHM-2025-100122</t>
  </si>
  <si>
    <t>Logan Simmons</t>
  </si>
  <si>
    <t>NHM-2025-101976</t>
  </si>
  <si>
    <t>David Bailey</t>
  </si>
  <si>
    <t>NHM-2025-102291</t>
  </si>
  <si>
    <t>NHM-2025-102345</t>
  </si>
  <si>
    <t>Mark Flores</t>
  </si>
  <si>
    <t>NHM-2024-100707</t>
  </si>
  <si>
    <t>Heather Price</t>
  </si>
  <si>
    <t>NHM-2025-101109</t>
  </si>
  <si>
    <t>James Sanchez</t>
  </si>
  <si>
    <t>NHM-2023-101977</t>
  </si>
  <si>
    <t>Jacob Crawford</t>
  </si>
  <si>
    <t>NHM-2023-100465</t>
  </si>
  <si>
    <t>Harold Myers</t>
  </si>
  <si>
    <t>NHM-2025-101602</t>
  </si>
  <si>
    <t>Eugene Jenkins</t>
  </si>
  <si>
    <t>NHM-2024-101215</t>
  </si>
  <si>
    <t>Judith Rogers</t>
  </si>
  <si>
    <t>NHM-2026-100325</t>
  </si>
  <si>
    <t>Melissa Johnson</t>
  </si>
  <si>
    <t>NHM-2024-102179</t>
  </si>
  <si>
    <t>Rebecca Perry</t>
  </si>
  <si>
    <t>NHM-2024-100535</t>
  </si>
  <si>
    <t>NHM-2023-101465</t>
  </si>
  <si>
    <t>Betty Alvarez</t>
  </si>
  <si>
    <t>NHM-2024-102206</t>
  </si>
  <si>
    <t>Tyler Gomez</t>
  </si>
  <si>
    <t>NHM-2026-101421</t>
  </si>
  <si>
    <t>Harold Butler</t>
  </si>
  <si>
    <t>NHM-2023-101747</t>
  </si>
  <si>
    <t>Theresa Richardson</t>
  </si>
  <si>
    <t>NHM-2026-101199</t>
  </si>
  <si>
    <t>Brandon Flores</t>
  </si>
  <si>
    <t>NHM-2025-102353</t>
  </si>
  <si>
    <t>Jack Gonzales</t>
  </si>
  <si>
    <t>NHM-2024-101319</t>
  </si>
  <si>
    <t>Kimberly Cox</t>
  </si>
  <si>
    <t>NHM-2024-100861</t>
  </si>
  <si>
    <t>Elizabeth Cook</t>
  </si>
  <si>
    <t>NHM-2024-100587</t>
  </si>
  <si>
    <t>Pamela Freeman</t>
  </si>
  <si>
    <t>NHM-2026-100030</t>
  </si>
  <si>
    <t>Frank Brooks</t>
  </si>
  <si>
    <t>NHM-2023-100365</t>
  </si>
  <si>
    <t>Anna Collins</t>
  </si>
  <si>
    <t>NHM-2024-102087</t>
  </si>
  <si>
    <t>Sharon Brooks</t>
  </si>
  <si>
    <t>NHM-2024-100543</t>
  </si>
  <si>
    <t>Gabriel Rogers</t>
  </si>
  <si>
    <t>NHM-2024-100170</t>
  </si>
  <si>
    <t>Madison Ortiz</t>
  </si>
  <si>
    <t>NHM-2024-100092</t>
  </si>
  <si>
    <t>Kyle Alexander</t>
  </si>
  <si>
    <t>NHM-2024-101351</t>
  </si>
  <si>
    <t>Beverly Smith</t>
  </si>
  <si>
    <t>NHM-2023-101603</t>
  </si>
  <si>
    <t>Henry Allen</t>
  </si>
  <si>
    <t>NHM-2023-100605</t>
  </si>
  <si>
    <t>Roger Perry</t>
  </si>
  <si>
    <t>NHM-2025-100420</t>
  </si>
  <si>
    <t>Nicholas Dixon</t>
  </si>
  <si>
    <t>NHM-2026-101744</t>
  </si>
  <si>
    <t>Virginia Sanchez</t>
  </si>
  <si>
    <t>NHM-2026-101887</t>
  </si>
  <si>
    <t>Evelyn Fisher</t>
  </si>
  <si>
    <t>NHM-2023-100111</t>
  </si>
  <si>
    <t>Amy Martin</t>
  </si>
  <si>
    <t>NHM-2025-102391</t>
  </si>
  <si>
    <t>Virginia Gonzales</t>
  </si>
  <si>
    <t>NHM-2024-101064</t>
  </si>
  <si>
    <t>NHM-2025-101316</t>
  </si>
  <si>
    <t>Anna Patterson</t>
  </si>
  <si>
    <t>NHM-2026-101913</t>
  </si>
  <si>
    <t>Evelyn Gonzalez</t>
  </si>
  <si>
    <t>NHM-2026-100640</t>
  </si>
  <si>
    <t>Barbara Price</t>
  </si>
  <si>
    <t>NHM-2024-100400</t>
  </si>
  <si>
    <t>Ronald Powell</t>
  </si>
  <si>
    <t>NHM-2026-101120</t>
  </si>
  <si>
    <t>Logan Davis</t>
  </si>
  <si>
    <t>NHM-2026-100202</t>
  </si>
  <si>
    <t>Logan Parker</t>
  </si>
  <si>
    <t>NHM-2023-101489</t>
  </si>
  <si>
    <t>Gabriel Marshall</t>
  </si>
  <si>
    <t>NHM-2023-101682</t>
  </si>
  <si>
    <t>Stephen Moore</t>
  </si>
  <si>
    <t>NHM-2025-102002</t>
  </si>
  <si>
    <t>Sonia Cruz</t>
  </si>
  <si>
    <t>NHM-2026-100367</t>
  </si>
  <si>
    <t>Keith Sullivan</t>
  </si>
  <si>
    <t>NHM-2025-100196</t>
  </si>
  <si>
    <t>Fiona Marshall</t>
  </si>
  <si>
    <t>NHM-2024-100377</t>
  </si>
  <si>
    <t>Angela Martin</t>
  </si>
  <si>
    <t>NHM-2026-102189</t>
  </si>
  <si>
    <t>Alice Nelson</t>
  </si>
  <si>
    <t>NHM-2024-102423</t>
  </si>
  <si>
    <t>Virginia Mitchell</t>
  </si>
  <si>
    <t>NHM-2023-101398</t>
  </si>
  <si>
    <t>Anthony Diaz</t>
  </si>
  <si>
    <t>NHM-2026-100134</t>
  </si>
  <si>
    <t>Timothy Howard</t>
  </si>
  <si>
    <t>NHM-2024-101830</t>
  </si>
  <si>
    <t>Kevin Cruz</t>
  </si>
  <si>
    <t>NHM-2025-100145</t>
  </si>
  <si>
    <t>Kathryn Perry</t>
  </si>
  <si>
    <t>NHM-2026-100908</t>
  </si>
  <si>
    <t>Janet Brown</t>
  </si>
  <si>
    <t>NHM-2026-101193</t>
  </si>
  <si>
    <t>Jordan Diaz</t>
  </si>
  <si>
    <t>NHM-2026-101357</t>
  </si>
  <si>
    <t>Fiona Simpson</t>
  </si>
  <si>
    <t>NHM-2023-101958</t>
  </si>
  <si>
    <t>Stephanie Campbell</t>
  </si>
  <si>
    <t>NHM-2023-100045</t>
  </si>
  <si>
    <t>Theresa Owens</t>
  </si>
  <si>
    <t>NHM-2026-100394</t>
  </si>
  <si>
    <t>Scott Hernandez</t>
  </si>
  <si>
    <t>NHM-2023-100644</t>
  </si>
  <si>
    <t>Samantha Gonzalez</t>
  </si>
  <si>
    <t>NHM-2026-100361</t>
  </si>
  <si>
    <t>NHM-2023-100285</t>
  </si>
  <si>
    <t>Brenda Simpson</t>
  </si>
  <si>
    <t>NHM-2025-101116</t>
  </si>
  <si>
    <t>Alan Cruz</t>
  </si>
  <si>
    <t>NHM-2024-101458</t>
  </si>
  <si>
    <t>Victoria Murray</t>
  </si>
  <si>
    <t>NHM-2024-100258</t>
  </si>
  <si>
    <t>Adam Cruz</t>
  </si>
  <si>
    <t>NHM-2023-100949</t>
  </si>
  <si>
    <t>Sara Reyes</t>
  </si>
  <si>
    <t>NHM-2024-102268</t>
  </si>
  <si>
    <t>Marilyn Warren</t>
  </si>
  <si>
    <t>NHM-2024-101163</t>
  </si>
  <si>
    <t>Jonathan Henry</t>
  </si>
  <si>
    <t>NHM-2024-102225</t>
  </si>
  <si>
    <t>Laura Henderson</t>
  </si>
  <si>
    <t>NHM-2024-100441</t>
  </si>
  <si>
    <t>Sarah Sullivan</t>
  </si>
  <si>
    <t>NHM-2025-100824</t>
  </si>
  <si>
    <t>Donald Chavez</t>
  </si>
  <si>
    <t>NHM-2024-100840</t>
  </si>
  <si>
    <t>Frances Russell</t>
  </si>
  <si>
    <t>NHM-2024-100489</t>
  </si>
  <si>
    <t>Adam Wright</t>
  </si>
  <si>
    <t>NHM-2026-100613</t>
  </si>
  <si>
    <t>Gabriel Martin</t>
  </si>
  <si>
    <t>NHM-2025-100539</t>
  </si>
  <si>
    <t>Jack Nguyen</t>
  </si>
  <si>
    <t>NHM-2024-101209</t>
  </si>
  <si>
    <t>Lawrence Morales</t>
  </si>
  <si>
    <t>NHM-2026-100746</t>
  </si>
  <si>
    <t>NHM-2024-101311</t>
  </si>
  <si>
    <t>Logan Stevens</t>
  </si>
  <si>
    <t>NHM-2023-100336</t>
  </si>
  <si>
    <t>Larry Watson</t>
  </si>
  <si>
    <t>NHM-2023-102017</t>
  </si>
  <si>
    <t>Carol Powell</t>
  </si>
  <si>
    <t>NHM-2023-100540</t>
  </si>
  <si>
    <t>Zachary Freeman</t>
  </si>
  <si>
    <t>NHM-2023-101181</t>
  </si>
  <si>
    <t>Randy Gonzalez</t>
  </si>
  <si>
    <t>NHM-2025-102238</t>
  </si>
  <si>
    <t>Adam Walker</t>
  </si>
  <si>
    <t>NHM-2024-100875</t>
  </si>
  <si>
    <t>Kyle Russell</t>
  </si>
  <si>
    <t>NHM-2025-100040</t>
  </si>
  <si>
    <t>Charles Simpson</t>
  </si>
  <si>
    <t>NHM-2023-100820</t>
  </si>
  <si>
    <t>Brandon Gibson</t>
  </si>
  <si>
    <t>NHM-2024-102328</t>
  </si>
  <si>
    <t>Logan Gonzales</t>
  </si>
  <si>
    <t>NHM-2024-100018</t>
  </si>
  <si>
    <t>Jeffrey Ford</t>
  </si>
  <si>
    <t>NHM-2024-101286</t>
  </si>
  <si>
    <t>Andrew Walker</t>
  </si>
  <si>
    <t>NHM-2023-100528</t>
  </si>
  <si>
    <t>Kathleen Porter</t>
  </si>
  <si>
    <t>NHM-2026-100160</t>
  </si>
  <si>
    <t>Arthur Gomez</t>
  </si>
  <si>
    <t>NHM-2025-101446</t>
  </si>
  <si>
    <t>Denise Butler</t>
  </si>
  <si>
    <t>NHM-2023-101772</t>
  </si>
  <si>
    <t>Sandra Brooks</t>
  </si>
  <si>
    <t>NHM-2025-101173</t>
  </si>
  <si>
    <t>Bruce Myers</t>
  </si>
  <si>
    <t>NHM-2025-101865</t>
  </si>
  <si>
    <t>Stephen Nguyen</t>
  </si>
  <si>
    <t>NHM-2024-100225</t>
  </si>
  <si>
    <t>Sara Murray</t>
  </si>
  <si>
    <t>NHM-2023-102162</t>
  </si>
  <si>
    <t>Lawrence Smith</t>
  </si>
  <si>
    <t>NHM-2023-102295</t>
  </si>
  <si>
    <t>Margaret Kelly</t>
  </si>
  <si>
    <t>NHM-2024-100759</t>
  </si>
  <si>
    <t>Gerald Griffin</t>
  </si>
  <si>
    <t>NHM-2026-101162</t>
  </si>
  <si>
    <t>Evelyn Diaz</t>
  </si>
  <si>
    <t>NHM-2025-101017</t>
  </si>
  <si>
    <t>Matthew Hernandez</t>
  </si>
  <si>
    <t>NHM-2024-100456</t>
  </si>
  <si>
    <t>NHM-2025-100912</t>
  </si>
  <si>
    <t>John Brown</t>
  </si>
  <si>
    <t>NHM-2023-100843</t>
  </si>
  <si>
    <t>Paul Brooks</t>
  </si>
  <si>
    <t>NHM-2026-100788</t>
  </si>
  <si>
    <t>Shirley Mason</t>
  </si>
  <si>
    <t>NHM-2024-101233</t>
  </si>
  <si>
    <t>Theresa Nguyen</t>
  </si>
  <si>
    <t>NHM-2025-101358</t>
  </si>
  <si>
    <t>Sharon Morgan</t>
  </si>
  <si>
    <t>NHM-2023-101133</t>
  </si>
  <si>
    <t>Justin Brooks</t>
  </si>
  <si>
    <t>NHM-2025-100561</t>
  </si>
  <si>
    <t>Amy Morgan</t>
  </si>
  <si>
    <t>NHM-2024-100720</t>
  </si>
  <si>
    <t>Ethan Bennett</t>
  </si>
  <si>
    <t>NHM-2023-100252</t>
  </si>
  <si>
    <t>Ashley Lewis</t>
  </si>
  <si>
    <t>NHM-2024-100962</t>
  </si>
  <si>
    <t>NHM-2023-101294</t>
  </si>
  <si>
    <t>Tyler Campbell</t>
  </si>
  <si>
    <t>NHM-2024-100767</t>
  </si>
  <si>
    <t>Nicholas Bell</t>
  </si>
  <si>
    <t>NHM-2023-100895</t>
  </si>
  <si>
    <t>Judith Sullivan</t>
  </si>
  <si>
    <t>NHM-2026-101760</t>
  </si>
  <si>
    <t>NHM-2023-100344</t>
  </si>
  <si>
    <t>Justin Wilson</t>
  </si>
  <si>
    <t>NHM-2023-100590</t>
  </si>
  <si>
    <t>William Evans</t>
  </si>
  <si>
    <t>NHM-2024-100626</t>
  </si>
  <si>
    <t>Amy Barnes</t>
  </si>
  <si>
    <t>NHM-2026-102008</t>
  </si>
  <si>
    <t>Brian Jimenez</t>
  </si>
  <si>
    <t>NHM-2025-101405</t>
  </si>
  <si>
    <t>Charles Cooper</t>
  </si>
  <si>
    <t>NHM-2025-101466</t>
  </si>
  <si>
    <t>Joyce Walker</t>
  </si>
  <si>
    <t>NHM-2024-101825</t>
  </si>
  <si>
    <t>NHM-2026-100135</t>
  </si>
  <si>
    <t>Larry Griffin</t>
  </si>
  <si>
    <t>NHM-2025-101965</t>
  </si>
  <si>
    <t>Amy Richardson</t>
  </si>
  <si>
    <t>NHM-2024-100332</t>
  </si>
  <si>
    <t>Jordan Cook</t>
  </si>
  <si>
    <t>NHM-2026-101471</t>
  </si>
  <si>
    <t>Kelly Murray</t>
  </si>
  <si>
    <t>NHM-2025-102491</t>
  </si>
  <si>
    <t>Steven Jenkins</t>
  </si>
  <si>
    <t>NHM-2024-100567</t>
  </si>
  <si>
    <t>Lawrence Cox</t>
  </si>
  <si>
    <t>NHM-2024-101588</t>
  </si>
  <si>
    <t>Abigail Alexander</t>
  </si>
  <si>
    <t>NHM-2026-101505</t>
  </si>
  <si>
    <t>Brenda Lee</t>
  </si>
  <si>
    <t>NHM-2023-101891</t>
  </si>
  <si>
    <t>Samantha Ross</t>
  </si>
  <si>
    <t>NHM-2025-100603</t>
  </si>
  <si>
    <t>Daniel Coleman</t>
  </si>
  <si>
    <t>NHM-2026-102038</t>
  </si>
  <si>
    <t>Elizabeth Bailey</t>
  </si>
  <si>
    <t>NHM-2024-102014</t>
  </si>
  <si>
    <t>Cheryl Howard</t>
  </si>
  <si>
    <t>NHM-2026-101935</t>
  </si>
  <si>
    <t>Gregory Bailey</t>
  </si>
  <si>
    <t>NHM-2023-100737</t>
  </si>
  <si>
    <t>Joseph Kim</t>
  </si>
  <si>
    <t>NHM-2025-100566</t>
  </si>
  <si>
    <t>Arthur Barnes</t>
  </si>
  <si>
    <t>NHM-2023-102483</t>
  </si>
  <si>
    <t>Scott Hicks</t>
  </si>
  <si>
    <t>NHM-2026-101425</t>
  </si>
  <si>
    <t>Lauren Gutierrez</t>
  </si>
  <si>
    <t>NHM-2024-100084</t>
  </si>
  <si>
    <t>Diane Adams</t>
  </si>
  <si>
    <t>NHM-2023-102441</t>
  </si>
  <si>
    <t>Kimberly Gibson</t>
  </si>
  <si>
    <t>NHM-2023-101728</t>
  </si>
  <si>
    <t>Amy Jimenez</t>
  </si>
  <si>
    <t>NHM-2026-101669</t>
  </si>
  <si>
    <t>Theresa Diaz</t>
  </si>
  <si>
    <t>NHM-2025-102005</t>
  </si>
  <si>
    <t>Thomas Cruz</t>
  </si>
  <si>
    <t>NHM-2024-102261</t>
  </si>
  <si>
    <t>Eric Woods</t>
  </si>
  <si>
    <t>NHM-2023-101101</t>
  </si>
  <si>
    <t>George Davis</t>
  </si>
  <si>
    <t>NHM-2026-100901</t>
  </si>
  <si>
    <t>Robert Wood</t>
  </si>
  <si>
    <t>NHM-2024-101527</t>
  </si>
  <si>
    <t>Laura Gonzales</t>
  </si>
  <si>
    <t>NHM-2024-101426</t>
  </si>
  <si>
    <t>NHM-2025-101662</t>
  </si>
  <si>
    <t>Joyce Coleman</t>
  </si>
  <si>
    <t>NHM-2026-101667</t>
  </si>
  <si>
    <t>Paul Castillo</t>
  </si>
  <si>
    <t>NHM-2025-102300</t>
  </si>
  <si>
    <t>Albert Griffin</t>
  </si>
  <si>
    <t>NHM-2023-102191</t>
  </si>
  <si>
    <t>NHM-2025-100652</t>
  </si>
  <si>
    <t>Megan Cruz</t>
  </si>
  <si>
    <t>NHM-2023-101045</t>
  </si>
  <si>
    <t>Jesse Marshall</t>
  </si>
  <si>
    <t>NHM-2026-102173</t>
  </si>
  <si>
    <t>Patrick Moore</t>
  </si>
  <si>
    <t>NHM-2026-101326</t>
  </si>
  <si>
    <t>Rebecca Wallace</t>
  </si>
  <si>
    <t>NHM-2025-101629</t>
  </si>
  <si>
    <t>Betty Patterson</t>
  </si>
  <si>
    <t>NHM-2024-100038</t>
  </si>
  <si>
    <t>Linda Reynolds</t>
  </si>
  <si>
    <t>NHM-2025-101007</t>
  </si>
  <si>
    <t>Lauren Webb</t>
  </si>
  <si>
    <t>NHM-2025-100396</t>
  </si>
  <si>
    <t>Kenneth Murphy</t>
  </si>
  <si>
    <t>NHM-2026-100093</t>
  </si>
  <si>
    <t>Bruce Green</t>
  </si>
  <si>
    <t>NHM-2025-101158</t>
  </si>
  <si>
    <t>Jason Russell</t>
  </si>
  <si>
    <t>NHM-2024-101126</t>
  </si>
  <si>
    <t>William Harris</t>
  </si>
  <si>
    <t>NHM-2023-100831</t>
  </si>
  <si>
    <t>Melissa Coleman</t>
  </si>
  <si>
    <t>NHM-2024-101347</t>
  </si>
  <si>
    <t>Hannah Flores</t>
  </si>
  <si>
    <t>NHM-2023-100443</t>
  </si>
  <si>
    <t>Alexander Ramos</t>
  </si>
  <si>
    <t>NHM-2023-100968</t>
  </si>
  <si>
    <t>Kathleen Jackson</t>
  </si>
  <si>
    <t>NHM-2024-100793</t>
  </si>
  <si>
    <t>Janice Moore</t>
  </si>
  <si>
    <t>NHM-2023-100239</t>
  </si>
  <si>
    <t>Michelle Stevens</t>
  </si>
  <si>
    <t>NHM-2023-102029</t>
  </si>
  <si>
    <t>Jeremy Hill</t>
  </si>
  <si>
    <t>NHM-2026-100241</t>
  </si>
  <si>
    <t>Rachel Kim</t>
  </si>
  <si>
    <t>NHM-2025-101743</t>
  </si>
  <si>
    <t>Donald Freeman</t>
  </si>
  <si>
    <t>NHM-2025-101244</t>
  </si>
  <si>
    <t>Alexander Dixon</t>
  </si>
  <si>
    <t>NHM-2025-100553</t>
  </si>
  <si>
    <t>Brandon Henderson</t>
  </si>
  <si>
    <t>NHM-2025-101385</t>
  </si>
  <si>
    <t>Betty Ortiz</t>
  </si>
  <si>
    <t>NHM-2023-100216</t>
  </si>
  <si>
    <t>Pamela King</t>
  </si>
  <si>
    <t>NHM-2024-101460</t>
  </si>
  <si>
    <t>Mary Mitchell</t>
  </si>
  <si>
    <t>NHM-2024-100296</t>
  </si>
  <si>
    <t>Gregory Cox</t>
  </si>
  <si>
    <t>NHM-2025-100051</t>
  </si>
  <si>
    <t>Jerry Allen</t>
  </si>
  <si>
    <t>NHM-2024-101165</t>
  </si>
  <si>
    <t>Janice Russell</t>
  </si>
  <si>
    <t>NHM-2023-101390</t>
  </si>
  <si>
    <t>Danielle Harris</t>
  </si>
  <si>
    <t>NHM-2024-101059</t>
  </si>
  <si>
    <t>Amy Green</t>
  </si>
  <si>
    <t>NHM-2024-101932</t>
  </si>
  <si>
    <t>Steven Taylor</t>
  </si>
  <si>
    <t>NHM-2024-101484</t>
  </si>
  <si>
    <t>Olivia Ross</t>
  </si>
  <si>
    <t>NHM-2026-100775</t>
  </si>
  <si>
    <t>Fiona Ortiz</t>
  </si>
  <si>
    <t>NHM-2025-101793</t>
  </si>
  <si>
    <t>Nancy Martinez</t>
  </si>
  <si>
    <t>NHM-2026-101536</t>
  </si>
  <si>
    <t>Willie Jones</t>
  </si>
  <si>
    <t>NHM-2025-101086</t>
  </si>
  <si>
    <t>Linda Flores</t>
  </si>
  <si>
    <t>NHM-2025-100998</t>
  </si>
  <si>
    <t>Bryan Scott</t>
  </si>
  <si>
    <t>NHM-2026-102407</t>
  </si>
  <si>
    <t>Laura Stevens</t>
  </si>
  <si>
    <t>NHM-2026-101355</t>
  </si>
  <si>
    <t>Doris Ellis</t>
  </si>
  <si>
    <t>NHM-2026-102251</t>
  </si>
  <si>
    <t>Lisa Wilson</t>
  </si>
  <si>
    <t>NHM-2025-101230</t>
  </si>
  <si>
    <t>Tyler Rogers</t>
  </si>
  <si>
    <t>NHM-2023-101038</t>
  </si>
  <si>
    <t>Adam Tucker</t>
  </si>
  <si>
    <t>NHM-2024-102364</t>
  </si>
  <si>
    <t>Charles Castillo</t>
  </si>
  <si>
    <t>NHM-2023-102433</t>
  </si>
  <si>
    <t>Gerald Patel</t>
  </si>
  <si>
    <t>NHM-2025-101945</t>
  </si>
  <si>
    <t>George Tucker</t>
  </si>
  <si>
    <t>NHM-2026-101642</t>
  </si>
  <si>
    <t>NHM-2025-100522</t>
  </si>
  <si>
    <t>Denise Webb</t>
  </si>
  <si>
    <t>NHM-2025-100647</t>
  </si>
  <si>
    <t>Jerry Butler</t>
  </si>
  <si>
    <t>NHM-2023-100517</t>
  </si>
  <si>
    <t>Fiona Morales</t>
  </si>
  <si>
    <t>NHM-2024-101856</t>
  </si>
  <si>
    <t>Patrick Mason</t>
  </si>
  <si>
    <t>NHM-2024-101348</t>
  </si>
  <si>
    <t>Patrick Gonzales</t>
  </si>
  <si>
    <t>NHM-2026-101902</t>
  </si>
  <si>
    <t>Mark Patterson</t>
  </si>
  <si>
    <t>NHM-2026-100515</t>
  </si>
  <si>
    <t>Frances Walker</t>
  </si>
  <si>
    <t>NHM-2026-101621</t>
  </si>
  <si>
    <t>Jeffrey Hughes</t>
  </si>
  <si>
    <t>NHM-2025-101591</t>
  </si>
  <si>
    <t>Hannah Woods</t>
  </si>
  <si>
    <t>NHM-2023-101653</t>
  </si>
  <si>
    <t>Ralph Jones</t>
  </si>
  <si>
    <t>NHM-2023-101632</t>
  </si>
  <si>
    <t>Christina Gonzalez</t>
  </si>
  <si>
    <t>NHM-2026-100841</t>
  </si>
  <si>
    <t>Sean Reed</t>
  </si>
  <si>
    <t>NHM-2025-101182</t>
  </si>
  <si>
    <t>Logan Garcia</t>
  </si>
  <si>
    <t>NHM-2026-100645</t>
  </si>
  <si>
    <t>Brandon Simmons</t>
  </si>
  <si>
    <t>NHM-2025-102469</t>
  </si>
  <si>
    <t>Samantha Powell</t>
  </si>
  <si>
    <t>NHM-2025-100162</t>
  </si>
  <si>
    <t>Ronald Freeman</t>
  </si>
  <si>
    <t>NHM-2025-101812</t>
  </si>
  <si>
    <t>Thomas Murphy</t>
  </si>
  <si>
    <t>NHM-2026-102260</t>
  </si>
  <si>
    <t>Janet Morgan</t>
  </si>
  <si>
    <t>NHM-2024-101779</t>
  </si>
  <si>
    <t>Scott Collins</t>
  </si>
  <si>
    <t>NHM-2023-100324</t>
  </si>
  <si>
    <t>Danielle Hayes</t>
  </si>
  <si>
    <t>NHM-2024-100694</t>
  </si>
  <si>
    <t>Jack Perez</t>
  </si>
  <si>
    <t>NHM-2026-101392</t>
  </si>
  <si>
    <t>Justin Alvarez</t>
  </si>
  <si>
    <t>NHM-2024-101570</t>
  </si>
  <si>
    <t>Teresa Scott</t>
  </si>
  <si>
    <t>NHM-2025-101584</t>
  </si>
  <si>
    <t>Jeffrey Cruz</t>
  </si>
  <si>
    <t>NHM-2023-100944</t>
  </si>
  <si>
    <t>Jason Ford</t>
  </si>
  <si>
    <t>NHM-2025-101807</t>
  </si>
  <si>
    <t>Daniel Gomez</t>
  </si>
  <si>
    <t>NHM-2026-100769</t>
  </si>
  <si>
    <t>Frances Cruz</t>
  </si>
  <si>
    <t>NHM-2025-102428</t>
  </si>
  <si>
    <t>Janet Crawford</t>
  </si>
  <si>
    <t>NHM-2023-100653</t>
  </si>
  <si>
    <t>Peter Cook</t>
  </si>
  <si>
    <t>NHM-2026-100080</t>
  </si>
  <si>
    <t>Kenneth Simpson</t>
  </si>
  <si>
    <t>NHM-2025-102381</t>
  </si>
  <si>
    <t>Rachel Gonzalez</t>
  </si>
  <si>
    <t>NHM-2026-100466</t>
  </si>
  <si>
    <t>Henry Hunter</t>
  </si>
  <si>
    <t>NHM-2025-101427</t>
  </si>
  <si>
    <t>NHM-2023-102465</t>
  </si>
  <si>
    <t>Bryan Garcia</t>
  </si>
  <si>
    <t>NHM-2025-101598</t>
  </si>
  <si>
    <t>Donna Cook</t>
  </si>
  <si>
    <t>NHM-2026-102284</t>
  </si>
  <si>
    <t>Randy Price</t>
  </si>
  <si>
    <t>NHM-2023-100993</t>
  </si>
  <si>
    <t>Ann Perry</t>
  </si>
  <si>
    <t>NHM-2023-101010</t>
  </si>
  <si>
    <t>Kathryn Phillips</t>
  </si>
  <si>
    <t>NHM-2026-101585</t>
  </si>
  <si>
    <t>NHM-2023-101000</t>
  </si>
  <si>
    <t>Noah Hughes</t>
  </si>
  <si>
    <t>NHM-2024-102362</t>
  </si>
  <si>
    <t>Sonia Scott</t>
  </si>
  <si>
    <t>NHM-2024-101238</t>
  </si>
  <si>
    <t>Benjamin Perry</t>
  </si>
  <si>
    <t>NHM-2025-102235</t>
  </si>
  <si>
    <t>Jessica Perez</t>
  </si>
  <si>
    <t>NHM-2025-100023</t>
  </si>
  <si>
    <t>Ralph Jackson</t>
  </si>
  <si>
    <t>NHM-2026-102016</t>
  </si>
  <si>
    <t>Debra Butler</t>
  </si>
  <si>
    <t>NHM-2025-101200</t>
  </si>
  <si>
    <t>Kathleen Gonzales</t>
  </si>
  <si>
    <t>NHM-2025-101499</t>
  </si>
  <si>
    <t>Gerald Gomez</t>
  </si>
  <si>
    <t>NHM-2026-100735</t>
  </si>
  <si>
    <t>Donna Collins</t>
  </si>
  <si>
    <t>NHM-2026-101459</t>
  </si>
  <si>
    <t>Bruce Hernandez</t>
  </si>
  <si>
    <t>NHM-2023-100363</t>
  </si>
  <si>
    <t>Thomas Henry</t>
  </si>
  <si>
    <t>NHM-2026-100341</t>
  </si>
  <si>
    <t>Jesse Kennedy</t>
  </si>
  <si>
    <t>NHM-2024-102322</t>
  </si>
  <si>
    <t>Aaron Coleman</t>
  </si>
  <si>
    <t>NHM-2023-102169</t>
  </si>
  <si>
    <t>Theresa Alexander</t>
  </si>
  <si>
    <t>NHM-2025-100065</t>
  </si>
  <si>
    <t>Pamela Davis</t>
  </si>
  <si>
    <t>NHM-2026-100392</t>
  </si>
  <si>
    <t>Frances Foster</t>
  </si>
  <si>
    <t>NHM-2023-100231</t>
  </si>
  <si>
    <t>Richard Gomez</t>
  </si>
  <si>
    <t>NHM-2025-102482</t>
  </si>
  <si>
    <t>Judy Perry</t>
  </si>
  <si>
    <t>NHM-2026-100388</t>
  </si>
  <si>
    <t>Douglas Chavez</t>
  </si>
  <si>
    <t>NHM-2024-100479</t>
  </si>
  <si>
    <t>Edward Freeman</t>
  </si>
  <si>
    <t>NHM-2023-102383</t>
  </si>
  <si>
    <t>Thomas Porter</t>
  </si>
  <si>
    <t>NHM-2023-100544</t>
  </si>
  <si>
    <t>Marilyn Jackson</t>
  </si>
  <si>
    <t>NHM-2023-101996</t>
  </si>
  <si>
    <t>NHM-2024-101828</t>
  </si>
  <si>
    <t>Beverly Cole</t>
  </si>
  <si>
    <t>NHM-2024-101090</t>
  </si>
  <si>
    <t>Paul Robinson</t>
  </si>
  <si>
    <t>NHM-2026-102107</t>
  </si>
  <si>
    <t>Judith Campbell</t>
  </si>
  <si>
    <t>NHM-2025-102039</t>
  </si>
  <si>
    <t>Rachel Sullivan</t>
  </si>
  <si>
    <t>NHM-2025-101525</t>
  </si>
  <si>
    <t>NHM-2026-102390</t>
  </si>
  <si>
    <t>Adam Griffin</t>
  </si>
  <si>
    <t>NHM-2024-101423</t>
  </si>
  <si>
    <t>NHM-2025-101575</t>
  </si>
  <si>
    <t>Victoria Perez</t>
  </si>
  <si>
    <t>NHM-2024-100119</t>
  </si>
  <si>
    <t>Timothy Sullivan</t>
  </si>
  <si>
    <t>NHM-2023-101875</t>
  </si>
  <si>
    <t>Jacqueline Perez</t>
  </si>
  <si>
    <t>NHM-2025-102205</t>
  </si>
  <si>
    <t>Megan Kennedy</t>
  </si>
  <si>
    <t>NHM-2023-101582</t>
  </si>
  <si>
    <t>Robert Patterson</t>
  </si>
  <si>
    <t>NHM-2026-100837</t>
  </si>
  <si>
    <t>Susan Brooks</t>
  </si>
  <si>
    <t>NHM-2023-101052</t>
  </si>
  <si>
    <t>Elijah Henderson</t>
  </si>
  <si>
    <t>NHM-2025-101408</t>
  </si>
  <si>
    <t>Sarah Miller</t>
  </si>
  <si>
    <t>NHM-2026-101063</t>
  </si>
  <si>
    <t>Jack Henry</t>
  </si>
  <si>
    <t>NHM-2025-101576</t>
  </si>
  <si>
    <t>Scott Robinson</t>
  </si>
  <si>
    <t>NHM-2025-100637</t>
  </si>
  <si>
    <t>Ruth Lopez</t>
  </si>
  <si>
    <t>NHM-2024-102121</t>
  </si>
  <si>
    <t>Gary West</t>
  </si>
  <si>
    <t>NHM-2024-101769</t>
  </si>
  <si>
    <t>Frank Butler</t>
  </si>
  <si>
    <t>NHM-2023-100244</t>
  </si>
  <si>
    <t>Rebecca Kennedy</t>
  </si>
  <si>
    <t>NHM-2023-101608</t>
  </si>
  <si>
    <t>NHM-2025-101870</t>
  </si>
  <si>
    <t>Mary Adams</t>
  </si>
  <si>
    <t>NHM-2026-100965</t>
  </si>
  <si>
    <t>Vincent Edwards</t>
  </si>
  <si>
    <t>NHM-2025-100100</t>
  </si>
  <si>
    <t>NHM-2024-101776</t>
  </si>
  <si>
    <t>Evelyn Harris</t>
  </si>
  <si>
    <t>NHM-2023-101082</t>
  </si>
  <si>
    <t>Ryan Hicks</t>
  </si>
  <si>
    <t>NHM-2025-100313</t>
  </si>
  <si>
    <t>Joan Kennedy</t>
  </si>
  <si>
    <t>NHM-2024-101240</t>
  </si>
  <si>
    <t>Carol Johnson</t>
  </si>
  <si>
    <t>NHM-2026-101424</t>
  </si>
  <si>
    <t>Justin Russell</t>
  </si>
  <si>
    <t>NHM-2025-100215</t>
  </si>
  <si>
    <t>Joan Smith</t>
  </si>
  <si>
    <t>NHM-2024-102070</t>
  </si>
  <si>
    <t>Melissa Alexander</t>
  </si>
  <si>
    <t>NHM-2024-101560</t>
  </si>
  <si>
    <t>NHM-2025-100353</t>
  </si>
  <si>
    <t>Kelly Marshall</t>
  </si>
  <si>
    <t>NHM-2026-100950</t>
  </si>
  <si>
    <t>Maria Nelson</t>
  </si>
  <si>
    <t>NHM-2025-102142</t>
  </si>
  <si>
    <t>Sean Alvarez</t>
  </si>
  <si>
    <t>NHM-2024-102382</t>
  </si>
  <si>
    <t>Rachel Hill</t>
  </si>
  <si>
    <t>NHM-2024-101149</t>
  </si>
  <si>
    <t>Aaron Gomez</t>
  </si>
  <si>
    <t>NHM-2026-100484</t>
  </si>
  <si>
    <t>Dorothy Ruiz</t>
  </si>
  <si>
    <t>NHM-2023-100249</t>
  </si>
  <si>
    <t>Denise Gutierrez</t>
  </si>
  <si>
    <t>NHM-2024-101791</t>
  </si>
  <si>
    <t>Sharon Williams</t>
  </si>
  <si>
    <t>NHM-2023-101289</t>
  </si>
  <si>
    <t>Jasmine Powell</t>
  </si>
  <si>
    <t>NHM-2024-102059</t>
  </si>
  <si>
    <t>Abigail Watson</t>
  </si>
  <si>
    <t>NHM-2025-101250</t>
  </si>
  <si>
    <t>Janet Owens</t>
  </si>
  <si>
    <t>NHM-2023-101753</t>
  </si>
  <si>
    <t>Vincent Harrison</t>
  </si>
  <si>
    <t>NHM-2025-100682</t>
  </si>
  <si>
    <t>Rachel Anderson</t>
  </si>
  <si>
    <t>NHM-2023-100177</t>
  </si>
  <si>
    <t>NHM-2025-100978</t>
  </si>
  <si>
    <t>Jesse Lee</t>
  </si>
  <si>
    <t>NHM-2023-101092</t>
  </si>
  <si>
    <t>Donald Cox</t>
  </si>
  <si>
    <t>NHM-2024-102283</t>
  </si>
  <si>
    <t>Grace Diaz</t>
  </si>
  <si>
    <t>NHM-2024-100360</t>
  </si>
  <si>
    <t>Thomas Evans</t>
  </si>
  <si>
    <t>NHM-2025-101623</t>
  </si>
  <si>
    <t>Brian Parker</t>
  </si>
  <si>
    <t>NHM-2024-101714</t>
  </si>
  <si>
    <t>Karen Gutierrez</t>
  </si>
  <si>
    <t>NHM-2026-102293</t>
  </si>
  <si>
    <t>Lawrence Reed</t>
  </si>
  <si>
    <t>NHM-2023-100271</t>
  </si>
  <si>
    <t>Jerry Ramirez</t>
  </si>
  <si>
    <t>NHM-2024-102122</t>
  </si>
  <si>
    <t>Nancy Bell</t>
  </si>
  <si>
    <t>NHM-2024-101596</t>
  </si>
  <si>
    <t>Logan Price</t>
  </si>
  <si>
    <t>NHM-2023-101630</t>
  </si>
  <si>
    <t>Sonia Porter</t>
  </si>
  <si>
    <t>NHM-2026-102140</t>
  </si>
  <si>
    <t>Jennifer Cruz</t>
  </si>
  <si>
    <t>NHM-2025-102464</t>
  </si>
  <si>
    <t>Rachel Hicks</t>
  </si>
  <si>
    <t>NHM-2026-101004</t>
  </si>
  <si>
    <t>Joshua Owens</t>
  </si>
  <si>
    <t>NHM-2025-101789</t>
  </si>
  <si>
    <t>Donna Richardson</t>
  </si>
  <si>
    <t>NHM-2023-101529</t>
  </si>
  <si>
    <t>Scott Gonzales</t>
  </si>
  <si>
    <t>NHM-2024-100523</t>
  </si>
  <si>
    <t>Benjamin Watson</t>
  </si>
  <si>
    <t>NHM-2024-100469</t>
  </si>
  <si>
    <t>Christine Scott</t>
  </si>
  <si>
    <t>NHM-2023-101315</t>
  </si>
  <si>
    <t>Patricia Gutierrez</t>
  </si>
  <si>
    <t>NHM-2026-101159</t>
  </si>
  <si>
    <t>Valerie Powell</t>
  </si>
  <si>
    <t>NHM-2026-101472</t>
  </si>
  <si>
    <t>Jeremy Morris</t>
  </si>
  <si>
    <t>NHM-2025-101246</t>
  </si>
  <si>
    <t>Andrew Coleman</t>
  </si>
  <si>
    <t>NHM-2024-101733</t>
  </si>
  <si>
    <t>Jean Hamilton</t>
  </si>
  <si>
    <t>NHM-2025-100229</t>
  </si>
  <si>
    <t>Joan Campbell</t>
  </si>
  <si>
    <t>NHM-2024-100214</t>
  </si>
  <si>
    <t>Emily Alexander</t>
  </si>
  <si>
    <t>NHM-2024-100763</t>
  </si>
  <si>
    <t>Frank Green</t>
  </si>
  <si>
    <t>NHM-2026-100802</t>
  </si>
  <si>
    <t>Lawrence Richardson</t>
  </si>
  <si>
    <t>NHM-2026-100509</t>
  </si>
  <si>
    <t>Edward Crawford</t>
  </si>
  <si>
    <t>NHM-2025-101515</t>
  </si>
  <si>
    <t>Andrea Thompson</t>
  </si>
  <si>
    <t>NHM-2023-101377</t>
  </si>
  <si>
    <t>Zachary Gonzales</t>
  </si>
  <si>
    <t>NHM-2023-101190</t>
  </si>
  <si>
    <t>Victoria Torres</t>
  </si>
  <si>
    <t>NHM-2023-100317</t>
  </si>
  <si>
    <t>Jason Sanders</t>
  </si>
  <si>
    <t>NHM-2024-102028</t>
  </si>
  <si>
    <t>Megan Patterson</t>
  </si>
  <si>
    <t>NHM-2026-100679</t>
  </si>
  <si>
    <t>Jennifer Dixon</t>
  </si>
  <si>
    <t>NHM-2026-100439</t>
  </si>
  <si>
    <t>Kelly Griffin</t>
  </si>
  <si>
    <t>NHM-2024-100578</t>
  </si>
  <si>
    <t>Angela Owens</t>
  </si>
  <si>
    <t>NHM-2025-102234</t>
  </si>
  <si>
    <t>Alice Bryant</t>
  </si>
  <si>
    <t>NHM-2026-102048</t>
  </si>
  <si>
    <t>NHM-2023-101325</t>
  </si>
  <si>
    <t>Denise Morales</t>
  </si>
  <si>
    <t>NHM-2024-102220</t>
  </si>
  <si>
    <t>Lauren Thomas</t>
  </si>
  <si>
    <t>NHM-2025-100811</t>
  </si>
  <si>
    <t>Joyce Ramirez</t>
  </si>
  <si>
    <t>NHM-2026-101533</t>
  </si>
  <si>
    <t>Virginia Bailey</t>
  </si>
  <si>
    <t>NHM-2023-100628</t>
  </si>
  <si>
    <t>Emily Hughes</t>
  </si>
  <si>
    <t>NHM-2023-100210</t>
  </si>
  <si>
    <t>Amanda Rodriguez</t>
  </si>
  <si>
    <t>NHM-2023-101272</t>
  </si>
  <si>
    <t>Maria Jimenez</t>
  </si>
  <si>
    <t>NHM-2025-101910</t>
  </si>
  <si>
    <t>Julia Johnson</t>
  </si>
  <si>
    <t>NHM-2026-100822</t>
  </si>
  <si>
    <t>Austin Crawford</t>
  </si>
  <si>
    <t>NHM-2026-100516</t>
  </si>
  <si>
    <t>Jeffrey Coleman</t>
  </si>
  <si>
    <t>NHM-2025-102052</t>
  </si>
  <si>
    <t>Maria Gonzalez</t>
  </si>
  <si>
    <t>NHM-2023-102396</t>
  </si>
  <si>
    <t>Christine Barnes</t>
  </si>
  <si>
    <t>NHM-2025-101999</t>
  </si>
  <si>
    <t>Linda Powell</t>
  </si>
  <si>
    <t>NHM-2026-102049</t>
  </si>
  <si>
    <t>NHM-2024-100673</t>
  </si>
  <si>
    <t>Patrick Adams</t>
  </si>
  <si>
    <t>NHM-2025-101637</t>
  </si>
  <si>
    <t>NHM-2023-100659</t>
  </si>
  <si>
    <t>Jordan Gonzales</t>
  </si>
  <si>
    <t>NHM-2023-102026</t>
  </si>
  <si>
    <t>Willie Coleman</t>
  </si>
  <si>
    <t>NHM-2023-102435</t>
  </si>
  <si>
    <t>Christian Lee</t>
  </si>
  <si>
    <t>NHM-2023-101071</t>
  </si>
  <si>
    <t>Jason Ramos</t>
  </si>
  <si>
    <t>NHM-2025-102170</t>
  </si>
  <si>
    <t>NHM-2025-100315</t>
  </si>
  <si>
    <t>Joshua White</t>
  </si>
  <si>
    <t>NHM-2023-101815</t>
  </si>
  <si>
    <t>Zachary Marshall</t>
  </si>
  <si>
    <t>NHM-2024-101574</t>
  </si>
  <si>
    <t>Jordan Lewis</t>
  </si>
  <si>
    <t>NHM-2026-101755</t>
  </si>
  <si>
    <t>Elijah Murphy</t>
  </si>
  <si>
    <t>NHM-2024-102151</t>
  </si>
  <si>
    <t>Katherine Hamilton</t>
  </si>
  <si>
    <t>NHM-2024-101683</t>
  </si>
  <si>
    <t>Kyle Kim</t>
  </si>
  <si>
    <t>NHM-2023-100749</t>
  </si>
  <si>
    <t>Donna Gomez</t>
  </si>
  <si>
    <t>NHM-2023-100355</t>
  </si>
  <si>
    <t>Bryan Hughes</t>
  </si>
  <si>
    <t>NHM-2023-100809</t>
  </si>
  <si>
    <t>Samuel Gutierrez</t>
  </si>
  <si>
    <t>NHM-2025-102219</t>
  </si>
  <si>
    <t>Anna Warren</t>
  </si>
  <si>
    <t>NHM-2023-100717</t>
  </si>
  <si>
    <t>Lisa Stevens</t>
  </si>
  <si>
    <t>NHM-2025-101334</t>
  </si>
  <si>
    <t>Janice Rodriguez</t>
  </si>
  <si>
    <t>NHM-2024-102083</t>
  </si>
  <si>
    <t>Sharon Evans</t>
  </si>
  <si>
    <t>NHM-2025-101594</t>
  </si>
  <si>
    <t>Carolyn Morales</t>
  </si>
  <si>
    <t>NHM-2023-102104</t>
  </si>
  <si>
    <t>Albert Wallace</t>
  </si>
  <si>
    <t>NHM-2024-101043</t>
  </si>
  <si>
    <t>Willie Murphy</t>
  </si>
  <si>
    <t>NHM-2026-102484</t>
  </si>
  <si>
    <t>Deborah Miller</t>
  </si>
  <si>
    <t>NHM-2023-101040</t>
  </si>
  <si>
    <t>Peter Morales</t>
  </si>
  <si>
    <t>NHM-2023-101042</t>
  </si>
  <si>
    <t>Carol Mendoza</t>
  </si>
  <si>
    <t>NHM-2023-100206</t>
  </si>
  <si>
    <t>NHM-2026-100959</t>
  </si>
  <si>
    <t>Maria Baker</t>
  </si>
  <si>
    <t>NHM-2025-100571</t>
  </si>
  <si>
    <t>Joyce Sanders</t>
  </si>
  <si>
    <t>NHM-2026-101717</t>
  </si>
  <si>
    <t>Elizabeth Perez</t>
  </si>
  <si>
    <t>NHM-2025-100391</t>
  </si>
  <si>
    <t>Bruce Taylor</t>
  </si>
  <si>
    <t>NHM-2024-101897</t>
  </si>
  <si>
    <t>Ethan Woods</t>
  </si>
  <si>
    <t>NHM-2023-102480</t>
  </si>
  <si>
    <t>Daniel Campbell</t>
  </si>
  <si>
    <t>NHM-2024-102213</t>
  </si>
  <si>
    <t>Joe Chavez</t>
  </si>
  <si>
    <t>NHM-2026-100494</t>
  </si>
  <si>
    <t>Martha Rogers</t>
  </si>
  <si>
    <t>NHM-2026-101934</t>
  </si>
  <si>
    <t>Jean Lewis</t>
  </si>
  <si>
    <t>NHM-2023-101635</t>
  </si>
  <si>
    <t>Patricia Gomez</t>
  </si>
  <si>
    <t>NHM-2024-101968</t>
  </si>
  <si>
    <t>Jordan Martin</t>
  </si>
  <si>
    <t>NHM-2026-101262</t>
  </si>
  <si>
    <t>Daniel Simmons</t>
  </si>
  <si>
    <t>NHM-2024-102370</t>
  </si>
  <si>
    <t>Martha Wells</t>
  </si>
  <si>
    <t>NHM-2023-100273</t>
  </si>
  <si>
    <t>Dorothy Allen</t>
  </si>
  <si>
    <t>NHM-2023-101164</t>
  </si>
  <si>
    <t>Dylan Murphy</t>
  </si>
  <si>
    <t>NHM-2023-102458</t>
  </si>
  <si>
    <t>Rebecca Parker</t>
  </si>
  <si>
    <t>NHM-2023-100434</t>
  </si>
  <si>
    <t>Cynthia White</t>
  </si>
  <si>
    <t>NHM-2024-101124</t>
  </si>
  <si>
    <t>NHM-2025-100805</t>
  </si>
  <si>
    <t>NHM-2023-101041</t>
  </si>
  <si>
    <t>Betty Perry</t>
  </si>
  <si>
    <t>NHM-2023-100156</t>
  </si>
  <si>
    <t>Jerry James</t>
  </si>
  <si>
    <t>NHM-2023-100048</t>
  </si>
  <si>
    <t>Sandra Ross</t>
  </si>
  <si>
    <t>NHM-2026-101803</t>
  </si>
  <si>
    <t>Patricia Peterson</t>
  </si>
  <si>
    <t>NHM-2025-102494</t>
  </si>
  <si>
    <t>Stephanie Woods</t>
  </si>
  <si>
    <t>NHM-2025-100750</t>
  </si>
  <si>
    <t>Ralph Hunter</t>
  </si>
  <si>
    <t>NHM-2024-100915</t>
  </si>
  <si>
    <t>Jason Hill</t>
  </si>
  <si>
    <t>NHM-2025-100334</t>
  </si>
  <si>
    <t>Rebecca Gutierrez</t>
  </si>
  <si>
    <t>NHM-2023-101861</t>
  </si>
  <si>
    <t>Alexander White</t>
  </si>
  <si>
    <t>NHM-2023-101151</t>
  </si>
  <si>
    <t>Joseph Carter</t>
  </si>
  <si>
    <t>NHM-2023-100687</t>
  </si>
  <si>
    <t>Lauren Stevens</t>
  </si>
  <si>
    <t>NHM-2025-101519</t>
  </si>
  <si>
    <t>Brenda Martinez</t>
  </si>
  <si>
    <t>NHM-2024-102171</t>
  </si>
  <si>
    <t>Jose Marshall</t>
  </si>
  <si>
    <t>NHM-2026-100405</t>
  </si>
  <si>
    <t>Amy Young</t>
  </si>
  <si>
    <t>NHM-2026-101453</t>
  </si>
  <si>
    <t>Roger Kennedy</t>
  </si>
  <si>
    <t>NHM-2026-100370</t>
  </si>
  <si>
    <t>Heather Ramos</t>
  </si>
  <si>
    <t>NHM-2023-100910</t>
  </si>
  <si>
    <t>NHM-2023-101679</t>
  </si>
  <si>
    <t>Mark Ramirez</t>
  </si>
  <si>
    <t>NHM-2024-101281</t>
  </si>
  <si>
    <t>Austin Walker</t>
  </si>
  <si>
    <t>NHM-2025-102208</t>
  </si>
  <si>
    <t>Sonia Murphy</t>
  </si>
  <si>
    <t>NHM-2025-100934</t>
  </si>
  <si>
    <t>Dennis Alvarez</t>
  </si>
  <si>
    <t>NHM-2026-100112</t>
  </si>
  <si>
    <t>John Ward</t>
  </si>
  <si>
    <t>NHM-2026-100028</t>
  </si>
  <si>
    <t>Jeffrey Boyd</t>
  </si>
  <si>
    <t>NHM-2023-100039</t>
  </si>
  <si>
    <t>Christopher Freeman</t>
  </si>
  <si>
    <t>NHM-2025-100217</t>
  </si>
  <si>
    <t>Nicole Rodriguez</t>
  </si>
  <si>
    <t>NHM-2023-101699</t>
  </si>
  <si>
    <t>Billy Cook</t>
  </si>
  <si>
    <t>NHM-2023-102249</t>
  </si>
  <si>
    <t>Heather Smith</t>
  </si>
  <si>
    <t>NHM-2024-101750</t>
  </si>
  <si>
    <t>Matthew Ortiz</t>
  </si>
  <si>
    <t>NHM-2025-102425</t>
  </si>
  <si>
    <t>Andrew Ramos</t>
  </si>
  <si>
    <t>NHM-2025-101835</t>
  </si>
  <si>
    <t>Judy Brooks</t>
  </si>
  <si>
    <t>NHM-2024-101067</t>
  </si>
  <si>
    <t>William Porter</t>
  </si>
  <si>
    <t>NHM-2024-101696</t>
  </si>
  <si>
    <t>Adam Castillo</t>
  </si>
  <si>
    <t>NHM-2026-101113</t>
  </si>
  <si>
    <t>Jacob Porter</t>
  </si>
  <si>
    <t>NHM-2023-101737</t>
  </si>
  <si>
    <t>Diane Marshall</t>
  </si>
  <si>
    <t>NHM-2026-101833</t>
  </si>
  <si>
    <t>Bruce Gonzalez</t>
  </si>
  <si>
    <t>NHM-2024-101866</t>
  </si>
  <si>
    <t>Samuel Owens</t>
  </si>
  <si>
    <t>NHM-2025-100916</t>
  </si>
  <si>
    <t>George Parker</t>
  </si>
  <si>
    <t>NHM-2023-100722</t>
  </si>
  <si>
    <t>Ashley Rodriguez</t>
  </si>
  <si>
    <t>NHM-2023-102067</t>
  </si>
  <si>
    <t>Madison Perez</t>
  </si>
  <si>
    <t>NHM-2024-101327</t>
  </si>
  <si>
    <t>Joseph Harrison</t>
  </si>
  <si>
    <t>NHM-2025-101105</t>
  </si>
  <si>
    <t>Janet Tucker</t>
  </si>
  <si>
    <t>NHM-2023-100729</t>
  </si>
  <si>
    <t>Christina Clark</t>
  </si>
  <si>
    <t>NHM-2025-101309</t>
  </si>
  <si>
    <t>Sara Porter</t>
  </si>
  <si>
    <t>NHM-2024-100736</t>
  </si>
  <si>
    <t>Angela Jackson</t>
  </si>
  <si>
    <t>NHM-2023-101551</t>
  </si>
  <si>
    <t>Jack Murray</t>
  </si>
  <si>
    <t>NHM-2024-101561</t>
  </si>
  <si>
    <t>Joe Morales</t>
  </si>
  <si>
    <t>NHM-2026-100295</t>
  </si>
  <si>
    <t>Scott Kennedy</t>
  </si>
  <si>
    <t>NHM-2025-100753</t>
  </si>
  <si>
    <t>Anna Peterson</t>
  </si>
  <si>
    <t>NHM-2023-101882</t>
  </si>
  <si>
    <t>Amanda Castillo</t>
  </si>
  <si>
    <t>NHM-2023-101905</t>
  </si>
  <si>
    <t>Julie Ramos</t>
  </si>
  <si>
    <t>NHM-2024-102361</t>
  </si>
  <si>
    <t>Nicole Price</t>
  </si>
  <si>
    <t>NHM-2025-102463</t>
  </si>
  <si>
    <t>Andrew Long</t>
  </si>
  <si>
    <t>NHM-2023-102258</t>
  </si>
  <si>
    <t>Randy Green</t>
  </si>
  <si>
    <t>NHM-2024-100920</t>
  </si>
  <si>
    <t>Christopher Sanders</t>
  </si>
  <si>
    <t>NHM-2023-102024</t>
  </si>
  <si>
    <t>Jordan Porter</t>
  </si>
  <si>
    <t>NHM-2023-101832</t>
  </si>
  <si>
    <t>Kyle Hamilton</t>
  </si>
  <si>
    <t>NHM-2023-100476</t>
  </si>
  <si>
    <t>Keith Foster</t>
  </si>
  <si>
    <t>NHM-2025-102373</t>
  </si>
  <si>
    <t>Beverly Harris</t>
  </si>
  <si>
    <t>NHM-2023-102413</t>
  </si>
  <si>
    <t>NHM-2023-100556</t>
  </si>
  <si>
    <t>Billy Gutierrez</t>
  </si>
  <si>
    <t>NHM-2025-102146</t>
  </si>
  <si>
    <t>Thomas Hamilton</t>
  </si>
  <si>
    <t>NHM-2023-102327</t>
  </si>
  <si>
    <t>NHM-2025-101933</t>
  </si>
  <si>
    <t>Angela Castillo</t>
  </si>
  <si>
    <t>NHM-2024-100280</t>
  </si>
  <si>
    <t>Lisa Parker</t>
  </si>
  <si>
    <t>NHM-2023-100847</t>
  </si>
  <si>
    <t>Raymond Perry</t>
  </si>
  <si>
    <t>NHM-2025-101097</t>
  </si>
  <si>
    <t>Sara Lopez</t>
  </si>
  <si>
    <t>NHM-2024-102303</t>
  </si>
  <si>
    <t>Beverly Evans</t>
  </si>
  <si>
    <t>NHM-2024-102042</t>
  </si>
  <si>
    <t>Ethan Harrison</t>
  </si>
  <si>
    <t>NHM-2025-101895</t>
  </si>
  <si>
    <t>Matthew Morales</t>
  </si>
  <si>
    <t>NHM-2023-100077</t>
  </si>
  <si>
    <t>Jonathan Perry</t>
  </si>
  <si>
    <t>NHM-2026-100425</t>
  </si>
  <si>
    <t>NHM-2024-102160</t>
  </si>
  <si>
    <t>Scott Myers</t>
  </si>
  <si>
    <t>NHM-2026-101350</t>
  </si>
  <si>
    <t>Aaron Myers</t>
  </si>
  <si>
    <t>NHM-2023-100700</t>
  </si>
  <si>
    <t>NHM-2023-101943</t>
  </si>
  <si>
    <t>Gregory Thomas</t>
  </si>
  <si>
    <t>NHM-2023-100310</t>
  </si>
  <si>
    <t>Jessica Kim</t>
  </si>
  <si>
    <t>NHM-2024-102068</t>
  </si>
  <si>
    <t>Daniel Jenkins</t>
  </si>
  <si>
    <t>NHM-2024-102072</t>
  </si>
  <si>
    <t>Dorothy Sullivan</t>
  </si>
  <si>
    <t>NHM-2026-102127</t>
  </si>
  <si>
    <t>Stephanie Wood</t>
  </si>
  <si>
    <t>NHM-2023-102313</t>
  </si>
  <si>
    <t>Lauren Jordan</t>
  </si>
  <si>
    <t>NHM-2026-101131</t>
  </si>
  <si>
    <t>Robert Dixon</t>
  </si>
  <si>
    <t>NHM-2026-101542</t>
  </si>
  <si>
    <t>Ethan Hamilton</t>
  </si>
  <si>
    <t>NHM-2024-102340</t>
  </si>
  <si>
    <t>Hannah Russell</t>
  </si>
  <si>
    <t>NHM-2026-100929</t>
  </si>
  <si>
    <t>NHM-2024-101261</t>
  </si>
  <si>
    <t>Katherine Kennedy</t>
  </si>
  <si>
    <t>NHM-2025-102352</t>
  </si>
  <si>
    <t>Ryan Baker</t>
  </si>
  <si>
    <t>NHM-2024-100108</t>
  </si>
  <si>
    <t>Olivia Gibson</t>
  </si>
  <si>
    <t>NHM-2026-102442</t>
  </si>
  <si>
    <t>Julie Lewis</t>
  </si>
  <si>
    <t>NHM-2023-100674</t>
  </si>
  <si>
    <t>Mary Sanchez</t>
  </si>
  <si>
    <t>NHM-2023-100342</t>
  </si>
  <si>
    <t>Eugene Webb</t>
  </si>
  <si>
    <t>NHM-2023-101184</t>
  </si>
  <si>
    <t>Stephanie Hughes</t>
  </si>
  <si>
    <t>NHM-2023-102355</t>
  </si>
  <si>
    <t>NHM-2023-101480</t>
  </si>
  <si>
    <t>Justin Harrison</t>
  </si>
  <si>
    <t>NHM-2025-101336</t>
  </si>
  <si>
    <t>Roy Thomas</t>
  </si>
  <si>
    <t>NHM-2024-101713</t>
  </si>
  <si>
    <t>Lawrence Foster</t>
  </si>
  <si>
    <t>NHM-2024-102120</t>
  </si>
  <si>
    <t>Ronald Perez</t>
  </si>
  <si>
    <t>NHM-2026-101885</t>
  </si>
  <si>
    <t>Nicholas Jimenez</t>
  </si>
  <si>
    <t>NHM-2024-100592</t>
  </si>
  <si>
    <t>Jesse Coleman</t>
  </si>
  <si>
    <t>NHM-2024-101306</t>
  </si>
  <si>
    <t>Katherine Warren</t>
  </si>
  <si>
    <t>NHM-2025-100266</t>
  </si>
  <si>
    <t>Andrew Griffin</t>
  </si>
  <si>
    <t>NHM-2025-100572</t>
  </si>
  <si>
    <t>Julie Powell</t>
  </si>
  <si>
    <t>NHM-2026-100298</t>
  </si>
  <si>
    <t>Debra Ross</t>
  </si>
  <si>
    <t>NHM-2026-100455</t>
  </si>
  <si>
    <t>NHM-2023-100663</t>
  </si>
  <si>
    <t>Alexander Woods</t>
  </si>
  <si>
    <t>NHM-2024-100183</t>
  </si>
  <si>
    <t>Judith Watson</t>
  </si>
  <si>
    <t>NHM-2025-101730</t>
  </si>
  <si>
    <t>NHM-2026-100433</t>
  </si>
  <si>
    <t>Ann Boyd</t>
  </si>
  <si>
    <t>NHM-2026-101745</t>
  </si>
  <si>
    <t>Andrea Gonzales</t>
  </si>
  <si>
    <t>NHM-2023-100106</t>
  </si>
  <si>
    <t>Kyle Ford</t>
  </si>
  <si>
    <t>NHM-2024-100446</t>
  </si>
  <si>
    <t>Thomas West</t>
  </si>
  <si>
    <t>NHM-2026-102073</t>
  </si>
  <si>
    <t>Kelly Cook</t>
  </si>
  <si>
    <t>NHM-2026-102175</t>
  </si>
  <si>
    <t>NHM-2024-101883</t>
  </si>
  <si>
    <t>Alice Gonzalez</t>
  </si>
  <si>
    <t>NHM-2025-101142</t>
  </si>
  <si>
    <t>Heather Sullivan</t>
  </si>
  <si>
    <t>NHM-2026-100305</t>
  </si>
  <si>
    <t>NHM-2026-100874</t>
  </si>
  <si>
    <t>Hannah Baker</t>
  </si>
  <si>
    <t>NHM-2024-100502</t>
  </si>
  <si>
    <t>Amy Bennett</t>
  </si>
  <si>
    <t>NHM-2026-100836</t>
  </si>
  <si>
    <t>Rachel Turner</t>
  </si>
  <si>
    <t>NHM-2024-102229</t>
  </si>
  <si>
    <t>Theresa Thomas</t>
  </si>
  <si>
    <t>NHM-2026-100409</t>
  </si>
  <si>
    <t>Anthony Henry</t>
  </si>
  <si>
    <t>NHM-2026-101764</t>
  </si>
  <si>
    <t>Eric Gomez</t>
  </si>
  <si>
    <t>NHM-2026-101751</t>
  </si>
  <si>
    <t>Dylan Richardson</t>
  </si>
  <si>
    <t>NHM-2025-101088</t>
  </si>
  <si>
    <t>Denise Griffin</t>
  </si>
  <si>
    <t>NHM-2023-100937</t>
  </si>
  <si>
    <t>Andrea Walker</t>
  </si>
  <si>
    <t>NHM-2023-102339</t>
  </si>
  <si>
    <t>Ryan Ortiz</t>
  </si>
  <si>
    <t/>
  </si>
  <si>
    <t>NHM-2023-101920</t>
  </si>
  <si>
    <t>Heather Jimenez</t>
  </si>
  <si>
    <t>NHM-2025-101437</t>
  </si>
  <si>
    <t>Jonathan Warren</t>
  </si>
  <si>
    <t>NHM-2026-102371</t>
  </si>
  <si>
    <t>Scott Thomas</t>
  </si>
  <si>
    <t>NHM-2023-101445</t>
  </si>
  <si>
    <t>Beverly Wood</t>
  </si>
  <si>
    <t>NHM-2026-102149</t>
  </si>
  <si>
    <t>Theresa Russell</t>
  </si>
  <si>
    <t>NHM-2025-102324</t>
  </si>
  <si>
    <t>Janet Butler</t>
  </si>
  <si>
    <t>NHM-2024-102020</t>
  </si>
  <si>
    <t>Mary Wright</t>
  </si>
  <si>
    <t>NHM-2023-101444</t>
  </si>
  <si>
    <t>Peter Powell</t>
  </si>
  <si>
    <t>NHM-2025-102111</t>
  </si>
  <si>
    <t>Aaron Mason</t>
  </si>
  <si>
    <t>NHM-2026-100897</t>
  </si>
  <si>
    <t>NHM-2026-101008</t>
  </si>
  <si>
    <t>Gerald Ramirez</t>
  </si>
  <si>
    <t>NHM-2023-102025</t>
  </si>
  <si>
    <t>Joan Nguyen</t>
  </si>
  <si>
    <t>NHM-2024-101029</t>
  </si>
  <si>
    <t>Nicholas Thomas</t>
  </si>
  <si>
    <t>NHM-2023-102479</t>
  </si>
  <si>
    <t>Emma Alexander</t>
  </si>
  <si>
    <t>NHM-2023-100752</t>
  </si>
  <si>
    <t>Donald Rivera</t>
  </si>
  <si>
    <t>NHM-2024-100531</t>
  </si>
  <si>
    <t>Janet Hughes</t>
  </si>
  <si>
    <t>NHM-2025-101481</t>
  </si>
  <si>
    <t>Douglas Murphy</t>
  </si>
  <si>
    <t>NHM-2025-102310</t>
  </si>
  <si>
    <t>Terry Bailey</t>
  </si>
  <si>
    <t>NHM-2025-101338</t>
  </si>
  <si>
    <t>Peter Kelly</t>
  </si>
  <si>
    <t>NHM-2024-100649</t>
  </si>
  <si>
    <t>Emma Alvarez</t>
  </si>
  <si>
    <t>NHM-2025-100982</t>
  </si>
  <si>
    <t>Arthur Murray</t>
  </si>
  <si>
    <t>NHM-2025-100426</t>
  </si>
  <si>
    <t>Jason Cook</t>
  </si>
  <si>
    <t>NHM-2025-101161</t>
  </si>
  <si>
    <t>Eugene Nelson</t>
  </si>
  <si>
    <t>NHM-2026-101799</t>
  </si>
  <si>
    <t>NHM-2023-100318</t>
  </si>
  <si>
    <t>Madison Hall</t>
  </si>
  <si>
    <t>NHM-2024-102040</t>
  </si>
  <si>
    <t>Jennifer Myers</t>
  </si>
  <si>
    <t>NHM-2023-101915</t>
  </si>
  <si>
    <t>Patricia Jenkins</t>
  </si>
  <si>
    <t>NHM-2024-101093</t>
  </si>
  <si>
    <t>Austin Jordan</t>
  </si>
  <si>
    <t>NHM-2025-101148</t>
  </si>
  <si>
    <t>Arthur Robinson</t>
  </si>
  <si>
    <t>NHM-2026-100958</t>
  </si>
  <si>
    <t>Logan Martin</t>
  </si>
  <si>
    <t>NHM-2024-102233</t>
  </si>
  <si>
    <t>Denise Hernandez</t>
  </si>
  <si>
    <t>NHM-2023-101409</t>
  </si>
  <si>
    <t>Stephen Powell</t>
  </si>
  <si>
    <t>NHM-2024-101617</t>
  </si>
  <si>
    <t>Diane Howard</t>
  </si>
  <si>
    <t>NHM-2025-100886</t>
  </si>
  <si>
    <t>NHM-2025-101364</t>
  </si>
  <si>
    <t>Steven Simpson</t>
  </si>
  <si>
    <t>NHM-2026-100070</t>
  </si>
  <si>
    <t>Raymond Phillips</t>
  </si>
  <si>
    <t>NHM-2026-100459</t>
  </si>
  <si>
    <t>NHM-2023-100503</t>
  </si>
  <si>
    <t>Jeffrey Mendoza</t>
  </si>
  <si>
    <t>NHM-2026-100138</t>
  </si>
  <si>
    <t>Rachel Henry</t>
  </si>
  <si>
    <t>NHM-2024-101620</t>
  </si>
  <si>
    <t>Christina Torres</t>
  </si>
  <si>
    <t>NHM-2025-101292</t>
  </si>
  <si>
    <t>Samantha Tucker</t>
  </si>
  <si>
    <t>NHM-2023-101564</t>
  </si>
  <si>
    <t>David Jordan</t>
  </si>
  <si>
    <t>NHM-2024-100113</t>
  </si>
  <si>
    <t>Sara Sanders</t>
  </si>
  <si>
    <t>NHM-2026-101122</t>
  </si>
  <si>
    <t>Sharon Graham</t>
  </si>
  <si>
    <t>NHM-2024-101495</t>
  </si>
  <si>
    <t>Richard Ramos</t>
  </si>
  <si>
    <t>NHM-2024-102440</t>
  </si>
  <si>
    <t>Jordan Johnson</t>
  </si>
  <si>
    <t>NHM-2024-101946</t>
  </si>
  <si>
    <t>Adam Gomez</t>
  </si>
  <si>
    <t>NHM-2024-102114</t>
  </si>
  <si>
    <t>Ruth Turner</t>
  </si>
  <si>
    <t>NHM-2024-102471</t>
  </si>
  <si>
    <t>Sean Collins</t>
  </si>
  <si>
    <t>NHM-2025-101692</t>
  </si>
  <si>
    <t>Susan Wilson</t>
  </si>
  <si>
    <t>NHM-2025-101625</t>
  </si>
  <si>
    <t>Juan Hamilton</t>
  </si>
  <si>
    <t>NHM-2026-101388</t>
  </si>
  <si>
    <t>Madison Wells</t>
  </si>
  <si>
    <t>NHM-2025-102244</t>
  </si>
  <si>
    <t>Olivia Coleman</t>
  </si>
  <si>
    <t>NHM-2023-102188</t>
  </si>
  <si>
    <t>Carolyn Williams</t>
  </si>
  <si>
    <t>NHM-2024-101488</t>
  </si>
  <si>
    <t>Sarah Ellis</t>
  </si>
  <si>
    <t>NHM-2024-101858</t>
  </si>
  <si>
    <t>Marilyn Thompson</t>
  </si>
  <si>
    <t>NHM-2025-102287</t>
  </si>
  <si>
    <t>Carl Powell</t>
  </si>
  <si>
    <t>NHM-2025-100431</t>
  </si>
  <si>
    <t>Hannah Powell</t>
  </si>
  <si>
    <t>NHM-2026-101494</t>
  </si>
  <si>
    <t>Diane Patterson</t>
  </si>
  <si>
    <t>NHM-2023-101442</t>
  </si>
  <si>
    <t>Daniel Ward</t>
  </si>
  <si>
    <t>NHM-2023-100218</t>
  </si>
  <si>
    <t>NHM-2025-100670</t>
  </si>
  <si>
    <t>Matthew Reyes</t>
  </si>
  <si>
    <t>NHM-2024-102294</t>
  </si>
  <si>
    <t>Jennifer Howard</t>
  </si>
  <si>
    <t>NHM-2023-100800</t>
  </si>
  <si>
    <t>Elizabeth Ramos</t>
  </si>
  <si>
    <t>NHM-2024-102057</t>
  </si>
  <si>
    <t>Robert Ruiz</t>
  </si>
  <si>
    <t>NHM-2023-102279</t>
  </si>
  <si>
    <t>Christopher Hernandez</t>
  </si>
  <si>
    <t>NHM-2024-101836</t>
  </si>
  <si>
    <t>NHM-2024-101110</t>
  </si>
  <si>
    <t>Joshua Martinez</t>
  </si>
  <si>
    <t>NHM-2025-101661</t>
  </si>
  <si>
    <t>Amy Griffin</t>
  </si>
  <si>
    <t>NHM-2024-100594</t>
  </si>
  <si>
    <t>Keith Simpson</t>
  </si>
  <si>
    <t>NHM-2026-101521</t>
  </si>
  <si>
    <t>Donald Rogers</t>
  </si>
  <si>
    <t>NHM-2024-101639</t>
  </si>
  <si>
    <t>Valerie Ortiz</t>
  </si>
  <si>
    <t>NHM-2026-101563</t>
  </si>
  <si>
    <t>Emma Walker</t>
  </si>
  <si>
    <t>NHM-2023-101604</t>
  </si>
  <si>
    <t>Megan Patel</t>
  </si>
  <si>
    <t>NHM-2023-101180</t>
  </si>
  <si>
    <t>NHM-2026-102389</t>
  </si>
  <si>
    <t>Laura Kelly</t>
  </si>
  <si>
    <t>NHM-2025-102271</t>
  </si>
  <si>
    <t>Rebecca Baker</t>
  </si>
  <si>
    <t>NHM-2025-100876</t>
  </si>
  <si>
    <t>Jennifer Collins</t>
  </si>
  <si>
    <t>NHM-2025-100867</t>
  </si>
  <si>
    <t>Jeffrey Martinez</t>
  </si>
  <si>
    <t>NHM-2025-101784</t>
  </si>
  <si>
    <t>Emily Sanchez</t>
  </si>
  <si>
    <t>NHM-2023-100921</t>
  </si>
  <si>
    <t>Ralph Campbell</t>
  </si>
  <si>
    <t>NHM-2024-100033</t>
  </si>
  <si>
    <t>Helen Russell</t>
  </si>
  <si>
    <t>NHM-2026-101721</t>
  </si>
  <si>
    <t>Gregory Rogers</t>
  </si>
  <si>
    <t>NHM-2025-100205</t>
  </si>
  <si>
    <t>Kathryn Price</t>
  </si>
  <si>
    <t>NHM-2025-100668</t>
  </si>
  <si>
    <t>Abigail Ramos</t>
  </si>
  <si>
    <t>NHM-2025-100946</t>
  </si>
  <si>
    <t>NHM-2024-100364</t>
  </si>
  <si>
    <t>Sean Sanders</t>
  </si>
  <si>
    <t>NHM-2024-101138</t>
  </si>
  <si>
    <t>Ryan Jones</t>
  </si>
  <si>
    <t>NHM-2026-101393</t>
  </si>
  <si>
    <t>Daniel Boyd</t>
  </si>
  <si>
    <t>NHM-2024-101668</t>
  </si>
  <si>
    <t>Frank Cruz</t>
  </si>
  <si>
    <t>NHM-2026-100579</t>
  </si>
  <si>
    <t>Sara Cooper</t>
  </si>
  <si>
    <t>NHM-2024-101786</t>
  </si>
  <si>
    <t>Lisa Sullivan</t>
  </si>
  <si>
    <t>NHM-2023-101796</t>
  </si>
  <si>
    <t>Heather Chavez</t>
  </si>
  <si>
    <t>NHM-2026-100817</t>
  </si>
  <si>
    <t>Lauren Watson</t>
  </si>
  <si>
    <t>NHM-2024-100794</t>
  </si>
  <si>
    <t>Cynthia Edwards</t>
  </si>
  <si>
    <t>NHM-2024-101420</t>
  </si>
  <si>
    <t>Anthony Butler</t>
  </si>
  <si>
    <t>NHM-2025-101293</t>
  </si>
  <si>
    <t>Lauren Washington</t>
  </si>
  <si>
    <t>NHM-2025-102036</t>
  </si>
  <si>
    <t>Sharon Kelly</t>
  </si>
  <si>
    <t>NHM-2023-101368</t>
  </si>
  <si>
    <t>Juan Cruz</t>
  </si>
  <si>
    <t>NHM-2024-100428</t>
  </si>
  <si>
    <t>Terry Morgan</t>
  </si>
  <si>
    <t>NHM-2026-101904</t>
  </si>
  <si>
    <t>NHM-2026-100240</t>
  </si>
  <si>
    <t>Michelle Anderson</t>
  </si>
  <si>
    <t>NHM-2026-100299</t>
  </si>
  <si>
    <t>Peter Gonzalez</t>
  </si>
  <si>
    <t>NHM-2024-100593</t>
  </si>
  <si>
    <t>NHM-2026-101681</t>
  </si>
  <si>
    <t>Joshua Cruz</t>
  </si>
  <si>
    <t>NHM-2026-100491</t>
  </si>
  <si>
    <t>Janet Jenkins</t>
  </si>
  <si>
    <t>NHM-2025-101741</t>
  </si>
  <si>
    <t>Shirley Brown</t>
  </si>
  <si>
    <t>NHM-2026-101168</t>
  </si>
  <si>
    <t>James Johnson</t>
  </si>
  <si>
    <t>NHM-2023-101415</t>
  </si>
  <si>
    <t>Judy Marshall</t>
  </si>
  <si>
    <t>NHM-2025-101189</t>
  </si>
  <si>
    <t>NHM-2024-101562</t>
  </si>
  <si>
    <t>Nicole Thomas</t>
  </si>
  <si>
    <t>NHM-2023-100672</t>
  </si>
  <si>
    <t>NHM-2024-100287</t>
  </si>
  <si>
    <t>NHM-2026-102134</t>
  </si>
  <si>
    <t>Ruth Brooks</t>
  </si>
  <si>
    <t>NHM-2025-100833</t>
  </si>
  <si>
    <t>Sonia Hall</t>
  </si>
  <si>
    <t>NHM-2024-100474</t>
  </si>
  <si>
    <t>Billy Hernandez</t>
  </si>
  <si>
    <t>NHM-2024-101638</t>
  </si>
  <si>
    <t>NHM-2026-100371</t>
  </si>
  <si>
    <t>Kevin Owens</t>
  </si>
  <si>
    <t>NHM-2024-100052</t>
  </si>
  <si>
    <t>Nathan Ortiz</t>
  </si>
  <si>
    <t>NHM-2025-100482</t>
  </si>
  <si>
    <t>Jean Perry</t>
  </si>
  <si>
    <t>NHM-2026-100146</t>
  </si>
  <si>
    <t>Randy Jenkins</t>
  </si>
  <si>
    <t>NHM-2026-102342</t>
  </si>
  <si>
    <t>Emily Freeman</t>
  </si>
  <si>
    <t>NHM-2023-101443</t>
  </si>
  <si>
    <t>Alice Bailey</t>
  </si>
  <si>
    <t>NHM-2026-102420</t>
  </si>
  <si>
    <t>Heather Warren</t>
  </si>
  <si>
    <t>NHM-2024-100116</t>
  </si>
  <si>
    <t>Peter Moore</t>
  </si>
  <si>
    <t>NHM-2026-101373</t>
  </si>
  <si>
    <t>Jerry Cox</t>
  </si>
  <si>
    <t>NHM-2025-101125</t>
  </si>
  <si>
    <t>Dennis Thomas</t>
  </si>
  <si>
    <t>NHM-2024-101822</t>
  </si>
  <si>
    <t>NHM-2024-101069</t>
  </si>
  <si>
    <t>Brandon Butler</t>
  </si>
  <si>
    <t>NHM-2023-101580</t>
  </si>
  <si>
    <t>Jerry Washington</t>
  </si>
  <si>
    <t>NHM-2023-102223</t>
  </si>
  <si>
    <t>Katherine Evans</t>
  </si>
  <si>
    <t>NHM-2023-100015</t>
  </si>
  <si>
    <t>Sara Garcia</t>
  </si>
  <si>
    <t>NHM-2026-100136</t>
  </si>
  <si>
    <t>Mark Myers</t>
  </si>
  <si>
    <t>NHM-2024-101756</t>
  </si>
  <si>
    <t>NHM-2025-101809</t>
  </si>
  <si>
    <t>Roy Tucker</t>
  </si>
  <si>
    <t>NHM-2025-101548</t>
  </si>
  <si>
    <t>Patrick Martin</t>
  </si>
  <si>
    <t>NHM-2024-100154</t>
  </si>
  <si>
    <t>Jeffrey Mason</t>
  </si>
  <si>
    <t>NHM-2026-101204</t>
  </si>
  <si>
    <t>Megan James</t>
  </si>
  <si>
    <t>NHM-2023-102230</t>
  </si>
  <si>
    <t>Frances Perry</t>
  </si>
  <si>
    <t>NHM-2024-100306</t>
  </si>
  <si>
    <t>Jordan Marshall</t>
  </si>
  <si>
    <t>NHM-2024-100980</t>
  </si>
  <si>
    <t>Joan James</t>
  </si>
  <si>
    <t>NHM-2026-100485</t>
  </si>
  <si>
    <t>Olivia Ward</t>
  </si>
  <si>
    <t>NHM-2024-101917</t>
  </si>
  <si>
    <t>Teresa Butler</t>
  </si>
  <si>
    <t>NHM-2023-101303</t>
  </si>
  <si>
    <t>Gloria Moore</t>
  </si>
  <si>
    <t>NHM-2026-100704</t>
  </si>
  <si>
    <t>NHM-2024-100525</t>
  </si>
  <si>
    <t>Gloria Walker</t>
  </si>
  <si>
    <t>NHM-2026-100224</t>
  </si>
  <si>
    <t>Roy Myers</t>
  </si>
  <si>
    <t>NHM-2024-100150</t>
  </si>
  <si>
    <t>Kimberly James</t>
  </si>
  <si>
    <t>NHM-2023-102248</t>
  </si>
  <si>
    <t>Madison Patterson</t>
  </si>
  <si>
    <t>NHM-2024-100063</t>
  </si>
  <si>
    <t>Eugene Miller</t>
  </si>
  <si>
    <t>NHM-2025-102056</t>
  </si>
  <si>
    <t>Christian Cox</t>
  </si>
  <si>
    <t>NHM-2024-101754</t>
  </si>
  <si>
    <t>Kimberly Alexander</t>
  </si>
  <si>
    <t>NHM-2025-100719</t>
  </si>
  <si>
    <t>Margaret Flores</t>
  </si>
  <si>
    <t>NHM-2023-101538</t>
  </si>
  <si>
    <t>Carl Murphy</t>
  </si>
  <si>
    <t>NHM-2024-102289</t>
  </si>
  <si>
    <t>Rachel Cooper</t>
  </si>
  <si>
    <t>NHM-2024-101371</t>
  </si>
  <si>
    <t>Betty Williams</t>
  </si>
  <si>
    <t>NHM-2026-100902</t>
  </si>
  <si>
    <t>NHM-2026-101552</t>
  </si>
  <si>
    <t>NHM-2024-101824</t>
  </si>
  <si>
    <t>Teresa Martin</t>
  </si>
  <si>
    <t>NHM-2025-100468</t>
  </si>
  <si>
    <t>NHM-2025-102434</t>
  </si>
  <si>
    <t>Scott Cooper</t>
  </si>
  <si>
    <t>NHM-2023-100953</t>
  </si>
  <si>
    <t>Christian Murray</t>
  </si>
  <si>
    <t>NHM-2024-102500</t>
  </si>
  <si>
    <t>Steven Foster</t>
  </si>
  <si>
    <t>NHM-2026-101478</t>
  </si>
  <si>
    <t>NHM-2025-101787</t>
  </si>
  <si>
    <t>Charles Bailey</t>
  </si>
  <si>
    <t>NHM-2026-101483</t>
  </si>
  <si>
    <t>Alice Ramos</t>
  </si>
  <si>
    <t>NHM-2024-101967</t>
  </si>
  <si>
    <t>Janice Powell</t>
  </si>
  <si>
    <t>NHM-2025-101153</t>
  </si>
  <si>
    <t>Anthony Warren</t>
  </si>
  <si>
    <t>NHM-2023-101765</t>
  </si>
  <si>
    <t>Dylan Thomas</t>
  </si>
  <si>
    <t>NHM-2023-101051</t>
  </si>
  <si>
    <t>Eric Roberts</t>
  </si>
  <si>
    <t>NHM-2025-100490</t>
  </si>
  <si>
    <t>Gerald Cooper</t>
  </si>
  <si>
    <t>NHM-2023-100172</t>
  </si>
  <si>
    <t>Edward Sanders</t>
  </si>
  <si>
    <t>NHM-2023-102144</t>
  </si>
  <si>
    <t>Jeffrey Wilson</t>
  </si>
  <si>
    <t>NHM-2023-101616</t>
  </si>
  <si>
    <t>NHM-2025-101959</t>
  </si>
  <si>
    <t>Helen Flores</t>
  </si>
  <si>
    <t>NHM-2026-100701</t>
  </si>
  <si>
    <t>Judy Warren</t>
  </si>
  <si>
    <t>NHM-2023-100940</t>
  </si>
  <si>
    <t>Evelyn Gonzales</t>
  </si>
  <si>
    <t>NHM-2023-100157</t>
  </si>
  <si>
    <t>Wayne Parker</t>
  </si>
  <si>
    <t>NHM-2023-101888</t>
  </si>
  <si>
    <t>Willie Mendoza</t>
  </si>
  <si>
    <t>NHM-2026-100368</t>
  </si>
  <si>
    <t>Heather Miller</t>
  </si>
  <si>
    <t>NHM-2026-100264</t>
  </si>
  <si>
    <t>Jesse Gonzales</t>
  </si>
  <si>
    <t>NHM-2024-102247</t>
  </si>
  <si>
    <t>Rachel Morgan</t>
  </si>
  <si>
    <t>NHM-2025-101757</t>
  </si>
  <si>
    <t>Andrea Roberts</t>
  </si>
  <si>
    <t>NHM-2024-100438</t>
  </si>
  <si>
    <t>Larry Cole</t>
  </si>
  <si>
    <t>NHM-2026-100796</t>
  </si>
  <si>
    <t>Lauren Jackson</t>
  </si>
  <si>
    <t>NHM-2024-100542</t>
  </si>
  <si>
    <t>Abigail Foster</t>
  </si>
  <si>
    <t>NHM-2023-102365</t>
  </si>
  <si>
    <t>NHM-2025-101214</t>
  </si>
  <si>
    <t>Willie Ramos</t>
  </si>
  <si>
    <t>NHM-2026-100923</t>
  </si>
  <si>
    <t>Michelle Foster</t>
  </si>
  <si>
    <t>NHM-2024-101504</t>
  </si>
  <si>
    <t>Denise Henry</t>
  </si>
  <si>
    <t>NHM-2023-100524</t>
  </si>
  <si>
    <t>Emma Evans</t>
  </si>
  <si>
    <t>NHM-2023-100816</t>
  </si>
  <si>
    <t>Billy Mcdonald</t>
  </si>
  <si>
    <t>NHM-2024-100087</t>
  </si>
  <si>
    <t>Diane Ortiz</t>
  </si>
  <si>
    <t>NHM-2025-102401</t>
  </si>
  <si>
    <t>Dennis Perez</t>
  </si>
  <si>
    <t>NHM-2024-100095</t>
  </si>
  <si>
    <t>Kyle Ramirez</t>
  </si>
  <si>
    <t>NHM-2023-100967</t>
  </si>
  <si>
    <t>Donald Anderson</t>
  </si>
  <si>
    <t>NHM-2026-100302</t>
  </si>
  <si>
    <t>Jonathan Flores</t>
  </si>
  <si>
    <t>NHM-2023-100189</t>
  </si>
  <si>
    <t>Eugene Ortiz</t>
  </si>
  <si>
    <t>NHM-2026-101145</t>
  </si>
  <si>
    <t>NHM-2024-102216</t>
  </si>
  <si>
    <t>Christopher Miller</t>
  </si>
  <si>
    <t>NHM-2026-100864</t>
  </si>
  <si>
    <t>Dylan Reed</t>
  </si>
  <si>
    <t>NHM-2024-101646</t>
  </si>
  <si>
    <t>Scott Wright</t>
  </si>
  <si>
    <t>NHM-2023-100858</t>
  </si>
  <si>
    <t>Jennifer Kennedy</t>
  </si>
  <si>
    <t>NHM-2024-101257</t>
  </si>
  <si>
    <t>Margaret Webb</t>
  </si>
  <si>
    <t>NHM-2024-100009</t>
  </si>
  <si>
    <t>Judy Owens</t>
  </si>
  <si>
    <t>NHM-2025-100662</t>
  </si>
  <si>
    <t>Samuel Nguyen</t>
  </si>
  <si>
    <t>NHM-2023-100375</t>
  </si>
  <si>
    <t>Carolyn Kelly</t>
  </si>
  <si>
    <t>NHM-2023-100633</t>
  </si>
  <si>
    <t>Billy Freeman</t>
  </si>
  <si>
    <t>NHM-2026-100955</t>
  </si>
  <si>
    <t>NHM-2023-100069</t>
  </si>
  <si>
    <t>Joe Brooks</t>
  </si>
  <si>
    <t>NHM-2024-100419</t>
  </si>
  <si>
    <t>Jessica Ramos</t>
  </si>
  <si>
    <t>NHM-2026-102161</t>
  </si>
  <si>
    <t>Keith Owens</t>
  </si>
  <si>
    <t>NHM-2025-101837</t>
  </si>
  <si>
    <t>NHM-2025-100399</t>
  </si>
  <si>
    <t>Angela Torres</t>
  </si>
  <si>
    <t>NHM-2026-101827</t>
  </si>
  <si>
    <t>Tyler Hamilton</t>
  </si>
  <si>
    <t>1) Total Appointment</t>
  </si>
  <si>
    <t>2) Total Revenue</t>
  </si>
  <si>
    <t>3) Total Operational Cost</t>
  </si>
  <si>
    <t>4) Total Profit</t>
  </si>
  <si>
    <t>5) Total Staff Overtime</t>
  </si>
  <si>
    <t>Total Appointment</t>
  </si>
  <si>
    <t>Total Revenue</t>
  </si>
  <si>
    <t>Total Operational Cost</t>
  </si>
  <si>
    <t>Total Overtime Hours</t>
  </si>
  <si>
    <t>Patient Across Department</t>
  </si>
  <si>
    <t>Monthly Revenue</t>
  </si>
  <si>
    <t>Departmental Revenue</t>
  </si>
  <si>
    <t>Age Group By Appointment</t>
  </si>
  <si>
    <t>Clinical Status By Appointment</t>
  </si>
  <si>
    <t>Department</t>
  </si>
  <si>
    <t>May</t>
  </si>
  <si>
    <t>Months</t>
  </si>
  <si>
    <t>Adult</t>
  </si>
  <si>
    <t>Geriatric</t>
  </si>
  <si>
    <t>Pediatric</t>
  </si>
  <si>
    <t>Age Group</t>
  </si>
  <si>
    <t>Clinical Status</t>
  </si>
  <si>
    <t>Logo</t>
  </si>
  <si>
    <t>Row Labels</t>
  </si>
  <si>
    <t>Grand Total</t>
  </si>
  <si>
    <t>Count of Patient_ID</t>
  </si>
  <si>
    <t>Sum of Staff_Overtime_Hrs</t>
  </si>
  <si>
    <t>Cardio</t>
  </si>
  <si>
    <t>ER</t>
  </si>
  <si>
    <t>GM</t>
  </si>
  <si>
    <t>ICU</t>
  </si>
  <si>
    <t>Neuro</t>
  </si>
  <si>
    <t>Ortho</t>
  </si>
  <si>
    <t>PD</t>
  </si>
  <si>
    <t>Date_Year</t>
  </si>
  <si>
    <t>2023</t>
  </si>
  <si>
    <t>2024</t>
  </si>
  <si>
    <t>2025</t>
  </si>
  <si>
    <t>2026</t>
  </si>
  <si>
    <t>Jan</t>
  </si>
  <si>
    <t>Feb</t>
  </si>
  <si>
    <t>Mar</t>
  </si>
  <si>
    <t>Apr</t>
  </si>
  <si>
    <t>Jun</t>
  </si>
  <si>
    <t>Jul</t>
  </si>
  <si>
    <t>Aug</t>
  </si>
  <si>
    <t>Sep</t>
  </si>
  <si>
    <t>Oct</t>
  </si>
  <si>
    <t>Nov</t>
  </si>
  <si>
    <t>Dec</t>
  </si>
  <si>
    <t>Year</t>
  </si>
  <si>
    <t>Operational Cost</t>
  </si>
  <si>
    <t>Revenue</t>
  </si>
  <si>
    <t>[$$-en-US][&gt;=1000000]#,##0.00,,"M";[&gt;=1000#,##0.0,"K";#,##0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</si>
</sst>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_(* #,##0.00_);_(* \(#,##0.00\);_(* &quot;-&quot;??_);_(@_)"/>
    <numFmt numFmtId="165" formatCode="&quot;$&quot;#,##0.00"/>
    <numFmt numFmtId="166" formatCode="0.0%"/>
    <numFmt numFmtId="167" formatCode="[&gt;=1000000]#,##0.00,,&quot;M&quot;;[&gt;=1000]#,##0.0&quot;K&quot;;#,##0"/>
  </numFmts>
  <fonts count="12" x14ac:knownFonts="1">
    <font>
      <sz val="11"/>
      <color theme="1"/>
      <name val="Calibri"/>
      <scheme val="minor"/>
    </font>
    <font>
      <sz val="11"/>
      <color theme="1"/>
      <name val="Calibri"/>
      <family val="2"/>
      <scheme val="minor"/>
    </font>
    <font>
      <sz val="11"/>
      <color theme="1"/>
      <name val="Calibri"/>
      <family val="2"/>
      <scheme val="minor"/>
    </font>
    <font>
      <b/>
      <sz val="11"/>
      <color rgb="FFFFFFFF"/>
      <name val="Calibri"/>
      <family val="2"/>
    </font>
    <font>
      <sz val="11"/>
      <color theme="1"/>
      <name val="Calibri"/>
      <family val="2"/>
    </font>
    <font>
      <sz val="11"/>
      <color rgb="FF000000"/>
      <name val="Calibri"/>
      <family val="2"/>
    </font>
    <font>
      <sz val="11"/>
      <color theme="1"/>
      <name val="Calibri"/>
      <family val="2"/>
      <scheme val="minor"/>
    </font>
    <font>
      <b/>
      <sz val="11"/>
      <color theme="1"/>
      <name val="Calibri"/>
      <family val="2"/>
      <scheme val="minor"/>
    </font>
    <font>
      <b/>
      <sz val="11"/>
      <color theme="1"/>
      <name val="Aptos Display"/>
      <family val="2"/>
    </font>
    <font>
      <sz val="11"/>
      <color theme="0"/>
      <name val="Calibri"/>
      <family val="2"/>
      <scheme val="minor"/>
    </font>
    <font>
      <b/>
      <sz val="11"/>
      <color theme="0"/>
      <name val="Poppins"/>
    </font>
    <font>
      <b/>
      <sz val="10"/>
      <color theme="0"/>
      <name val="Poppins"/>
    </font>
  </fonts>
  <fills count="6">
    <fill>
      <patternFill patternType="none"/>
    </fill>
    <fill>
      <patternFill patternType="gray125"/>
    </fill>
    <fill>
      <patternFill patternType="solid">
        <fgColor rgb="FF1F4E78"/>
        <bgColor rgb="FF1F4E78"/>
      </patternFill>
    </fill>
    <fill>
      <patternFill patternType="solid">
        <fgColor theme="1"/>
        <bgColor indexed="64"/>
      </patternFill>
    </fill>
    <fill>
      <patternFill patternType="solid">
        <fgColor theme="1"/>
        <bgColor rgb="FF000000"/>
      </patternFill>
    </fill>
    <fill>
      <patternFill patternType="solid">
        <fgColor rgb="FFFFFF00"/>
        <bgColor indexed="64"/>
      </patternFill>
    </fill>
  </fills>
  <borders count="30">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top/>
      <bottom/>
      <diagonal/>
    </border>
    <border>
      <left/>
      <right style="thin">
        <color rgb="FF000000"/>
      </right>
      <top/>
      <bottom style="thin">
        <color rgb="FF000000"/>
      </bottom>
      <diagonal/>
    </border>
    <border>
      <left style="thin">
        <color rgb="FFD9D9D9"/>
      </left>
      <right style="thin">
        <color rgb="FFD9D9D9"/>
      </right>
      <top style="thin">
        <color rgb="FFD9D9D9"/>
      </top>
      <bottom style="thin">
        <color rgb="FFD9D9D9"/>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rgb="FFABABAB"/>
      </left>
      <right/>
      <top style="thin">
        <color rgb="FFABABAB"/>
      </top>
      <bottom/>
      <diagonal/>
    </border>
    <border>
      <left style="thin">
        <color rgb="FFABABAB"/>
      </left>
      <right/>
      <top style="thin">
        <color indexed="65"/>
      </top>
      <bottom/>
      <diagonal/>
    </border>
    <border>
      <left style="thin">
        <color rgb="FFABABAB"/>
      </left>
      <right style="thin">
        <color rgb="FFABABAB"/>
      </right>
      <top style="thin">
        <color rgb="FFABABAB"/>
      </top>
      <bottom/>
      <diagonal/>
    </border>
    <border>
      <left style="thin">
        <color rgb="FFABABAB"/>
      </left>
      <right style="thin">
        <color rgb="FFABABAB"/>
      </right>
      <top style="thin">
        <color indexed="65"/>
      </top>
      <bottom/>
      <diagonal/>
    </border>
    <border>
      <left style="thin">
        <color rgb="FFABABAB"/>
      </left>
      <right style="thin">
        <color rgb="FFABABAB"/>
      </right>
      <top style="thin">
        <color rgb="FFABABAB"/>
      </top>
      <bottom style="thin">
        <color rgb="FFABABAB"/>
      </bottom>
      <diagonal/>
    </border>
    <border>
      <left style="thin">
        <color rgb="FFABABAB"/>
      </left>
      <right/>
      <top style="thin">
        <color rgb="FFABABAB"/>
      </top>
      <bottom style="thin">
        <color rgb="FFABABAB"/>
      </bottom>
      <diagonal/>
    </border>
    <border>
      <left/>
      <right style="thin">
        <color rgb="FFABABAB"/>
      </right>
      <top style="thin">
        <color rgb="FFABABAB"/>
      </top>
      <bottom/>
      <diagonal/>
    </border>
    <border>
      <left/>
      <right style="thin">
        <color rgb="FFABABAB"/>
      </right>
      <top style="thin">
        <color rgb="FFABABAB"/>
      </top>
      <bottom style="thin">
        <color rgb="FFABABAB"/>
      </bottom>
      <diagonal/>
    </border>
    <border>
      <left/>
      <right style="thin">
        <color rgb="FFABABAB"/>
      </right>
      <top style="thin">
        <color indexed="65"/>
      </top>
      <bottom/>
      <diagonal/>
    </border>
  </borders>
  <cellStyleXfs count="2">
    <xf numFmtId="0" fontId="0" fillId="0" borderId="0"/>
    <xf numFmtId="164" fontId="6" fillId="0" borderId="0" applyFont="0" applyFill="0" applyBorder="0" applyAlignment="0" applyProtection="0"/>
  </cellStyleXfs>
  <cellXfs count="68">
    <xf numFmtId="0" fontId="0" fillId="0" borderId="0" xfId="0"/>
    <xf numFmtId="0" fontId="2" fillId="0" borderId="0" xfId="0" applyFont="1"/>
    <xf numFmtId="0" fontId="3" fillId="2" borderId="8" xfId="0" applyFont="1" applyFill="1" applyBorder="1" applyAlignment="1">
      <alignment horizontal="center" vertical="center"/>
    </xf>
    <xf numFmtId="49" fontId="3" fillId="2" borderId="8" xfId="0" applyNumberFormat="1" applyFont="1" applyFill="1" applyBorder="1" applyAlignment="1">
      <alignment horizontal="center" vertical="center"/>
    </xf>
    <xf numFmtId="0" fontId="4" fillId="0" borderId="10" xfId="0" applyFont="1" applyBorder="1" applyAlignment="1">
      <alignment horizontal="center" vertical="center"/>
    </xf>
    <xf numFmtId="0" fontId="4" fillId="0" borderId="0" xfId="0" applyFont="1" applyAlignment="1">
      <alignment horizontal="left" vertical="center"/>
    </xf>
    <xf numFmtId="0" fontId="4" fillId="0" borderId="0" xfId="0" applyFont="1" applyAlignment="1">
      <alignment horizontal="right" vertical="center"/>
    </xf>
    <xf numFmtId="14" fontId="4" fillId="0" borderId="0" xfId="0" applyNumberFormat="1" applyFont="1" applyAlignment="1">
      <alignment vertical="center"/>
    </xf>
    <xf numFmtId="0" fontId="4" fillId="0" borderId="10" xfId="0" applyFont="1" applyBorder="1" applyAlignment="1">
      <alignment horizontal="left" vertical="center"/>
    </xf>
    <xf numFmtId="165" fontId="4" fillId="0" borderId="10" xfId="0" applyNumberFormat="1" applyFont="1" applyBorder="1" applyAlignment="1">
      <alignment horizontal="left" vertical="center"/>
    </xf>
    <xf numFmtId="165" fontId="4" fillId="0" borderId="10" xfId="0" applyNumberFormat="1" applyFont="1" applyBorder="1" applyAlignment="1">
      <alignment horizontal="right" vertical="center"/>
    </xf>
    <xf numFmtId="0" fontId="4" fillId="0" borderId="10" xfId="0" applyFont="1" applyBorder="1" applyAlignment="1">
      <alignment horizontal="right" vertical="center"/>
    </xf>
    <xf numFmtId="0" fontId="2" fillId="0" borderId="0" xfId="0" applyFont="1" applyAlignment="1">
      <alignment vertical="center"/>
    </xf>
    <xf numFmtId="0" fontId="2" fillId="0" borderId="0" xfId="0" applyFont="1" applyAlignment="1">
      <alignment horizontal="left" vertical="center"/>
    </xf>
    <xf numFmtId="0" fontId="5" fillId="0" borderId="0" xfId="0" applyFont="1" applyAlignment="1">
      <alignment vertical="center"/>
    </xf>
    <xf numFmtId="0" fontId="4" fillId="0" borderId="0" xfId="0" applyFont="1"/>
    <xf numFmtId="165"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0" fillId="0" borderId="11" xfId="0" applyBorder="1"/>
    <xf numFmtId="0" fontId="0" fillId="0" borderId="12" xfId="0" applyBorder="1"/>
    <xf numFmtId="0" fontId="8" fillId="0" borderId="14" xfId="0" applyFont="1" applyBorder="1"/>
    <xf numFmtId="164" fontId="8" fillId="0" borderId="14" xfId="1" applyFont="1" applyBorder="1"/>
    <xf numFmtId="0" fontId="7" fillId="0" borderId="13" xfId="0" applyFont="1" applyBorder="1"/>
    <xf numFmtId="0" fontId="9" fillId="3" borderId="1" xfId="0" applyFont="1" applyFill="1" applyBorder="1"/>
    <xf numFmtId="0" fontId="9" fillId="3" borderId="2" xfId="0" applyFont="1" applyFill="1" applyBorder="1"/>
    <xf numFmtId="0" fontId="9" fillId="3" borderId="3" xfId="0" applyFont="1" applyFill="1" applyBorder="1"/>
    <xf numFmtId="0" fontId="10" fillId="3" borderId="4" xfId="0" applyFont="1" applyFill="1" applyBorder="1"/>
    <xf numFmtId="0" fontId="9" fillId="3" borderId="0" xfId="0" applyFont="1" applyFill="1"/>
    <xf numFmtId="0" fontId="9" fillId="3" borderId="5" xfId="0" applyFont="1" applyFill="1" applyBorder="1"/>
    <xf numFmtId="0" fontId="9" fillId="3" borderId="4" xfId="0" applyFont="1" applyFill="1" applyBorder="1"/>
    <xf numFmtId="0" fontId="9" fillId="4" borderId="4" xfId="0" applyFont="1" applyFill="1" applyBorder="1"/>
    <xf numFmtId="0" fontId="9" fillId="4" borderId="0" xfId="0" applyFont="1" applyFill="1"/>
    <xf numFmtId="0" fontId="9" fillId="3" borderId="6" xfId="0" applyFont="1" applyFill="1" applyBorder="1"/>
    <xf numFmtId="0" fontId="9" fillId="3" borderId="7" xfId="0" applyFont="1" applyFill="1" applyBorder="1"/>
    <xf numFmtId="0" fontId="9" fillId="3" borderId="9" xfId="0" applyFont="1" applyFill="1" applyBorder="1"/>
    <xf numFmtId="0" fontId="0" fillId="0" borderId="13" xfId="0" applyBorder="1"/>
    <xf numFmtId="0" fontId="0" fillId="0" borderId="14" xfId="0" applyBorder="1"/>
    <xf numFmtId="0" fontId="1" fillId="0" borderId="15" xfId="0" applyFont="1" applyBorder="1"/>
    <xf numFmtId="0" fontId="0" fillId="0" borderId="16" xfId="0" applyBorder="1"/>
    <xf numFmtId="0" fontId="1" fillId="0" borderId="17" xfId="0" applyFont="1" applyBorder="1"/>
    <xf numFmtId="0" fontId="0" fillId="0" borderId="18" xfId="0" applyBorder="1"/>
    <xf numFmtId="0" fontId="1" fillId="0" borderId="19" xfId="0" applyFont="1" applyBorder="1"/>
    <xf numFmtId="0" fontId="0" fillId="0" borderId="20" xfId="0" applyBorder="1"/>
    <xf numFmtId="0" fontId="11" fillId="3" borderId="4" xfId="0" applyFont="1" applyFill="1" applyBorder="1" applyAlignment="1">
      <alignment horizontal="left" vertical="top"/>
    </xf>
    <xf numFmtId="0" fontId="10" fillId="3" borderId="4" xfId="0" applyFont="1" applyFill="1" applyBorder="1" applyAlignment="1">
      <alignment horizontal="left" vertical="top"/>
    </xf>
    <xf numFmtId="0" fontId="0" fillId="5" borderId="0" xfId="0" applyFill="1"/>
    <xf numFmtId="0" fontId="0" fillId="0" borderId="21" xfId="0" applyBorder="1"/>
    <xf numFmtId="0" fontId="0" fillId="0" borderId="23" xfId="0" applyBorder="1"/>
    <xf numFmtId="0" fontId="0" fillId="0" borderId="21" xfId="0" pivotButton="1" applyBorder="1"/>
    <xf numFmtId="0" fontId="0" fillId="0" borderId="21" xfId="0" applyBorder="1" applyAlignment="1">
      <alignment horizontal="left"/>
    </xf>
    <xf numFmtId="0" fontId="0" fillId="0" borderId="22" xfId="0" applyBorder="1" applyAlignment="1">
      <alignment horizontal="left"/>
    </xf>
    <xf numFmtId="0" fontId="0" fillId="0" borderId="26" xfId="0" applyBorder="1" applyAlignment="1">
      <alignment horizontal="left"/>
    </xf>
    <xf numFmtId="0" fontId="0" fillId="0" borderId="27" xfId="0" applyBorder="1"/>
    <xf numFmtId="49" fontId="4" fillId="0" borderId="0" xfId="0" applyNumberFormat="1" applyFont="1" applyAlignment="1">
      <alignment horizontal="right" vertical="center"/>
    </xf>
    <xf numFmtId="49" fontId="4" fillId="0" borderId="0" xfId="0" applyNumberFormat="1" applyFont="1" applyAlignment="1">
      <alignment horizontal="right"/>
    </xf>
    <xf numFmtId="49" fontId="0" fillId="0" borderId="0" xfId="0" applyNumberFormat="1" applyAlignment="1">
      <alignment horizontal="right"/>
    </xf>
    <xf numFmtId="165" fontId="0" fillId="0" borderId="26" xfId="0" applyNumberFormat="1" applyBorder="1"/>
    <xf numFmtId="165" fontId="0" fillId="0" borderId="28" xfId="0" applyNumberFormat="1" applyBorder="1"/>
    <xf numFmtId="165" fontId="0" fillId="0" borderId="21" xfId="0" applyNumberFormat="1" applyBorder="1"/>
    <xf numFmtId="165" fontId="0" fillId="0" borderId="27" xfId="0" applyNumberFormat="1" applyBorder="1"/>
    <xf numFmtId="165" fontId="0" fillId="0" borderId="22" xfId="0" applyNumberFormat="1" applyBorder="1"/>
    <xf numFmtId="165" fontId="0" fillId="0" borderId="29" xfId="0" applyNumberFormat="1" applyBorder="1"/>
    <xf numFmtId="167" fontId="8" fillId="0" borderId="14" xfId="0" applyNumberFormat="1" applyFont="1" applyBorder="1"/>
    <xf numFmtId="167" fontId="0" fillId="0" borderId="0" xfId="0" applyNumberFormat="1"/>
    <xf numFmtId="0" fontId="0" fillId="0" borderId="24" xfId="0" applyBorder="1"/>
    <xf numFmtId="0" fontId="0" fillId="0" borderId="25" xfId="0" applyBorder="1"/>
  </cellXfs>
  <cellStyles count="2">
    <cellStyle name="Comma" xfId="1" builtinId="3"/>
    <cellStyle name="Normal" xfId="0" builtinId="0"/>
  </cellStyles>
  <dxfs count="11">
    <dxf>
      <alignment horizontal="left" vertical="center"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30" formatCode="@"/>
      <alignment horizontal="right" vertical="center" textRotation="0" wrapText="0" indent="0" justifyLastLine="0" shrinkToFit="0" readingOrder="0"/>
    </dxf>
    <dxf>
      <numFmt numFmtId="166" formatCode="0.0%"/>
    </dxf>
    <dxf>
      <numFmt numFmtId="167" formatCode="[&gt;=1000000]#,##0.00,,&quot;M&quot;;[&gt;=1000]#,##0.0&quot;K&quot;;#,##0"/>
    </dxf>
    <dxf>
      <fill>
        <patternFill>
          <bgColor theme="1"/>
        </patternFill>
      </fill>
    </dxf>
    <dxf>
      <font>
        <b val="0"/>
        <i val="0"/>
        <sz val="9"/>
        <name val="Aptos Display"/>
        <family val="2"/>
        <scheme val="none"/>
      </font>
    </dxf>
    <dxf>
      <fill>
        <patternFill>
          <bgColor theme="1"/>
        </patternFill>
      </fill>
    </dxf>
    <dxf>
      <fill>
        <patternFill patternType="solid">
          <fgColor theme="0"/>
          <bgColor theme="0"/>
        </patternFill>
      </fill>
    </dxf>
    <dxf>
      <fill>
        <patternFill patternType="solid">
          <fgColor rgb="FFDBE5F1"/>
          <bgColor rgb="FFDBE5F1"/>
        </patternFill>
      </fill>
    </dxf>
    <dxf>
      <fill>
        <patternFill patternType="solid">
          <fgColor theme="4"/>
          <bgColor theme="4"/>
        </patternFill>
      </fill>
    </dxf>
    <dxf>
      <border>
        <left style="thin">
          <color theme="4"/>
        </left>
        <right style="thin">
          <color theme="4"/>
        </right>
        <top style="thin">
          <color theme="4"/>
        </top>
        <bottom style="thin">
          <color theme="4"/>
        </bottom>
        <vertical style="thin">
          <color rgb="FFD4D4D4"/>
        </vertical>
        <horizontal style="thin">
          <color rgb="FFD4D4D4"/>
        </horizontal>
      </border>
    </dxf>
  </dxfs>
  <tableStyles count="8">
    <tableStyle name="Patient_Data-style" pivot="0" count="4" xr9:uid="{00000000-0011-0000-FFFF-FFFF00000000}">
      <tableStyleElement type="wholeTable" size="0" dxfId="10"/>
      <tableStyleElement type="headerRow" dxfId="9"/>
      <tableStyleElement type="firstRowStripe" dxfId="8"/>
      <tableStyleElement type="secondRowStripe" dxfId="7"/>
    </tableStyle>
    <tableStyle name="Slicer Style 1" pivot="0" table="0" count="4" xr9:uid="{C02E9EF9-AFD4-4002-8335-FC4E2BADFD6C}">
      <tableStyleElement type="wholeTable" dxfId="6"/>
      <tableStyleElement type="headerRow" dxfId="5"/>
    </tableStyle>
    <tableStyle name="Slicer Style 2" pivot="0" table="0" count="1" xr9:uid="{37B8C953-12DA-4935-AF91-3F33F22F4A85}"/>
    <tableStyle name="Slicer Style 3" pivot="0" table="0" count="1" xr9:uid="{F26F053E-DD64-4C6B-8B11-A125AABC8AA7}"/>
    <tableStyle name="Slicer Style 4" pivot="0" table="0" count="1" xr9:uid="{6E4E57F8-B258-4B30-BABF-62F31EE35BFD}">
      <tableStyleElement type="wholeTable" dxfId="4"/>
    </tableStyle>
    <tableStyle name="Slicer Style 5" pivot="0" table="0" count="1" xr9:uid="{EB95890B-C2D0-4020-A9ED-602387A4C490}"/>
    <tableStyle name="Slicer Style 6" pivot="0" table="0" count="1" xr9:uid="{83C6ACFB-358F-4F13-BD9B-B8FDACABCFE7}"/>
    <tableStyle name="Slicer Style 7" pivot="0" table="0" count="1" xr9:uid="{B42CAE71-B339-44B3-A437-AC1498974F08}"/>
  </tableStyles>
  <colors>
    <mruColors>
      <color rgb="FF1EB296"/>
      <color rgb="FF124F4E"/>
      <color rgb="FF111111"/>
      <color rgb="FF66FFCC"/>
      <color rgb="FFFFFFFF"/>
      <color rgb="FF124FAE"/>
      <color rgb="FF99FFCC"/>
      <color rgb="FFCCFFCC"/>
    </mruColors>
  </colors>
  <extLst>
    <ext xmlns:x14="http://schemas.microsoft.com/office/spreadsheetml/2009/9/main" uri="{46F421CA-312F-682f-3DD2-61675219B42D}">
      <x14:dxfs count="7">
        <dxf>
          <fill>
            <patternFill>
              <bgColor rgb="FF111111"/>
            </patternFill>
          </fill>
        </dxf>
        <dxf>
          <fill>
            <patternFill>
              <bgColor rgb="FF111111"/>
            </patternFill>
          </fill>
        </dxf>
        <dxf>
          <fill>
            <patternFill>
              <bgColor rgb="FF66FFCC"/>
            </patternFill>
          </fill>
        </dxf>
        <dxf>
          <fill>
            <patternFill>
              <bgColor rgb="FF66FFCC"/>
            </patternFill>
          </fill>
        </dxf>
        <dxf>
          <fill>
            <patternFill>
              <bgColor rgb="FFFFFFFF"/>
            </patternFill>
          </fill>
        </dxf>
        <dxf>
          <fill>
            <patternFill>
              <bgColor rgb="FF124F4E"/>
            </patternFill>
          </fill>
        </dxf>
        <dxf>
          <font>
            <b/>
            <i val="0"/>
            <sz val="10"/>
            <name val="Aptos Display"/>
            <family val="2"/>
            <scheme val="none"/>
          </font>
          <fill>
            <patternFill>
              <bgColor rgb="FF1EB296"/>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6"/>
            <x14:slicerStyleElement type="selectedItemWithNoData" dxfId="5"/>
          </x14:slicerStyleElements>
        </x14:slicerStyle>
        <x14:slicerStyle name="Slicer Style 2">
          <x14:slicerStyleElements>
            <x14:slicerStyleElement type="selectedItemWithData" dxfId="4"/>
          </x14:slicerStyleElements>
        </x14:slicerStyle>
        <x14:slicerStyle name="Slicer Style 3">
          <x14:slicerStyleElements>
            <x14:slicerStyleElement type="selectedItemWithData" dxfId="3"/>
          </x14:slicerStyleElements>
        </x14:slicerStyle>
        <x14:slicerStyle name="Slicer Style 4"/>
        <x14:slicerStyle name="Slicer Style 5">
          <x14:slicerStyleElements>
            <x14:slicerStyleElement type="selectedItemWithData" dxfId="2"/>
          </x14:slicerStyleElements>
        </x14:slicerStyle>
        <x14:slicerStyle name="Slicer Style 6">
          <x14:slicerStyleElements>
            <x14:slicerStyleElement type="selectedItemWithNoData" dxfId="1"/>
          </x14:slicerStyleElements>
        </x14:slicerStyle>
        <x14:slicerStyle name="Slicer Style 7">
          <x14:slicerStyleElements>
            <x14:slicerStyleElement type="un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12" Type="http://customschemas.google.com/relationships/workbookmetadata" Target="metadata"/><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[Novahealth_Medical_Network_Dataset_Class_3.xlsx]Pivots!PivotTable1</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EB296"/>
          </a:solidFill>
          <a:ln>
            <a:noFill/>
          </a:ln>
          <a:effectLst>
            <a:outerShdw blurRad="57150" dist="19050" dir="72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8709673843981447E-2"/>
          <c:y val="0.23914495933909902"/>
          <c:w val="0.92258065231203712"/>
          <c:h val="0.6117232477087905"/>
        </c:manualLayout>
      </c:layout>
      <c:barChart>
        <c:barDir val="col"/>
        <c:grouping val="clustered"/>
        <c:varyColors val="0"/>
        <c:ser>
          <c:idx val="0"/>
          <c:order val="0"/>
          <c:tx>
            <c:strRef>
              <c:f>Pivots!$B$18</c:f>
              <c:strCache>
                <c:ptCount val="1"/>
                <c:pt idx="0">
                  <c:v>Total</c:v>
                </c:pt>
              </c:strCache>
            </c:strRef>
          </c:tx>
          <c:spPr>
            <a:solidFill>
              <a:srgbClr val="1EB296"/>
            </a:solidFill>
            <a:ln>
              <a:noFill/>
            </a:ln>
            <a:effectLst>
              <a:outerShdw blurRad="57150" dist="19050" dir="72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Pivots!$A$19:$A$31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Pivots!$B$19:$B$31</c:f>
              <c:numCache>
                <c:formatCode>General</c:formatCode>
                <c:ptCount val="12"/>
                <c:pt idx="0">
                  <c:v>209</c:v>
                </c:pt>
                <c:pt idx="1">
                  <c:v>214</c:v>
                </c:pt>
                <c:pt idx="2">
                  <c:v>219</c:v>
                </c:pt>
                <c:pt idx="3">
                  <c:v>226</c:v>
                </c:pt>
                <c:pt idx="4">
                  <c:v>236</c:v>
                </c:pt>
                <c:pt idx="5">
                  <c:v>233</c:v>
                </c:pt>
                <c:pt idx="6">
                  <c:v>210</c:v>
                </c:pt>
                <c:pt idx="7">
                  <c:v>135</c:v>
                </c:pt>
                <c:pt idx="8">
                  <c:v>187</c:v>
                </c:pt>
                <c:pt idx="9">
                  <c:v>209</c:v>
                </c:pt>
                <c:pt idx="10">
                  <c:v>198</c:v>
                </c:pt>
                <c:pt idx="11">
                  <c:v>229</c:v>
                </c:pt>
              </c:numCache>
            </c:numRef>
          </c:val>
          <c:extLst>
            <c:ext xmlns:c16="http://schemas.microsoft.com/office/drawing/2014/chart" uri="{C3380CC4-5D6E-409C-BE32-E72D297353CC}">
              <c16:uniqueId val="{00000000-0A47-4EA1-98BE-9315FDF7D4D3}"/>
            </c:ext>
          </c:extLst>
        </c:ser>
        <c:dLbls>
          <c:showLegendKey val="0"/>
          <c:showVal val="0"/>
          <c:showCatName val="0"/>
          <c:showSerName val="0"/>
          <c:showPercent val="0"/>
          <c:showBubbleSize val="0"/>
        </c:dLbls>
        <c:gapWidth val="55"/>
        <c:overlap val="-35"/>
        <c:axId val="93310176"/>
        <c:axId val="2120290992"/>
      </c:barChart>
      <c:catAx>
        <c:axId val="93310176"/>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ln>
                  <a:solidFill>
                    <a:schemeClr val="bg1"/>
                  </a:solidFill>
                </a:ln>
                <a:solidFill>
                  <a:schemeClr val="bg1"/>
                </a:solidFill>
                <a:latin typeface="+mn-lt"/>
                <a:ea typeface="+mn-ea"/>
                <a:cs typeface="+mn-cs"/>
              </a:defRPr>
            </a:pPr>
            <a:endParaRPr lang="en-US"/>
          </a:p>
        </c:txPr>
        <c:crossAx val="2120290992"/>
        <c:crosses val="autoZero"/>
        <c:auto val="1"/>
        <c:lblAlgn val="ctr"/>
        <c:lblOffset val="100"/>
        <c:noMultiLvlLbl val="0"/>
      </c:catAx>
      <c:valAx>
        <c:axId val="2120290992"/>
        <c:scaling>
          <c:orientation val="minMax"/>
        </c:scaling>
        <c:delete val="1"/>
        <c:axPos val="l"/>
        <c:numFmt formatCode="General" sourceLinked="1"/>
        <c:majorTickMark val="out"/>
        <c:minorTickMark val="none"/>
        <c:tickLblPos val="nextTo"/>
        <c:crossAx val="93310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1111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[Novahealth_Medical_Network_Dataset_Class_3.xlsx]Pivots!Monthly_Revenue</c:name>
    <c:fmtId val="2"/>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53975" cap="rnd">
            <a:gradFill>
              <a:gsLst>
                <a:gs pos="67000">
                  <a:srgbClr val="FF8080"/>
                </a:gs>
                <a:gs pos="100000">
                  <a:srgbClr val="FF0000"/>
                </a:gs>
                <a:gs pos="23000">
                  <a:srgbClr val="66FFCC"/>
                </a:gs>
              </a:gsLst>
              <a:lin ang="5400000" scaled="1"/>
            </a:gradFill>
            <a:round/>
          </a:ln>
          <a:effectLst/>
        </c:spPr>
        <c:marker>
          <c:symbol val="none"/>
        </c:marker>
        <c:dLbl>
          <c:idx val="0"/>
          <c:numFmt formatCode="[&gt;=1000000]#,##0.00,,&quot;M&quot;;[&gt;=1000]#,##0.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53975" cap="rnd">
            <a:gradFill>
              <a:gsLst>
                <a:gs pos="67000">
                  <a:srgbClr val="FF8080"/>
                </a:gs>
                <a:gs pos="100000">
                  <a:srgbClr val="FF0000"/>
                </a:gs>
                <a:gs pos="23000">
                  <a:srgbClr val="66FFCC"/>
                </a:gs>
              </a:gsLst>
              <a:lin ang="5400000" scaled="1"/>
            </a:gradFill>
            <a:round/>
          </a:ln>
          <a:effectLst/>
        </c:spPr>
        <c:marker>
          <c:symbol val="none"/>
        </c:marker>
        <c:dLbl>
          <c:idx val="0"/>
          <c:numFmt formatCode="[&gt;=1000000]#,##0.00,,&quot;M&quot;;[&gt;=1000]#,##0.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4"/>
        <c:spPr>
          <a:ln w="53975" cap="rnd">
            <a:gradFill>
              <a:gsLst>
                <a:gs pos="67000">
                  <a:srgbClr val="FF8080"/>
                </a:gs>
                <a:gs pos="100000">
                  <a:srgbClr val="FF0000"/>
                </a:gs>
                <a:gs pos="23000">
                  <a:srgbClr val="66FFCC"/>
                </a:gs>
              </a:gsLst>
              <a:lin ang="5400000" scaled="1"/>
            </a:gradFill>
            <a:round/>
          </a:ln>
          <a:effectLst/>
        </c:spPr>
        <c:marker>
          <c:symbol val="none"/>
        </c:marker>
        <c:dLbl>
          <c:idx val="0"/>
          <c:numFmt formatCode="[&gt;=1000000]#,##0.00,,&quot;M&quot;;[&gt;=1000]#,##0.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5"/>
        <c:spPr>
          <a:ln w="53975" cap="rnd">
            <a:gradFill>
              <a:gsLst>
                <a:gs pos="67000">
                  <a:srgbClr val="FF8080"/>
                </a:gs>
                <a:gs pos="100000">
                  <a:srgbClr val="FF0000"/>
                </a:gs>
                <a:gs pos="23000">
                  <a:srgbClr val="66FFCC"/>
                </a:gs>
              </a:gsLst>
              <a:lin ang="5400000" scaled="1"/>
            </a:gradFill>
            <a:round/>
          </a:ln>
          <a:effectLst/>
        </c:spPr>
        <c:marker>
          <c:symbol val="none"/>
        </c:marker>
        <c:dLbl>
          <c:idx val="0"/>
          <c:numFmt formatCode="[&gt;=1000000]#,##0.00,,&quot;M&quot;;[&gt;=1000]#,##0.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6"/>
        <c:spPr>
          <a:ln w="53975" cap="rnd">
            <a:gradFill>
              <a:gsLst>
                <a:gs pos="67000">
                  <a:srgbClr val="FF8080"/>
                </a:gs>
                <a:gs pos="100000">
                  <a:srgbClr val="FF0000"/>
                </a:gs>
                <a:gs pos="23000">
                  <a:srgbClr val="66FFCC"/>
                </a:gs>
              </a:gsLst>
              <a:lin ang="5400000" scaled="1"/>
            </a:gradFill>
            <a:round/>
          </a:ln>
          <a:effectLst/>
        </c:spPr>
        <c:marker>
          <c:symbol val="none"/>
        </c:marker>
        <c:dLbl>
          <c:idx val="0"/>
          <c:numFmt formatCode="[&gt;=1000000]#,##0.00,,&quot;M&quot;;[&gt;=1000]#,##0.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7"/>
        <c:spPr>
          <a:ln w="53975" cap="rnd">
            <a:gradFill>
              <a:gsLst>
                <a:gs pos="67000">
                  <a:srgbClr val="FF8080"/>
                </a:gs>
                <a:gs pos="100000">
                  <a:srgbClr val="FF0000"/>
                </a:gs>
                <a:gs pos="23000">
                  <a:srgbClr val="66FFCC"/>
                </a:gs>
              </a:gsLst>
              <a:lin ang="5400000" scaled="1"/>
            </a:gradFill>
            <a:round/>
          </a:ln>
          <a:effectLst/>
        </c:spPr>
        <c:marker>
          <c:symbol val="none"/>
        </c:marker>
        <c:dLbl>
          <c:idx val="0"/>
          <c:numFmt formatCode="[&gt;=1000000]#,##0.00,,&quot;M&quot;;[&gt;=1000]#,##0.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8"/>
        <c:spPr>
          <a:ln w="53975" cap="rnd">
            <a:gradFill>
              <a:gsLst>
                <a:gs pos="67000">
                  <a:srgbClr val="FF8080"/>
                </a:gs>
                <a:gs pos="100000">
                  <a:srgbClr val="FF0000"/>
                </a:gs>
                <a:gs pos="23000">
                  <a:srgbClr val="66FFCC"/>
                </a:gs>
              </a:gsLst>
              <a:lin ang="5400000" scaled="1"/>
            </a:gradFill>
            <a:round/>
          </a:ln>
          <a:effectLst/>
        </c:spPr>
        <c:marker>
          <c:symbol val="none"/>
        </c:marker>
        <c:dLbl>
          <c:idx val="0"/>
          <c:numFmt formatCode="[&gt;=1000000]#,##0.00,,&quot;M&quot;;[&gt;=1000]#,##0.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9"/>
        <c:spPr>
          <a:ln w="53975" cap="rnd">
            <a:gradFill>
              <a:gsLst>
                <a:gs pos="67000">
                  <a:srgbClr val="FF8080"/>
                </a:gs>
                <a:gs pos="100000">
                  <a:srgbClr val="FF0000"/>
                </a:gs>
                <a:gs pos="23000">
                  <a:srgbClr val="66FFCC"/>
                </a:gs>
              </a:gsLst>
              <a:lin ang="5400000" scaled="1"/>
            </a:gradFill>
            <a:round/>
          </a:ln>
          <a:effectLst/>
        </c:spPr>
        <c:marker>
          <c:symbol val="none"/>
        </c:marker>
        <c:dLbl>
          <c:idx val="0"/>
          <c:numFmt formatCode="[&gt;=1000000]#,##0.00,,&quot;M&quot;;[&gt;=1000]#,##0.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0"/>
        <c:spPr>
          <a:ln w="53975" cap="rnd">
            <a:gradFill>
              <a:gsLst>
                <a:gs pos="67000">
                  <a:srgbClr val="FF8080"/>
                </a:gs>
                <a:gs pos="100000">
                  <a:srgbClr val="FF0000"/>
                </a:gs>
                <a:gs pos="23000">
                  <a:srgbClr val="66FFCC"/>
                </a:gs>
              </a:gsLst>
              <a:lin ang="5400000" scaled="1"/>
            </a:gradFill>
            <a:round/>
          </a:ln>
          <a:effectLst/>
        </c:spPr>
        <c:marker>
          <c:symbol val="none"/>
        </c:marker>
        <c:dLbl>
          <c:idx val="0"/>
          <c:numFmt formatCode="[&gt;=1000000]#,##0.00,,&quot;M&quot;;[&gt;=1000]#,##0.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11"/>
        <c:spPr>
          <a:ln w="53975" cap="rnd">
            <a:gradFill>
              <a:gsLst>
                <a:gs pos="67000">
                  <a:srgbClr val="FF8080"/>
                </a:gs>
                <a:gs pos="100000">
                  <a:srgbClr val="FF0000"/>
                </a:gs>
                <a:gs pos="23000">
                  <a:srgbClr val="66FFCC"/>
                </a:gs>
              </a:gsLst>
              <a:lin ang="5400000" scaled="1"/>
            </a:gradFill>
            <a:round/>
          </a:ln>
          <a:effectLst/>
        </c:spPr>
        <c:marker>
          <c:symbol val="none"/>
        </c:marker>
      </c:pivotFmt>
      <c:pivotFmt>
        <c:idx val="12"/>
        <c:spPr>
          <a:ln w="53975" cap="rnd">
            <a:gradFill>
              <a:gsLst>
                <a:gs pos="67000">
                  <a:srgbClr val="FF8080"/>
                </a:gs>
                <a:gs pos="100000">
                  <a:srgbClr val="FF0000"/>
                </a:gs>
                <a:gs pos="23000">
                  <a:srgbClr val="66FFCC"/>
                </a:gs>
              </a:gsLst>
              <a:lin ang="5400000" scaled="1"/>
            </a:gradFill>
            <a:round/>
          </a:ln>
          <a:effectLst/>
        </c:spPr>
        <c:marker>
          <c:symbol val="none"/>
        </c:marker>
        <c:dLbl>
          <c:idx val="0"/>
          <c:numFmt formatCode="[&gt;=1000000]#,##0.00,,&quot;M&quot;;[&gt;=1000]#,##0.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13"/>
        <c:spPr>
          <a:ln w="53975" cap="rnd">
            <a:gradFill>
              <a:gsLst>
                <a:gs pos="67000">
                  <a:srgbClr val="FF8080"/>
                </a:gs>
                <a:gs pos="100000">
                  <a:srgbClr val="FF0000"/>
                </a:gs>
                <a:gs pos="23000">
                  <a:srgbClr val="66FFCC"/>
                </a:gs>
              </a:gsLst>
              <a:lin ang="5400000" scaled="1"/>
            </a:gradFill>
            <a:round/>
          </a:ln>
          <a:effectLst/>
        </c:spPr>
        <c:marker>
          <c:symbol val="none"/>
        </c:marker>
      </c:pivotFmt>
      <c:pivotFmt>
        <c:idx val="14"/>
        <c:spPr>
          <a:ln w="53975" cap="rnd">
            <a:gradFill>
              <a:gsLst>
                <a:gs pos="67000">
                  <a:srgbClr val="FF8080"/>
                </a:gs>
                <a:gs pos="100000">
                  <a:srgbClr val="FF0000"/>
                </a:gs>
                <a:gs pos="23000">
                  <a:srgbClr val="66FFCC"/>
                </a:gs>
              </a:gsLst>
              <a:lin ang="5400000" scaled="1"/>
            </a:gradFill>
            <a:round/>
          </a:ln>
          <a:effectLst/>
        </c:spPr>
        <c:marker>
          <c:symbol val="none"/>
        </c:marker>
        <c:dLbl>
          <c:idx val="0"/>
          <c:numFmt formatCode="[&gt;=1000000]#,##0.00,,&quot;M&quot;;[&gt;=1000]#,##0.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8823422674846057E-2"/>
          <c:y val="0.2406566544076115"/>
          <c:w val="0.92235293398359741"/>
          <c:h val="0.61202420170779381"/>
        </c:manualLayout>
      </c:layout>
      <c:lineChart>
        <c:grouping val="standard"/>
        <c:varyColors val="0"/>
        <c:ser>
          <c:idx val="0"/>
          <c:order val="0"/>
          <c:tx>
            <c:strRef>
              <c:f>Pivots!$F$8</c:f>
              <c:strCache>
                <c:ptCount val="1"/>
                <c:pt idx="0">
                  <c:v>Total</c:v>
                </c:pt>
              </c:strCache>
            </c:strRef>
          </c:tx>
          <c:spPr>
            <a:ln w="53975" cap="rnd">
              <a:gradFill>
                <a:gsLst>
                  <a:gs pos="67000">
                    <a:srgbClr val="FF8080"/>
                  </a:gs>
                  <a:gs pos="100000">
                    <a:srgbClr val="FF0000"/>
                  </a:gs>
                  <a:gs pos="23000">
                    <a:srgbClr val="66FFCC"/>
                  </a:gs>
                </a:gsLst>
                <a:lin ang="5400000" scaled="1"/>
              </a:gradFill>
              <a:round/>
            </a:ln>
            <a:effectLst/>
          </c:spPr>
          <c:marker>
            <c:symbol val="none"/>
          </c:marker>
          <c:dPt>
            <c:idx val="0"/>
            <c:marker>
              <c:symbol val="none"/>
            </c:marker>
            <c:bubble3D val="0"/>
            <c:spPr>
              <a:ln w="53975" cap="rnd">
                <a:gradFill>
                  <a:gsLst>
                    <a:gs pos="67000">
                      <a:srgbClr val="FF8080"/>
                    </a:gs>
                    <a:gs pos="100000">
                      <a:srgbClr val="FF0000"/>
                    </a:gs>
                    <a:gs pos="23000">
                      <a:srgbClr val="66FFCC"/>
                    </a:gs>
                  </a:gsLst>
                  <a:lin ang="5400000" scaled="1"/>
                </a:gradFill>
                <a:round/>
              </a:ln>
              <a:effectLst/>
            </c:spPr>
            <c:extLst>
              <c:ext xmlns:c16="http://schemas.microsoft.com/office/drawing/2014/chart" uri="{C3380CC4-5D6E-409C-BE32-E72D297353CC}">
                <c16:uniqueId val="{00000007-70C0-4D76-BF21-0D4CA4DB44ED}"/>
              </c:ext>
            </c:extLst>
          </c:dPt>
          <c:dPt>
            <c:idx val="1"/>
            <c:marker>
              <c:symbol val="none"/>
            </c:marker>
            <c:bubble3D val="0"/>
            <c:spPr>
              <a:ln w="53975" cap="rnd">
                <a:gradFill>
                  <a:gsLst>
                    <a:gs pos="67000">
                      <a:srgbClr val="FF8080"/>
                    </a:gs>
                    <a:gs pos="100000">
                      <a:srgbClr val="FF0000"/>
                    </a:gs>
                    <a:gs pos="23000">
                      <a:srgbClr val="66FFCC"/>
                    </a:gs>
                  </a:gsLst>
                  <a:lin ang="5400000" scaled="1"/>
                </a:gradFill>
                <a:round/>
              </a:ln>
              <a:effectLst/>
            </c:spPr>
            <c:extLst>
              <c:ext xmlns:c16="http://schemas.microsoft.com/office/drawing/2014/chart" uri="{C3380CC4-5D6E-409C-BE32-E72D297353CC}">
                <c16:uniqueId val="{00000006-70C0-4D76-BF21-0D4CA4DB44ED}"/>
              </c:ext>
            </c:extLst>
          </c:dPt>
          <c:dPt>
            <c:idx val="2"/>
            <c:marker>
              <c:symbol val="none"/>
            </c:marker>
            <c:bubble3D val="0"/>
            <c:spPr>
              <a:ln w="53975" cap="rnd">
                <a:gradFill>
                  <a:gsLst>
                    <a:gs pos="67000">
                      <a:srgbClr val="FF8080"/>
                    </a:gs>
                    <a:gs pos="100000">
                      <a:srgbClr val="FF0000"/>
                    </a:gs>
                    <a:gs pos="23000">
                      <a:srgbClr val="66FFCC"/>
                    </a:gs>
                  </a:gsLst>
                  <a:lin ang="5400000" scaled="1"/>
                </a:gradFill>
                <a:round/>
              </a:ln>
              <a:effectLst/>
            </c:spPr>
            <c:extLst>
              <c:ext xmlns:c16="http://schemas.microsoft.com/office/drawing/2014/chart" uri="{C3380CC4-5D6E-409C-BE32-E72D297353CC}">
                <c16:uniqueId val="{00000005-70C0-4D76-BF21-0D4CA4DB44ED}"/>
              </c:ext>
            </c:extLst>
          </c:dPt>
          <c:dPt>
            <c:idx val="3"/>
            <c:marker>
              <c:symbol val="none"/>
            </c:marker>
            <c:bubble3D val="0"/>
            <c:spPr>
              <a:ln w="53975" cap="rnd">
                <a:gradFill>
                  <a:gsLst>
                    <a:gs pos="67000">
                      <a:srgbClr val="FF8080"/>
                    </a:gs>
                    <a:gs pos="100000">
                      <a:srgbClr val="FF0000"/>
                    </a:gs>
                    <a:gs pos="23000">
                      <a:srgbClr val="66FFCC"/>
                    </a:gs>
                  </a:gsLst>
                  <a:lin ang="5400000" scaled="1"/>
                </a:gradFill>
                <a:round/>
              </a:ln>
              <a:effectLst/>
            </c:spPr>
            <c:extLst>
              <c:ext xmlns:c16="http://schemas.microsoft.com/office/drawing/2014/chart" uri="{C3380CC4-5D6E-409C-BE32-E72D297353CC}">
                <c16:uniqueId val="{00000004-70C0-4D76-BF21-0D4CA4DB44ED}"/>
              </c:ext>
            </c:extLst>
          </c:dPt>
          <c:dPt>
            <c:idx val="4"/>
            <c:marker>
              <c:symbol val="none"/>
            </c:marker>
            <c:bubble3D val="0"/>
            <c:spPr>
              <a:ln w="53975" cap="rnd">
                <a:gradFill>
                  <a:gsLst>
                    <a:gs pos="67000">
                      <a:srgbClr val="FF8080"/>
                    </a:gs>
                    <a:gs pos="100000">
                      <a:srgbClr val="FF0000"/>
                    </a:gs>
                    <a:gs pos="23000">
                      <a:srgbClr val="66FFCC"/>
                    </a:gs>
                  </a:gsLst>
                  <a:lin ang="5400000" scaled="1"/>
                </a:gradFill>
                <a:round/>
              </a:ln>
              <a:effectLst/>
            </c:spPr>
            <c:extLst>
              <c:ext xmlns:c16="http://schemas.microsoft.com/office/drawing/2014/chart" uri="{C3380CC4-5D6E-409C-BE32-E72D297353CC}">
                <c16:uniqueId val="{0000000A-70C0-4D76-BF21-0D4CA4DB44ED}"/>
              </c:ext>
            </c:extLst>
          </c:dPt>
          <c:dPt>
            <c:idx val="5"/>
            <c:marker>
              <c:symbol val="none"/>
            </c:marker>
            <c:bubble3D val="0"/>
            <c:spPr>
              <a:ln w="53975" cap="rnd">
                <a:gradFill>
                  <a:gsLst>
                    <a:gs pos="67000">
                      <a:srgbClr val="FF8080"/>
                    </a:gs>
                    <a:gs pos="100000">
                      <a:srgbClr val="FF0000"/>
                    </a:gs>
                    <a:gs pos="23000">
                      <a:srgbClr val="66FFCC"/>
                    </a:gs>
                  </a:gsLst>
                  <a:lin ang="5400000" scaled="1"/>
                </a:gradFill>
                <a:round/>
              </a:ln>
              <a:effectLst/>
            </c:spPr>
            <c:extLst>
              <c:ext xmlns:c16="http://schemas.microsoft.com/office/drawing/2014/chart" uri="{C3380CC4-5D6E-409C-BE32-E72D297353CC}">
                <c16:uniqueId val="{00000016-0BF6-4ACA-82EB-1DD157084169}"/>
              </c:ext>
            </c:extLst>
          </c:dPt>
          <c:dPt>
            <c:idx val="6"/>
            <c:marker>
              <c:symbol val="none"/>
            </c:marker>
            <c:bubble3D val="0"/>
            <c:spPr>
              <a:ln w="53975" cap="rnd">
                <a:gradFill>
                  <a:gsLst>
                    <a:gs pos="67000">
                      <a:srgbClr val="FF8080"/>
                    </a:gs>
                    <a:gs pos="100000">
                      <a:srgbClr val="FF0000"/>
                    </a:gs>
                    <a:gs pos="23000">
                      <a:srgbClr val="66FFCC"/>
                    </a:gs>
                  </a:gsLst>
                  <a:lin ang="5400000" scaled="1"/>
                </a:gradFill>
                <a:round/>
              </a:ln>
              <a:effectLst/>
            </c:spPr>
            <c:extLst>
              <c:ext xmlns:c16="http://schemas.microsoft.com/office/drawing/2014/chart" uri="{C3380CC4-5D6E-409C-BE32-E72D297353CC}">
                <c16:uniqueId val="{00000003-70C0-4D76-BF21-0D4CA4DB44ED}"/>
              </c:ext>
            </c:extLst>
          </c:dPt>
          <c:dPt>
            <c:idx val="7"/>
            <c:marker>
              <c:symbol val="none"/>
            </c:marker>
            <c:bubble3D val="0"/>
            <c:spPr>
              <a:ln w="53975" cap="rnd">
                <a:gradFill>
                  <a:gsLst>
                    <a:gs pos="67000">
                      <a:srgbClr val="FF8080"/>
                    </a:gs>
                    <a:gs pos="100000">
                      <a:srgbClr val="FF0000"/>
                    </a:gs>
                    <a:gs pos="23000">
                      <a:srgbClr val="66FFCC"/>
                    </a:gs>
                  </a:gsLst>
                  <a:lin ang="5400000" scaled="1"/>
                </a:gradFill>
                <a:round/>
              </a:ln>
              <a:effectLst/>
            </c:spPr>
            <c:extLst>
              <c:ext xmlns:c16="http://schemas.microsoft.com/office/drawing/2014/chart" uri="{C3380CC4-5D6E-409C-BE32-E72D297353CC}">
                <c16:uniqueId val="{00000009-70C0-4D76-BF21-0D4CA4DB44ED}"/>
              </c:ext>
            </c:extLst>
          </c:dPt>
          <c:dPt>
            <c:idx val="8"/>
            <c:marker>
              <c:symbol val="none"/>
            </c:marker>
            <c:bubble3D val="0"/>
            <c:spPr>
              <a:ln w="53975" cap="rnd">
                <a:gradFill>
                  <a:gsLst>
                    <a:gs pos="67000">
                      <a:srgbClr val="FF8080"/>
                    </a:gs>
                    <a:gs pos="100000">
                      <a:srgbClr val="FF0000"/>
                    </a:gs>
                    <a:gs pos="23000">
                      <a:srgbClr val="66FFCC"/>
                    </a:gs>
                  </a:gsLst>
                  <a:lin ang="5400000" scaled="1"/>
                </a:gradFill>
                <a:round/>
              </a:ln>
              <a:effectLst/>
            </c:spPr>
            <c:extLst>
              <c:ext xmlns:c16="http://schemas.microsoft.com/office/drawing/2014/chart" uri="{C3380CC4-5D6E-409C-BE32-E72D297353CC}">
                <c16:uniqueId val="{00000002-70C0-4D76-BF21-0D4CA4DB44ED}"/>
              </c:ext>
            </c:extLst>
          </c:dPt>
          <c:dPt>
            <c:idx val="9"/>
            <c:marker>
              <c:symbol val="none"/>
            </c:marker>
            <c:bubble3D val="0"/>
            <c:spPr>
              <a:ln w="53975" cap="rnd">
                <a:gradFill>
                  <a:gsLst>
                    <a:gs pos="67000">
                      <a:srgbClr val="FF8080"/>
                    </a:gs>
                    <a:gs pos="100000">
                      <a:srgbClr val="FF0000"/>
                    </a:gs>
                    <a:gs pos="23000">
                      <a:srgbClr val="66FFCC"/>
                    </a:gs>
                  </a:gsLst>
                  <a:lin ang="5400000" scaled="1"/>
                </a:gradFill>
                <a:round/>
              </a:ln>
              <a:effectLst/>
            </c:spPr>
            <c:extLst>
              <c:ext xmlns:c16="http://schemas.microsoft.com/office/drawing/2014/chart" uri="{C3380CC4-5D6E-409C-BE32-E72D297353CC}">
                <c16:uniqueId val="{00000001-70C0-4D76-BF21-0D4CA4DB44ED}"/>
              </c:ext>
            </c:extLst>
          </c:dPt>
          <c:dPt>
            <c:idx val="10"/>
            <c:marker>
              <c:symbol val="none"/>
            </c:marker>
            <c:bubble3D val="0"/>
            <c:spPr>
              <a:ln w="53975" cap="rnd">
                <a:gradFill>
                  <a:gsLst>
                    <a:gs pos="67000">
                      <a:srgbClr val="FF8080"/>
                    </a:gs>
                    <a:gs pos="100000">
                      <a:srgbClr val="FF0000"/>
                    </a:gs>
                    <a:gs pos="23000">
                      <a:srgbClr val="66FFCC"/>
                    </a:gs>
                  </a:gsLst>
                  <a:lin ang="5400000" scaled="1"/>
                </a:gradFill>
                <a:round/>
              </a:ln>
              <a:effectLst/>
            </c:spPr>
            <c:extLst>
              <c:ext xmlns:c16="http://schemas.microsoft.com/office/drawing/2014/chart" uri="{C3380CC4-5D6E-409C-BE32-E72D297353CC}">
                <c16:uniqueId val="{00000000-70C0-4D76-BF21-0D4CA4DB44ED}"/>
              </c:ext>
            </c:extLst>
          </c:dPt>
          <c:dPt>
            <c:idx val="11"/>
            <c:marker>
              <c:symbol val="none"/>
            </c:marker>
            <c:bubble3D val="0"/>
            <c:spPr>
              <a:ln w="53975" cap="rnd">
                <a:gradFill>
                  <a:gsLst>
                    <a:gs pos="67000">
                      <a:srgbClr val="FF8080"/>
                    </a:gs>
                    <a:gs pos="100000">
                      <a:srgbClr val="FF0000"/>
                    </a:gs>
                    <a:gs pos="23000">
                      <a:srgbClr val="66FFCC"/>
                    </a:gs>
                  </a:gsLst>
                  <a:lin ang="5400000" scaled="1"/>
                </a:gradFill>
                <a:round/>
              </a:ln>
              <a:effectLst/>
            </c:spPr>
            <c:extLst>
              <c:ext xmlns:c16="http://schemas.microsoft.com/office/drawing/2014/chart" uri="{C3380CC4-5D6E-409C-BE32-E72D297353CC}">
                <c16:uniqueId val="{00000008-70C0-4D76-BF21-0D4CA4DB44ED}"/>
              </c:ext>
            </c:extLst>
          </c:dPt>
          <c:dLbls>
            <c:dLbl>
              <c:idx val="0"/>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0C0-4D76-BF21-0D4CA4DB44ED}"/>
                </c:ext>
              </c:extLst>
            </c:dLbl>
            <c:dLbl>
              <c:idx val="1"/>
              <c:delete val="1"/>
              <c:extLst>
                <c:ext xmlns:c15="http://schemas.microsoft.com/office/drawing/2012/chart" uri="{CE6537A1-D6FC-4f65-9D91-7224C49458BB}"/>
                <c:ext xmlns:c16="http://schemas.microsoft.com/office/drawing/2014/chart" uri="{C3380CC4-5D6E-409C-BE32-E72D297353CC}">
                  <c16:uniqueId val="{00000006-70C0-4D76-BF21-0D4CA4DB44ED}"/>
                </c:ext>
              </c:extLst>
            </c:dLbl>
            <c:dLbl>
              <c:idx val="2"/>
              <c:delete val="1"/>
              <c:extLst>
                <c:ext xmlns:c15="http://schemas.microsoft.com/office/drawing/2012/chart" uri="{CE6537A1-D6FC-4f65-9D91-7224C49458BB}"/>
                <c:ext xmlns:c16="http://schemas.microsoft.com/office/drawing/2014/chart" uri="{C3380CC4-5D6E-409C-BE32-E72D297353CC}">
                  <c16:uniqueId val="{00000005-70C0-4D76-BF21-0D4CA4DB44ED}"/>
                </c:ext>
              </c:extLst>
            </c:dLbl>
            <c:dLbl>
              <c:idx val="3"/>
              <c:delete val="1"/>
              <c:extLst>
                <c:ext xmlns:c15="http://schemas.microsoft.com/office/drawing/2012/chart" uri="{CE6537A1-D6FC-4f65-9D91-7224C49458BB}"/>
                <c:ext xmlns:c16="http://schemas.microsoft.com/office/drawing/2014/chart" uri="{C3380CC4-5D6E-409C-BE32-E72D297353CC}">
                  <c16:uniqueId val="{00000004-70C0-4D76-BF21-0D4CA4DB44ED}"/>
                </c:ext>
              </c:extLst>
            </c:dLbl>
            <c:dLbl>
              <c:idx val="5"/>
              <c:delete val="1"/>
              <c:extLst>
                <c:ext xmlns:c15="http://schemas.microsoft.com/office/drawing/2012/chart" uri="{CE6537A1-D6FC-4f65-9D91-7224C49458BB}"/>
                <c:ext xmlns:c16="http://schemas.microsoft.com/office/drawing/2014/chart" uri="{C3380CC4-5D6E-409C-BE32-E72D297353CC}">
                  <c16:uniqueId val="{00000016-0BF6-4ACA-82EB-1DD157084169}"/>
                </c:ext>
              </c:extLst>
            </c:dLbl>
            <c:dLbl>
              <c:idx val="6"/>
              <c:delete val="1"/>
              <c:extLst>
                <c:ext xmlns:c15="http://schemas.microsoft.com/office/drawing/2012/chart" uri="{CE6537A1-D6FC-4f65-9D91-7224C49458BB}"/>
                <c:ext xmlns:c16="http://schemas.microsoft.com/office/drawing/2014/chart" uri="{C3380CC4-5D6E-409C-BE32-E72D297353CC}">
                  <c16:uniqueId val="{00000003-70C0-4D76-BF21-0D4CA4DB44ED}"/>
                </c:ext>
              </c:extLst>
            </c:dLbl>
            <c:dLbl>
              <c:idx val="7"/>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70C0-4D76-BF21-0D4CA4DB44ED}"/>
                </c:ext>
              </c:extLst>
            </c:dLbl>
            <c:dLbl>
              <c:idx val="8"/>
              <c:delete val="1"/>
              <c:extLst>
                <c:ext xmlns:c15="http://schemas.microsoft.com/office/drawing/2012/chart" uri="{CE6537A1-D6FC-4f65-9D91-7224C49458BB}"/>
                <c:ext xmlns:c16="http://schemas.microsoft.com/office/drawing/2014/chart" uri="{C3380CC4-5D6E-409C-BE32-E72D297353CC}">
                  <c16:uniqueId val="{00000002-70C0-4D76-BF21-0D4CA4DB44ED}"/>
                </c:ext>
              </c:extLst>
            </c:dLbl>
            <c:dLbl>
              <c:idx val="9"/>
              <c:delete val="1"/>
              <c:extLst>
                <c:ext xmlns:c15="http://schemas.microsoft.com/office/drawing/2012/chart" uri="{CE6537A1-D6FC-4f65-9D91-7224C49458BB}"/>
                <c:ext xmlns:c16="http://schemas.microsoft.com/office/drawing/2014/chart" uri="{C3380CC4-5D6E-409C-BE32-E72D297353CC}">
                  <c16:uniqueId val="{00000001-70C0-4D76-BF21-0D4CA4DB44ED}"/>
                </c:ext>
              </c:extLst>
            </c:dLbl>
            <c:dLbl>
              <c:idx val="10"/>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0C0-4D76-BF21-0D4CA4DB44ED}"/>
                </c:ext>
              </c:extLst>
            </c:dLbl>
            <c:numFmt formatCode="[&gt;=1000000]#,##0.00,,&quot;M&quot;;[&gt;=1000]#,##0.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Pivots!$E$9:$E$20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Pivots!$F$9:$F$20</c:f>
              <c:numCache>
                <c:formatCode>[&gt;=1000000]#,##0.00,,"M";[&gt;=1000]#,##0.0"K";#,##0</c:formatCode>
                <c:ptCount val="12"/>
                <c:pt idx="0">
                  <c:v>1749341.2799999993</c:v>
                </c:pt>
                <c:pt idx="1">
                  <c:v>1846072.2999999998</c:v>
                </c:pt>
                <c:pt idx="2">
                  <c:v>1996281.7199999995</c:v>
                </c:pt>
                <c:pt idx="3">
                  <c:v>2008475.2600000005</c:v>
                </c:pt>
                <c:pt idx="4">
                  <c:v>2188857.8499999996</c:v>
                </c:pt>
                <c:pt idx="5">
                  <c:v>2162640.2399999998</c:v>
                </c:pt>
                <c:pt idx="6">
                  <c:v>2007985.1599999988</c:v>
                </c:pt>
                <c:pt idx="7">
                  <c:v>1235909.0200000005</c:v>
                </c:pt>
                <c:pt idx="8">
                  <c:v>1749732.0299999998</c:v>
                </c:pt>
                <c:pt idx="9">
                  <c:v>2014370.1700000009</c:v>
                </c:pt>
                <c:pt idx="10">
                  <c:v>1817058.9400000009</c:v>
                </c:pt>
                <c:pt idx="11">
                  <c:v>2049548.3899999997</c:v>
                </c:pt>
              </c:numCache>
            </c:numRef>
          </c:val>
          <c:smooth val="1"/>
          <c:extLst>
            <c:ext xmlns:c16="http://schemas.microsoft.com/office/drawing/2014/chart" uri="{C3380CC4-5D6E-409C-BE32-E72D297353CC}">
              <c16:uniqueId val="{00000000-C3D0-4AAA-AEEA-EF696173747D}"/>
            </c:ext>
          </c:extLst>
        </c:ser>
        <c:dLbls>
          <c:dLblPos val="t"/>
          <c:showLegendKey val="0"/>
          <c:showVal val="1"/>
          <c:showCatName val="0"/>
          <c:showSerName val="0"/>
          <c:showPercent val="0"/>
          <c:showBubbleSize val="0"/>
        </c:dLbls>
        <c:smooth val="0"/>
        <c:axId val="2094088848"/>
        <c:axId val="2120303952"/>
      </c:lineChart>
      <c:catAx>
        <c:axId val="2094088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bg2"/>
                </a:solidFill>
                <a:latin typeface="+mn-lt"/>
                <a:ea typeface="+mn-ea"/>
                <a:cs typeface="+mn-cs"/>
              </a:defRPr>
            </a:pPr>
            <a:endParaRPr lang="en-US"/>
          </a:p>
        </c:txPr>
        <c:crossAx val="2120303952"/>
        <c:crosses val="autoZero"/>
        <c:auto val="1"/>
        <c:lblAlgn val="ctr"/>
        <c:lblOffset val="100"/>
        <c:noMultiLvlLbl val="0"/>
      </c:catAx>
      <c:valAx>
        <c:axId val="2120303952"/>
        <c:scaling>
          <c:orientation val="minMax"/>
        </c:scaling>
        <c:delete val="1"/>
        <c:axPos val="l"/>
        <c:numFmt formatCode="[&gt;=1000000]#,##0.00,,&quot;M&quot;;[&gt;=1000]#,##0.0&quot;K&quot;;#,##0" sourceLinked="1"/>
        <c:majorTickMark val="none"/>
        <c:minorTickMark val="none"/>
        <c:tickLblPos val="nextTo"/>
        <c:crossAx val="20940888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1111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[Novahealth_Medical_Network_Dataset_Class_3.xlsx]Pivots!Patients_By_Department</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EB296"/>
          </a:solidFill>
          <a:ln cap="rnd" cmpd="tri">
            <a:solidFill>
              <a:srgbClr val="99FFCC"/>
            </a:solidFill>
          </a:ln>
          <a:effectLst>
            <a:softEdge rad="2540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993232317361243"/>
          <c:y val="9.6699911566897515E-2"/>
          <c:w val="0.66066701143446749"/>
          <c:h val="0.87290868765493468"/>
        </c:manualLayout>
      </c:layout>
      <c:barChart>
        <c:barDir val="bar"/>
        <c:grouping val="clustered"/>
        <c:varyColors val="0"/>
        <c:ser>
          <c:idx val="0"/>
          <c:order val="0"/>
          <c:tx>
            <c:strRef>
              <c:f>Pivots!$B$8</c:f>
              <c:strCache>
                <c:ptCount val="1"/>
                <c:pt idx="0">
                  <c:v>Total</c:v>
                </c:pt>
              </c:strCache>
            </c:strRef>
          </c:tx>
          <c:spPr>
            <a:solidFill>
              <a:srgbClr val="1EB296"/>
            </a:solidFill>
            <a:ln cap="rnd" cmpd="tri">
              <a:solidFill>
                <a:srgbClr val="99FFCC"/>
              </a:solidFill>
            </a:ln>
            <a:effectLst>
              <a:softEdge rad="25400"/>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Pivots!$A$9:$A$16</c:f>
              <c:strCache>
                <c:ptCount val="8"/>
                <c:pt idx="0">
                  <c:v>Cardio</c:v>
                </c:pt>
                <c:pt idx="1">
                  <c:v>ICU</c:v>
                </c:pt>
                <c:pt idx="2">
                  <c:v>Neuro</c:v>
                </c:pt>
                <c:pt idx="3">
                  <c:v>ER</c:v>
                </c:pt>
                <c:pt idx="4">
                  <c:v>PD</c:v>
                </c:pt>
                <c:pt idx="5">
                  <c:v>Surgery</c:v>
                </c:pt>
                <c:pt idx="6">
                  <c:v>GM</c:v>
                </c:pt>
                <c:pt idx="7">
                  <c:v>Ortho</c:v>
                </c:pt>
              </c:strCache>
            </c:strRef>
          </c:cat>
          <c:val>
            <c:numRef>
              <c:f>Pivots!$B$9:$B$16</c:f>
              <c:numCache>
                <c:formatCode>General</c:formatCode>
                <c:ptCount val="8"/>
                <c:pt idx="0">
                  <c:v>342</c:v>
                </c:pt>
                <c:pt idx="1">
                  <c:v>341</c:v>
                </c:pt>
                <c:pt idx="2">
                  <c:v>330</c:v>
                </c:pt>
                <c:pt idx="3">
                  <c:v>319</c:v>
                </c:pt>
                <c:pt idx="4">
                  <c:v>301</c:v>
                </c:pt>
                <c:pt idx="5">
                  <c:v>298</c:v>
                </c:pt>
                <c:pt idx="6">
                  <c:v>293</c:v>
                </c:pt>
                <c:pt idx="7">
                  <c:v>281</c:v>
                </c:pt>
              </c:numCache>
            </c:numRef>
          </c:val>
          <c:extLst>
            <c:ext xmlns:c16="http://schemas.microsoft.com/office/drawing/2014/chart" uri="{C3380CC4-5D6E-409C-BE32-E72D297353CC}">
              <c16:uniqueId val="{00000000-0090-432D-AF8B-2C72EF1BAD02}"/>
            </c:ext>
          </c:extLst>
        </c:ser>
        <c:dLbls>
          <c:dLblPos val="inEnd"/>
          <c:showLegendKey val="0"/>
          <c:showVal val="1"/>
          <c:showCatName val="0"/>
          <c:showSerName val="0"/>
          <c:showPercent val="0"/>
          <c:showBubbleSize val="0"/>
        </c:dLbls>
        <c:gapWidth val="140"/>
        <c:axId val="78480592"/>
        <c:axId val="2120261232"/>
      </c:barChart>
      <c:catAx>
        <c:axId val="784805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1" i="0" u="none" strike="noStrike" kern="1200" baseline="0">
                <a:solidFill>
                  <a:schemeClr val="bg1"/>
                </a:solidFill>
                <a:latin typeface="+mn-lt"/>
                <a:ea typeface="+mn-ea"/>
                <a:cs typeface="+mn-cs"/>
              </a:defRPr>
            </a:pPr>
            <a:endParaRPr lang="en-US"/>
          </a:p>
        </c:txPr>
        <c:crossAx val="2120261232"/>
        <c:crosses val="autoZero"/>
        <c:auto val="1"/>
        <c:lblAlgn val="ctr"/>
        <c:lblOffset val="100"/>
        <c:noMultiLvlLbl val="0"/>
      </c:catAx>
      <c:valAx>
        <c:axId val="2120261232"/>
        <c:scaling>
          <c:orientation val="minMax"/>
        </c:scaling>
        <c:delete val="1"/>
        <c:axPos val="b"/>
        <c:numFmt formatCode="General" sourceLinked="1"/>
        <c:majorTickMark val="none"/>
        <c:minorTickMark val="none"/>
        <c:tickLblPos val="nextTo"/>
        <c:crossAx val="78480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11111"/>
    </a:solid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[Novahealth_Medical_Network_Dataset_Class_3.xlsx]Pivots!Patient_By_ClinicalStatus</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noFill/>
          </a:ln>
          <a:effectLst>
            <a:glow rad="63500">
              <a:schemeClr val="accent5">
                <a:satMod val="175000"/>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1EB296"/>
          </a:solidFill>
          <a:ln w="19050">
            <a:noFill/>
          </a:ln>
          <a:effectLst>
            <a:glow rad="63500">
              <a:schemeClr val="accent5">
                <a:satMod val="175000"/>
                <a:alpha val="40000"/>
              </a:schemeClr>
            </a:glow>
          </a:effectLst>
        </c:spPr>
        <c:dLbl>
          <c:idx val="0"/>
          <c:layout>
            <c:manualLayout>
              <c:x val="8.0254793170127417E-2"/>
              <c:y val="0.2302324738207383"/>
            </c:manualLayout>
          </c:layout>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CCFFCC"/>
          </a:solidFill>
          <a:ln w="19050">
            <a:noFill/>
          </a:ln>
          <a:effectLst>
            <a:glow rad="63500">
              <a:schemeClr val="accent5">
                <a:satMod val="175000"/>
                <a:alpha val="40000"/>
              </a:schemeClr>
            </a:glow>
          </a:effectLst>
        </c:spPr>
        <c:dLbl>
          <c:idx val="0"/>
          <c:layout>
            <c:manualLayout>
              <c:x val="-7.4522307943689858E-2"/>
              <c:y val="0.15697668669595799"/>
            </c:manualLayout>
          </c:layout>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C00000"/>
          </a:solidFill>
          <a:ln w="19050">
            <a:noFill/>
          </a:ln>
          <a:effectLst>
            <a:glow rad="63500">
              <a:schemeClr val="accent5">
                <a:satMod val="175000"/>
                <a:alpha val="40000"/>
              </a:schemeClr>
            </a:glow>
          </a:effectLst>
        </c:spPr>
        <c:dLbl>
          <c:idx val="0"/>
          <c:layout>
            <c:manualLayout>
              <c:x val="-0.18343952724600576"/>
              <c:y val="-3.1395337339191601E-2"/>
            </c:manualLayout>
          </c:layout>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636675989101957"/>
          <c:y val="0.19360458025834817"/>
          <c:w val="0.66178878816165065"/>
          <c:h val="0.60407430724251698"/>
        </c:manualLayout>
      </c:layout>
      <c:doughnutChart>
        <c:varyColors val="1"/>
        <c:ser>
          <c:idx val="0"/>
          <c:order val="0"/>
          <c:tx>
            <c:strRef>
              <c:f>Pivots!$N$17</c:f>
              <c:strCache>
                <c:ptCount val="1"/>
                <c:pt idx="0">
                  <c:v>Total</c:v>
                </c:pt>
              </c:strCache>
            </c:strRef>
          </c:tx>
          <c:spPr>
            <a:ln>
              <a:noFill/>
            </a:ln>
            <a:effectLst>
              <a:glow rad="63500">
                <a:schemeClr val="accent5">
                  <a:satMod val="175000"/>
                  <a:alpha val="40000"/>
                </a:schemeClr>
              </a:glow>
            </a:effectLst>
          </c:spPr>
          <c:dPt>
            <c:idx val="0"/>
            <c:bubble3D val="0"/>
            <c:spPr>
              <a:solidFill>
                <a:srgbClr val="1EB296"/>
              </a:solidFill>
              <a:ln w="19050">
                <a:noFill/>
              </a:ln>
              <a:effectLst>
                <a:glow rad="63500">
                  <a:schemeClr val="accent5">
                    <a:satMod val="175000"/>
                    <a:alpha val="40000"/>
                  </a:schemeClr>
                </a:glow>
              </a:effectLst>
            </c:spPr>
            <c:extLst>
              <c:ext xmlns:c16="http://schemas.microsoft.com/office/drawing/2014/chart" uri="{C3380CC4-5D6E-409C-BE32-E72D297353CC}">
                <c16:uniqueId val="{00000001-AC35-4077-B832-658813D65996}"/>
              </c:ext>
            </c:extLst>
          </c:dPt>
          <c:dPt>
            <c:idx val="1"/>
            <c:bubble3D val="0"/>
            <c:spPr>
              <a:solidFill>
                <a:srgbClr val="CCFFCC"/>
              </a:solidFill>
              <a:ln w="19050">
                <a:noFill/>
              </a:ln>
              <a:effectLst>
                <a:glow rad="63500">
                  <a:schemeClr val="accent5">
                    <a:satMod val="175000"/>
                    <a:alpha val="40000"/>
                  </a:schemeClr>
                </a:glow>
              </a:effectLst>
            </c:spPr>
            <c:extLst>
              <c:ext xmlns:c16="http://schemas.microsoft.com/office/drawing/2014/chart" uri="{C3380CC4-5D6E-409C-BE32-E72D297353CC}">
                <c16:uniqueId val="{00000003-AC35-4077-B832-658813D65996}"/>
              </c:ext>
            </c:extLst>
          </c:dPt>
          <c:dPt>
            <c:idx val="2"/>
            <c:bubble3D val="0"/>
            <c:spPr>
              <a:solidFill>
                <a:srgbClr val="C00000"/>
              </a:solidFill>
              <a:ln w="19050">
                <a:noFill/>
              </a:ln>
              <a:effectLst>
                <a:glow rad="63500">
                  <a:schemeClr val="accent5">
                    <a:satMod val="175000"/>
                    <a:alpha val="40000"/>
                  </a:schemeClr>
                </a:glow>
              </a:effectLst>
            </c:spPr>
            <c:extLst>
              <c:ext xmlns:c16="http://schemas.microsoft.com/office/drawing/2014/chart" uri="{C3380CC4-5D6E-409C-BE32-E72D297353CC}">
                <c16:uniqueId val="{00000005-AC35-4077-B832-658813D65996}"/>
              </c:ext>
            </c:extLst>
          </c:dPt>
          <c:dLbls>
            <c:dLbl>
              <c:idx val="0"/>
              <c:layout>
                <c:manualLayout>
                  <c:x val="8.0254793170127417E-2"/>
                  <c:y val="0.230232473820738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C35-4077-B832-658813D65996}"/>
                </c:ext>
              </c:extLst>
            </c:dLbl>
            <c:dLbl>
              <c:idx val="1"/>
              <c:layout>
                <c:manualLayout>
                  <c:x val="-7.4522307943689858E-2"/>
                  <c:y val="0.1569766866959579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C35-4077-B832-658813D65996}"/>
                </c:ext>
              </c:extLst>
            </c:dLbl>
            <c:dLbl>
              <c:idx val="2"/>
              <c:layout>
                <c:manualLayout>
                  <c:x val="-0.18343952724600576"/>
                  <c:y val="-3.139533733919160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C35-4077-B832-658813D65996}"/>
                </c:ext>
              </c:extLst>
            </c:dLbl>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Pivots!$M$18:$M$20</c:f>
              <c:strCache>
                <c:ptCount val="3"/>
                <c:pt idx="0">
                  <c:v>Discharged</c:v>
                </c:pt>
                <c:pt idx="1">
                  <c:v>In-Patient Care</c:v>
                </c:pt>
                <c:pt idx="2">
                  <c:v>Readmitted</c:v>
                </c:pt>
              </c:strCache>
            </c:strRef>
          </c:cat>
          <c:val>
            <c:numRef>
              <c:f>Pivots!$N$18:$N$20</c:f>
              <c:numCache>
                <c:formatCode>0.0%</c:formatCode>
                <c:ptCount val="3"/>
                <c:pt idx="0">
                  <c:v>0.54730538922155691</c:v>
                </c:pt>
                <c:pt idx="1">
                  <c:v>0.28303393213572853</c:v>
                </c:pt>
                <c:pt idx="2">
                  <c:v>0.16966067864271456</c:v>
                </c:pt>
              </c:numCache>
            </c:numRef>
          </c:val>
          <c:extLst>
            <c:ext xmlns:c16="http://schemas.microsoft.com/office/drawing/2014/chart" uri="{C3380CC4-5D6E-409C-BE32-E72D297353CC}">
              <c16:uniqueId val="{00000006-AC35-4077-B832-658813D65996}"/>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layout>
        <c:manualLayout>
          <c:xMode val="edge"/>
          <c:yMode val="edge"/>
          <c:x val="5.5630155754500241E-2"/>
          <c:y val="0.81337655617046101"/>
          <c:w val="0.88873920143855811"/>
          <c:h val="0.15522810649034735"/>
        </c:manualLayout>
      </c:layout>
      <c:overlay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11111"/>
    </a:solid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[Novahealth_Medical_Network_Dataset_Class_3.xlsx]Pivots!PivotTable2</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EB296">
              <a:alpha val="90000"/>
            </a:srgbClr>
          </a:solidFill>
          <a:ln w="63500">
            <a:noFill/>
          </a:ln>
          <a:effectLst>
            <a:glow rad="63500">
              <a:schemeClr val="accent5">
                <a:satMod val="175000"/>
                <a:alpha val="40000"/>
              </a:schemeClr>
            </a:glow>
          </a:effectLst>
        </c:spPr>
        <c:marker>
          <c:symbol val="none"/>
        </c:marker>
        <c:dLbl>
          <c:idx val="0"/>
          <c:numFmt formatCode="[&gt;=1000]#,##0.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1EB296">
              <a:alpha val="90000"/>
            </a:srgbClr>
          </a:solidFill>
          <a:ln w="63500">
            <a:noFill/>
          </a:ln>
          <a:effectLst>
            <a:glow rad="63500">
              <a:schemeClr val="accent5">
                <a:satMod val="175000"/>
                <a:alpha val="40000"/>
              </a:schemeClr>
            </a:glow>
          </a:effectLst>
        </c:spPr>
      </c:pivotFmt>
    </c:pivotFmts>
    <c:plotArea>
      <c:layout>
        <c:manualLayout>
          <c:layoutTarget val="inner"/>
          <c:xMode val="edge"/>
          <c:yMode val="edge"/>
          <c:x val="7.6477334625291174E-2"/>
          <c:y val="0.14651157424956079"/>
          <c:w val="0.84704533074941768"/>
          <c:h val="0.73210218564285456"/>
        </c:manualLayout>
      </c:layout>
      <c:barChart>
        <c:barDir val="col"/>
        <c:grouping val="clustered"/>
        <c:varyColors val="0"/>
        <c:ser>
          <c:idx val="0"/>
          <c:order val="0"/>
          <c:tx>
            <c:strRef>
              <c:f>Pivots!$J$20</c:f>
              <c:strCache>
                <c:ptCount val="1"/>
                <c:pt idx="0">
                  <c:v>Total</c:v>
                </c:pt>
              </c:strCache>
            </c:strRef>
          </c:tx>
          <c:spPr>
            <a:solidFill>
              <a:srgbClr val="1EB296">
                <a:alpha val="90000"/>
              </a:srgbClr>
            </a:solidFill>
            <a:ln w="63500">
              <a:noFill/>
            </a:ln>
            <a:effectLst>
              <a:glow rad="63500">
                <a:schemeClr val="accent5">
                  <a:satMod val="175000"/>
                  <a:alpha val="40000"/>
                </a:schemeClr>
              </a:glow>
            </a:effectLst>
          </c:spPr>
          <c:invertIfNegative val="0"/>
          <c:dLbls>
            <c:numFmt formatCode="[&gt;=1000]#,##0.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Pivots!$I$21:$I$25</c:f>
              <c:strCache>
                <c:ptCount val="4"/>
                <c:pt idx="0">
                  <c:v>2023</c:v>
                </c:pt>
                <c:pt idx="1">
                  <c:v>2024</c:v>
                </c:pt>
                <c:pt idx="2">
                  <c:v>2025</c:v>
                </c:pt>
                <c:pt idx="3">
                  <c:v>2026</c:v>
                </c:pt>
              </c:strCache>
            </c:strRef>
          </c:cat>
          <c:val>
            <c:numRef>
              <c:f>Pivots!$J$21:$J$25</c:f>
              <c:numCache>
                <c:formatCode>General</c:formatCode>
                <c:ptCount val="4"/>
                <c:pt idx="0">
                  <c:v>2295.9999999999995</c:v>
                </c:pt>
                <c:pt idx="1">
                  <c:v>7181.0000000000036</c:v>
                </c:pt>
                <c:pt idx="2">
                  <c:v>7418.0000000000036</c:v>
                </c:pt>
                <c:pt idx="3">
                  <c:v>4130.4000000000042</c:v>
                </c:pt>
              </c:numCache>
            </c:numRef>
          </c:val>
          <c:extLst>
            <c:ext xmlns:c16="http://schemas.microsoft.com/office/drawing/2014/chart" uri="{C3380CC4-5D6E-409C-BE32-E72D297353CC}">
              <c16:uniqueId val="{00000000-C52C-4882-A07E-CDD9A80D70FF}"/>
            </c:ext>
          </c:extLst>
        </c:ser>
        <c:dLbls>
          <c:showLegendKey val="0"/>
          <c:showVal val="0"/>
          <c:showCatName val="0"/>
          <c:showSerName val="0"/>
          <c:showPercent val="0"/>
          <c:showBubbleSize val="0"/>
        </c:dLbls>
        <c:gapWidth val="320"/>
        <c:overlap val="100"/>
        <c:axId val="93286976"/>
        <c:axId val="2120308752"/>
      </c:barChart>
      <c:catAx>
        <c:axId val="93286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120308752"/>
        <c:crosses val="autoZero"/>
        <c:auto val="1"/>
        <c:lblAlgn val="ctr"/>
        <c:lblOffset val="100"/>
        <c:noMultiLvlLbl val="0"/>
      </c:catAx>
      <c:valAx>
        <c:axId val="2120308752"/>
        <c:scaling>
          <c:orientation val="minMax"/>
        </c:scaling>
        <c:delete val="1"/>
        <c:axPos val="l"/>
        <c:numFmt formatCode="General" sourceLinked="1"/>
        <c:majorTickMark val="none"/>
        <c:minorTickMark val="none"/>
        <c:tickLblPos val="nextTo"/>
        <c:crossAx val="93286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1111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[Novahealth_Medical_Network_Dataset_Class_3.xlsx]Pivots!PivotTable3</c:name>
    <c:fmtId val="2"/>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C000">
              <a:alpha val="0"/>
            </a:srgbClr>
          </a:solidFill>
          <a:ln w="114300">
            <a:solidFill>
              <a:srgbClr val="1EB296"/>
            </a:solidFill>
          </a:ln>
          <a:effectLst>
            <a:glow rad="63500">
              <a:srgbClr val="66FFCC">
                <a:alpha val="40000"/>
              </a:srgbClr>
            </a:glow>
          </a:effectLst>
        </c:spPr>
        <c:marker>
          <c:symbol val="none"/>
        </c:marker>
        <c:dLbl>
          <c:idx val="0"/>
          <c:numFmt formatCode="[&gt;=1000000][$$-409]#,##0.00,,&quot;M&quot;;[&gt;=1000]#,##0.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73025" cap="rnd">
            <a:gradFill>
              <a:gsLst>
                <a:gs pos="0">
                  <a:srgbClr val="66FFCC"/>
                </a:gs>
                <a:gs pos="100000">
                  <a:srgbClr val="FF0000"/>
                </a:gs>
              </a:gsLst>
              <a:lin ang="5400000" scaled="1"/>
            </a:gradFill>
            <a:round/>
          </a:ln>
          <a:effectLst>
            <a:outerShdw dist="50800" dir="2400000" sx="1000" sy="1000" algn="ctr" rotWithShape="0">
              <a:srgbClr val="000000">
                <a:alpha val="43137"/>
              </a:srgbClr>
            </a:outerShdw>
            <a:softEdge rad="0"/>
          </a:effectLst>
        </c:spPr>
        <c:marker>
          <c:symbol val="circle"/>
          <c:size val="5"/>
          <c:spPr>
            <a:noFill/>
            <a:ln w="9525">
              <a:solidFill>
                <a:srgbClr val="FF0000"/>
              </a:solidFill>
            </a:ln>
            <a:effectLst/>
          </c:spPr>
        </c:marker>
      </c:pivotFmt>
    </c:pivotFmts>
    <c:plotArea>
      <c:layout>
        <c:manualLayout>
          <c:layoutTarget val="inner"/>
          <c:xMode val="edge"/>
          <c:yMode val="edge"/>
          <c:x val="3.5598687358923957E-2"/>
          <c:y val="0.1498001877810228"/>
          <c:w val="0.92880262528215207"/>
          <c:h val="0.6332995201675875"/>
        </c:manualLayout>
      </c:layout>
      <c:barChart>
        <c:barDir val="col"/>
        <c:grouping val="clustered"/>
        <c:varyColors val="0"/>
        <c:ser>
          <c:idx val="1"/>
          <c:order val="1"/>
          <c:tx>
            <c:strRef>
              <c:f>Pivots!$N$23</c:f>
              <c:strCache>
                <c:ptCount val="1"/>
                <c:pt idx="0">
                  <c:v>Revenue</c:v>
                </c:pt>
              </c:strCache>
            </c:strRef>
          </c:tx>
          <c:spPr>
            <a:solidFill>
              <a:srgbClr val="FFC000">
                <a:alpha val="0"/>
              </a:srgbClr>
            </a:solidFill>
            <a:ln w="114300">
              <a:solidFill>
                <a:srgbClr val="1EB296"/>
              </a:solidFill>
            </a:ln>
            <a:effectLst>
              <a:glow rad="63500">
                <a:srgbClr val="66FFCC">
                  <a:alpha val="40000"/>
                </a:srgbClr>
              </a:glow>
            </a:effectLst>
          </c:spPr>
          <c:invertIfNegative val="0"/>
          <c:dLbls>
            <c:numFmt formatCode="[&gt;=1000000][$$-409]#,##0.00,,&quot;M&quot;;[&gt;=1000]#,##0.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Pivots!$L$24:$L$28</c:f>
              <c:strCache>
                <c:ptCount val="4"/>
                <c:pt idx="0">
                  <c:v>2026</c:v>
                </c:pt>
                <c:pt idx="1">
                  <c:v>2025</c:v>
                </c:pt>
                <c:pt idx="2">
                  <c:v>2024</c:v>
                </c:pt>
                <c:pt idx="3">
                  <c:v>2023</c:v>
                </c:pt>
              </c:strCache>
            </c:strRef>
          </c:cat>
          <c:val>
            <c:numRef>
              <c:f>Pivots!$N$24:$N$28</c:f>
              <c:numCache>
                <c:formatCode>"$"#,##0.00</c:formatCode>
                <c:ptCount val="4"/>
                <c:pt idx="0">
                  <c:v>4516068.910000002</c:v>
                </c:pt>
                <c:pt idx="1">
                  <c:v>8177217.4700000016</c:v>
                </c:pt>
                <c:pt idx="2">
                  <c:v>7606763.7100000046</c:v>
                </c:pt>
                <c:pt idx="3">
                  <c:v>2526222.2699999996</c:v>
                </c:pt>
              </c:numCache>
            </c:numRef>
          </c:val>
          <c:extLst>
            <c:ext xmlns:c16="http://schemas.microsoft.com/office/drawing/2014/chart" uri="{C3380CC4-5D6E-409C-BE32-E72D297353CC}">
              <c16:uniqueId val="{00000000-05CE-404F-A130-21C73CA4EC0D}"/>
            </c:ext>
          </c:extLst>
        </c:ser>
        <c:dLbls>
          <c:showLegendKey val="0"/>
          <c:showVal val="1"/>
          <c:showCatName val="0"/>
          <c:showSerName val="0"/>
          <c:showPercent val="0"/>
          <c:showBubbleSize val="0"/>
        </c:dLbls>
        <c:gapWidth val="350"/>
        <c:overlap val="100"/>
        <c:axId val="172862672"/>
        <c:axId val="2120267472"/>
      </c:barChart>
      <c:lineChart>
        <c:grouping val="standard"/>
        <c:varyColors val="0"/>
        <c:ser>
          <c:idx val="0"/>
          <c:order val="0"/>
          <c:tx>
            <c:strRef>
              <c:f>Pivots!$M$23</c:f>
              <c:strCache>
                <c:ptCount val="1"/>
                <c:pt idx="0">
                  <c:v>Operational Cost</c:v>
                </c:pt>
              </c:strCache>
            </c:strRef>
          </c:tx>
          <c:spPr>
            <a:ln w="73025" cap="rnd">
              <a:gradFill>
                <a:gsLst>
                  <a:gs pos="0">
                    <a:srgbClr val="66FFCC"/>
                  </a:gs>
                  <a:gs pos="100000">
                    <a:srgbClr val="FF0000"/>
                  </a:gs>
                </a:gsLst>
                <a:lin ang="5400000" scaled="1"/>
              </a:gradFill>
              <a:round/>
            </a:ln>
            <a:effectLst>
              <a:outerShdw dist="50800" dir="2400000" sx="1000" sy="1000" algn="ctr" rotWithShape="0">
                <a:srgbClr val="000000">
                  <a:alpha val="43137"/>
                </a:srgbClr>
              </a:outerShdw>
              <a:softEdge rad="0"/>
            </a:effectLst>
          </c:spPr>
          <c:marker>
            <c:symbol val="circle"/>
            <c:size val="5"/>
            <c:spPr>
              <a:noFill/>
              <a:ln w="9525">
                <a:solidFill>
                  <a:srgbClr val="FF0000"/>
                </a:solidFill>
              </a:ln>
              <a:effectLst/>
            </c:spPr>
          </c:marker>
          <c:dLbls>
            <c:delete val="1"/>
          </c:dLbls>
          <c:cat>
            <c:strRef>
              <c:f>Pivots!$L$24:$L$28</c:f>
              <c:strCache>
                <c:ptCount val="4"/>
                <c:pt idx="0">
                  <c:v>2026</c:v>
                </c:pt>
                <c:pt idx="1">
                  <c:v>2025</c:v>
                </c:pt>
                <c:pt idx="2">
                  <c:v>2024</c:v>
                </c:pt>
                <c:pt idx="3">
                  <c:v>2023</c:v>
                </c:pt>
              </c:strCache>
            </c:strRef>
          </c:cat>
          <c:val>
            <c:numRef>
              <c:f>Pivots!$M$24:$M$28</c:f>
              <c:numCache>
                <c:formatCode>"$"#,##0.00</c:formatCode>
                <c:ptCount val="4"/>
                <c:pt idx="0">
                  <c:v>3052325.919999999</c:v>
                </c:pt>
                <c:pt idx="1">
                  <c:v>5541248.5099999979</c:v>
                </c:pt>
                <c:pt idx="2">
                  <c:v>5167705.0700000059</c:v>
                </c:pt>
                <c:pt idx="3">
                  <c:v>1712555.4000000008</c:v>
                </c:pt>
              </c:numCache>
            </c:numRef>
          </c:val>
          <c:smooth val="1"/>
          <c:extLst>
            <c:ext xmlns:c16="http://schemas.microsoft.com/office/drawing/2014/chart" uri="{C3380CC4-5D6E-409C-BE32-E72D297353CC}">
              <c16:uniqueId val="{00000001-05CE-404F-A130-21C73CA4EC0D}"/>
            </c:ext>
          </c:extLst>
        </c:ser>
        <c:dLbls>
          <c:showLegendKey val="0"/>
          <c:showVal val="1"/>
          <c:showCatName val="0"/>
          <c:showSerName val="0"/>
          <c:showPercent val="0"/>
          <c:showBubbleSize val="0"/>
        </c:dLbls>
        <c:marker val="1"/>
        <c:smooth val="0"/>
        <c:axId val="172862672"/>
        <c:axId val="2120267472"/>
      </c:lineChart>
      <c:catAx>
        <c:axId val="172862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2120267472"/>
        <c:crosses val="autoZero"/>
        <c:auto val="1"/>
        <c:lblAlgn val="ctr"/>
        <c:lblOffset val="100"/>
        <c:noMultiLvlLbl val="0"/>
      </c:catAx>
      <c:valAx>
        <c:axId val="2120267472"/>
        <c:scaling>
          <c:orientation val="minMax"/>
        </c:scaling>
        <c:delete val="1"/>
        <c:axPos val="l"/>
        <c:numFmt formatCode="&quot;$&quot;#,##0.00" sourceLinked="1"/>
        <c:majorTickMark val="none"/>
        <c:minorTickMark val="none"/>
        <c:tickLblPos val="nextTo"/>
        <c:crossAx val="172862672"/>
        <c:crosses val="autoZero"/>
        <c:crossBetween val="between"/>
      </c:valAx>
      <c:spPr>
        <a:noFill/>
        <a:ln>
          <a:noFill/>
        </a:ln>
        <a:effectLst/>
      </c:spPr>
    </c:plotArea>
    <c:legend>
      <c:legendPos val="b"/>
      <c:layout>
        <c:manualLayout>
          <c:xMode val="edge"/>
          <c:yMode val="edge"/>
          <c:x val="0.14350168003223482"/>
          <c:y val="0.87491613548542335"/>
          <c:w val="0.5241306872116811"/>
          <c:h val="0.1011158344696129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1111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chart" Target="../charts/chart2.xml"/><Relationship Id="rId18" Type="http://schemas.openxmlformats.org/officeDocument/2006/relationships/image" Target="../media/image12.png"/><Relationship Id="rId26" Type="http://schemas.openxmlformats.org/officeDocument/2006/relationships/image" Target="../media/image18.svg"/><Relationship Id="rId3" Type="http://schemas.openxmlformats.org/officeDocument/2006/relationships/image" Target="../media/image3.svg"/><Relationship Id="rId21" Type="http://schemas.openxmlformats.org/officeDocument/2006/relationships/image" Target="../media/image14.svg"/><Relationship Id="rId7" Type="http://schemas.openxmlformats.org/officeDocument/2006/relationships/image" Target="../media/image7.svg"/><Relationship Id="rId12" Type="http://schemas.openxmlformats.org/officeDocument/2006/relationships/chart" Target="../charts/chart1.xml"/><Relationship Id="rId17" Type="http://schemas.openxmlformats.org/officeDocument/2006/relationships/chart" Target="../charts/chart6.xml"/><Relationship Id="rId25"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chart" Target="../charts/chart5.xml"/><Relationship Id="rId20" Type="http://schemas.openxmlformats.org/officeDocument/2006/relationships/image" Target="../media/image13.png"/><Relationship Id="rId29" Type="http://schemas.openxmlformats.org/officeDocument/2006/relationships/image" Target="../media/image20.sv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svg"/><Relationship Id="rId24" Type="http://schemas.openxmlformats.org/officeDocument/2006/relationships/image" Target="../media/image16.svg"/><Relationship Id="rId5" Type="http://schemas.openxmlformats.org/officeDocument/2006/relationships/image" Target="../media/image5.svg"/><Relationship Id="rId15" Type="http://schemas.openxmlformats.org/officeDocument/2006/relationships/chart" Target="../charts/chart4.xml"/><Relationship Id="rId23" Type="http://schemas.openxmlformats.org/officeDocument/2006/relationships/image" Target="../media/image15.png"/><Relationship Id="rId28" Type="http://schemas.openxmlformats.org/officeDocument/2006/relationships/image" Target="../media/image19.png"/><Relationship Id="rId10" Type="http://schemas.openxmlformats.org/officeDocument/2006/relationships/image" Target="../media/image10.png"/><Relationship Id="rId19" Type="http://schemas.openxmlformats.org/officeDocument/2006/relationships/hyperlink" Target="#Patient_Data!A1"/><Relationship Id="rId4" Type="http://schemas.openxmlformats.org/officeDocument/2006/relationships/image" Target="../media/image4.png"/><Relationship Id="rId9" Type="http://schemas.openxmlformats.org/officeDocument/2006/relationships/image" Target="../media/image9.svg"/><Relationship Id="rId14" Type="http://schemas.openxmlformats.org/officeDocument/2006/relationships/chart" Target="../charts/chart3.xml"/><Relationship Id="rId22" Type="http://schemas.openxmlformats.org/officeDocument/2006/relationships/hyperlink" Target="#KPI!A1"/><Relationship Id="rId27" Type="http://schemas.openxmlformats.org/officeDocument/2006/relationships/hyperlink" Target="#Dashboard!A1"/></Relationships>
</file>

<file path=xl/drawings/_rels/drawing4.xml.rels><?xml version="1.0" encoding="UTF-8" standalone="yes"?>
<Relationships xmlns="http://schemas.openxmlformats.org/package/2006/relationships"><Relationship Id="rId1" Type="http://schemas.openxmlformats.org/officeDocument/2006/relationships/image" Target="../media/image12.png"/></Relationships>
</file>

<file path=xl/drawings/drawing1.xml><?xml version="1.0" encoding="utf-8"?>
<xdr:wsDr xmlns:xdr="http://schemas.openxmlformats.org/drawingml/2006/spreadsheetDrawing" xmlns:a="http://schemas.openxmlformats.org/drawingml/2006/main">
  <xdr:oneCellAnchor>
    <xdr:from>
      <xdr:col>21</xdr:col>
      <xdr:colOff>-9525</xdr:colOff>
      <xdr:row>0</xdr:row>
      <xdr:rowOff>76200</xdr:rowOff>
    </xdr:from>
    <xdr:ext cx="3238500" cy="1447800"/>
    <xdr:sp macro="" textlink="">
      <xdr:nvSpPr>
        <xdr:cNvPr id="3" name="Shape 3">
          <a:extLst>
            <a:ext uri="{FF2B5EF4-FFF2-40B4-BE49-F238E27FC236}">
              <a16:creationId xmlns:a16="http://schemas.microsoft.com/office/drawing/2014/main" id="{00000000-0008-0000-0000-000003000000}"/>
            </a:ext>
          </a:extLst>
        </xdr:cNvPr>
        <xdr:cNvSpPr/>
      </xdr:nvSpPr>
      <xdr:spPr>
        <a:xfrm>
          <a:off x="3736275" y="3065625"/>
          <a:ext cx="3219450" cy="1428750"/>
        </a:xfrm>
        <a:prstGeom prst="roundRect">
          <a:avLst>
            <a:gd name="adj" fmla="val 16667"/>
          </a:avLst>
        </a:prstGeom>
        <a:solidFill>
          <a:schemeClr val="lt1"/>
        </a:solidFill>
        <a:ln w="25400" cap="flat" cmpd="sng">
          <a:solidFill>
            <a:srgbClr val="21364F"/>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dk1"/>
            </a:buClr>
            <a:buSzPts val="1200"/>
            <a:buFont typeface="Calibri"/>
            <a:buNone/>
          </a:pPr>
          <a:r>
            <a:rPr lang="en-US" sz="1200" b="1">
              <a:solidFill>
                <a:schemeClr val="dk1"/>
              </a:solidFill>
              <a:latin typeface="Calibri"/>
              <a:ea typeface="Calibri"/>
              <a:cs typeface="Calibri"/>
              <a:sym typeface="Calibri"/>
            </a:rPr>
            <a:t>Risk Tier Classification : Categorize Each Patient based on risk levels below</a:t>
          </a:r>
          <a:br>
            <a:rPr lang="en-US" sz="1200" b="1">
              <a:solidFill>
                <a:schemeClr val="dk1"/>
              </a:solidFill>
              <a:latin typeface="Calibri"/>
              <a:ea typeface="Calibri"/>
              <a:cs typeface="Calibri"/>
              <a:sym typeface="Calibri"/>
            </a:rPr>
          </a:br>
          <a:r>
            <a:rPr lang="en-US" sz="1200" b="0">
              <a:solidFill>
                <a:schemeClr val="dk1"/>
              </a:solidFill>
              <a:latin typeface="Calibri"/>
              <a:ea typeface="Calibri"/>
              <a:cs typeface="Calibri"/>
              <a:sym typeface="Calibri"/>
            </a:rPr>
            <a:t>1). </a:t>
          </a:r>
          <a:r>
            <a:rPr lang="en-US" sz="1200">
              <a:solidFill>
                <a:schemeClr val="dk1"/>
              </a:solidFill>
              <a:latin typeface="Calibri"/>
              <a:ea typeface="Calibri"/>
              <a:cs typeface="Calibri"/>
              <a:sym typeface="Calibri"/>
            </a:rPr>
            <a:t>Low Risk &lt; 2</a:t>
          </a:r>
          <a:br>
            <a:rPr lang="en-US" sz="1200">
              <a:solidFill>
                <a:schemeClr val="dk1"/>
              </a:solidFill>
              <a:latin typeface="Calibri"/>
              <a:ea typeface="Calibri"/>
              <a:cs typeface="Calibri"/>
              <a:sym typeface="Calibri"/>
            </a:rPr>
          </a:br>
          <a:r>
            <a:rPr lang="en-US" sz="1200">
              <a:solidFill>
                <a:schemeClr val="dk1"/>
              </a:solidFill>
              <a:latin typeface="Calibri"/>
              <a:ea typeface="Calibri"/>
              <a:cs typeface="Calibri"/>
              <a:sym typeface="Calibri"/>
            </a:rPr>
            <a:t>2). Moderate Risk &lt; 4</a:t>
          </a:r>
          <a:br>
            <a:rPr lang="en-US" sz="1200">
              <a:solidFill>
                <a:schemeClr val="dk1"/>
              </a:solidFill>
              <a:latin typeface="Calibri"/>
              <a:ea typeface="Calibri"/>
              <a:cs typeface="Calibri"/>
              <a:sym typeface="Calibri"/>
            </a:rPr>
          </a:br>
          <a:r>
            <a:rPr lang="en-US" sz="1200">
              <a:solidFill>
                <a:schemeClr val="dk1"/>
              </a:solidFill>
              <a:latin typeface="Calibri"/>
              <a:ea typeface="Calibri"/>
              <a:cs typeface="Calibri"/>
              <a:sym typeface="Calibri"/>
            </a:rPr>
            <a:t>3). High Risk &gt; 4</a:t>
          </a:r>
          <a:br>
            <a:rPr lang="en-US" sz="1200">
              <a:solidFill>
                <a:schemeClr val="dk1"/>
              </a:solidFill>
              <a:latin typeface="Calibri"/>
              <a:ea typeface="Calibri"/>
              <a:cs typeface="Calibri"/>
              <a:sym typeface="Calibri"/>
            </a:rPr>
          </a:br>
          <a:br>
            <a:rPr lang="en-US" sz="1200">
              <a:solidFill>
                <a:schemeClr val="dk1"/>
              </a:solidFill>
              <a:latin typeface="Calibri"/>
              <a:ea typeface="Calibri"/>
              <a:cs typeface="Calibri"/>
              <a:sym typeface="Calibri"/>
            </a:rPr>
          </a:br>
          <a:endParaRPr sz="1200" b="1">
            <a:solidFill>
              <a:schemeClr val="dk1"/>
            </a:solidFill>
          </a:endParaRPr>
        </a:p>
      </xdr:txBody>
    </xdr:sp>
    <xdr:clientData fLocksWithSheet="0"/>
  </xdr:oneCellAnchor>
  <xdr:oneCellAnchor>
    <xdr:from>
      <xdr:col>21</xdr:col>
      <xdr:colOff>0</xdr:colOff>
      <xdr:row>9</xdr:row>
      <xdr:rowOff>38100</xdr:rowOff>
    </xdr:from>
    <xdr:ext cx="3238500" cy="1447800"/>
    <xdr:sp macro="" textlink="">
      <xdr:nvSpPr>
        <xdr:cNvPr id="4" name="Shape 4">
          <a:extLst>
            <a:ext uri="{FF2B5EF4-FFF2-40B4-BE49-F238E27FC236}">
              <a16:creationId xmlns:a16="http://schemas.microsoft.com/office/drawing/2014/main" id="{00000000-0008-0000-0000-000004000000}"/>
            </a:ext>
          </a:extLst>
        </xdr:cNvPr>
        <xdr:cNvSpPr/>
      </xdr:nvSpPr>
      <xdr:spPr>
        <a:xfrm>
          <a:off x="3736275" y="3065625"/>
          <a:ext cx="3219450" cy="1428750"/>
        </a:xfrm>
        <a:prstGeom prst="roundRect">
          <a:avLst>
            <a:gd name="adj" fmla="val 16667"/>
          </a:avLst>
        </a:prstGeom>
        <a:solidFill>
          <a:schemeClr val="lt1"/>
        </a:solidFill>
        <a:ln w="25400" cap="flat" cmpd="sng">
          <a:solidFill>
            <a:srgbClr val="21364F"/>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dk1"/>
            </a:buClr>
            <a:buSzPts val="1200"/>
            <a:buFont typeface="Calibri"/>
            <a:buNone/>
          </a:pPr>
          <a:r>
            <a:rPr lang="en-US" sz="1200" b="1">
              <a:solidFill>
                <a:schemeClr val="dk1"/>
              </a:solidFill>
              <a:latin typeface="Calibri"/>
              <a:ea typeface="Calibri"/>
              <a:cs typeface="Calibri"/>
              <a:sym typeface="Calibri"/>
            </a:rPr>
            <a:t>Age Group Classification : Categorize Each Patient based on the age groups below</a:t>
          </a:r>
          <a:br>
            <a:rPr lang="en-US" sz="1200" b="1">
              <a:solidFill>
                <a:schemeClr val="dk1"/>
              </a:solidFill>
              <a:latin typeface="Calibri"/>
              <a:ea typeface="Calibri"/>
              <a:cs typeface="Calibri"/>
              <a:sym typeface="Calibri"/>
            </a:rPr>
          </a:br>
          <a:r>
            <a:rPr lang="en-US" sz="1200" b="0">
              <a:solidFill>
                <a:schemeClr val="dk1"/>
              </a:solidFill>
              <a:latin typeface="Calibri"/>
              <a:ea typeface="Calibri"/>
              <a:cs typeface="Calibri"/>
              <a:sym typeface="Calibri"/>
            </a:rPr>
            <a:t>1). </a:t>
          </a:r>
          <a:r>
            <a:rPr lang="en-US" sz="1200">
              <a:solidFill>
                <a:schemeClr val="dk1"/>
              </a:solidFill>
              <a:latin typeface="Calibri"/>
              <a:ea typeface="Calibri"/>
              <a:cs typeface="Calibri"/>
              <a:sym typeface="Calibri"/>
            </a:rPr>
            <a:t>Pediatric  - 0 - 18</a:t>
          </a:r>
          <a:br>
            <a:rPr lang="en-US" sz="1200">
              <a:solidFill>
                <a:schemeClr val="dk1"/>
              </a:solidFill>
              <a:latin typeface="Calibri"/>
              <a:ea typeface="Calibri"/>
              <a:cs typeface="Calibri"/>
              <a:sym typeface="Calibri"/>
            </a:rPr>
          </a:br>
          <a:r>
            <a:rPr lang="en-US" sz="1200">
              <a:solidFill>
                <a:schemeClr val="dk1"/>
              </a:solidFill>
              <a:latin typeface="Calibri"/>
              <a:ea typeface="Calibri"/>
              <a:cs typeface="Calibri"/>
              <a:sym typeface="Calibri"/>
            </a:rPr>
            <a:t>2). Adult        - 19 - 64</a:t>
          </a:r>
          <a:br>
            <a:rPr lang="en-US" sz="1200">
              <a:solidFill>
                <a:schemeClr val="dk1"/>
              </a:solidFill>
              <a:latin typeface="Calibri"/>
              <a:ea typeface="Calibri"/>
              <a:cs typeface="Calibri"/>
              <a:sym typeface="Calibri"/>
            </a:rPr>
          </a:br>
          <a:r>
            <a:rPr lang="en-US" sz="1200">
              <a:solidFill>
                <a:schemeClr val="dk1"/>
              </a:solidFill>
              <a:latin typeface="Calibri"/>
              <a:ea typeface="Calibri"/>
              <a:cs typeface="Calibri"/>
              <a:sym typeface="Calibri"/>
            </a:rPr>
            <a:t>3). Geriatric  - 65+</a:t>
          </a:r>
          <a:br>
            <a:rPr lang="en-US" sz="1200">
              <a:solidFill>
                <a:schemeClr val="dk1"/>
              </a:solidFill>
              <a:latin typeface="Calibri"/>
              <a:ea typeface="Calibri"/>
              <a:cs typeface="Calibri"/>
              <a:sym typeface="Calibri"/>
            </a:rPr>
          </a:br>
          <a:br>
            <a:rPr lang="en-US" sz="1200">
              <a:solidFill>
                <a:schemeClr val="dk1"/>
              </a:solidFill>
              <a:latin typeface="Calibri"/>
              <a:ea typeface="Calibri"/>
              <a:cs typeface="Calibri"/>
              <a:sym typeface="Calibri"/>
            </a:rPr>
          </a:br>
          <a:endParaRPr sz="1200" b="1">
            <a:solidFill>
              <a:schemeClr val="dk1"/>
            </a:solidFill>
          </a:endParaRPr>
        </a:p>
      </xdr:txBody>
    </xdr:sp>
    <xdr:clientData fLocksWithSheet="0"/>
  </xdr:one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31750</xdr:rowOff>
    </xdr:from>
    <xdr:to>
      <xdr:col>20</xdr:col>
      <xdr:colOff>596900</xdr:colOff>
      <xdr:row>33</xdr:row>
      <xdr:rowOff>12700</xdr:rowOff>
    </xdr:to>
    <xdr:sp macro="" textlink="">
      <xdr:nvSpPr>
        <xdr:cNvPr id="2" name="Rectangle 1">
          <a:extLst>
            <a:ext uri="{FF2B5EF4-FFF2-40B4-BE49-F238E27FC236}">
              <a16:creationId xmlns:a16="http://schemas.microsoft.com/office/drawing/2014/main" id="{ADD418AC-2EAF-19C5-A963-8971987248E9}"/>
            </a:ext>
          </a:extLst>
        </xdr:cNvPr>
        <xdr:cNvSpPr/>
      </xdr:nvSpPr>
      <xdr:spPr>
        <a:xfrm>
          <a:off x="0" y="31750"/>
          <a:ext cx="12788900" cy="6127750"/>
        </a:xfrm>
        <a:prstGeom prst="rect">
          <a:avLst/>
        </a:prstGeom>
        <a:solidFill>
          <a:srgbClr val="66FFC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9</xdr:col>
      <xdr:colOff>137583</xdr:colOff>
      <xdr:row>0</xdr:row>
      <xdr:rowOff>31749</xdr:rowOff>
    </xdr:from>
    <xdr:to>
      <xdr:col>20</xdr:col>
      <xdr:colOff>508000</xdr:colOff>
      <xdr:row>4</xdr:row>
      <xdr:rowOff>126999</xdr:rowOff>
    </xdr:to>
    <xdr:sp macro="" textlink="">
      <xdr:nvSpPr>
        <xdr:cNvPr id="3" name="Rectangle 2">
          <a:extLst>
            <a:ext uri="{FF2B5EF4-FFF2-40B4-BE49-F238E27FC236}">
              <a16:creationId xmlns:a16="http://schemas.microsoft.com/office/drawing/2014/main" id="{03331652-1642-5449-325E-F4F73B1D3C5E}"/>
            </a:ext>
          </a:extLst>
        </xdr:cNvPr>
        <xdr:cNvSpPr/>
      </xdr:nvSpPr>
      <xdr:spPr>
        <a:xfrm>
          <a:off x="5662083" y="31749"/>
          <a:ext cx="7122584" cy="814917"/>
        </a:xfrm>
        <a:prstGeom prst="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347133</xdr:colOff>
      <xdr:row>4</xdr:row>
      <xdr:rowOff>84666</xdr:rowOff>
    </xdr:from>
    <xdr:to>
      <xdr:col>20</xdr:col>
      <xdr:colOff>543983</xdr:colOff>
      <xdr:row>6</xdr:row>
      <xdr:rowOff>116417</xdr:rowOff>
    </xdr:to>
    <xdr:sp macro="" textlink="">
      <xdr:nvSpPr>
        <xdr:cNvPr id="4" name="Rectangle 3">
          <a:extLst>
            <a:ext uri="{FF2B5EF4-FFF2-40B4-BE49-F238E27FC236}">
              <a16:creationId xmlns:a16="http://schemas.microsoft.com/office/drawing/2014/main" id="{F7576988-3B31-5CD5-0EC5-FB45761A744E}"/>
            </a:ext>
          </a:extLst>
        </xdr:cNvPr>
        <xdr:cNvSpPr/>
      </xdr:nvSpPr>
      <xdr:spPr>
        <a:xfrm>
          <a:off x="1574800" y="804333"/>
          <a:ext cx="11245850" cy="391584"/>
        </a:xfrm>
        <a:prstGeom prst="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4</xdr:col>
      <xdr:colOff>42335</xdr:colOff>
      <xdr:row>5</xdr:row>
      <xdr:rowOff>69850</xdr:rowOff>
    </xdr:from>
    <xdr:to>
      <xdr:col>20</xdr:col>
      <xdr:colOff>527051</xdr:colOff>
      <xdr:row>32</xdr:row>
      <xdr:rowOff>137584</xdr:rowOff>
    </xdr:to>
    <xdr:sp macro="" textlink="">
      <xdr:nvSpPr>
        <xdr:cNvPr id="5" name="Rectangle 4">
          <a:extLst>
            <a:ext uri="{FF2B5EF4-FFF2-40B4-BE49-F238E27FC236}">
              <a16:creationId xmlns:a16="http://schemas.microsoft.com/office/drawing/2014/main" id="{23492AA4-E84F-2755-4C43-C3E6744BE558}"/>
            </a:ext>
          </a:extLst>
        </xdr:cNvPr>
        <xdr:cNvSpPr/>
      </xdr:nvSpPr>
      <xdr:spPr>
        <a:xfrm>
          <a:off x="2480735" y="974725"/>
          <a:ext cx="10238316" cy="4954059"/>
        </a:xfrm>
        <a:prstGeom prst="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9</xdr:col>
      <xdr:colOff>222250</xdr:colOff>
      <xdr:row>0</xdr:row>
      <xdr:rowOff>63879</xdr:rowOff>
    </xdr:from>
    <xdr:to>
      <xdr:col>12</xdr:col>
      <xdr:colOff>101600</xdr:colOff>
      <xdr:row>4</xdr:row>
      <xdr:rowOff>84665</xdr:rowOff>
    </xdr:to>
    <xdr:grpSp>
      <xdr:nvGrpSpPr>
        <xdr:cNvPr id="18" name="Group 17">
          <a:extLst>
            <a:ext uri="{FF2B5EF4-FFF2-40B4-BE49-F238E27FC236}">
              <a16:creationId xmlns:a16="http://schemas.microsoft.com/office/drawing/2014/main" id="{0B5503DD-6E73-2FDD-BC36-AE79D3A1D1E5}"/>
            </a:ext>
          </a:extLst>
        </xdr:cNvPr>
        <xdr:cNvGrpSpPr/>
      </xdr:nvGrpSpPr>
      <xdr:grpSpPr>
        <a:xfrm>
          <a:off x="5708650" y="63879"/>
          <a:ext cx="1708150" cy="744686"/>
          <a:chOff x="3816350" y="57530"/>
          <a:chExt cx="1708150" cy="564770"/>
        </a:xfrm>
      </xdr:grpSpPr>
      <xdr:sp macro="" textlink="">
        <xdr:nvSpPr>
          <xdr:cNvPr id="8" name="Rectangle 7">
            <a:extLst>
              <a:ext uri="{FF2B5EF4-FFF2-40B4-BE49-F238E27FC236}">
                <a16:creationId xmlns:a16="http://schemas.microsoft.com/office/drawing/2014/main" id="{B8BD0F3F-C620-44AE-A9BE-4BF90606730F}"/>
              </a:ext>
            </a:extLst>
          </xdr:cNvPr>
          <xdr:cNvSpPr/>
        </xdr:nvSpPr>
        <xdr:spPr>
          <a:xfrm>
            <a:off x="3829050" y="82550"/>
            <a:ext cx="1695450" cy="539750"/>
          </a:xfrm>
          <a:prstGeom prst="rect">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pSp>
        <xdr:nvGrpSpPr>
          <xdr:cNvPr id="17" name="Group 16">
            <a:extLst>
              <a:ext uri="{FF2B5EF4-FFF2-40B4-BE49-F238E27FC236}">
                <a16:creationId xmlns:a16="http://schemas.microsoft.com/office/drawing/2014/main" id="{1FC3EEA9-8157-13F6-01E5-DF74638669D3}"/>
              </a:ext>
            </a:extLst>
          </xdr:cNvPr>
          <xdr:cNvGrpSpPr/>
        </xdr:nvGrpSpPr>
        <xdr:grpSpPr>
          <a:xfrm>
            <a:off x="3816350" y="57530"/>
            <a:ext cx="1492250" cy="444120"/>
            <a:chOff x="3816350" y="57530"/>
            <a:chExt cx="1492250" cy="444120"/>
          </a:xfrm>
        </xdr:grpSpPr>
        <xdr:sp macro="" textlink="">
          <xdr:nvSpPr>
            <xdr:cNvPr id="10" name="TextBox 9">
              <a:extLst>
                <a:ext uri="{FF2B5EF4-FFF2-40B4-BE49-F238E27FC236}">
                  <a16:creationId xmlns:a16="http://schemas.microsoft.com/office/drawing/2014/main" id="{3F5395FA-511D-F155-6555-82FD87FEECA8}"/>
                </a:ext>
              </a:extLst>
            </xdr:cNvPr>
            <xdr:cNvSpPr txBox="1"/>
          </xdr:nvSpPr>
          <xdr:spPr>
            <a:xfrm>
              <a:off x="3962400" y="95250"/>
              <a:ext cx="1346200" cy="190500"/>
            </a:xfrm>
            <a:prstGeom prst="rect">
              <a:avLst/>
            </a:prstGeom>
            <a:solidFill>
              <a:schemeClr val="tx1">
                <a:lumMod val="75000"/>
                <a:lumOff val="2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GB" sz="1100">
                  <a:solidFill>
                    <a:schemeClr val="bg1"/>
                  </a:solidFill>
                  <a:latin typeface="Aptos Display" panose="020B0004020202020204" pitchFamily="34" charset="0"/>
                </a:rPr>
                <a:t>Total Appointments</a:t>
              </a:r>
            </a:p>
          </xdr:txBody>
        </xdr:sp>
        <xdr:sp macro="" textlink="KPI!C10">
          <xdr:nvSpPr>
            <xdr:cNvPr id="11" name="TextBox 10">
              <a:extLst>
                <a:ext uri="{FF2B5EF4-FFF2-40B4-BE49-F238E27FC236}">
                  <a16:creationId xmlns:a16="http://schemas.microsoft.com/office/drawing/2014/main" id="{99F52F3F-3D66-98AA-98CD-3B9E4ED98DD4}"/>
                </a:ext>
              </a:extLst>
            </xdr:cNvPr>
            <xdr:cNvSpPr txBox="1"/>
          </xdr:nvSpPr>
          <xdr:spPr>
            <a:xfrm>
              <a:off x="3956050" y="311150"/>
              <a:ext cx="134620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740A079-3089-40EB-AE00-A016780725B5}" type="TxLink">
                <a:rPr lang="en-US" sz="1400" b="1" i="0" u="none" strike="noStrike">
                  <a:solidFill>
                    <a:schemeClr val="bg1"/>
                  </a:solidFill>
                  <a:latin typeface="Aptos Display"/>
                </a:rPr>
                <a:pPr algn="ctr"/>
                <a:t>2505</a:t>
              </a:fld>
              <a:endParaRPr lang="en-GB" sz="1400">
                <a:solidFill>
                  <a:schemeClr val="bg1"/>
                </a:solidFill>
              </a:endParaRPr>
            </a:p>
          </xdr:txBody>
        </xdr:sp>
        <xdr:pic>
          <xdr:nvPicPr>
            <xdr:cNvPr id="16" name="Picture 15" descr="Users with solid fill">
              <a:extLst>
                <a:ext uri="{FF2B5EF4-FFF2-40B4-BE49-F238E27FC236}">
                  <a16:creationId xmlns:a16="http://schemas.microsoft.com/office/drawing/2014/main" id="{675E67D0-4A93-58C2-CDBA-621D66FF3FAA}"/>
                </a:ext>
              </a:extLst>
            </xdr:cNvPr>
            <xdr:cNvPicPr>
              <a:picLocks noChangeAspect="1"/>
            </xdr:cNvPicPr>
          </xdr:nvPicPr>
          <xdr:blipFill>
            <a:blip xmlns:r="http://schemas.openxmlformats.org/officeDocument/2006/relationships" r:embed="rId1"/>
            <a:stretch>
              <a:fillRect/>
            </a:stretch>
          </xdr:blipFill>
          <xdr:spPr>
            <a:xfrm>
              <a:off x="3816350" y="57530"/>
              <a:ext cx="273050" cy="370859"/>
            </a:xfrm>
            <a:prstGeom prst="rect">
              <a:avLst/>
            </a:prstGeom>
          </xdr:spPr>
        </xdr:pic>
      </xdr:grpSp>
    </xdr:grpSp>
    <xdr:clientData/>
  </xdr:twoCellAnchor>
  <xdr:twoCellAnchor>
    <xdr:from>
      <xdr:col>12</xdr:col>
      <xdr:colOff>171450</xdr:colOff>
      <xdr:row>0</xdr:row>
      <xdr:rowOff>61984</xdr:rowOff>
    </xdr:from>
    <xdr:to>
      <xdr:col>15</xdr:col>
      <xdr:colOff>38100</xdr:colOff>
      <xdr:row>4</xdr:row>
      <xdr:rowOff>74083</xdr:rowOff>
    </xdr:to>
    <xdr:grpSp>
      <xdr:nvGrpSpPr>
        <xdr:cNvPr id="19" name="Group 18">
          <a:extLst>
            <a:ext uri="{FF2B5EF4-FFF2-40B4-BE49-F238E27FC236}">
              <a16:creationId xmlns:a16="http://schemas.microsoft.com/office/drawing/2014/main" id="{BE078745-F173-3D50-6700-88E5E83A9A67}"/>
            </a:ext>
          </a:extLst>
        </xdr:cNvPr>
        <xdr:cNvGrpSpPr/>
      </xdr:nvGrpSpPr>
      <xdr:grpSpPr>
        <a:xfrm>
          <a:off x="7486650" y="61984"/>
          <a:ext cx="1695450" cy="735999"/>
          <a:chOff x="3829050" y="61984"/>
          <a:chExt cx="1695450" cy="560316"/>
        </a:xfrm>
      </xdr:grpSpPr>
      <xdr:sp macro="" textlink="">
        <xdr:nvSpPr>
          <xdr:cNvPr id="20" name="Rectangle 19">
            <a:extLst>
              <a:ext uri="{FF2B5EF4-FFF2-40B4-BE49-F238E27FC236}">
                <a16:creationId xmlns:a16="http://schemas.microsoft.com/office/drawing/2014/main" id="{2DDF7A0A-AF63-8122-235E-FE534C1B86AE}"/>
              </a:ext>
            </a:extLst>
          </xdr:cNvPr>
          <xdr:cNvSpPr/>
        </xdr:nvSpPr>
        <xdr:spPr>
          <a:xfrm>
            <a:off x="3829050" y="82550"/>
            <a:ext cx="1695450" cy="539750"/>
          </a:xfrm>
          <a:prstGeom prst="rect">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pSp>
        <xdr:nvGrpSpPr>
          <xdr:cNvPr id="21" name="Group 20">
            <a:extLst>
              <a:ext uri="{FF2B5EF4-FFF2-40B4-BE49-F238E27FC236}">
                <a16:creationId xmlns:a16="http://schemas.microsoft.com/office/drawing/2014/main" id="{D2CC8115-3F90-051B-04CE-D4698013461E}"/>
              </a:ext>
            </a:extLst>
          </xdr:cNvPr>
          <xdr:cNvGrpSpPr/>
        </xdr:nvGrpSpPr>
        <xdr:grpSpPr>
          <a:xfrm>
            <a:off x="3854450" y="61984"/>
            <a:ext cx="1454150" cy="439666"/>
            <a:chOff x="3854450" y="61984"/>
            <a:chExt cx="1454150" cy="439666"/>
          </a:xfrm>
        </xdr:grpSpPr>
        <xdr:sp macro="" textlink="">
          <xdr:nvSpPr>
            <xdr:cNvPr id="22" name="TextBox 21">
              <a:extLst>
                <a:ext uri="{FF2B5EF4-FFF2-40B4-BE49-F238E27FC236}">
                  <a16:creationId xmlns:a16="http://schemas.microsoft.com/office/drawing/2014/main" id="{5E5FDB2B-B64F-DEDD-BB6B-5F33A1E18EB4}"/>
                </a:ext>
              </a:extLst>
            </xdr:cNvPr>
            <xdr:cNvSpPr txBox="1"/>
          </xdr:nvSpPr>
          <xdr:spPr>
            <a:xfrm>
              <a:off x="3962400" y="95250"/>
              <a:ext cx="1346200" cy="190500"/>
            </a:xfrm>
            <a:prstGeom prst="rect">
              <a:avLst/>
            </a:prstGeom>
            <a:solidFill>
              <a:schemeClr val="tx1">
                <a:lumMod val="75000"/>
                <a:lumOff val="2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GB" sz="1100">
                  <a:solidFill>
                    <a:schemeClr val="bg1"/>
                  </a:solidFill>
                  <a:latin typeface="Aptos Display" panose="020B0004020202020204" pitchFamily="34" charset="0"/>
                </a:rPr>
                <a:t>Total Revenue</a:t>
              </a:r>
            </a:p>
          </xdr:txBody>
        </xdr:sp>
        <xdr:sp macro="" textlink="KPI!C11">
          <xdr:nvSpPr>
            <xdr:cNvPr id="23" name="TextBox 22">
              <a:extLst>
                <a:ext uri="{FF2B5EF4-FFF2-40B4-BE49-F238E27FC236}">
                  <a16:creationId xmlns:a16="http://schemas.microsoft.com/office/drawing/2014/main" id="{E7197F00-5F6D-DB7A-D498-FDBCC102C831}"/>
                </a:ext>
              </a:extLst>
            </xdr:cNvPr>
            <xdr:cNvSpPr txBox="1"/>
          </xdr:nvSpPr>
          <xdr:spPr>
            <a:xfrm>
              <a:off x="3956050" y="311150"/>
              <a:ext cx="134620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8D9B975-12FF-4635-A8B6-CEC3132342F6}" type="TxLink">
                <a:rPr lang="en-US" sz="1200" b="1" i="0" u="none" strike="noStrike">
                  <a:solidFill>
                    <a:schemeClr val="bg1"/>
                  </a:solidFill>
                  <a:latin typeface="Aptos Display"/>
                </a:rPr>
                <a:pPr algn="ctr"/>
                <a:t>22.83M</a:t>
              </a:fld>
              <a:endParaRPr lang="en-GB" sz="1200">
                <a:solidFill>
                  <a:schemeClr val="bg1"/>
                </a:solidFill>
              </a:endParaRPr>
            </a:p>
          </xdr:txBody>
        </xdr:sp>
        <xdr:pic>
          <xdr:nvPicPr>
            <xdr:cNvPr id="24" name="Picture 23" descr="Money outline">
              <a:extLst>
                <a:ext uri="{FF2B5EF4-FFF2-40B4-BE49-F238E27FC236}">
                  <a16:creationId xmlns:a16="http://schemas.microsoft.com/office/drawing/2014/main" id="{1593C754-677E-80C0-AE90-FACD720EAC48}"/>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rcRect/>
            <a:stretch/>
          </xdr:blipFill>
          <xdr:spPr>
            <a:xfrm>
              <a:off x="3854450" y="61984"/>
              <a:ext cx="273050" cy="273050"/>
            </a:xfrm>
            <a:prstGeom prst="rect">
              <a:avLst/>
            </a:prstGeom>
          </xdr:spPr>
        </xdr:pic>
      </xdr:grpSp>
    </xdr:grpSp>
    <xdr:clientData/>
  </xdr:twoCellAnchor>
  <xdr:twoCellAnchor>
    <xdr:from>
      <xdr:col>15</xdr:col>
      <xdr:colOff>88900</xdr:colOff>
      <xdr:row>0</xdr:row>
      <xdr:rowOff>57150</xdr:rowOff>
    </xdr:from>
    <xdr:to>
      <xdr:col>17</xdr:col>
      <xdr:colOff>565150</xdr:colOff>
      <xdr:row>4</xdr:row>
      <xdr:rowOff>74083</xdr:rowOff>
    </xdr:to>
    <xdr:grpSp>
      <xdr:nvGrpSpPr>
        <xdr:cNvPr id="25" name="Group 24">
          <a:extLst>
            <a:ext uri="{FF2B5EF4-FFF2-40B4-BE49-F238E27FC236}">
              <a16:creationId xmlns:a16="http://schemas.microsoft.com/office/drawing/2014/main" id="{A5E2BC28-334D-D64C-63F3-FD9CF1D8F77C}"/>
            </a:ext>
          </a:extLst>
        </xdr:cNvPr>
        <xdr:cNvGrpSpPr/>
      </xdr:nvGrpSpPr>
      <xdr:grpSpPr>
        <a:xfrm>
          <a:off x="9232900" y="57150"/>
          <a:ext cx="1695450" cy="740833"/>
          <a:chOff x="3829050" y="82550"/>
          <a:chExt cx="1695450" cy="539750"/>
        </a:xfrm>
      </xdr:grpSpPr>
      <xdr:sp macro="" textlink="">
        <xdr:nvSpPr>
          <xdr:cNvPr id="26" name="Rectangle 25">
            <a:extLst>
              <a:ext uri="{FF2B5EF4-FFF2-40B4-BE49-F238E27FC236}">
                <a16:creationId xmlns:a16="http://schemas.microsoft.com/office/drawing/2014/main" id="{20C8A941-F686-2F55-356C-C620683D997F}"/>
              </a:ext>
            </a:extLst>
          </xdr:cNvPr>
          <xdr:cNvSpPr/>
        </xdr:nvSpPr>
        <xdr:spPr>
          <a:xfrm>
            <a:off x="3829050" y="82550"/>
            <a:ext cx="1695450" cy="539750"/>
          </a:xfrm>
          <a:prstGeom prst="rect">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pSp>
        <xdr:nvGrpSpPr>
          <xdr:cNvPr id="27" name="Group 26">
            <a:extLst>
              <a:ext uri="{FF2B5EF4-FFF2-40B4-BE49-F238E27FC236}">
                <a16:creationId xmlns:a16="http://schemas.microsoft.com/office/drawing/2014/main" id="{C5046508-99FA-11F0-F4EC-AEA62459F727}"/>
              </a:ext>
            </a:extLst>
          </xdr:cNvPr>
          <xdr:cNvGrpSpPr/>
        </xdr:nvGrpSpPr>
        <xdr:grpSpPr>
          <a:xfrm>
            <a:off x="3835400" y="95250"/>
            <a:ext cx="1473200" cy="406400"/>
            <a:chOff x="3835400" y="95250"/>
            <a:chExt cx="1473200" cy="406400"/>
          </a:xfrm>
        </xdr:grpSpPr>
        <xdr:sp macro="" textlink="">
          <xdr:nvSpPr>
            <xdr:cNvPr id="28" name="TextBox 27">
              <a:extLst>
                <a:ext uri="{FF2B5EF4-FFF2-40B4-BE49-F238E27FC236}">
                  <a16:creationId xmlns:a16="http://schemas.microsoft.com/office/drawing/2014/main" id="{3AA4570A-77C7-902B-A78C-D9421036F7C0}"/>
                </a:ext>
              </a:extLst>
            </xdr:cNvPr>
            <xdr:cNvSpPr txBox="1"/>
          </xdr:nvSpPr>
          <xdr:spPr>
            <a:xfrm>
              <a:off x="3962400" y="95250"/>
              <a:ext cx="1346200" cy="190500"/>
            </a:xfrm>
            <a:prstGeom prst="rect">
              <a:avLst/>
            </a:prstGeom>
            <a:solidFill>
              <a:schemeClr val="tx1">
                <a:lumMod val="75000"/>
                <a:lumOff val="2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GB" sz="1100">
                  <a:solidFill>
                    <a:schemeClr val="bg1"/>
                  </a:solidFill>
                  <a:latin typeface="Aptos Display" panose="020B0004020202020204" pitchFamily="34" charset="0"/>
                </a:rPr>
                <a:t>Operational</a:t>
              </a:r>
              <a:r>
                <a:rPr lang="en-GB" sz="1100" baseline="0">
                  <a:solidFill>
                    <a:schemeClr val="bg1"/>
                  </a:solidFill>
                  <a:latin typeface="Aptos Display" panose="020B0004020202020204" pitchFamily="34" charset="0"/>
                </a:rPr>
                <a:t> Cost</a:t>
              </a:r>
              <a:endParaRPr lang="en-GB" sz="1100">
                <a:solidFill>
                  <a:schemeClr val="bg1"/>
                </a:solidFill>
                <a:latin typeface="Aptos Display" panose="020B0004020202020204" pitchFamily="34" charset="0"/>
              </a:endParaRPr>
            </a:p>
          </xdr:txBody>
        </xdr:sp>
        <xdr:sp macro="" textlink="KPI!C12">
          <xdr:nvSpPr>
            <xdr:cNvPr id="29" name="TextBox 28">
              <a:extLst>
                <a:ext uri="{FF2B5EF4-FFF2-40B4-BE49-F238E27FC236}">
                  <a16:creationId xmlns:a16="http://schemas.microsoft.com/office/drawing/2014/main" id="{B40C57BC-1C7A-AFD4-4A7B-402D8AE79C2F}"/>
                </a:ext>
              </a:extLst>
            </xdr:cNvPr>
            <xdr:cNvSpPr txBox="1"/>
          </xdr:nvSpPr>
          <xdr:spPr>
            <a:xfrm>
              <a:off x="3956050" y="311150"/>
              <a:ext cx="134620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E30D3FB-1BA9-48EB-B9D7-64F3CB425090}" type="TxLink">
                <a:rPr lang="en-US" sz="1100" b="1" i="0" u="none" strike="noStrike">
                  <a:solidFill>
                    <a:schemeClr val="bg1"/>
                  </a:solidFill>
                  <a:latin typeface="Aptos Display"/>
                </a:rPr>
                <a:pPr algn="ctr"/>
                <a:t>15.47M</a:t>
              </a:fld>
              <a:endParaRPr lang="en-GB" sz="1200">
                <a:solidFill>
                  <a:schemeClr val="bg1"/>
                </a:solidFill>
              </a:endParaRPr>
            </a:p>
          </xdr:txBody>
        </xdr:sp>
        <xdr:pic>
          <xdr:nvPicPr>
            <xdr:cNvPr id="30" name="Picture 29" descr="Coins with solid fill">
              <a:extLst>
                <a:ext uri="{FF2B5EF4-FFF2-40B4-BE49-F238E27FC236}">
                  <a16:creationId xmlns:a16="http://schemas.microsoft.com/office/drawing/2014/main" id="{F9CD0EBA-DD79-076E-5743-847D7D89182C}"/>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rcRect/>
            <a:stretch/>
          </xdr:blipFill>
          <xdr:spPr>
            <a:xfrm>
              <a:off x="3835400" y="106434"/>
              <a:ext cx="273050" cy="273050"/>
            </a:xfrm>
            <a:prstGeom prst="rect">
              <a:avLst/>
            </a:prstGeom>
          </xdr:spPr>
        </xdr:pic>
      </xdr:grpSp>
    </xdr:grpSp>
    <xdr:clientData/>
  </xdr:twoCellAnchor>
  <xdr:twoCellAnchor>
    <xdr:from>
      <xdr:col>18</xdr:col>
      <xdr:colOff>1</xdr:colOff>
      <xdr:row>0</xdr:row>
      <xdr:rowOff>49283</xdr:rowOff>
    </xdr:from>
    <xdr:to>
      <xdr:col>20</xdr:col>
      <xdr:colOff>495300</xdr:colOff>
      <xdr:row>4</xdr:row>
      <xdr:rowOff>63499</xdr:rowOff>
    </xdr:to>
    <xdr:grpSp>
      <xdr:nvGrpSpPr>
        <xdr:cNvPr id="31" name="Group 30">
          <a:extLst>
            <a:ext uri="{FF2B5EF4-FFF2-40B4-BE49-F238E27FC236}">
              <a16:creationId xmlns:a16="http://schemas.microsoft.com/office/drawing/2014/main" id="{C4B2EB6F-4C78-959A-E4BE-D5242AC466D2}"/>
            </a:ext>
          </a:extLst>
        </xdr:cNvPr>
        <xdr:cNvGrpSpPr/>
      </xdr:nvGrpSpPr>
      <xdr:grpSpPr>
        <a:xfrm>
          <a:off x="10972801" y="49283"/>
          <a:ext cx="1714499" cy="738116"/>
          <a:chOff x="3810000" y="74684"/>
          <a:chExt cx="1714499" cy="547616"/>
        </a:xfrm>
      </xdr:grpSpPr>
      <xdr:sp macro="" textlink="">
        <xdr:nvSpPr>
          <xdr:cNvPr id="32" name="Rectangle 31">
            <a:extLst>
              <a:ext uri="{FF2B5EF4-FFF2-40B4-BE49-F238E27FC236}">
                <a16:creationId xmlns:a16="http://schemas.microsoft.com/office/drawing/2014/main" id="{A08B2340-0E43-ADB2-2137-BA6DDFE15169}"/>
              </a:ext>
            </a:extLst>
          </xdr:cNvPr>
          <xdr:cNvSpPr/>
        </xdr:nvSpPr>
        <xdr:spPr>
          <a:xfrm>
            <a:off x="3829049" y="82550"/>
            <a:ext cx="1695450" cy="539750"/>
          </a:xfrm>
          <a:prstGeom prst="rect">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pSp>
        <xdr:nvGrpSpPr>
          <xdr:cNvPr id="33" name="Group 32">
            <a:extLst>
              <a:ext uri="{FF2B5EF4-FFF2-40B4-BE49-F238E27FC236}">
                <a16:creationId xmlns:a16="http://schemas.microsoft.com/office/drawing/2014/main" id="{DED7B054-6929-BF84-B8D3-679E761A6091}"/>
              </a:ext>
            </a:extLst>
          </xdr:cNvPr>
          <xdr:cNvGrpSpPr/>
        </xdr:nvGrpSpPr>
        <xdr:grpSpPr>
          <a:xfrm>
            <a:off x="3810000" y="74684"/>
            <a:ext cx="1498600" cy="426966"/>
            <a:chOff x="3810000" y="74684"/>
            <a:chExt cx="1498600" cy="426966"/>
          </a:xfrm>
        </xdr:grpSpPr>
        <xdr:sp macro="" textlink="">
          <xdr:nvSpPr>
            <xdr:cNvPr id="34" name="TextBox 33">
              <a:extLst>
                <a:ext uri="{FF2B5EF4-FFF2-40B4-BE49-F238E27FC236}">
                  <a16:creationId xmlns:a16="http://schemas.microsoft.com/office/drawing/2014/main" id="{02C341B4-5649-13BA-DDF9-15BC6031A325}"/>
                </a:ext>
              </a:extLst>
            </xdr:cNvPr>
            <xdr:cNvSpPr txBox="1"/>
          </xdr:nvSpPr>
          <xdr:spPr>
            <a:xfrm>
              <a:off x="3962400" y="95250"/>
              <a:ext cx="1346200" cy="190500"/>
            </a:xfrm>
            <a:prstGeom prst="rect">
              <a:avLst/>
            </a:prstGeom>
            <a:solidFill>
              <a:schemeClr val="tx1">
                <a:lumMod val="75000"/>
                <a:lumOff val="2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100" b="0">
                  <a:solidFill>
                    <a:schemeClr val="bg1"/>
                  </a:solidFill>
                  <a:latin typeface="Aptos Display" panose="020B0004020202020204" pitchFamily="34" charset="0"/>
                </a:rPr>
                <a:t>Total Profit</a:t>
              </a:r>
            </a:p>
          </xdr:txBody>
        </xdr:sp>
        <xdr:sp macro="" textlink="KPI!C13">
          <xdr:nvSpPr>
            <xdr:cNvPr id="35" name="TextBox 34">
              <a:extLst>
                <a:ext uri="{FF2B5EF4-FFF2-40B4-BE49-F238E27FC236}">
                  <a16:creationId xmlns:a16="http://schemas.microsoft.com/office/drawing/2014/main" id="{B9D10BF1-D73D-991A-0F83-91EA98207C10}"/>
                </a:ext>
              </a:extLst>
            </xdr:cNvPr>
            <xdr:cNvSpPr txBox="1"/>
          </xdr:nvSpPr>
          <xdr:spPr>
            <a:xfrm>
              <a:off x="3956050" y="311150"/>
              <a:ext cx="134620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B0CCD81-3B3C-44C4-ABC1-F9DBEC47DB54}" type="TxLink">
                <a:rPr lang="en-US" sz="1100" b="1" i="0" u="none" strike="noStrike">
                  <a:solidFill>
                    <a:schemeClr val="bg1"/>
                  </a:solidFill>
                  <a:latin typeface="Aptos Display"/>
                </a:rPr>
                <a:pPr algn="ctr"/>
                <a:t>7.35M</a:t>
              </a:fld>
              <a:endParaRPr lang="en-GB" sz="1200">
                <a:solidFill>
                  <a:schemeClr val="bg1"/>
                </a:solidFill>
              </a:endParaRPr>
            </a:p>
          </xdr:txBody>
        </xdr:sp>
        <xdr:pic>
          <xdr:nvPicPr>
            <xdr:cNvPr id="36" name="Picture 35" descr="Upward trend outline">
              <a:extLst>
                <a:ext uri="{FF2B5EF4-FFF2-40B4-BE49-F238E27FC236}">
                  <a16:creationId xmlns:a16="http://schemas.microsoft.com/office/drawing/2014/main" id="{02667056-D16B-765E-28C5-3CBE8E0AE28A}"/>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rcRect/>
            <a:stretch/>
          </xdr:blipFill>
          <xdr:spPr>
            <a:xfrm>
              <a:off x="3810000" y="74684"/>
              <a:ext cx="273050" cy="273050"/>
            </a:xfrm>
            <a:prstGeom prst="rect">
              <a:avLst/>
            </a:prstGeom>
          </xdr:spPr>
        </xdr:pic>
      </xdr:grpSp>
    </xdr:grpSp>
    <xdr:clientData/>
  </xdr:twoCellAnchor>
  <xdr:twoCellAnchor>
    <xdr:from>
      <xdr:col>7</xdr:col>
      <xdr:colOff>264584</xdr:colOff>
      <xdr:row>7</xdr:row>
      <xdr:rowOff>0</xdr:rowOff>
    </xdr:from>
    <xdr:to>
      <xdr:col>10</xdr:col>
      <xdr:colOff>116417</xdr:colOff>
      <xdr:row>10</xdr:row>
      <xdr:rowOff>137582</xdr:rowOff>
    </xdr:to>
    <xdr:grpSp>
      <xdr:nvGrpSpPr>
        <xdr:cNvPr id="37" name="Group 36">
          <a:extLst>
            <a:ext uri="{FF2B5EF4-FFF2-40B4-BE49-F238E27FC236}">
              <a16:creationId xmlns:a16="http://schemas.microsoft.com/office/drawing/2014/main" id="{A43EF8D1-0A11-3D56-1F27-DD4A16A3F488}"/>
            </a:ext>
          </a:extLst>
        </xdr:cNvPr>
        <xdr:cNvGrpSpPr/>
      </xdr:nvGrpSpPr>
      <xdr:grpSpPr>
        <a:xfrm>
          <a:off x="4531784" y="1266825"/>
          <a:ext cx="1680633" cy="680507"/>
          <a:chOff x="3829050" y="82550"/>
          <a:chExt cx="1695450" cy="539750"/>
        </a:xfrm>
      </xdr:grpSpPr>
      <xdr:sp macro="" textlink="">
        <xdr:nvSpPr>
          <xdr:cNvPr id="38" name="Rectangle 37">
            <a:extLst>
              <a:ext uri="{FF2B5EF4-FFF2-40B4-BE49-F238E27FC236}">
                <a16:creationId xmlns:a16="http://schemas.microsoft.com/office/drawing/2014/main" id="{0D6CE595-7115-BC1F-3BDC-AC15491C9FC1}"/>
              </a:ext>
            </a:extLst>
          </xdr:cNvPr>
          <xdr:cNvSpPr/>
        </xdr:nvSpPr>
        <xdr:spPr>
          <a:xfrm>
            <a:off x="3829050" y="82550"/>
            <a:ext cx="1695450" cy="539750"/>
          </a:xfrm>
          <a:prstGeom prst="rect">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pSp>
        <xdr:nvGrpSpPr>
          <xdr:cNvPr id="39" name="Group 38">
            <a:extLst>
              <a:ext uri="{FF2B5EF4-FFF2-40B4-BE49-F238E27FC236}">
                <a16:creationId xmlns:a16="http://schemas.microsoft.com/office/drawing/2014/main" id="{6D2F2A4A-81E1-B519-8809-8F969DC00DE9}"/>
              </a:ext>
            </a:extLst>
          </xdr:cNvPr>
          <xdr:cNvGrpSpPr/>
        </xdr:nvGrpSpPr>
        <xdr:grpSpPr>
          <a:xfrm>
            <a:off x="3848100" y="95250"/>
            <a:ext cx="1460500" cy="468384"/>
            <a:chOff x="3848100" y="95250"/>
            <a:chExt cx="1460500" cy="468384"/>
          </a:xfrm>
        </xdr:grpSpPr>
        <xdr:sp macro="" textlink="">
          <xdr:nvSpPr>
            <xdr:cNvPr id="40" name="TextBox 39">
              <a:extLst>
                <a:ext uri="{FF2B5EF4-FFF2-40B4-BE49-F238E27FC236}">
                  <a16:creationId xmlns:a16="http://schemas.microsoft.com/office/drawing/2014/main" id="{51EA65AA-BE57-1B94-C55D-50FE1D3D3E7C}"/>
                </a:ext>
              </a:extLst>
            </xdr:cNvPr>
            <xdr:cNvSpPr txBox="1"/>
          </xdr:nvSpPr>
          <xdr:spPr>
            <a:xfrm>
              <a:off x="3962400" y="95250"/>
              <a:ext cx="1346200" cy="190500"/>
            </a:xfrm>
            <a:prstGeom prst="rect">
              <a:avLst/>
            </a:prstGeom>
            <a:solidFill>
              <a:schemeClr val="tx1">
                <a:lumMod val="75000"/>
                <a:lumOff val="2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GB" sz="1100">
                  <a:solidFill>
                    <a:schemeClr val="bg1"/>
                  </a:solidFill>
                  <a:latin typeface="Aptos Display" panose="020B0004020202020204" pitchFamily="34" charset="0"/>
                </a:rPr>
                <a:t>Total Appointments</a:t>
              </a:r>
            </a:p>
          </xdr:txBody>
        </xdr:sp>
        <xdr:sp macro="" textlink="Pivots!A9">
          <xdr:nvSpPr>
            <xdr:cNvPr id="41" name="TextBox 40">
              <a:extLst>
                <a:ext uri="{FF2B5EF4-FFF2-40B4-BE49-F238E27FC236}">
                  <a16:creationId xmlns:a16="http://schemas.microsoft.com/office/drawing/2014/main" id="{411775B0-CA4D-5465-F40D-A104CE957A10}"/>
                </a:ext>
              </a:extLst>
            </xdr:cNvPr>
            <xdr:cNvSpPr txBox="1"/>
          </xdr:nvSpPr>
          <xdr:spPr>
            <a:xfrm>
              <a:off x="3956050" y="311150"/>
              <a:ext cx="134620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BF2AF17-B720-45F0-B8DC-23C2332BECE8}" type="TxLink">
                <a:rPr lang="en-US" sz="1400" b="1" i="0" u="none" strike="noStrike">
                  <a:solidFill>
                    <a:schemeClr val="bg1"/>
                  </a:solidFill>
                  <a:latin typeface="Calibri"/>
                  <a:ea typeface="Calibri"/>
                  <a:cs typeface="Calibri"/>
                </a:rPr>
                <a:pPr algn="ctr"/>
                <a:t>Cardio</a:t>
              </a:fld>
              <a:endParaRPr lang="en-US" sz="1400" b="1" i="0" u="none" strike="noStrike">
                <a:solidFill>
                  <a:schemeClr val="bg1"/>
                </a:solidFill>
                <a:latin typeface="Aptos Display"/>
              </a:endParaRPr>
            </a:p>
          </xdr:txBody>
        </xdr:sp>
        <xdr:pic>
          <xdr:nvPicPr>
            <xdr:cNvPr id="42" name="Picture 41" descr="Heart organ with solid fill">
              <a:extLst>
                <a:ext uri="{FF2B5EF4-FFF2-40B4-BE49-F238E27FC236}">
                  <a16:creationId xmlns:a16="http://schemas.microsoft.com/office/drawing/2014/main" id="{3A5A7272-A02D-4871-FB43-D86E62A03192}"/>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rcRect/>
            <a:stretch/>
          </xdr:blipFill>
          <xdr:spPr>
            <a:xfrm>
              <a:off x="3848100" y="290584"/>
              <a:ext cx="273050" cy="273050"/>
            </a:xfrm>
            <a:prstGeom prst="rect">
              <a:avLst/>
            </a:prstGeom>
          </xdr:spPr>
        </xdr:pic>
      </xdr:grpSp>
    </xdr:grpSp>
    <xdr:clientData/>
  </xdr:twoCellAnchor>
  <xdr:twoCellAnchor>
    <xdr:from>
      <xdr:col>4</xdr:col>
      <xdr:colOff>148167</xdr:colOff>
      <xdr:row>6</xdr:row>
      <xdr:rowOff>169333</xdr:rowOff>
    </xdr:from>
    <xdr:to>
      <xdr:col>7</xdr:col>
      <xdr:colOff>222250</xdr:colOff>
      <xdr:row>10</xdr:row>
      <xdr:rowOff>158749</xdr:rowOff>
    </xdr:to>
    <xdr:grpSp>
      <xdr:nvGrpSpPr>
        <xdr:cNvPr id="43" name="Group 42">
          <a:extLst>
            <a:ext uri="{FF2B5EF4-FFF2-40B4-BE49-F238E27FC236}">
              <a16:creationId xmlns:a16="http://schemas.microsoft.com/office/drawing/2014/main" id="{871328C7-D69B-7BB3-60A6-EBB30AD2C3EE}"/>
            </a:ext>
          </a:extLst>
        </xdr:cNvPr>
        <xdr:cNvGrpSpPr/>
      </xdr:nvGrpSpPr>
      <xdr:grpSpPr>
        <a:xfrm>
          <a:off x="2586567" y="1255183"/>
          <a:ext cx="1902883" cy="713316"/>
          <a:chOff x="3829050" y="82550"/>
          <a:chExt cx="1695450" cy="539750"/>
        </a:xfrm>
      </xdr:grpSpPr>
      <xdr:sp macro="" textlink="">
        <xdr:nvSpPr>
          <xdr:cNvPr id="44" name="Rectangle 43">
            <a:extLst>
              <a:ext uri="{FF2B5EF4-FFF2-40B4-BE49-F238E27FC236}">
                <a16:creationId xmlns:a16="http://schemas.microsoft.com/office/drawing/2014/main" id="{513E2325-5538-7357-80D0-D1203C59490D}"/>
              </a:ext>
            </a:extLst>
          </xdr:cNvPr>
          <xdr:cNvSpPr/>
        </xdr:nvSpPr>
        <xdr:spPr>
          <a:xfrm>
            <a:off x="3829050" y="82550"/>
            <a:ext cx="1695450" cy="539750"/>
          </a:xfrm>
          <a:prstGeom prst="rect">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pSp>
        <xdr:nvGrpSpPr>
          <xdr:cNvPr id="45" name="Group 44">
            <a:extLst>
              <a:ext uri="{FF2B5EF4-FFF2-40B4-BE49-F238E27FC236}">
                <a16:creationId xmlns:a16="http://schemas.microsoft.com/office/drawing/2014/main" id="{90ABE5DE-0FF3-8068-68ED-274C94D92B9F}"/>
              </a:ext>
            </a:extLst>
          </xdr:cNvPr>
          <xdr:cNvGrpSpPr/>
        </xdr:nvGrpSpPr>
        <xdr:grpSpPr>
          <a:xfrm>
            <a:off x="3848100" y="95250"/>
            <a:ext cx="1460500" cy="468384"/>
            <a:chOff x="3848100" y="95250"/>
            <a:chExt cx="1460500" cy="468384"/>
          </a:xfrm>
        </xdr:grpSpPr>
        <xdr:sp macro="" textlink="">
          <xdr:nvSpPr>
            <xdr:cNvPr id="46" name="TextBox 45">
              <a:extLst>
                <a:ext uri="{FF2B5EF4-FFF2-40B4-BE49-F238E27FC236}">
                  <a16:creationId xmlns:a16="http://schemas.microsoft.com/office/drawing/2014/main" id="{57C57084-5F4A-A391-D0D5-56A91A6B2DF9}"/>
                </a:ext>
              </a:extLst>
            </xdr:cNvPr>
            <xdr:cNvSpPr txBox="1"/>
          </xdr:nvSpPr>
          <xdr:spPr>
            <a:xfrm>
              <a:off x="3962400" y="95250"/>
              <a:ext cx="1346200" cy="190500"/>
            </a:xfrm>
            <a:prstGeom prst="rect">
              <a:avLst/>
            </a:prstGeom>
            <a:solidFill>
              <a:schemeClr val="tx1">
                <a:lumMod val="75000"/>
                <a:lumOff val="2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GB" sz="1100">
                  <a:solidFill>
                    <a:schemeClr val="bg1"/>
                  </a:solidFill>
                  <a:latin typeface="Aptos Display" panose="020B0004020202020204" pitchFamily="34" charset="0"/>
                </a:rPr>
                <a:t>Total Staff</a:t>
              </a:r>
              <a:r>
                <a:rPr lang="en-GB" sz="1100" baseline="0">
                  <a:solidFill>
                    <a:schemeClr val="bg1"/>
                  </a:solidFill>
                  <a:latin typeface="Aptos Display" panose="020B0004020202020204" pitchFamily="34" charset="0"/>
                </a:rPr>
                <a:t> Overtime</a:t>
              </a:r>
              <a:endParaRPr lang="en-GB" sz="1100">
                <a:solidFill>
                  <a:schemeClr val="bg1"/>
                </a:solidFill>
                <a:latin typeface="Aptos Display" panose="020B0004020202020204" pitchFamily="34" charset="0"/>
              </a:endParaRPr>
            </a:p>
          </xdr:txBody>
        </xdr:sp>
        <xdr:sp macro="" textlink="KPI!C14">
          <xdr:nvSpPr>
            <xdr:cNvPr id="47" name="TextBox 46">
              <a:extLst>
                <a:ext uri="{FF2B5EF4-FFF2-40B4-BE49-F238E27FC236}">
                  <a16:creationId xmlns:a16="http://schemas.microsoft.com/office/drawing/2014/main" id="{516F1C7B-46D0-8BBB-FB8B-5B396FEE58A9}"/>
                </a:ext>
              </a:extLst>
            </xdr:cNvPr>
            <xdr:cNvSpPr txBox="1"/>
          </xdr:nvSpPr>
          <xdr:spPr>
            <a:xfrm>
              <a:off x="3956050" y="311150"/>
              <a:ext cx="134620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57FCE5E-9BEC-44E2-A747-904F7C97EA75}" type="TxLink">
                <a:rPr lang="en-US" sz="1100" b="1" i="0" u="none" strike="noStrike">
                  <a:solidFill>
                    <a:schemeClr val="bg1"/>
                  </a:solidFill>
                  <a:latin typeface="Aptos Display"/>
                </a:rPr>
                <a:pPr algn="ctr"/>
                <a:t> 21,025.40 </a:t>
              </a:fld>
              <a:r>
                <a:rPr lang="en-US" sz="1100" b="1" i="0" u="none" strike="noStrike">
                  <a:solidFill>
                    <a:schemeClr val="bg1"/>
                  </a:solidFill>
                  <a:latin typeface="Aptos Display"/>
                </a:rPr>
                <a:t>Hours</a:t>
              </a:r>
              <a:endParaRPr lang="en-GB" sz="1100">
                <a:solidFill>
                  <a:schemeClr val="bg1"/>
                </a:solidFill>
              </a:endParaRPr>
            </a:p>
          </xdr:txBody>
        </xdr:sp>
        <xdr:pic>
          <xdr:nvPicPr>
            <xdr:cNvPr id="48" name="Picture 47" descr="Run with solid fill">
              <a:extLst>
                <a:ext uri="{FF2B5EF4-FFF2-40B4-BE49-F238E27FC236}">
                  <a16:creationId xmlns:a16="http://schemas.microsoft.com/office/drawing/2014/main" id="{B9698C45-8114-9688-2DF3-B4C8E7CE91B0}"/>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rcRect/>
            <a:stretch/>
          </xdr:blipFill>
          <xdr:spPr>
            <a:xfrm>
              <a:off x="3848100" y="290584"/>
              <a:ext cx="273050" cy="273050"/>
            </a:xfrm>
            <a:prstGeom prst="rect">
              <a:avLst/>
            </a:prstGeom>
          </xdr:spPr>
        </xdr:pic>
      </xdr:grpSp>
    </xdr:grpSp>
    <xdr:clientData/>
  </xdr:twoCellAnchor>
  <xdr:twoCellAnchor>
    <xdr:from>
      <xdr:col>4</xdr:col>
      <xdr:colOff>127001</xdr:colOff>
      <xdr:row>11</xdr:row>
      <xdr:rowOff>74083</xdr:rowOff>
    </xdr:from>
    <xdr:to>
      <xdr:col>10</xdr:col>
      <xdr:colOff>95251</xdr:colOff>
      <xdr:row>21</xdr:row>
      <xdr:rowOff>176389</xdr:rowOff>
    </xdr:to>
    <xdr:graphicFrame macro="">
      <xdr:nvGraphicFramePr>
        <xdr:cNvPr id="6" name="Chart 5">
          <a:extLst>
            <a:ext uri="{FF2B5EF4-FFF2-40B4-BE49-F238E27FC236}">
              <a16:creationId xmlns:a16="http://schemas.microsoft.com/office/drawing/2014/main" id="{2FE914A5-12DB-4E2D-B3E2-26DACCCAAC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xdr:col>
      <xdr:colOff>137585</xdr:colOff>
      <xdr:row>22</xdr:row>
      <xdr:rowOff>35278</xdr:rowOff>
    </xdr:from>
    <xdr:to>
      <xdr:col>10</xdr:col>
      <xdr:colOff>95251</xdr:colOff>
      <xdr:row>32</xdr:row>
      <xdr:rowOff>84668</xdr:rowOff>
    </xdr:to>
    <xdr:graphicFrame macro="">
      <xdr:nvGraphicFramePr>
        <xdr:cNvPr id="7" name="Chart 6">
          <a:extLst>
            <a:ext uri="{FF2B5EF4-FFF2-40B4-BE49-F238E27FC236}">
              <a16:creationId xmlns:a16="http://schemas.microsoft.com/office/drawing/2014/main" id="{988586EC-671D-471C-AB69-7ADB06BB9A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10</xdr:col>
      <xdr:colOff>169335</xdr:colOff>
      <xdr:row>7</xdr:row>
      <xdr:rowOff>52916</xdr:rowOff>
    </xdr:from>
    <xdr:to>
      <xdr:col>13</xdr:col>
      <xdr:colOff>522112</xdr:colOff>
      <xdr:row>32</xdr:row>
      <xdr:rowOff>63500</xdr:rowOff>
    </xdr:to>
    <xdr:graphicFrame macro="">
      <xdr:nvGraphicFramePr>
        <xdr:cNvPr id="9" name="Chart 8">
          <a:extLst>
            <a:ext uri="{FF2B5EF4-FFF2-40B4-BE49-F238E27FC236}">
              <a16:creationId xmlns:a16="http://schemas.microsoft.com/office/drawing/2014/main" id="{2FC6C498-93B9-45AF-B544-359E74F981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13</xdr:col>
      <xdr:colOff>585612</xdr:colOff>
      <xdr:row>19</xdr:row>
      <xdr:rowOff>31750</xdr:rowOff>
    </xdr:from>
    <xdr:to>
      <xdr:col>17</xdr:col>
      <xdr:colOff>373945</xdr:colOff>
      <xdr:row>32</xdr:row>
      <xdr:rowOff>74084</xdr:rowOff>
    </xdr:to>
    <xdr:graphicFrame macro="">
      <xdr:nvGraphicFramePr>
        <xdr:cNvPr id="12" name="Chart 11">
          <a:extLst>
            <a:ext uri="{FF2B5EF4-FFF2-40B4-BE49-F238E27FC236}">
              <a16:creationId xmlns:a16="http://schemas.microsoft.com/office/drawing/2014/main" id="{6493FFD6-63DE-4340-8CFA-9DAE1988D1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17</xdr:col>
      <xdr:colOff>444500</xdr:colOff>
      <xdr:row>19</xdr:row>
      <xdr:rowOff>31750</xdr:rowOff>
    </xdr:from>
    <xdr:to>
      <xdr:col>20</xdr:col>
      <xdr:colOff>450851</xdr:colOff>
      <xdr:row>32</xdr:row>
      <xdr:rowOff>74084</xdr:rowOff>
    </xdr:to>
    <xdr:graphicFrame macro="">
      <xdr:nvGraphicFramePr>
        <xdr:cNvPr id="13" name="Chart 12">
          <a:extLst>
            <a:ext uri="{FF2B5EF4-FFF2-40B4-BE49-F238E27FC236}">
              <a16:creationId xmlns:a16="http://schemas.microsoft.com/office/drawing/2014/main" id="{4FDE71CE-4F7E-4B81-AFAA-83968DDA91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13</xdr:col>
      <xdr:colOff>585611</xdr:colOff>
      <xdr:row>7</xdr:row>
      <xdr:rowOff>55032</xdr:rowOff>
    </xdr:from>
    <xdr:to>
      <xdr:col>20</xdr:col>
      <xdr:colOff>452968</xdr:colOff>
      <xdr:row>18</xdr:row>
      <xdr:rowOff>156633</xdr:rowOff>
    </xdr:to>
    <xdr:graphicFrame macro="">
      <xdr:nvGraphicFramePr>
        <xdr:cNvPr id="14" name="Chart 13">
          <a:extLst>
            <a:ext uri="{FF2B5EF4-FFF2-40B4-BE49-F238E27FC236}">
              <a16:creationId xmlns:a16="http://schemas.microsoft.com/office/drawing/2014/main" id="{8C1A8BF6-A2B5-46DB-BB07-E6F0093A5E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oneCell">
    <xdr:from>
      <xdr:col>1</xdr:col>
      <xdr:colOff>2117</xdr:colOff>
      <xdr:row>12</xdr:row>
      <xdr:rowOff>67028</xdr:rowOff>
    </xdr:from>
    <xdr:to>
      <xdr:col>4</xdr:col>
      <xdr:colOff>2116</xdr:colOff>
      <xdr:row>19</xdr:row>
      <xdr:rowOff>18345</xdr:rowOff>
    </xdr:to>
    <mc:AlternateContent xmlns:mc="http://schemas.openxmlformats.org/markup-compatibility/2006" xmlns:a14="http://schemas.microsoft.com/office/drawing/2010/main">
      <mc:Choice Requires="a14">
        <xdr:graphicFrame macro="">
          <xdr:nvGraphicFramePr>
            <xdr:cNvPr id="15" name="MD_Short">
              <a:extLst>
                <a:ext uri="{FF2B5EF4-FFF2-40B4-BE49-F238E27FC236}">
                  <a16:creationId xmlns:a16="http://schemas.microsoft.com/office/drawing/2014/main" id="{A87539E6-0E5E-4954-B446-5A31F235141C}"/>
                </a:ext>
              </a:extLst>
            </xdr:cNvPr>
            <xdr:cNvGraphicFramePr/>
          </xdr:nvGraphicFramePr>
          <xdr:xfrm>
            <a:off x="0" y="0"/>
            <a:ext cx="0" cy="0"/>
          </xdr:xfrm>
          <a:graphic>
            <a:graphicData uri="http://schemas.microsoft.com/office/drawing/2010/slicer">
              <sle:slicer xmlns:sle="http://schemas.microsoft.com/office/drawing/2010/slicer" name="MD_Short"/>
            </a:graphicData>
          </a:graphic>
        </xdr:graphicFrame>
      </mc:Choice>
      <mc:Fallback xmlns="">
        <xdr:sp macro="" textlink="">
          <xdr:nvSpPr>
            <xdr:cNvPr id="0" name=""/>
            <xdr:cNvSpPr>
              <a:spLocks noTextEdit="1"/>
            </xdr:cNvSpPr>
          </xdr:nvSpPr>
          <xdr:spPr>
            <a:xfrm>
              <a:off x="611717" y="2302228"/>
              <a:ext cx="1828799" cy="125518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21168</xdr:colOff>
      <xdr:row>7</xdr:row>
      <xdr:rowOff>59266</xdr:rowOff>
    </xdr:from>
    <xdr:to>
      <xdr:col>3</xdr:col>
      <xdr:colOff>601134</xdr:colOff>
      <xdr:row>11</xdr:row>
      <xdr:rowOff>16934</xdr:rowOff>
    </xdr:to>
    <mc:AlternateContent xmlns:mc="http://schemas.openxmlformats.org/markup-compatibility/2006" xmlns:a14="http://schemas.microsoft.com/office/drawing/2010/main">
      <mc:Choice Requires="a14">
        <xdr:graphicFrame macro="">
          <xdr:nvGraphicFramePr>
            <xdr:cNvPr id="49" name="Date_Year">
              <a:extLst>
                <a:ext uri="{FF2B5EF4-FFF2-40B4-BE49-F238E27FC236}">
                  <a16:creationId xmlns:a16="http://schemas.microsoft.com/office/drawing/2014/main" id="{28A26E5B-39D5-479C-9701-E3E8EB4924D4}"/>
                </a:ext>
              </a:extLst>
            </xdr:cNvPr>
            <xdr:cNvGraphicFramePr/>
          </xdr:nvGraphicFramePr>
          <xdr:xfrm>
            <a:off x="0" y="0"/>
            <a:ext cx="0" cy="0"/>
          </xdr:xfrm>
          <a:graphic>
            <a:graphicData uri="http://schemas.microsoft.com/office/drawing/2010/slicer">
              <sle:slicer xmlns:sle="http://schemas.microsoft.com/office/drawing/2010/slicer" name="Date_Year"/>
            </a:graphicData>
          </a:graphic>
        </xdr:graphicFrame>
      </mc:Choice>
      <mc:Fallback xmlns="">
        <xdr:sp macro="" textlink="">
          <xdr:nvSpPr>
            <xdr:cNvPr id="0" name=""/>
            <xdr:cNvSpPr>
              <a:spLocks noTextEdit="1"/>
            </xdr:cNvSpPr>
          </xdr:nvSpPr>
          <xdr:spPr>
            <a:xfrm>
              <a:off x="630768" y="1363133"/>
              <a:ext cx="1799166" cy="70273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8467</xdr:colOff>
      <xdr:row>20</xdr:row>
      <xdr:rowOff>68440</xdr:rowOff>
    </xdr:from>
    <xdr:to>
      <xdr:col>3</xdr:col>
      <xdr:colOff>603248</xdr:colOff>
      <xdr:row>25</xdr:row>
      <xdr:rowOff>102306</xdr:rowOff>
    </xdr:to>
    <mc:AlternateContent xmlns:mc="http://schemas.openxmlformats.org/markup-compatibility/2006" xmlns:a14="http://schemas.microsoft.com/office/drawing/2010/main">
      <mc:Choice Requires="a14">
        <xdr:graphicFrame macro="">
          <xdr:nvGraphicFramePr>
            <xdr:cNvPr id="50" name="Age_Group_Class">
              <a:extLst>
                <a:ext uri="{FF2B5EF4-FFF2-40B4-BE49-F238E27FC236}">
                  <a16:creationId xmlns:a16="http://schemas.microsoft.com/office/drawing/2014/main" id="{FBF88EEF-1D53-4B03-B94F-361EFBE477C2}"/>
                </a:ext>
              </a:extLst>
            </xdr:cNvPr>
            <xdr:cNvGraphicFramePr/>
          </xdr:nvGraphicFramePr>
          <xdr:xfrm>
            <a:off x="0" y="0"/>
            <a:ext cx="0" cy="0"/>
          </xdr:xfrm>
          <a:graphic>
            <a:graphicData uri="http://schemas.microsoft.com/office/drawing/2010/slicer">
              <sle:slicer xmlns:sle="http://schemas.microsoft.com/office/drawing/2010/slicer" name="Age_Group_Class"/>
            </a:graphicData>
          </a:graphic>
        </xdr:graphicFrame>
      </mc:Choice>
      <mc:Fallback xmlns="">
        <xdr:sp macro="" textlink="">
          <xdr:nvSpPr>
            <xdr:cNvPr id="0" name=""/>
            <xdr:cNvSpPr>
              <a:spLocks noTextEdit="1"/>
            </xdr:cNvSpPr>
          </xdr:nvSpPr>
          <xdr:spPr>
            <a:xfrm>
              <a:off x="618067" y="3793773"/>
              <a:ext cx="1813981" cy="9652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8466</xdr:colOff>
      <xdr:row>26</xdr:row>
      <xdr:rowOff>152400</xdr:rowOff>
    </xdr:from>
    <xdr:to>
      <xdr:col>3</xdr:col>
      <xdr:colOff>586315</xdr:colOff>
      <xdr:row>32</xdr:row>
      <xdr:rowOff>124620</xdr:rowOff>
    </xdr:to>
    <mc:AlternateContent xmlns:mc="http://schemas.openxmlformats.org/markup-compatibility/2006" xmlns:a14="http://schemas.microsoft.com/office/drawing/2010/main">
      <mc:Choice Requires="a14">
        <xdr:graphicFrame macro="">
          <xdr:nvGraphicFramePr>
            <xdr:cNvPr id="51" name="Risk_Tier">
              <a:extLst>
                <a:ext uri="{FF2B5EF4-FFF2-40B4-BE49-F238E27FC236}">
                  <a16:creationId xmlns:a16="http://schemas.microsoft.com/office/drawing/2014/main" id="{2C3983AA-F907-4E04-8833-8A824CE24FF3}"/>
                </a:ext>
              </a:extLst>
            </xdr:cNvPr>
            <xdr:cNvGraphicFramePr/>
          </xdr:nvGraphicFramePr>
          <xdr:xfrm>
            <a:off x="0" y="0"/>
            <a:ext cx="0" cy="0"/>
          </xdr:xfrm>
          <a:graphic>
            <a:graphicData uri="http://schemas.microsoft.com/office/drawing/2010/slicer">
              <sle:slicer xmlns:sle="http://schemas.microsoft.com/office/drawing/2010/slicer" name="Risk_Tier"/>
            </a:graphicData>
          </a:graphic>
        </xdr:graphicFrame>
      </mc:Choice>
      <mc:Fallback xmlns="">
        <xdr:sp macro="" textlink="">
          <xdr:nvSpPr>
            <xdr:cNvPr id="0" name=""/>
            <xdr:cNvSpPr>
              <a:spLocks noTextEdit="1"/>
            </xdr:cNvSpPr>
          </xdr:nvSpPr>
          <xdr:spPr>
            <a:xfrm>
              <a:off x="618066" y="4995333"/>
              <a:ext cx="1797049" cy="108982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2</xdr:col>
      <xdr:colOff>359833</xdr:colOff>
      <xdr:row>0</xdr:row>
      <xdr:rowOff>0</xdr:rowOff>
    </xdr:from>
    <xdr:ext cx="4042832" cy="772583"/>
    <xdr:sp macro="" textlink="">
      <xdr:nvSpPr>
        <xdr:cNvPr id="53" name="TextBox 52">
          <a:extLst>
            <a:ext uri="{FF2B5EF4-FFF2-40B4-BE49-F238E27FC236}">
              <a16:creationId xmlns:a16="http://schemas.microsoft.com/office/drawing/2014/main" id="{8D152D60-9457-0379-5A28-D8CD032262EA}"/>
            </a:ext>
          </a:extLst>
        </xdr:cNvPr>
        <xdr:cNvSpPr txBox="1"/>
      </xdr:nvSpPr>
      <xdr:spPr>
        <a:xfrm>
          <a:off x="1587500" y="0"/>
          <a:ext cx="4042832" cy="7725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lang="en-GB" sz="2000" b="1"/>
            <a:t>NOVAHEALTH EXECUTIVE </a:t>
          </a:r>
        </a:p>
        <a:p>
          <a:pPr algn="ctr"/>
          <a:r>
            <a:rPr lang="en-GB" sz="2000" b="1"/>
            <a:t>PERFORMANCE DASHBOARD</a:t>
          </a:r>
        </a:p>
      </xdr:txBody>
    </xdr:sp>
    <xdr:clientData/>
  </xdr:oneCellAnchor>
  <xdr:twoCellAnchor editAs="oneCell">
    <xdr:from>
      <xdr:col>2</xdr:col>
      <xdr:colOff>328083</xdr:colOff>
      <xdr:row>4</xdr:row>
      <xdr:rowOff>93133</xdr:rowOff>
    </xdr:from>
    <xdr:to>
      <xdr:col>13</xdr:col>
      <xdr:colOff>187311</xdr:colOff>
      <xdr:row>6</xdr:row>
      <xdr:rowOff>110067</xdr:rowOff>
    </xdr:to>
    <mc:AlternateContent xmlns:mc="http://schemas.openxmlformats.org/markup-compatibility/2006" xmlns:a14="http://schemas.microsoft.com/office/drawing/2010/main">
      <mc:Choice Requires="a14">
        <xdr:graphicFrame macro="">
          <xdr:nvGraphicFramePr>
            <xdr:cNvPr id="52" name="Short_Month">
              <a:extLst>
                <a:ext uri="{FF2B5EF4-FFF2-40B4-BE49-F238E27FC236}">
                  <a16:creationId xmlns:a16="http://schemas.microsoft.com/office/drawing/2014/main" id="{ABFA2586-5F06-4C7F-8474-6D3AF1271C13}"/>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Short_Month"/>
            </a:graphicData>
          </a:graphic>
        </xdr:graphicFrame>
      </mc:Choice>
      <mc:Fallback xmlns="">
        <xdr:sp macro="" textlink="">
          <xdr:nvSpPr>
            <xdr:cNvPr id="0" name=""/>
            <xdr:cNvSpPr>
              <a:spLocks noTextEdit="1"/>
            </xdr:cNvSpPr>
          </xdr:nvSpPr>
          <xdr:spPr>
            <a:xfrm>
              <a:off x="1541639" y="892527"/>
              <a:ext cx="6533783" cy="360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0</xdr:col>
      <xdr:colOff>105833</xdr:colOff>
      <xdr:row>0</xdr:row>
      <xdr:rowOff>95250</xdr:rowOff>
    </xdr:from>
    <xdr:ext cx="1344084" cy="1132417"/>
    <xdr:pic>
      <xdr:nvPicPr>
        <xdr:cNvPr id="54" name="image1.png" title="Image">
          <a:extLst>
            <a:ext uri="{FF2B5EF4-FFF2-40B4-BE49-F238E27FC236}">
              <a16:creationId xmlns:a16="http://schemas.microsoft.com/office/drawing/2014/main" id="{6E4CFFCC-8569-4983-947F-24520C661006}"/>
            </a:ext>
          </a:extLst>
        </xdr:cNvPr>
        <xdr:cNvPicPr preferRelativeResize="0"/>
      </xdr:nvPicPr>
      <xdr:blipFill>
        <a:blip xmlns:r="http://schemas.openxmlformats.org/officeDocument/2006/relationships" r:embed="rId18" cstate="print"/>
        <a:stretch>
          <a:fillRect/>
        </a:stretch>
      </xdr:blipFill>
      <xdr:spPr>
        <a:xfrm>
          <a:off x="105833" y="95250"/>
          <a:ext cx="1344084" cy="1132417"/>
        </a:xfrm>
        <a:prstGeom prst="rect">
          <a:avLst/>
        </a:prstGeom>
        <a:noFill/>
      </xdr:spPr>
    </xdr:pic>
    <xdr:clientData fLocksWithSheet="0"/>
  </xdr:oneCellAnchor>
  <xdr:twoCellAnchor>
    <xdr:from>
      <xdr:col>0</xdr:col>
      <xdr:colOff>52917</xdr:colOff>
      <xdr:row>8</xdr:row>
      <xdr:rowOff>10583</xdr:rowOff>
    </xdr:from>
    <xdr:to>
      <xdr:col>0</xdr:col>
      <xdr:colOff>560917</xdr:colOff>
      <xdr:row>25</xdr:row>
      <xdr:rowOff>42333</xdr:rowOff>
    </xdr:to>
    <xdr:sp macro="" textlink="">
      <xdr:nvSpPr>
        <xdr:cNvPr id="55" name="Rectangle: Rounded Corners 54">
          <a:extLst>
            <a:ext uri="{FF2B5EF4-FFF2-40B4-BE49-F238E27FC236}">
              <a16:creationId xmlns:a16="http://schemas.microsoft.com/office/drawing/2014/main" id="{C29F74F5-0D98-E5C0-14AB-741DB29FFE8C}"/>
            </a:ext>
          </a:extLst>
        </xdr:cNvPr>
        <xdr:cNvSpPr/>
      </xdr:nvSpPr>
      <xdr:spPr>
        <a:xfrm>
          <a:off x="52917" y="1449916"/>
          <a:ext cx="508000" cy="3090334"/>
        </a:xfrm>
        <a:prstGeom prst="roundRect">
          <a:avLst/>
        </a:prstGeom>
        <a:solidFill>
          <a:srgbClr val="11111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0</xdr:col>
      <xdr:colOff>120648</xdr:colOff>
      <xdr:row>8</xdr:row>
      <xdr:rowOff>84667</xdr:rowOff>
    </xdr:from>
    <xdr:to>
      <xdr:col>0</xdr:col>
      <xdr:colOff>522815</xdr:colOff>
      <xdr:row>10</xdr:row>
      <xdr:rowOff>127000</xdr:rowOff>
    </xdr:to>
    <xdr:pic>
      <xdr:nvPicPr>
        <xdr:cNvPr id="57" name="Graphic 56" descr="Home with solid fill">
          <a:hlinkClick xmlns:r="http://schemas.openxmlformats.org/officeDocument/2006/relationships" r:id="rId19"/>
          <a:extLst>
            <a:ext uri="{FF2B5EF4-FFF2-40B4-BE49-F238E27FC236}">
              <a16:creationId xmlns:a16="http://schemas.microsoft.com/office/drawing/2014/main" id="{44C20EF2-438F-E576-A0E9-00BCB5AA9ACC}"/>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120648" y="1524000"/>
          <a:ext cx="402167" cy="402167"/>
        </a:xfrm>
        <a:prstGeom prst="rect">
          <a:avLst/>
        </a:prstGeom>
      </xdr:spPr>
    </xdr:pic>
    <xdr:clientData/>
  </xdr:twoCellAnchor>
  <xdr:twoCellAnchor editAs="oneCell">
    <xdr:from>
      <xdr:col>0</xdr:col>
      <xdr:colOff>84667</xdr:colOff>
      <xdr:row>12</xdr:row>
      <xdr:rowOff>84668</xdr:rowOff>
    </xdr:from>
    <xdr:to>
      <xdr:col>0</xdr:col>
      <xdr:colOff>539749</xdr:colOff>
      <xdr:row>15</xdr:row>
      <xdr:rowOff>0</xdr:rowOff>
    </xdr:to>
    <xdr:pic>
      <xdr:nvPicPr>
        <xdr:cNvPr id="59" name="Graphic 58" descr="Speedometer Low with solid fill">
          <a:hlinkClick xmlns:r="http://schemas.openxmlformats.org/officeDocument/2006/relationships" r:id="rId22"/>
          <a:extLst>
            <a:ext uri="{FF2B5EF4-FFF2-40B4-BE49-F238E27FC236}">
              <a16:creationId xmlns:a16="http://schemas.microsoft.com/office/drawing/2014/main" id="{0D0909AB-16D3-4942-F16A-F66B9B2987B2}"/>
            </a:ext>
          </a:extLst>
        </xdr:cNvPr>
        <xdr:cNvPicPr>
          <a:picLocks noChangeAspect="1"/>
        </xdr:cNvPicPr>
      </xdr:nvPicPr>
      <xdr:blipFill>
        <a:blip xmlns:r="http://schemas.openxmlformats.org/officeDocument/2006/relationships" r:embed="rId23">
          <a:extLst>
            <a:ext uri="{96DAC541-7B7A-43D3-8B79-37D633B846F1}">
              <asvg:svgBlip xmlns:asvg="http://schemas.microsoft.com/office/drawing/2016/SVG/main" r:embed="rId24"/>
            </a:ext>
          </a:extLst>
        </a:blip>
        <a:stretch>
          <a:fillRect/>
        </a:stretch>
      </xdr:blipFill>
      <xdr:spPr>
        <a:xfrm>
          <a:off x="84667" y="2243668"/>
          <a:ext cx="455082" cy="455082"/>
        </a:xfrm>
        <a:prstGeom prst="rect">
          <a:avLst/>
        </a:prstGeom>
      </xdr:spPr>
    </xdr:pic>
    <xdr:clientData/>
  </xdr:twoCellAnchor>
  <xdr:twoCellAnchor editAs="oneCell">
    <xdr:from>
      <xdr:col>0</xdr:col>
      <xdr:colOff>55586</xdr:colOff>
      <xdr:row>17</xdr:row>
      <xdr:rowOff>52919</xdr:rowOff>
    </xdr:from>
    <xdr:to>
      <xdr:col>0</xdr:col>
      <xdr:colOff>546860</xdr:colOff>
      <xdr:row>19</xdr:row>
      <xdr:rowOff>169337</xdr:rowOff>
    </xdr:to>
    <xdr:pic>
      <xdr:nvPicPr>
        <xdr:cNvPr id="61" name="Graphic 60" descr="Gears with solid fill">
          <a:hlinkClick xmlns:r="http://schemas.openxmlformats.org/officeDocument/2006/relationships" r:id="rId22"/>
          <a:extLst>
            <a:ext uri="{FF2B5EF4-FFF2-40B4-BE49-F238E27FC236}">
              <a16:creationId xmlns:a16="http://schemas.microsoft.com/office/drawing/2014/main" id="{58BCE33C-1686-8C31-3474-3B7B33C9321D}"/>
            </a:ext>
          </a:extLst>
        </xdr:cNvPr>
        <xdr:cNvPicPr>
          <a:picLocks noChangeAspect="1"/>
        </xdr:cNvPicPr>
      </xdr:nvPicPr>
      <xdr:blipFill>
        <a:blip xmlns:r="http://schemas.openxmlformats.org/officeDocument/2006/relationships" r:embed="rId25">
          <a:extLst>
            <a:ext uri="{96DAC541-7B7A-43D3-8B79-37D633B846F1}">
              <asvg:svgBlip xmlns:asvg="http://schemas.microsoft.com/office/drawing/2016/SVG/main" r:embed="rId26"/>
            </a:ext>
          </a:extLst>
        </a:blip>
        <a:stretch>
          <a:fillRect/>
        </a:stretch>
      </xdr:blipFill>
      <xdr:spPr>
        <a:xfrm rot="5400000">
          <a:off x="63097" y="3103991"/>
          <a:ext cx="476252" cy="491274"/>
        </a:xfrm>
        <a:prstGeom prst="rect">
          <a:avLst/>
        </a:prstGeom>
      </xdr:spPr>
    </xdr:pic>
    <xdr:clientData/>
  </xdr:twoCellAnchor>
  <xdr:twoCellAnchor editAs="oneCell">
    <xdr:from>
      <xdr:col>0</xdr:col>
      <xdr:colOff>31750</xdr:colOff>
      <xdr:row>21</xdr:row>
      <xdr:rowOff>31750</xdr:rowOff>
    </xdr:from>
    <xdr:to>
      <xdr:col>1</xdr:col>
      <xdr:colOff>10585</xdr:colOff>
      <xdr:row>24</xdr:row>
      <xdr:rowOff>84668</xdr:rowOff>
    </xdr:to>
    <xdr:pic>
      <xdr:nvPicPr>
        <xdr:cNvPr id="63" name="Graphic 62" descr="Projector screen with solid fill">
          <a:hlinkClick xmlns:r="http://schemas.openxmlformats.org/officeDocument/2006/relationships" r:id="rId27"/>
          <a:extLst>
            <a:ext uri="{FF2B5EF4-FFF2-40B4-BE49-F238E27FC236}">
              <a16:creationId xmlns:a16="http://schemas.microsoft.com/office/drawing/2014/main" id="{BA629F28-8432-FFF7-F818-BD5D4514F536}"/>
            </a:ext>
          </a:extLst>
        </xdr:cNvPr>
        <xdr:cNvPicPr>
          <a:picLocks noChangeAspect="1"/>
        </xdr:cNvPicPr>
      </xdr:nvPicPr>
      <xdr:blipFill>
        <a:blip xmlns:r="http://schemas.openxmlformats.org/officeDocument/2006/relationships" r:embed="rId28">
          <a:extLst>
            <a:ext uri="{96DAC541-7B7A-43D3-8B79-37D633B846F1}">
              <asvg:svgBlip xmlns:asvg="http://schemas.microsoft.com/office/drawing/2016/SVG/main" r:embed="rId29"/>
            </a:ext>
          </a:extLst>
        </a:blip>
        <a:stretch>
          <a:fillRect/>
        </a:stretch>
      </xdr:blipFill>
      <xdr:spPr>
        <a:xfrm>
          <a:off x="31750" y="3810000"/>
          <a:ext cx="592668" cy="592668"/>
        </a:xfrm>
        <a:prstGeom prst="rect">
          <a:avLst/>
        </a:prstGeom>
      </xdr:spPr>
    </xdr:pic>
    <xdr:clientData/>
  </xdr:twoCellAnchor>
  <xdr:oneCellAnchor>
    <xdr:from>
      <xdr:col>14</xdr:col>
      <xdr:colOff>176388</xdr:colOff>
      <xdr:row>7</xdr:row>
      <xdr:rowOff>77611</xdr:rowOff>
    </xdr:from>
    <xdr:ext cx="2296270" cy="264560"/>
    <xdr:sp macro="" textlink="">
      <xdr:nvSpPr>
        <xdr:cNvPr id="56" name="TextBox 55">
          <a:extLst>
            <a:ext uri="{FF2B5EF4-FFF2-40B4-BE49-F238E27FC236}">
              <a16:creationId xmlns:a16="http://schemas.microsoft.com/office/drawing/2014/main" id="{F65201E9-6507-3E7F-7AFA-07AF63E50E0D}"/>
            </a:ext>
          </a:extLst>
        </xdr:cNvPr>
        <xdr:cNvSpPr txBox="1"/>
      </xdr:nvSpPr>
      <xdr:spPr>
        <a:xfrm>
          <a:off x="8671277" y="1361722"/>
          <a:ext cx="229627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100" b="1">
              <a:solidFill>
                <a:schemeClr val="bg1"/>
              </a:solidFill>
            </a:rPr>
            <a:t>Annual Revenue &amp; Operational Cost</a:t>
          </a:r>
        </a:p>
      </xdr:txBody>
    </xdr:sp>
    <xdr:clientData/>
  </xdr:oneCellAnchor>
  <xdr:oneCellAnchor>
    <xdr:from>
      <xdr:col>10</xdr:col>
      <xdr:colOff>296334</xdr:colOff>
      <xdr:row>7</xdr:row>
      <xdr:rowOff>105832</xdr:rowOff>
    </xdr:from>
    <xdr:ext cx="2271888" cy="280205"/>
    <xdr:sp macro="" textlink="">
      <xdr:nvSpPr>
        <xdr:cNvPr id="58" name="TextBox 57">
          <a:extLst>
            <a:ext uri="{FF2B5EF4-FFF2-40B4-BE49-F238E27FC236}">
              <a16:creationId xmlns:a16="http://schemas.microsoft.com/office/drawing/2014/main" id="{ED445A99-6EB0-0EC2-17A2-5832C5835897}"/>
            </a:ext>
          </a:extLst>
        </xdr:cNvPr>
        <xdr:cNvSpPr txBox="1"/>
      </xdr:nvSpPr>
      <xdr:spPr>
        <a:xfrm>
          <a:off x="6364112" y="1389943"/>
          <a:ext cx="2271888"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1200" b="1">
              <a:solidFill>
                <a:schemeClr val="bg1"/>
              </a:solidFill>
            </a:rPr>
            <a:t>Departmental Appointments</a:t>
          </a:r>
        </a:p>
      </xdr:txBody>
    </xdr:sp>
    <xdr:clientData/>
  </xdr:oneCellAnchor>
  <xdr:oneCellAnchor>
    <xdr:from>
      <xdr:col>4</xdr:col>
      <xdr:colOff>112889</xdr:colOff>
      <xdr:row>11</xdr:row>
      <xdr:rowOff>56444</xdr:rowOff>
    </xdr:from>
    <xdr:ext cx="1760290" cy="280205"/>
    <xdr:sp macro="" textlink="">
      <xdr:nvSpPr>
        <xdr:cNvPr id="60" name="TextBox 59">
          <a:extLst>
            <a:ext uri="{FF2B5EF4-FFF2-40B4-BE49-F238E27FC236}">
              <a16:creationId xmlns:a16="http://schemas.microsoft.com/office/drawing/2014/main" id="{16B97F92-2C94-50FE-C22C-0C0BEA2ABCF5}"/>
            </a:ext>
          </a:extLst>
        </xdr:cNvPr>
        <xdr:cNvSpPr txBox="1"/>
      </xdr:nvSpPr>
      <xdr:spPr>
        <a:xfrm>
          <a:off x="2540000" y="2074333"/>
          <a:ext cx="176029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200" b="1">
              <a:solidFill>
                <a:schemeClr val="bg1"/>
              </a:solidFill>
            </a:rPr>
            <a:t>Appointments by Month</a:t>
          </a:r>
        </a:p>
      </xdr:txBody>
    </xdr:sp>
    <xdr:clientData/>
  </xdr:oneCellAnchor>
  <xdr:oneCellAnchor>
    <xdr:from>
      <xdr:col>4</xdr:col>
      <xdr:colOff>98776</xdr:colOff>
      <xdr:row>22</xdr:row>
      <xdr:rowOff>1</xdr:rowOff>
    </xdr:from>
    <xdr:ext cx="1512786" cy="311496"/>
    <xdr:sp macro="" textlink="">
      <xdr:nvSpPr>
        <xdr:cNvPr id="62" name="TextBox 61">
          <a:extLst>
            <a:ext uri="{FF2B5EF4-FFF2-40B4-BE49-F238E27FC236}">
              <a16:creationId xmlns:a16="http://schemas.microsoft.com/office/drawing/2014/main" id="{FC54B263-D393-DD8A-2F5C-617675E4DE73}"/>
            </a:ext>
          </a:extLst>
        </xdr:cNvPr>
        <xdr:cNvSpPr txBox="1"/>
      </xdr:nvSpPr>
      <xdr:spPr>
        <a:xfrm>
          <a:off x="2525887" y="4035779"/>
          <a:ext cx="1512786"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400" b="1">
              <a:solidFill>
                <a:schemeClr val="bg1"/>
              </a:solidFill>
            </a:rPr>
            <a:t>Monthly Revenue</a:t>
          </a:r>
        </a:p>
      </xdr:txBody>
    </xdr:sp>
    <xdr:clientData/>
  </xdr:oneCellAnchor>
  <xdr:oneCellAnchor>
    <xdr:from>
      <xdr:col>14</xdr:col>
      <xdr:colOff>134055</xdr:colOff>
      <xdr:row>19</xdr:row>
      <xdr:rowOff>49390</xdr:rowOff>
    </xdr:from>
    <xdr:ext cx="1081193" cy="280205"/>
    <xdr:sp macro="" textlink="">
      <xdr:nvSpPr>
        <xdr:cNvPr id="64" name="TextBox 63">
          <a:extLst>
            <a:ext uri="{FF2B5EF4-FFF2-40B4-BE49-F238E27FC236}">
              <a16:creationId xmlns:a16="http://schemas.microsoft.com/office/drawing/2014/main" id="{6391866C-B201-F578-3ED1-942B1B0AE630}"/>
            </a:ext>
          </a:extLst>
        </xdr:cNvPr>
        <xdr:cNvSpPr txBox="1"/>
      </xdr:nvSpPr>
      <xdr:spPr>
        <a:xfrm>
          <a:off x="8628944" y="3534834"/>
          <a:ext cx="1081193"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200" b="1">
              <a:solidFill>
                <a:schemeClr val="bg1"/>
              </a:solidFill>
            </a:rPr>
            <a:t>Patient Status</a:t>
          </a:r>
        </a:p>
      </xdr:txBody>
    </xdr:sp>
    <xdr:clientData/>
  </xdr:oneCellAnchor>
  <xdr:twoCellAnchor>
    <xdr:from>
      <xdr:col>17</xdr:col>
      <xdr:colOff>423333</xdr:colOff>
      <xdr:row>19</xdr:row>
      <xdr:rowOff>42334</xdr:rowOff>
    </xdr:from>
    <xdr:to>
      <xdr:col>20</xdr:col>
      <xdr:colOff>232833</xdr:colOff>
      <xdr:row>20</xdr:row>
      <xdr:rowOff>70556</xdr:rowOff>
    </xdr:to>
    <xdr:sp macro="" textlink="">
      <xdr:nvSpPr>
        <xdr:cNvPr id="65" name="TextBox 64">
          <a:extLst>
            <a:ext uri="{FF2B5EF4-FFF2-40B4-BE49-F238E27FC236}">
              <a16:creationId xmlns:a16="http://schemas.microsoft.com/office/drawing/2014/main" id="{4A627AD7-C0CE-B846-2C89-44F6DF82D966}"/>
            </a:ext>
          </a:extLst>
        </xdr:cNvPr>
        <xdr:cNvSpPr txBox="1"/>
      </xdr:nvSpPr>
      <xdr:spPr>
        <a:xfrm>
          <a:off x="10738555" y="3527778"/>
          <a:ext cx="1629834" cy="211667"/>
        </a:xfrm>
        <a:prstGeom prst="rect">
          <a:avLst/>
        </a:prstGeom>
        <a:solidFill>
          <a:srgbClr val="11111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a:solidFill>
                <a:schemeClr val="bg1"/>
              </a:solidFill>
            </a:rPr>
            <a:t>Staff Overtime</a:t>
          </a:r>
        </a:p>
      </xdr:txBody>
    </xdr:sp>
    <xdr:clientData/>
  </xdr:twoCellAnchor>
</xdr:wsDr>
</file>

<file path=xl/drawings/drawing3.xml><?xml version="1.0" encoding="utf-8"?>
<c:userShapes xmlns:c="http://schemas.openxmlformats.org/drawingml/2006/chart">
  <cdr:relSizeAnchor xmlns:cdr="http://schemas.openxmlformats.org/drawingml/2006/chartDrawing">
    <cdr:from>
      <cdr:x>0.37331</cdr:x>
      <cdr:y>0.26857</cdr:y>
    </cdr:from>
    <cdr:to>
      <cdr:x>0.62669</cdr:x>
      <cdr:y>0.47679</cdr:y>
    </cdr:to>
    <cdr:sp macro="" textlink="">
      <cdr:nvSpPr>
        <cdr:cNvPr id="2" name="TextBox 1">
          <a:extLst xmlns:a="http://schemas.openxmlformats.org/drawingml/2006/main">
            <a:ext uri="{FF2B5EF4-FFF2-40B4-BE49-F238E27FC236}">
              <a16:creationId xmlns:a16="http://schemas.microsoft.com/office/drawing/2014/main" id="{4E8E801E-BB29-05A5-87B5-4D29F5E5CAB4}"/>
            </a:ext>
          </a:extLst>
        </cdr:cNvPr>
        <cdr:cNvSpPr txBox="1"/>
      </cdr:nvSpPr>
      <cdr:spPr>
        <a:xfrm xmlns:a="http://schemas.openxmlformats.org/drawingml/2006/main">
          <a:off x="1347258" y="530578"/>
          <a:ext cx="914400" cy="41133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GB" sz="1100" kern="1200"/>
        </a:p>
      </cdr:txBody>
    </cdr:sp>
  </cdr:relSizeAnchor>
</c:userShapes>
</file>

<file path=xl/drawings/drawing4.xml><?xml version="1.0" encoding="utf-8"?>
<xdr:wsDr xmlns:xdr="http://schemas.openxmlformats.org/drawingml/2006/spreadsheetDrawing" xmlns:a="http://schemas.openxmlformats.org/drawingml/2006/main">
  <xdr:oneCellAnchor>
    <xdr:from>
      <xdr:col>1</xdr:col>
      <xdr:colOff>695325</xdr:colOff>
      <xdr:row>3</xdr:row>
      <xdr:rowOff>180975</xdr:rowOff>
    </xdr:from>
    <xdr:ext cx="733425" cy="742950"/>
    <xdr:pic>
      <xdr:nvPicPr>
        <xdr:cNvPr id="2" name="image1.png" title="Image">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balenhle Dube" refreshedDate="46256.911940509257" createdVersion="8" refreshedVersion="8" minRefreshableVersion="3" recordCount="2505" xr:uid="{536F175F-28C9-464C-88F3-5F576B4C6F6A}">
  <cacheSource type="worksheet">
    <worksheetSource name="Patient_Data"/>
  </cacheSource>
  <cacheFields count="19">
    <cacheField name="Patient_ID" numFmtId="0">
      <sharedItems/>
    </cacheField>
    <cacheField name="Month" numFmtId="0">
      <sharedItems/>
    </cacheField>
    <cacheField name="Short_Month" numFmtId="0">
      <sharedItems count="12">
        <s v="Apr"/>
        <s v="Mar"/>
        <s v="Feb"/>
        <s v="Jan"/>
        <s v="Nov"/>
        <s v="Oct"/>
        <s v="Dec"/>
        <s v="Sep"/>
        <s v="Jul"/>
        <s v="May"/>
        <s v="Aug"/>
        <s v="Jun"/>
      </sharedItems>
    </cacheField>
    <cacheField name="Month_Num" numFmtId="0">
      <sharedItems containsSemiMixedTypes="0" containsString="0" containsNumber="1" containsInteger="1" minValue="1" maxValue="12"/>
    </cacheField>
    <cacheField name="Admission_Date" numFmtId="14">
      <sharedItems containsSemiMixedTypes="0" containsNonDate="0" containsDate="1" containsString="0" minDate="2023-08-29T00:00:00" maxDate="2026-07-22T00:00:00"/>
    </cacheField>
    <cacheField name="Date_Year" numFmtId="49">
      <sharedItems count="4">
        <s v="2024"/>
        <s v="2025"/>
        <s v="2026"/>
        <s v="2023"/>
      </sharedItems>
    </cacheField>
    <cacheField name="Patient_Name" numFmtId="0">
      <sharedItems/>
    </cacheField>
    <cacheField name="Facility_Name" numFmtId="0">
      <sharedItems/>
    </cacheField>
    <cacheField name="Gender" numFmtId="0">
      <sharedItems/>
    </cacheField>
    <cacheField name="Age" numFmtId="0">
      <sharedItems containsSemiMixedTypes="0" containsString="0" containsNumber="1" containsInteger="1" minValue="0" maxValue="95"/>
    </cacheField>
    <cacheField name="Clinical_Status" numFmtId="0">
      <sharedItems count="3">
        <s v="Discharged"/>
        <s v="Readmitted"/>
        <s v="In-Patient Care"/>
      </sharedItems>
    </cacheField>
    <cacheField name="CareStage" numFmtId="0">
      <sharedItems containsSemiMixedTypes="0" containsString="0" containsNumber="1" containsInteger="1" minValue="1" maxValue="5"/>
    </cacheField>
    <cacheField name="Medical_Department" numFmtId="0">
      <sharedItems count="8">
        <s v="Neurology"/>
        <s v="Cardiology"/>
        <s v="General Medicine"/>
        <s v="Orthopedics"/>
        <s v="Intensive Care Unit"/>
        <s v="Surgery"/>
        <s v="Pediatrics"/>
        <s v="Emergency Room"/>
      </sharedItems>
    </cacheField>
    <cacheField name="MD_Short" numFmtId="0">
      <sharedItems count="8">
        <s v="Neuro"/>
        <s v="Cardio"/>
        <s v="GM"/>
        <s v="Ortho"/>
        <s v="ICU"/>
        <s v="Surgery"/>
        <s v="PD"/>
        <s v="ER"/>
      </sharedItems>
    </cacheField>
    <cacheField name="Patient_Bill" numFmtId="165">
      <sharedItems containsSemiMixedTypes="0" containsString="0" containsNumber="1" minValue="557.23" maxValue="25334.61"/>
    </cacheField>
    <cacheField name="Operational_Cost" numFmtId="165">
      <sharedItems containsSemiMixedTypes="0" containsString="0" containsNumber="1" minValue="408.02" maxValue="19032.47"/>
    </cacheField>
    <cacheField name="Staff_Overtime_Hrs" numFmtId="0">
      <sharedItems containsString="0" containsBlank="1" containsNumber="1" minValue="0" maxValue="23.9"/>
    </cacheField>
    <cacheField name="Risk_Tier" numFmtId="0">
      <sharedItems count="3">
        <s v="Low Risk"/>
        <s v="Moderate Risk"/>
        <s v="High Risk"/>
      </sharedItems>
    </cacheField>
    <cacheField name="Age_Group_Class" numFmtId="0">
      <sharedItems count="3">
        <s v="Adult"/>
        <s v="Geriatric"/>
        <s v="Pediatric"/>
      </sharedItems>
    </cacheField>
  </cacheFields>
  <extLst>
    <ext xmlns:x14="http://schemas.microsoft.com/office/spreadsheetml/2009/9/main" uri="{725AE2AE-9491-48be-B2B4-4EB974FC3084}">
      <x14:pivotCacheDefinition pivotCacheId="104342093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5">
  <r>
    <s v="NHM-2024-102404"/>
    <s v="April"/>
    <x v="0"/>
    <n v="4"/>
    <d v="2024-04-13T00:00:00"/>
    <x v="0"/>
    <s v="Albert King"/>
    <s v="NovaHealth Chicago Medical Center"/>
    <s v="Male"/>
    <n v="30"/>
    <x v="0"/>
    <n v="1"/>
    <x v="0"/>
    <x v="0"/>
    <n v="9382.4599999999991"/>
    <n v="6022.37"/>
    <n v="2.2000000000000002"/>
    <x v="0"/>
    <x v="0"/>
  </r>
  <r>
    <s v="NHM-2026-102164"/>
    <s v="March"/>
    <x v="1"/>
    <n v="3"/>
    <d v="2025-03-14T00:00:00"/>
    <x v="1"/>
    <s v="Cynthia Clark"/>
    <s v="NovaHealth Lakeside Medical Center"/>
    <s v="Female"/>
    <n v="48"/>
    <x v="0"/>
    <n v="1"/>
    <x v="1"/>
    <x v="1"/>
    <n v="8292.65"/>
    <n v="5584.88"/>
    <n v="3.6"/>
    <x v="0"/>
    <x v="0"/>
  </r>
  <r>
    <s v="NHM-2023-100823"/>
    <s v="March"/>
    <x v="1"/>
    <n v="3"/>
    <d v="2024-03-25T00:00:00"/>
    <x v="0"/>
    <s v="Michelle Graham"/>
    <s v="NovaHealth Chicago Medical Center"/>
    <s v="Female"/>
    <n v="28"/>
    <x v="0"/>
    <n v="2"/>
    <x v="2"/>
    <x v="2"/>
    <n v="4743.5"/>
    <n v="3381.25"/>
    <n v="7.6"/>
    <x v="1"/>
    <x v="0"/>
  </r>
  <r>
    <s v="NHM-2023-102060"/>
    <s v="February"/>
    <x v="2"/>
    <n v="2"/>
    <d v="2024-02-23T00:00:00"/>
    <x v="0"/>
    <s v="Amy Hill"/>
    <s v="NovaHealth Lakeshore Regional Center"/>
    <s v="Female"/>
    <n v="70"/>
    <x v="0"/>
    <n v="2"/>
    <x v="1"/>
    <x v="1"/>
    <n v="7138.49"/>
    <n v="5267.1"/>
    <n v="7"/>
    <x v="1"/>
    <x v="1"/>
  </r>
  <r>
    <s v="NHM-2025-101899"/>
    <s v="January"/>
    <x v="3"/>
    <n v="1"/>
    <d v="2026-01-09T00:00:00"/>
    <x v="2"/>
    <s v="Evelyn Woods"/>
    <s v="NovaHealth Chicago Medical Center"/>
    <s v="Male"/>
    <n v="79"/>
    <x v="1"/>
    <n v="4"/>
    <x v="3"/>
    <x v="3"/>
    <n v="9221.73"/>
    <n v="7079.71"/>
    <n v="8.9"/>
    <x v="2"/>
    <x v="1"/>
  </r>
  <r>
    <s v="NHM-2026-101384"/>
    <s v="November"/>
    <x v="4"/>
    <n v="11"/>
    <d v="2023-11-02T00:00:00"/>
    <x v="3"/>
    <s v="Michelle Martinez"/>
    <s v="NovaHealth Midtown Medical Center"/>
    <s v="Male"/>
    <n v="59"/>
    <x v="1"/>
    <n v="3"/>
    <x v="4"/>
    <x v="4"/>
    <n v="18870.98"/>
    <n v="11079.57"/>
    <n v="16.8"/>
    <x v="1"/>
    <x v="0"/>
  </r>
  <r>
    <s v="NHM-2023-102093"/>
    <s v="October"/>
    <x v="5"/>
    <n v="10"/>
    <d v="2023-10-29T00:00:00"/>
    <x v="3"/>
    <s v="Austin Webb"/>
    <s v="NovaHealth Greenfield Clinic"/>
    <s v="Female"/>
    <n v="91"/>
    <x v="2"/>
    <n v="5"/>
    <x v="4"/>
    <x v="4"/>
    <n v="22963.46"/>
    <n v="14094.11"/>
    <n v="10.8"/>
    <x v="2"/>
    <x v="1"/>
  </r>
  <r>
    <s v="NHM-2023-100762"/>
    <s v="December"/>
    <x v="6"/>
    <n v="12"/>
    <d v="2024-12-17T00:00:00"/>
    <x v="0"/>
    <s v="Jacob Lee"/>
    <s v="Nova Health Chicago Medical Center"/>
    <s v="Male"/>
    <n v="38"/>
    <x v="0"/>
    <n v="1"/>
    <x v="1"/>
    <x v="1"/>
    <n v="5217.55"/>
    <n v="3364.83"/>
    <n v="3.2"/>
    <x v="0"/>
    <x v="0"/>
  </r>
  <r>
    <s v="NHM-2026-102456"/>
    <s v="October"/>
    <x v="5"/>
    <n v="10"/>
    <d v="2024-10-09T00:00:00"/>
    <x v="0"/>
    <s v="Theresa Ross"/>
    <s v="NovaHealth Lakeside Medical Center"/>
    <s v="Female"/>
    <n v="53"/>
    <x v="0"/>
    <n v="1"/>
    <x v="3"/>
    <x v="3"/>
    <n v="5182.32"/>
    <n v="3506.55"/>
    <n v="4.3"/>
    <x v="0"/>
    <x v="0"/>
  </r>
  <r>
    <s v="NHM-2025-100770"/>
    <s v="March"/>
    <x v="1"/>
    <n v="3"/>
    <d v="2025-03-20T00:00:00"/>
    <x v="1"/>
    <s v="James Castillo"/>
    <s v="NovaHealth Chicago Medical Center"/>
    <s v="Male"/>
    <n v="35"/>
    <x v="0"/>
    <n v="1"/>
    <x v="2"/>
    <x v="2"/>
    <n v="2381.1999999999998"/>
    <n v="1702.84"/>
    <n v="4.5"/>
    <x v="0"/>
    <x v="0"/>
  </r>
  <r>
    <s v="NHM-2025-101456"/>
    <s v="September"/>
    <x v="7"/>
    <n v="9"/>
    <d v="2023-09-11T00:00:00"/>
    <x v="3"/>
    <s v="Sarah Diaz"/>
    <s v="Nova Health Lakeshore Regional Center"/>
    <s v="Male"/>
    <n v="42"/>
    <x v="0"/>
    <n v="1"/>
    <x v="0"/>
    <x v="0"/>
    <n v="8544.19"/>
    <n v="6299.66"/>
    <n v="7.8"/>
    <x v="0"/>
    <x v="0"/>
  </r>
  <r>
    <s v="NHM-2023-102375"/>
    <s v="July"/>
    <x v="8"/>
    <n v="7"/>
    <d v="2025-07-25T00:00:00"/>
    <x v="1"/>
    <s v="Debra Brooks"/>
    <s v="NovaHealth Chicago Medical Center"/>
    <s v="Male"/>
    <n v="44"/>
    <x v="0"/>
    <n v="2"/>
    <x v="0"/>
    <x v="0"/>
    <n v="8917.69"/>
    <n v="6828.64"/>
    <n v="6.4"/>
    <x v="1"/>
    <x v="0"/>
  </r>
  <r>
    <s v="NHM-2026-102243"/>
    <s v="March"/>
    <x v="1"/>
    <n v="3"/>
    <d v="2025-03-20T00:00:00"/>
    <x v="1"/>
    <s v="Jason Boyd"/>
    <s v="NovaHealth Midtown Medical Ctr"/>
    <s v="Male"/>
    <n v="62"/>
    <x v="2"/>
    <n v="4"/>
    <x v="4"/>
    <x v="4"/>
    <n v="10352.33"/>
    <n v="6106.75"/>
    <n v="12.8"/>
    <x v="2"/>
    <x v="0"/>
  </r>
  <r>
    <s v="NHM-2025-100715"/>
    <s v="July"/>
    <x v="8"/>
    <n v="7"/>
    <d v="2024-07-12T00:00:00"/>
    <x v="0"/>
    <s v="Jason Rogers"/>
    <s v="NovaHealth Greenfield Clinic"/>
    <s v="Male"/>
    <n v="58"/>
    <x v="2"/>
    <n v="4"/>
    <x v="5"/>
    <x v="5"/>
    <n v="20637.68"/>
    <n v="12620.18"/>
    <n v="3.9"/>
    <x v="2"/>
    <x v="0"/>
  </r>
  <r>
    <s v="NHM-2026-100839"/>
    <s v="November"/>
    <x v="4"/>
    <n v="11"/>
    <d v="2024-11-11T00:00:00"/>
    <x v="0"/>
    <s v="Madison Wright"/>
    <s v="NovaHealth Oakridge Community Hospital"/>
    <s v="Male"/>
    <n v="53"/>
    <x v="2"/>
    <n v="1"/>
    <x v="3"/>
    <x v="3"/>
    <n v="4336.03"/>
    <n v="2824.66"/>
    <n v="6.2"/>
    <x v="0"/>
    <x v="0"/>
  </r>
  <r>
    <s v="NHM-2025-100894"/>
    <s v="July"/>
    <x v="8"/>
    <n v="7"/>
    <d v="2025-07-18T00:00:00"/>
    <x v="1"/>
    <s v="Raymond Cook"/>
    <s v="NovaHealth Chicago Med. Center"/>
    <s v="Male"/>
    <n v="14"/>
    <x v="0"/>
    <n v="1"/>
    <x v="6"/>
    <x v="6"/>
    <n v="2255.87"/>
    <n v="1553.83"/>
    <n v="5.3"/>
    <x v="0"/>
    <x v="2"/>
  </r>
  <r>
    <s v="NHM-2026-100813"/>
    <s v="March"/>
    <x v="1"/>
    <n v="3"/>
    <d v="2024-03-25T00:00:00"/>
    <x v="0"/>
    <s v="Austin Porter"/>
    <s v="NovaHealth Northside Hospital"/>
    <s v="Female"/>
    <n v="43"/>
    <x v="0"/>
    <n v="1"/>
    <x v="7"/>
    <x v="7"/>
    <n v="6480.42"/>
    <n v="4643.49"/>
    <n v="13.4"/>
    <x v="0"/>
    <x v="0"/>
  </r>
  <r>
    <s v="NHM-2024-101002"/>
    <s v="March"/>
    <x v="1"/>
    <n v="3"/>
    <d v="2024-03-05T00:00:00"/>
    <x v="0"/>
    <s v="Charles Bryant"/>
    <s v="NovaHealth Greenfield Clinic"/>
    <s v="Female"/>
    <n v="87"/>
    <x v="0"/>
    <n v="4"/>
    <x v="4"/>
    <x v="4"/>
    <n v="11005.12"/>
    <n v="8146.54"/>
    <n v="14.1"/>
    <x v="2"/>
    <x v="1"/>
  </r>
  <r>
    <s v="NHM-2025-100558"/>
    <s v="October"/>
    <x v="5"/>
    <n v="10"/>
    <d v="2025-10-15T00:00:00"/>
    <x v="1"/>
    <s v="Michelle Hamilton"/>
    <s v="NovaHealth Lakeside Medical Center"/>
    <s v="Female"/>
    <n v="49"/>
    <x v="0"/>
    <n v="2"/>
    <x v="2"/>
    <x v="2"/>
    <n v="2544.12"/>
    <n v="1993.53"/>
    <n v="7.5"/>
    <x v="1"/>
    <x v="0"/>
  </r>
  <r>
    <s v="NHM-2025-101085"/>
    <s v="March"/>
    <x v="1"/>
    <n v="3"/>
    <d v="2024-03-14T00:00:00"/>
    <x v="0"/>
    <s v="Tyler Butler"/>
    <s v="NovaHealth Chicago Medical Center"/>
    <s v="Female"/>
    <n v="58"/>
    <x v="0"/>
    <n v="2"/>
    <x v="0"/>
    <x v="0"/>
    <n v="11433.56"/>
    <n v="6726.66"/>
    <n v="11.9"/>
    <x v="1"/>
    <x v="0"/>
  </r>
  <r>
    <s v="NHM-2023-102118"/>
    <s v="September"/>
    <x v="7"/>
    <n v="9"/>
    <d v="2025-09-02T00:00:00"/>
    <x v="1"/>
    <s v="Michelle Reyes"/>
    <s v="NovaHealth Greenfield Clinic"/>
    <s v="Male"/>
    <n v="86"/>
    <x v="0"/>
    <n v="2"/>
    <x v="3"/>
    <x v="3"/>
    <n v="9147.0400000000009"/>
    <n v="5626.09"/>
    <n v="5.8"/>
    <x v="1"/>
    <x v="1"/>
  </r>
  <r>
    <s v="NHM-2023-100384"/>
    <s v="May"/>
    <x v="9"/>
    <n v="5"/>
    <d v="2024-05-10T00:00:00"/>
    <x v="0"/>
    <s v="Paul Ward"/>
    <s v="NovaHealth Greenfield Clinic"/>
    <s v="Female"/>
    <n v="60"/>
    <x v="1"/>
    <n v="2"/>
    <x v="3"/>
    <x v="3"/>
    <n v="4183.87"/>
    <n v="2722.48"/>
    <n v="5.6"/>
    <x v="1"/>
    <x v="0"/>
  </r>
  <r>
    <s v="NHM-2026-102153"/>
    <s v="October"/>
    <x v="5"/>
    <n v="10"/>
    <d v="2025-10-12T00:00:00"/>
    <x v="1"/>
    <s v="Abigail Price"/>
    <s v="NovaHealth Northside Hospital"/>
    <s v="Male"/>
    <n v="71"/>
    <x v="2"/>
    <n v="4"/>
    <x v="4"/>
    <x v="4"/>
    <n v="19006.47"/>
    <n v="12835.13"/>
    <n v="12.6"/>
    <x v="2"/>
    <x v="1"/>
  </r>
  <r>
    <s v="NHM-2024-102241"/>
    <s v="January"/>
    <x v="3"/>
    <n v="1"/>
    <d v="2024-01-18T00:00:00"/>
    <x v="0"/>
    <s v="Willie Foster"/>
    <s v="NovaHealth Metro General Hospital"/>
    <s v="Female"/>
    <n v="79"/>
    <x v="0"/>
    <n v="2"/>
    <x v="1"/>
    <x v="1"/>
    <n v="6252.34"/>
    <n v="4444.6400000000003"/>
    <n v="8.5"/>
    <x v="1"/>
    <x v="1"/>
  </r>
  <r>
    <s v="NHM-2023-101102"/>
    <s v="November"/>
    <x v="4"/>
    <n v="11"/>
    <d v="2023-11-30T00:00:00"/>
    <x v="3"/>
    <s v="Frances Ellis"/>
    <s v="NovaHealth Northside Hospital"/>
    <s v="Female"/>
    <n v="74"/>
    <x v="1"/>
    <n v="5"/>
    <x v="2"/>
    <x v="2"/>
    <n v="5916.6"/>
    <n v="4361.5200000000004"/>
    <n v="5.3"/>
    <x v="2"/>
    <x v="1"/>
  </r>
  <r>
    <s v="NHM-2026-101020"/>
    <s v="February"/>
    <x v="2"/>
    <n v="2"/>
    <d v="2024-02-08T00:00:00"/>
    <x v="0"/>
    <s v="Kyle Jordan"/>
    <s v="NovaHealth Greenfield Clinic"/>
    <s v="Female"/>
    <n v="93"/>
    <x v="2"/>
    <n v="4"/>
    <x v="4"/>
    <x v="4"/>
    <n v="13581.08"/>
    <n v="10428.02"/>
    <n v="13.3"/>
    <x v="2"/>
    <x v="1"/>
  </r>
  <r>
    <s v="NHM-2023-102094"/>
    <s v="December"/>
    <x v="6"/>
    <n v="12"/>
    <d v="2024-12-17T00:00:00"/>
    <x v="0"/>
    <s v="Randy Lewis"/>
    <s v="NovaHealth Greenfield Clinic"/>
    <s v="Female"/>
    <n v="43"/>
    <x v="1"/>
    <n v="4"/>
    <x v="1"/>
    <x v="1"/>
    <n v="16061.56"/>
    <n v="9391.7000000000007"/>
    <n v="9.5"/>
    <x v="2"/>
    <x v="0"/>
  </r>
  <r>
    <s v="NHM-2025-102031"/>
    <s v="March"/>
    <x v="1"/>
    <n v="3"/>
    <d v="2024-03-22T00:00:00"/>
    <x v="0"/>
    <s v="Bryan Hall"/>
    <s v="Nova Health Greenfield Clinic"/>
    <s v="Male"/>
    <n v="23"/>
    <x v="0"/>
    <n v="1"/>
    <x v="1"/>
    <x v="1"/>
    <n v="10143.56"/>
    <n v="6214.77"/>
    <n v="3.4"/>
    <x v="0"/>
    <x v="0"/>
  </r>
  <r>
    <s v="NHM-2026-100905"/>
    <s v="October"/>
    <x v="5"/>
    <n v="10"/>
    <d v="2025-10-15T00:00:00"/>
    <x v="1"/>
    <s v="Jacob Cruz"/>
    <s v="NovaHealth Northside Hospital"/>
    <s v="Male"/>
    <n v="58"/>
    <x v="1"/>
    <n v="4"/>
    <x v="5"/>
    <x v="5"/>
    <n v="16115.53"/>
    <n v="10397.14"/>
    <n v="10.4"/>
    <x v="2"/>
    <x v="0"/>
  </r>
  <r>
    <s v="NHM-2024-100602"/>
    <s v="March"/>
    <x v="1"/>
    <n v="3"/>
    <d v="2025-03-20T00:00:00"/>
    <x v="1"/>
    <s v="Virginia Martinez"/>
    <s v="Nova Health Chicago Medical Center"/>
    <s v="Female"/>
    <n v="80"/>
    <x v="1"/>
    <n v="3"/>
    <x v="1"/>
    <x v="1"/>
    <n v="10460.51"/>
    <n v="7048.54"/>
    <n v="5"/>
    <x v="1"/>
    <x v="1"/>
  </r>
  <r>
    <s v="NHM-2024-101275"/>
    <s v="August"/>
    <x v="10"/>
    <n v="8"/>
    <d v="2025-08-25T00:00:00"/>
    <x v="1"/>
    <s v="Eric Hamilton"/>
    <s v="Nova Health Midtown Medical Center"/>
    <s v="Female"/>
    <n v="68"/>
    <x v="2"/>
    <n v="3"/>
    <x v="4"/>
    <x v="4"/>
    <n v="13135.54"/>
    <n v="9294.8799999999992"/>
    <n v="12.5"/>
    <x v="1"/>
    <x v="1"/>
  </r>
  <r>
    <s v="NHM-2023-101210"/>
    <s v="October"/>
    <x v="5"/>
    <n v="10"/>
    <d v="2024-10-31T00:00:00"/>
    <x v="0"/>
    <s v="Olivia Warren"/>
    <s v="NovaHealth Chicago Medical Center"/>
    <s v="Female"/>
    <n v="81"/>
    <x v="2"/>
    <n v="5"/>
    <x v="0"/>
    <x v="0"/>
    <n v="15653.86"/>
    <n v="11516.92"/>
    <n v="11.2"/>
    <x v="2"/>
    <x v="1"/>
  </r>
  <r>
    <s v="NHM-2026-101482"/>
    <s v="February"/>
    <x v="2"/>
    <n v="2"/>
    <d v="2025-02-25T00:00:00"/>
    <x v="1"/>
    <s v="Michelle Morgan"/>
    <s v="NovaHealth Chicago Medical Center"/>
    <s v="Male"/>
    <n v="26"/>
    <x v="0"/>
    <n v="1"/>
    <x v="1"/>
    <x v="1"/>
    <n v="10176.459999999999"/>
    <n v="7809.31"/>
    <n v="9.4"/>
    <x v="0"/>
    <x v="0"/>
  </r>
  <r>
    <s v="NHM-2023-102137"/>
    <s v="January"/>
    <x v="3"/>
    <n v="1"/>
    <d v="2024-01-22T00:00:00"/>
    <x v="0"/>
    <s v="Joshua Flores"/>
    <s v="NovaHealth Northside Hospital"/>
    <s v="Female"/>
    <n v="34"/>
    <x v="0"/>
    <n v="1"/>
    <x v="1"/>
    <x v="1"/>
    <n v="8348.65"/>
    <n v="4866.22"/>
    <n v="3"/>
    <x v="0"/>
    <x v="0"/>
  </r>
  <r>
    <s v="NHM-2023-100075"/>
    <s v="August"/>
    <x v="10"/>
    <n v="8"/>
    <d v="2024-08-13T00:00:00"/>
    <x v="0"/>
    <s v="Alexander Moore"/>
    <s v="NovaHealth Lakeside Medical Center"/>
    <s v="Female"/>
    <n v="62"/>
    <x v="2"/>
    <n v="4"/>
    <x v="4"/>
    <x v="4"/>
    <n v="19030.3"/>
    <n v="11682.88"/>
    <n v="9.3000000000000007"/>
    <x v="2"/>
    <x v="0"/>
  </r>
  <r>
    <s v="NHM-2023-101253"/>
    <s v="October"/>
    <x v="5"/>
    <n v="10"/>
    <d v="2025-10-14T00:00:00"/>
    <x v="1"/>
    <s v="Donald Sanchez"/>
    <s v="NovaHealth Metro General Hospital"/>
    <s v="Female"/>
    <n v="60"/>
    <x v="0"/>
    <n v="2"/>
    <x v="3"/>
    <x v="3"/>
    <n v="9803.5499999999993"/>
    <n v="6330.27"/>
    <n v="7"/>
    <x v="1"/>
    <x v="0"/>
  </r>
  <r>
    <s v="NHM-2026-102347"/>
    <s v="March"/>
    <x v="1"/>
    <n v="3"/>
    <d v="2025-03-03T00:00:00"/>
    <x v="1"/>
    <s v="Timothy Gonzalez"/>
    <s v="NovaHealth Chicago Medical Center"/>
    <s v="Male"/>
    <n v="73"/>
    <x v="2"/>
    <n v="5"/>
    <x v="5"/>
    <x v="5"/>
    <n v="17828.43"/>
    <n v="12025.85"/>
    <n v="10.1"/>
    <x v="2"/>
    <x v="1"/>
  </r>
  <r>
    <s v="NHM-2026-102224"/>
    <s v="November"/>
    <x v="4"/>
    <n v="11"/>
    <d v="2024-11-20T00:00:00"/>
    <x v="0"/>
    <s v="Henry Stewart"/>
    <s v="NovaHealth River Valley Hospital"/>
    <s v="Female"/>
    <n v="73"/>
    <x v="0"/>
    <n v="3"/>
    <x v="2"/>
    <x v="2"/>
    <n v="3436.95"/>
    <n v="2481.86"/>
    <n v="9.5"/>
    <x v="1"/>
    <x v="1"/>
  </r>
  <r>
    <s v="NHM-2026-101231"/>
    <s v="June"/>
    <x v="11"/>
    <n v="6"/>
    <d v="2025-06-23T00:00:00"/>
    <x v="1"/>
    <s v="Steven Tucker"/>
    <s v="NovaHealth Lakeside Medical Center"/>
    <s v="Female"/>
    <n v="72"/>
    <x v="2"/>
    <n v="2"/>
    <x v="0"/>
    <x v="0"/>
    <n v="8106.14"/>
    <n v="5997.48"/>
    <n v="10"/>
    <x v="1"/>
    <x v="1"/>
  </r>
  <r>
    <s v="NHM-2026-102430"/>
    <s v="December"/>
    <x v="6"/>
    <n v="12"/>
    <d v="2023-12-21T00:00:00"/>
    <x v="3"/>
    <s v="Teresa Morales"/>
    <s v="NovaHealth Chicago Medical Center"/>
    <s v="Female"/>
    <n v="66"/>
    <x v="1"/>
    <n v="4"/>
    <x v="4"/>
    <x v="4"/>
    <n v="10665.75"/>
    <n v="8171.57"/>
    <n v="8.1999999999999993"/>
    <x v="2"/>
    <x v="1"/>
  </r>
  <r>
    <s v="NHM-2024-100661"/>
    <s v="December"/>
    <x v="6"/>
    <n v="12"/>
    <d v="2024-12-10T00:00:00"/>
    <x v="0"/>
    <s v="Thomas Flores"/>
    <s v="NovaHealth Greenfield Clinic"/>
    <s v="Female"/>
    <n v="42"/>
    <x v="0"/>
    <n v="1"/>
    <x v="2"/>
    <x v="2"/>
    <n v="2180.5"/>
    <n v="1329.49"/>
    <n v="8.1"/>
    <x v="0"/>
    <x v="0"/>
  </r>
  <r>
    <s v="NHM-2025-102466"/>
    <s v="November"/>
    <x v="4"/>
    <n v="11"/>
    <d v="2023-11-02T00:00:00"/>
    <x v="3"/>
    <s v="Paul Morris"/>
    <s v="NovaHealth Greenfield Clinic"/>
    <s v="Female"/>
    <n v="44"/>
    <x v="1"/>
    <n v="4"/>
    <x v="5"/>
    <x v="5"/>
    <n v="15962.06"/>
    <n v="9796.86"/>
    <n v="7.5"/>
    <x v="2"/>
    <x v="0"/>
  </r>
  <r>
    <s v="NHM-2025-100986"/>
    <s v="June"/>
    <x v="11"/>
    <n v="6"/>
    <d v="2025-06-05T00:00:00"/>
    <x v="1"/>
    <s v="Arthur Washington"/>
    <s v="NovaHealth River Valley Hospital"/>
    <s v="Male"/>
    <n v="83"/>
    <x v="2"/>
    <n v="5"/>
    <x v="4"/>
    <x v="4"/>
    <n v="15803.79"/>
    <n v="10230.43"/>
    <n v="14.5"/>
    <x v="2"/>
    <x v="1"/>
  </r>
  <r>
    <s v="NHM-2023-102449"/>
    <s v="November"/>
    <x v="4"/>
    <n v="11"/>
    <d v="2025-11-27T00:00:00"/>
    <x v="1"/>
    <s v="Elijah Butler"/>
    <s v="NovaHealth Chicago Medical Center"/>
    <s v="Male"/>
    <n v="57"/>
    <x v="0"/>
    <n v="2"/>
    <x v="7"/>
    <x v="7"/>
    <n v="4747.1099999999997"/>
    <n v="3371.76"/>
    <n v="23.9"/>
    <x v="1"/>
    <x v="0"/>
  </r>
  <r>
    <s v="NHM-2024-101622"/>
    <s v="February"/>
    <x v="2"/>
    <n v="2"/>
    <d v="2025-02-27T00:00:00"/>
    <x v="1"/>
    <s v="Patrick Butler"/>
    <s v="NovaHealth Midtown Medical Center"/>
    <s v="Male"/>
    <n v="74"/>
    <x v="2"/>
    <n v="4"/>
    <x v="4"/>
    <x v="4"/>
    <n v="21019.46"/>
    <n v="14789.62"/>
    <n v="9.5"/>
    <x v="2"/>
    <x v="1"/>
  </r>
  <r>
    <s v="NHM-2026-100612"/>
    <s v="January"/>
    <x v="3"/>
    <n v="1"/>
    <d v="2024-01-11T00:00:00"/>
    <x v="0"/>
    <s v="Eugene Ramos"/>
    <s v="NovaHealth Northside Hospital"/>
    <s v="Male"/>
    <n v="65"/>
    <x v="1"/>
    <n v="4"/>
    <x v="4"/>
    <x v="4"/>
    <n v="18235.400000000001"/>
    <n v="13417.44"/>
    <n v="13.2"/>
    <x v="2"/>
    <x v="1"/>
  </r>
  <r>
    <s v="NHM-2023-101074"/>
    <s v="June"/>
    <x v="11"/>
    <n v="6"/>
    <d v="2025-06-03T00:00:00"/>
    <x v="1"/>
    <s v="Megan Davis"/>
    <s v="NovaHealth Northside Hospital"/>
    <s v="Male"/>
    <n v="9"/>
    <x v="2"/>
    <n v="4"/>
    <x v="6"/>
    <x v="6"/>
    <n v="3744.73"/>
    <n v="2852.39"/>
    <n v="0.8"/>
    <x v="2"/>
    <x v="2"/>
  </r>
  <r>
    <s v="NHM-2023-100559"/>
    <s v="November"/>
    <x v="4"/>
    <n v="11"/>
    <d v="2024-11-06T00:00:00"/>
    <x v="0"/>
    <s v="Deborah Reyes"/>
    <s v="NovaHealth Northside Hospital"/>
    <s v="Female"/>
    <n v="49"/>
    <x v="0"/>
    <n v="1"/>
    <x v="0"/>
    <x v="0"/>
    <n v="9931.2800000000007"/>
    <n v="5840.14"/>
    <n v="10"/>
    <x v="0"/>
    <x v="0"/>
  </r>
  <r>
    <s v="NHM-2023-102372"/>
    <s v="June"/>
    <x v="11"/>
    <n v="6"/>
    <d v="2026-06-16T00:00:00"/>
    <x v="2"/>
    <s v="Wayne Howard"/>
    <s v="NovaHealth Metro General Hospital"/>
    <s v="Female"/>
    <n v="77"/>
    <x v="2"/>
    <n v="3"/>
    <x v="7"/>
    <x v="7"/>
    <n v="10073.44"/>
    <n v="6259.2"/>
    <n v="14.3"/>
    <x v="1"/>
    <x v="1"/>
  </r>
  <r>
    <s v="NHM-2026-101924"/>
    <s v="March"/>
    <x v="1"/>
    <n v="3"/>
    <d v="2026-03-25T00:00:00"/>
    <x v="2"/>
    <s v="Amy Thompson"/>
    <s v="NovaHealth Greenfield Clinic"/>
    <s v="Male"/>
    <n v="65"/>
    <x v="0"/>
    <n v="2"/>
    <x v="2"/>
    <x v="2"/>
    <n v="2794.98"/>
    <n v="1860.79"/>
    <n v="9"/>
    <x v="1"/>
    <x v="1"/>
  </r>
  <r>
    <s v="NHM-2023-102187"/>
    <s v="January"/>
    <x v="3"/>
    <n v="1"/>
    <d v="2025-01-15T00:00:00"/>
    <x v="1"/>
    <s v="Alice Gibson"/>
    <s v="NovaHealth Northside Hospital"/>
    <s v="Female"/>
    <n v="42"/>
    <x v="0"/>
    <n v="2"/>
    <x v="2"/>
    <x v="2"/>
    <n v="3038.65"/>
    <n v="2106.3000000000002"/>
    <n v="8.8000000000000007"/>
    <x v="1"/>
    <x v="0"/>
  </r>
  <r>
    <s v="NHM-2023-100983"/>
    <s v="February"/>
    <x v="2"/>
    <n v="2"/>
    <d v="2025-02-17T00:00:00"/>
    <x v="1"/>
    <s v="Diane Carter"/>
    <s v="NovaHealth Chicago Medical Ctr"/>
    <s v="Female"/>
    <n v="95"/>
    <x v="2"/>
    <n v="4"/>
    <x v="4"/>
    <x v="4"/>
    <n v="13384.91"/>
    <n v="9443.84"/>
    <n v="9.3000000000000007"/>
    <x v="2"/>
    <x v="1"/>
  </r>
  <r>
    <s v="NHM-2026-101949"/>
    <s v="January"/>
    <x v="3"/>
    <n v="1"/>
    <d v="2026-01-22T00:00:00"/>
    <x v="2"/>
    <s v="Adam Cooper"/>
    <s v="NovaHealth River Valley Hospital"/>
    <s v="Female"/>
    <n v="18"/>
    <x v="0"/>
    <n v="1"/>
    <x v="1"/>
    <x v="1"/>
    <n v="5202.3"/>
    <n v="3846.48"/>
    <n v="6.1"/>
    <x v="0"/>
    <x v="2"/>
  </r>
  <r>
    <s v="NHM-2026-102214"/>
    <s v="June"/>
    <x v="11"/>
    <n v="6"/>
    <d v="2024-06-07T00:00:00"/>
    <x v="0"/>
    <s v="Sonia Gonzales"/>
    <s v="Nova Health Lakeside Medical Center"/>
    <s v="Male"/>
    <n v="81"/>
    <x v="1"/>
    <n v="3"/>
    <x v="5"/>
    <x v="5"/>
    <n v="13133.36"/>
    <n v="10049.35"/>
    <n v="8.5"/>
    <x v="1"/>
    <x v="1"/>
  </r>
  <r>
    <s v="NHM-2025-101228"/>
    <s v="July"/>
    <x v="8"/>
    <n v="7"/>
    <d v="2026-07-07T00:00:00"/>
    <x v="2"/>
    <s v="Eric Foster"/>
    <s v="NovaHealth Chicago Medical Center"/>
    <s v="Female"/>
    <n v="81"/>
    <x v="2"/>
    <n v="4"/>
    <x v="5"/>
    <x v="5"/>
    <n v="14321.62"/>
    <n v="8337.74"/>
    <n v="3.9"/>
    <x v="2"/>
    <x v="1"/>
  </r>
  <r>
    <s v="NHM-2026-100945"/>
    <s v="June"/>
    <x v="11"/>
    <n v="6"/>
    <d v="2026-06-04T00:00:00"/>
    <x v="2"/>
    <s v="David Moore"/>
    <s v="NovaHealth Chicago Medical Center"/>
    <s v="Female"/>
    <n v="44"/>
    <x v="1"/>
    <n v="5"/>
    <x v="5"/>
    <x v="5"/>
    <n v="21950.52"/>
    <n v="13463.42"/>
    <n v="9.1999999999999993"/>
    <x v="2"/>
    <x v="0"/>
  </r>
  <r>
    <s v="NHM-2024-101417"/>
    <s v="April"/>
    <x v="0"/>
    <n v="4"/>
    <d v="2024-04-09T00:00:00"/>
    <x v="0"/>
    <s v="Carolyn Gomez"/>
    <s v="NovaHealth Northside Hospital"/>
    <s v="Female"/>
    <n v="45"/>
    <x v="2"/>
    <n v="3"/>
    <x v="2"/>
    <x v="2"/>
    <n v="2330.0100000000002"/>
    <n v="1568.81"/>
    <n v="9.6999999999999993"/>
    <x v="1"/>
    <x v="0"/>
  </r>
  <r>
    <s v="NHM-2024-101095"/>
    <s v="January"/>
    <x v="3"/>
    <n v="1"/>
    <d v="2026-01-09T00:00:00"/>
    <x v="2"/>
    <s v="Gary Watson"/>
    <s v="Nova Health Chicago Medical Center"/>
    <s v="Female"/>
    <n v="68"/>
    <x v="0"/>
    <n v="2"/>
    <x v="0"/>
    <x v="0"/>
    <n v="12262.24"/>
    <n v="8250.9"/>
    <n v="4.4000000000000004"/>
    <x v="1"/>
    <x v="1"/>
  </r>
  <r>
    <s v="NHM-2024-100067"/>
    <s v="April"/>
    <x v="0"/>
    <n v="4"/>
    <d v="2026-04-13T00:00:00"/>
    <x v="2"/>
    <s v="Jesse Wright"/>
    <s v="NovaHealth Northside Hospital"/>
    <s v="Female"/>
    <n v="53"/>
    <x v="0"/>
    <n v="2"/>
    <x v="1"/>
    <x v="1"/>
    <n v="12885.69"/>
    <n v="9071.98"/>
    <n v="6.5"/>
    <x v="1"/>
    <x v="0"/>
  </r>
  <r>
    <s v="NHM-2025-100414"/>
    <s v="January"/>
    <x v="3"/>
    <n v="1"/>
    <d v="2025-01-24T00:00:00"/>
    <x v="1"/>
    <s v="Alan Parker"/>
    <s v="NovaHealth River Valley Hospital"/>
    <s v="Female"/>
    <n v="71"/>
    <x v="0"/>
    <n v="3"/>
    <x v="1"/>
    <x v="1"/>
    <n v="10890.66"/>
    <n v="7988.58"/>
    <n v="4.8"/>
    <x v="1"/>
    <x v="1"/>
  </r>
  <r>
    <s v="NHM-2026-101545"/>
    <s v="September"/>
    <x v="7"/>
    <n v="9"/>
    <d v="2023-09-21T00:00:00"/>
    <x v="3"/>
    <s v="Nancy Ruiz"/>
    <s v="NovaHealth Northside Hospital"/>
    <s v="Female"/>
    <n v="79"/>
    <x v="2"/>
    <n v="5"/>
    <x v="4"/>
    <x v="4"/>
    <n v="23402.03"/>
    <n v="17850.34"/>
    <n v="8.1"/>
    <x v="2"/>
    <x v="1"/>
  </r>
  <r>
    <s v="NHM-2026-102308"/>
    <s v="April"/>
    <x v="0"/>
    <n v="4"/>
    <d v="2024-04-19T00:00:00"/>
    <x v="0"/>
    <s v="Fiona Flores"/>
    <s v="Nova Health River Valley Hospital"/>
    <s v="Female"/>
    <n v="84"/>
    <x v="1"/>
    <n v="4"/>
    <x v="0"/>
    <x v="0"/>
    <n v="10774.68"/>
    <n v="6286.91"/>
    <n v="4.7"/>
    <x v="2"/>
    <x v="1"/>
  </r>
  <r>
    <s v="NHM-2026-101652"/>
    <s v="February"/>
    <x v="2"/>
    <n v="2"/>
    <d v="2025-02-25T00:00:00"/>
    <x v="1"/>
    <s v="Amber Wilson"/>
    <s v="NovaHealth Chicago Medical Center"/>
    <s v="Male"/>
    <n v="84"/>
    <x v="0"/>
    <n v="3"/>
    <x v="7"/>
    <x v="7"/>
    <n v="11796.41"/>
    <n v="7303.01"/>
    <n v="13.4"/>
    <x v="1"/>
    <x v="1"/>
  </r>
  <r>
    <s v="NHM-2024-100125"/>
    <s v="July"/>
    <x v="8"/>
    <n v="7"/>
    <d v="2025-07-25T00:00:00"/>
    <x v="1"/>
    <s v="Jonathan Turner"/>
    <s v="NovaHealth Greenfield Clinic"/>
    <s v="Male"/>
    <n v="52"/>
    <x v="2"/>
    <n v="4"/>
    <x v="3"/>
    <x v="3"/>
    <n v="12000.92"/>
    <n v="7714.99"/>
    <n v="4.3"/>
    <x v="2"/>
    <x v="0"/>
  </r>
  <r>
    <s v="NHM-2024-101077"/>
    <s v="July"/>
    <x v="8"/>
    <n v="7"/>
    <d v="2024-07-17T00:00:00"/>
    <x v="0"/>
    <s v="Daniel Martin"/>
    <s v="NovaHealth Chicago Med. Center"/>
    <s v="Male"/>
    <n v="30"/>
    <x v="2"/>
    <n v="4"/>
    <x v="5"/>
    <x v="5"/>
    <n v="16347.72"/>
    <n v="11042.57"/>
    <n v="11.2"/>
    <x v="2"/>
    <x v="0"/>
  </r>
  <r>
    <s v="NHM-2023-100440"/>
    <s v="March"/>
    <x v="1"/>
    <n v="3"/>
    <d v="2026-03-15T00:00:00"/>
    <x v="2"/>
    <s v="Rachel Harrison"/>
    <s v="Nova Health Greenfield Clinic"/>
    <s v="Female"/>
    <n v="40"/>
    <x v="0"/>
    <n v="1"/>
    <x v="1"/>
    <x v="1"/>
    <n v="4874.24"/>
    <n v="3448.77"/>
    <n v="4.5999999999999996"/>
    <x v="0"/>
    <x v="0"/>
  </r>
  <r>
    <s v="NHM-2023-100957"/>
    <s v="February"/>
    <x v="2"/>
    <n v="2"/>
    <d v="2025-02-18T00:00:00"/>
    <x v="1"/>
    <s v="Donald Evans"/>
    <s v="NovaHealth Oakridge Community Hospital"/>
    <s v="Male"/>
    <n v="45"/>
    <x v="2"/>
    <n v="3"/>
    <x v="5"/>
    <x v="5"/>
    <n v="19955.22"/>
    <n v="14658.51"/>
    <n v="11.4"/>
    <x v="1"/>
    <x v="0"/>
  </r>
  <r>
    <s v="NHM-2026-101820"/>
    <s v="June"/>
    <x v="11"/>
    <n v="6"/>
    <d v="2026-06-19T00:00:00"/>
    <x v="2"/>
    <s v="Elijah Graham"/>
    <s v="NovaHealth Oakridge Community Hospital"/>
    <s v="Female"/>
    <n v="83"/>
    <x v="1"/>
    <n v="5"/>
    <x v="4"/>
    <x v="4"/>
    <n v="24856.27"/>
    <n v="18973.169999999998"/>
    <n v="10.3"/>
    <x v="2"/>
    <x v="1"/>
  </r>
  <r>
    <s v="NHM-2025-101537"/>
    <s v="August"/>
    <x v="10"/>
    <n v="8"/>
    <d v="2024-08-28T00:00:00"/>
    <x v="0"/>
    <s v="Nicole Stevens"/>
    <s v="NovaHealth Lakeshore Regional Ctr"/>
    <s v="Male"/>
    <n v="76"/>
    <x v="2"/>
    <n v="3"/>
    <x v="3"/>
    <x v="3"/>
    <n v="10020.08"/>
    <n v="5832.45"/>
    <n v="2.6"/>
    <x v="1"/>
    <x v="1"/>
  </r>
  <r>
    <s v="NHM-2026-101942"/>
    <s v="July"/>
    <x v="8"/>
    <n v="7"/>
    <d v="2026-07-03T00:00:00"/>
    <x v="2"/>
    <s v="Shirley Wood"/>
    <s v="NovaHealth Lakeside Medical Center"/>
    <s v="Female"/>
    <n v="71"/>
    <x v="0"/>
    <n v="3"/>
    <x v="3"/>
    <x v="3"/>
    <n v="6713.76"/>
    <n v="4118.59"/>
    <n v="2.9"/>
    <x v="1"/>
    <x v="1"/>
  </r>
  <r>
    <s v="NHM-2024-102269"/>
    <s v="April"/>
    <x v="0"/>
    <n v="4"/>
    <d v="2024-04-02T00:00:00"/>
    <x v="0"/>
    <s v="Jennifer Ellis"/>
    <s v="Nova Health Lakeside Medical Center"/>
    <s v="Male"/>
    <n v="83"/>
    <x v="1"/>
    <n v="2"/>
    <x v="3"/>
    <x v="3"/>
    <n v="8233.26"/>
    <n v="5354.09"/>
    <n v="10.6"/>
    <x v="1"/>
    <x v="1"/>
  </r>
  <r>
    <s v="NHM-2026-101995"/>
    <s v="May"/>
    <x v="9"/>
    <n v="5"/>
    <d v="2025-05-01T00:00:00"/>
    <x v="1"/>
    <s v="Benjamin Bennett"/>
    <s v="NovaHealth Lakeshore Regional Center"/>
    <s v="Female"/>
    <n v="10"/>
    <x v="0"/>
    <n v="1"/>
    <x v="6"/>
    <x v="6"/>
    <n v="741.99"/>
    <n v="535.53"/>
    <n v="4.8"/>
    <x v="0"/>
    <x v="2"/>
  </r>
  <r>
    <s v="NHM-2026-101370"/>
    <s v="July"/>
    <x v="8"/>
    <n v="7"/>
    <d v="2026-07-03T00:00:00"/>
    <x v="2"/>
    <s v="Ruth Long"/>
    <s v="NovaHealth Chicago Med. Center"/>
    <s v="Female"/>
    <n v="30"/>
    <x v="2"/>
    <n v="4"/>
    <x v="0"/>
    <x v="0"/>
    <n v="15506.06"/>
    <n v="10903.84"/>
    <n v="6.2"/>
    <x v="2"/>
    <x v="0"/>
  </r>
  <r>
    <s v="NHM-2023-102325"/>
    <s v="October"/>
    <x v="5"/>
    <n v="10"/>
    <d v="2024-10-09T00:00:00"/>
    <x v="0"/>
    <s v="Shirley Cruz"/>
    <s v="NovaHealth Chicago Medical Center"/>
    <s v="Female"/>
    <n v="28"/>
    <x v="0"/>
    <n v="3"/>
    <x v="5"/>
    <x v="5"/>
    <n v="14139.58"/>
    <n v="10344.290000000001"/>
    <n v="2.8"/>
    <x v="1"/>
    <x v="0"/>
  </r>
  <r>
    <s v="NHM-2025-100555"/>
    <s v="July"/>
    <x v="8"/>
    <n v="7"/>
    <d v="2024-07-24T00:00:00"/>
    <x v="0"/>
    <s v="Scott Walker"/>
    <s v="NovaHealth Northside Hospital"/>
    <s v="Female"/>
    <n v="15"/>
    <x v="0"/>
    <n v="2"/>
    <x v="6"/>
    <x v="6"/>
    <n v="1506.83"/>
    <n v="1161.19"/>
    <n v="2"/>
    <x v="1"/>
    <x v="2"/>
  </r>
  <r>
    <s v="NHM-2023-100533"/>
    <s v="August"/>
    <x v="10"/>
    <n v="8"/>
    <d v="2023-08-30T00:00:00"/>
    <x v="3"/>
    <s v="Edward Bell"/>
    <s v="NovaHealth Chicago Medical Center"/>
    <s v="Male"/>
    <n v="83"/>
    <x v="2"/>
    <n v="4"/>
    <x v="0"/>
    <x v="0"/>
    <n v="13287.45"/>
    <n v="7733.92"/>
    <n v="3.4"/>
    <x v="2"/>
    <x v="1"/>
  </r>
  <r>
    <s v="NHM-2024-101900"/>
    <s v="May"/>
    <x v="9"/>
    <n v="5"/>
    <d v="2025-05-19T00:00:00"/>
    <x v="1"/>
    <s v="Raymond Hunter"/>
    <s v="NovaHealth Chicago Medical Ctr"/>
    <s v="Male"/>
    <n v="50"/>
    <x v="0"/>
    <n v="2"/>
    <x v="0"/>
    <x v="0"/>
    <n v="11529.16"/>
    <n v="7119.99"/>
    <n v="10.9"/>
    <x v="1"/>
    <x v="0"/>
  </r>
  <r>
    <s v="NHM-2023-101908"/>
    <s v="December"/>
    <x v="6"/>
    <n v="12"/>
    <d v="2024-12-31T00:00:00"/>
    <x v="0"/>
    <s v="Terry Davis"/>
    <s v="NovaHealth Lakeside Medical Center"/>
    <s v="Male"/>
    <n v="56"/>
    <x v="0"/>
    <n v="3"/>
    <x v="7"/>
    <x v="7"/>
    <n v="4477.41"/>
    <n v="2994.34"/>
    <n v="16.100000000000001"/>
    <x v="1"/>
    <x v="0"/>
  </r>
  <r>
    <s v="NHM-2025-100591"/>
    <s v="December"/>
    <x v="6"/>
    <n v="12"/>
    <d v="2023-12-25T00:00:00"/>
    <x v="3"/>
    <s v="Joe Carter"/>
    <s v="NovaHealth Lakeside Medical Center"/>
    <s v="Female"/>
    <n v="28"/>
    <x v="0"/>
    <n v="1"/>
    <x v="0"/>
    <x v="0"/>
    <n v="7581.5"/>
    <n v="5108.3999999999996"/>
    <n v="3.6"/>
    <x v="0"/>
    <x v="0"/>
  </r>
  <r>
    <s v="NHM-2023-101401"/>
    <s v="January"/>
    <x v="3"/>
    <n v="1"/>
    <d v="2025-01-03T00:00:00"/>
    <x v="1"/>
    <s v="Nathan Morris"/>
    <s v="NovaHealth River Valley Hospital"/>
    <s v="Female"/>
    <n v="12"/>
    <x v="2"/>
    <n v="1"/>
    <x v="6"/>
    <x v="6"/>
    <n v="1010.37"/>
    <n v="739.26"/>
    <n v="4"/>
    <x v="0"/>
    <x v="2"/>
  </r>
  <r>
    <s v="NHM-2026-101422"/>
    <s v="February"/>
    <x v="2"/>
    <n v="2"/>
    <d v="2024-02-06T00:00:00"/>
    <x v="0"/>
    <s v="Samuel Roberts"/>
    <s v="NovaHealth Chicago Medical Ctr"/>
    <s v="Female"/>
    <n v="81"/>
    <x v="2"/>
    <n v="5"/>
    <x v="3"/>
    <x v="3"/>
    <n v="9425.84"/>
    <n v="6934.46"/>
    <n v="6.7"/>
    <x v="2"/>
    <x v="1"/>
  </r>
  <r>
    <s v="NHM-2024-101705"/>
    <s v="February"/>
    <x v="2"/>
    <n v="2"/>
    <d v="2024-02-20T00:00:00"/>
    <x v="0"/>
    <s v="Christine Howard"/>
    <s v="NovaHealth Northside Hospital"/>
    <s v="Male"/>
    <n v="37"/>
    <x v="0"/>
    <n v="3"/>
    <x v="2"/>
    <x v="2"/>
    <n v="3495.22"/>
    <n v="2725.17"/>
    <n v="8.6"/>
    <x v="1"/>
    <x v="0"/>
  </r>
  <r>
    <s v="NHM-2023-100710"/>
    <s v="May"/>
    <x v="9"/>
    <n v="5"/>
    <d v="2026-05-20T00:00:00"/>
    <x v="2"/>
    <s v="Laura Woods"/>
    <s v="NovaHealth Chicago Medical Ctr"/>
    <s v="Male"/>
    <n v="31"/>
    <x v="0"/>
    <n v="1"/>
    <x v="0"/>
    <x v="0"/>
    <n v="9354.6299999999992"/>
    <n v="5472.89"/>
    <n v="5.9"/>
    <x v="0"/>
    <x v="0"/>
  </r>
  <r>
    <s v="NHM-2023-100352"/>
    <s v="January"/>
    <x v="3"/>
    <n v="1"/>
    <d v="2024-01-17T00:00:00"/>
    <x v="0"/>
    <s v="Barbara Morris"/>
    <s v="NovaHealth Metro General Hospital"/>
    <s v="Male"/>
    <n v="88"/>
    <x v="0"/>
    <n v="3"/>
    <x v="3"/>
    <x v="3"/>
    <n v="7202.59"/>
    <n v="4476.78"/>
    <n v="10.4"/>
    <x v="1"/>
    <x v="1"/>
  </r>
  <r>
    <s v="NHM-2025-102076"/>
    <s v="May"/>
    <x v="9"/>
    <n v="5"/>
    <d v="2024-05-12T00:00:00"/>
    <x v="0"/>
    <s v="Megan Fisher"/>
    <s v="NovaHealth Midtown Medical Center"/>
    <s v="Male"/>
    <n v="68"/>
    <x v="0"/>
    <n v="2"/>
    <x v="7"/>
    <x v="7"/>
    <n v="6384.04"/>
    <n v="4229.79"/>
    <n v="18"/>
    <x v="1"/>
    <x v="1"/>
  </r>
  <r>
    <s v="NHM-2024-101746"/>
    <s v="April"/>
    <x v="0"/>
    <n v="4"/>
    <d v="2026-04-28T00:00:00"/>
    <x v="2"/>
    <s v="Keith Collins"/>
    <s v="NovaHealth Metro General Hospital"/>
    <s v="Female"/>
    <n v="64"/>
    <x v="0"/>
    <n v="2"/>
    <x v="0"/>
    <x v="0"/>
    <n v="9901.34"/>
    <n v="6684.3"/>
    <n v="6.3"/>
    <x v="1"/>
    <x v="0"/>
  </r>
  <r>
    <s v="NHM-2026-101406"/>
    <s v="August"/>
    <x v="10"/>
    <n v="8"/>
    <d v="2024-08-01T00:00:00"/>
    <x v="0"/>
    <s v="Susan Long"/>
    <s v="NovaHealth River Valley Hospital"/>
    <s v="Male"/>
    <n v="4"/>
    <x v="0"/>
    <n v="1"/>
    <x v="6"/>
    <x v="6"/>
    <n v="1734.96"/>
    <n v="1231.27"/>
    <n v="2.1"/>
    <x v="0"/>
    <x v="2"/>
  </r>
  <r>
    <s v="NHM-2026-100221"/>
    <s v="February"/>
    <x v="2"/>
    <n v="2"/>
    <d v="2025-02-21T00:00:00"/>
    <x v="1"/>
    <s v="Frank Walker"/>
    <s v="NovaHealth Greenfield Clinic"/>
    <s v="Female"/>
    <n v="78"/>
    <x v="2"/>
    <n v="3"/>
    <x v="2"/>
    <x v="2"/>
    <n v="5545.51"/>
    <n v="4126.62"/>
    <n v="9.8000000000000007"/>
    <x v="1"/>
    <x v="1"/>
  </r>
  <r>
    <s v="NHM-2023-102455"/>
    <s v="October"/>
    <x v="5"/>
    <n v="10"/>
    <d v="2025-10-01T00:00:00"/>
    <x v="1"/>
    <s v="Cynthia Martinez"/>
    <s v="NovaHealth Northside Hospital"/>
    <s v="Male"/>
    <n v="86"/>
    <x v="2"/>
    <n v="4"/>
    <x v="5"/>
    <x v="5"/>
    <n v="11695.09"/>
    <n v="8936.27"/>
    <n v="6"/>
    <x v="2"/>
    <x v="1"/>
  </r>
  <r>
    <s v="NHM-2024-101258"/>
    <s v="February"/>
    <x v="2"/>
    <n v="2"/>
    <d v="2026-02-11T00:00:00"/>
    <x v="2"/>
    <s v="Abigail Marshall"/>
    <s v="NovaHealth Chicago Medical Center"/>
    <s v="Female"/>
    <n v="12"/>
    <x v="2"/>
    <n v="3"/>
    <x v="6"/>
    <x v="6"/>
    <n v="2483.83"/>
    <n v="1457.42"/>
    <n v="2.1"/>
    <x v="1"/>
    <x v="2"/>
  </r>
  <r>
    <s v="NHM-2026-101475"/>
    <s v="March"/>
    <x v="1"/>
    <n v="3"/>
    <d v="2026-03-10T00:00:00"/>
    <x v="2"/>
    <s v="Amy Reed"/>
    <s v="NovaHealth Chicago Medical Center"/>
    <s v="Female"/>
    <n v="72"/>
    <x v="2"/>
    <n v="2"/>
    <x v="0"/>
    <x v="0"/>
    <n v="10444.280000000001"/>
    <n v="6409.41"/>
    <n v="4.8"/>
    <x v="1"/>
    <x v="1"/>
  </r>
  <r>
    <s v="NHM-2023-102388"/>
    <s v="May"/>
    <x v="9"/>
    <n v="5"/>
    <d v="2024-05-02T00:00:00"/>
    <x v="0"/>
    <s v="Cynthia Wallace"/>
    <s v="NovaHealth Lakeside Medical Center"/>
    <s v="Female"/>
    <n v="64"/>
    <x v="2"/>
    <n v="1"/>
    <x v="0"/>
    <x v="0"/>
    <n v="5691.2"/>
    <n v="3671.97"/>
    <n v="3.7"/>
    <x v="0"/>
    <x v="0"/>
  </r>
  <r>
    <s v="NHM-2023-100192"/>
    <s v="January"/>
    <x v="3"/>
    <n v="1"/>
    <d v="2025-01-17T00:00:00"/>
    <x v="1"/>
    <s v="Frances Ruiz"/>
    <s v="NovaHealth Midtown Medical Center"/>
    <s v="Female"/>
    <n v="50"/>
    <x v="0"/>
    <n v="1"/>
    <x v="0"/>
    <x v="0"/>
    <n v="5538.27"/>
    <n v="3729.04"/>
    <n v="2.2999999999999998"/>
    <x v="0"/>
    <x v="0"/>
  </r>
  <r>
    <s v="NHM-2024-100495"/>
    <s v="December"/>
    <x v="6"/>
    <n v="12"/>
    <d v="2024-12-01T00:00:00"/>
    <x v="0"/>
    <s v="Ann Gomez"/>
    <s v="NovaHealth Oakridge Community Hospital"/>
    <s v="Female"/>
    <n v="65"/>
    <x v="1"/>
    <n v="4"/>
    <x v="5"/>
    <x v="5"/>
    <n v="11963.03"/>
    <n v="8433.32"/>
    <n v="7.4"/>
    <x v="2"/>
    <x v="1"/>
  </r>
  <r>
    <s v="NHM-2026-100017"/>
    <s v="October"/>
    <x v="5"/>
    <n v="10"/>
    <d v="2023-10-11T00:00:00"/>
    <x v="3"/>
    <s v="Joe Freeman"/>
    <s v="NovaHealth Chicago Medical Center"/>
    <s v="Female"/>
    <n v="84"/>
    <x v="2"/>
    <n v="4"/>
    <x v="0"/>
    <x v="0"/>
    <n v="12745.26"/>
    <n v="9304.0400000000009"/>
    <m/>
    <x v="2"/>
    <x v="1"/>
  </r>
  <r>
    <s v="NHM-2025-102343"/>
    <s v="December"/>
    <x v="6"/>
    <n v="12"/>
    <d v="2024-12-12T00:00:00"/>
    <x v="0"/>
    <s v="Elizabeth Reed"/>
    <s v="NovaHealth Chicago Medical Center"/>
    <s v="Male"/>
    <n v="57"/>
    <x v="1"/>
    <n v="4"/>
    <x v="4"/>
    <x v="4"/>
    <n v="14707.38"/>
    <n v="11288.81"/>
    <n v="13.9"/>
    <x v="2"/>
    <x v="0"/>
  </r>
  <r>
    <s v="NHM-2026-100012"/>
    <s v="November"/>
    <x v="4"/>
    <n v="11"/>
    <d v="2024-11-22T00:00:00"/>
    <x v="0"/>
    <s v="Jessica Castillo"/>
    <s v="NovaHealth Greenfield Clinic"/>
    <s v="Female"/>
    <n v="73"/>
    <x v="2"/>
    <n v="5"/>
    <x v="4"/>
    <x v="4"/>
    <n v="14836.43"/>
    <n v="8605.1299999999992"/>
    <m/>
    <x v="2"/>
    <x v="1"/>
  </r>
  <r>
    <s v="NHM-2023-100789"/>
    <s v="September"/>
    <x v="7"/>
    <n v="9"/>
    <d v="2023-09-12T00:00:00"/>
    <x v="3"/>
    <s v="Linda Cooper"/>
    <s v="NovaHealth Chicago Medical Center"/>
    <s v="Female"/>
    <n v="90"/>
    <x v="2"/>
    <n v="4"/>
    <x v="4"/>
    <x v="4"/>
    <n v="18045.560000000001"/>
    <n v="11146.99"/>
    <n v="17.399999999999999"/>
    <x v="2"/>
    <x v="1"/>
  </r>
  <r>
    <s v="NHM-2024-102113"/>
    <s v="December"/>
    <x v="6"/>
    <n v="12"/>
    <d v="2023-12-27T00:00:00"/>
    <x v="3"/>
    <s v="Daniel Ford"/>
    <s v="NovaHealth Northside Hospital"/>
    <s v="Female"/>
    <n v="10"/>
    <x v="2"/>
    <n v="3"/>
    <x v="6"/>
    <x v="6"/>
    <n v="3084.79"/>
    <n v="1997.47"/>
    <n v="2.9"/>
    <x v="1"/>
    <x v="2"/>
  </r>
  <r>
    <s v="NHM-2026-101321"/>
    <s v="December"/>
    <x v="6"/>
    <n v="12"/>
    <d v="2024-12-09T00:00:00"/>
    <x v="0"/>
    <s v="Deborah Thompson"/>
    <s v="NovaHealth Northside Hospital"/>
    <s v="Male"/>
    <n v="57"/>
    <x v="0"/>
    <n v="2"/>
    <x v="2"/>
    <x v="2"/>
    <n v="2639.94"/>
    <n v="1831.96"/>
    <n v="7.9"/>
    <x v="1"/>
    <x v="0"/>
  </r>
  <r>
    <s v="NHM-2025-100635"/>
    <s v="July"/>
    <x v="8"/>
    <n v="7"/>
    <d v="2025-07-05T00:00:00"/>
    <x v="1"/>
    <s v="Kyle Hughes"/>
    <s v="NovaHealth Greenfield Clinic"/>
    <s v="Female"/>
    <n v="71"/>
    <x v="1"/>
    <n v="2"/>
    <x v="2"/>
    <x v="2"/>
    <n v="1892.81"/>
    <n v="1400.97"/>
    <n v="9.5"/>
    <x v="1"/>
    <x v="1"/>
  </r>
  <r>
    <s v="NHM-2023-100382"/>
    <s v="May"/>
    <x v="9"/>
    <n v="5"/>
    <d v="2026-05-19T00:00:00"/>
    <x v="2"/>
    <s v="Brandon Martinez"/>
    <s v="NovaHealth Greenfield Clinic"/>
    <s v="Female"/>
    <n v="57"/>
    <x v="1"/>
    <n v="4"/>
    <x v="5"/>
    <x v="5"/>
    <n v="18363.29"/>
    <n v="13454"/>
    <n v="6.1"/>
    <x v="2"/>
    <x v="0"/>
  </r>
  <r>
    <s v="NHM-2026-101549"/>
    <s v="April"/>
    <x v="0"/>
    <n v="4"/>
    <d v="2026-04-23T00:00:00"/>
    <x v="2"/>
    <s v="Rachel Marshall"/>
    <s v="NovaHealth Greenfield Clinic"/>
    <s v="Female"/>
    <n v="79"/>
    <x v="0"/>
    <n v="3"/>
    <x v="0"/>
    <x v="0"/>
    <n v="10144.1"/>
    <n v="7798.32"/>
    <n v="11.1"/>
    <x v="1"/>
    <x v="1"/>
  </r>
  <r>
    <s v="NHM-2025-102422"/>
    <s v="January"/>
    <x v="3"/>
    <n v="1"/>
    <d v="2025-01-07T00:00:00"/>
    <x v="1"/>
    <s v="Diane Reynolds"/>
    <s v="NovaHealth Northside Hospital"/>
    <s v="Female"/>
    <n v="72"/>
    <x v="1"/>
    <n v="5"/>
    <x v="4"/>
    <x v="4"/>
    <n v="11452.59"/>
    <n v="6769.7"/>
    <n v="15.9"/>
    <x v="2"/>
    <x v="1"/>
  </r>
  <r>
    <s v="NHM-2023-101918"/>
    <s v="April"/>
    <x v="0"/>
    <n v="4"/>
    <d v="2026-04-23T00:00:00"/>
    <x v="2"/>
    <s v="Joe Myers"/>
    <s v="NovaHealth Chicago Medical Center"/>
    <s v="Female"/>
    <n v="80"/>
    <x v="2"/>
    <n v="4"/>
    <x v="1"/>
    <x v="1"/>
    <n v="8820.6"/>
    <n v="5449.37"/>
    <n v="8.6"/>
    <x v="2"/>
    <x v="1"/>
  </r>
  <r>
    <s v="NHM-2024-102496"/>
    <s v="December"/>
    <x v="6"/>
    <n v="12"/>
    <d v="2025-12-09T00:00:00"/>
    <x v="1"/>
    <s v="James Jenkins"/>
    <s v="NovaHealth Midtown Medical Center"/>
    <s v="Male"/>
    <n v="29"/>
    <x v="0"/>
    <n v="1"/>
    <x v="0"/>
    <x v="0"/>
    <n v="5500.22"/>
    <n v="3552.94"/>
    <n v="4.0999999999999996"/>
    <x v="0"/>
    <x v="0"/>
  </r>
  <r>
    <s v="NHM-2024-102468"/>
    <s v="September"/>
    <x v="7"/>
    <n v="9"/>
    <d v="2024-09-21T00:00:00"/>
    <x v="0"/>
    <s v="Ralph Miller"/>
    <s v="NovaHealth Chicago Medical Center"/>
    <s v="Female"/>
    <n v="90"/>
    <x v="2"/>
    <n v="4"/>
    <x v="4"/>
    <x v="4"/>
    <n v="11284.32"/>
    <n v="7560.49"/>
    <m/>
    <x v="2"/>
    <x v="1"/>
  </r>
  <r>
    <s v="NHM-2025-100756"/>
    <s v="January"/>
    <x v="3"/>
    <n v="1"/>
    <d v="2026-01-27T00:00:00"/>
    <x v="2"/>
    <s v="Bruce Diaz"/>
    <s v="NovaHealth Chicago Medical Center"/>
    <s v="Female"/>
    <n v="52"/>
    <x v="0"/>
    <n v="1"/>
    <x v="3"/>
    <x v="3"/>
    <n v="7849.84"/>
    <n v="5561.29"/>
    <n v="8.3000000000000007"/>
    <x v="0"/>
    <x v="0"/>
  </r>
  <r>
    <s v="NHM-2024-100952"/>
    <s v="March"/>
    <x v="1"/>
    <n v="3"/>
    <d v="2024-03-17T00:00:00"/>
    <x v="0"/>
    <s v="Grace Alexander"/>
    <s v="NovaHealth Northside Hospital"/>
    <s v="Male"/>
    <n v="32"/>
    <x v="2"/>
    <n v="4"/>
    <x v="5"/>
    <x v="5"/>
    <n v="22910.18"/>
    <n v="16755.63"/>
    <n v="3.9"/>
    <x v="2"/>
    <x v="0"/>
  </r>
  <r>
    <s v="NHM-2023-101702"/>
    <s v="July"/>
    <x v="8"/>
    <n v="7"/>
    <d v="2025-07-23T00:00:00"/>
    <x v="1"/>
    <s v="Juan Patel"/>
    <s v="NovaHealth Lakeside Medical Center"/>
    <s v="Male"/>
    <n v="80"/>
    <x v="1"/>
    <n v="3"/>
    <x v="5"/>
    <x v="5"/>
    <n v="14981.93"/>
    <n v="11468.67"/>
    <n v="10.3"/>
    <x v="1"/>
    <x v="1"/>
  </r>
  <r>
    <s v="NHM-2023-101430"/>
    <s v="April"/>
    <x v="0"/>
    <n v="4"/>
    <d v="2024-04-08T00:00:00"/>
    <x v="0"/>
    <s v="Edward Coleman"/>
    <s v="NovaHealth Metro General Hospital"/>
    <s v="Female"/>
    <n v="81"/>
    <x v="2"/>
    <n v="4"/>
    <x v="4"/>
    <x v="4"/>
    <n v="13603.14"/>
    <n v="7961.02"/>
    <n v="8.9"/>
    <x v="2"/>
    <x v="1"/>
  </r>
  <r>
    <s v="NHM-2023-100623"/>
    <s v="March"/>
    <x v="1"/>
    <n v="3"/>
    <d v="2026-03-04T00:00:00"/>
    <x v="2"/>
    <s v="Janice Crawford"/>
    <s v="NovaHealth Chicago Medical Center"/>
    <s v="Female"/>
    <n v="95"/>
    <x v="0"/>
    <n v="4"/>
    <x v="3"/>
    <x v="3"/>
    <n v="10262.950000000001"/>
    <n v="6300.4"/>
    <n v="5"/>
    <x v="2"/>
    <x v="1"/>
  </r>
  <r>
    <s v="NHM-2024-101884"/>
    <s v="June"/>
    <x v="11"/>
    <n v="6"/>
    <d v="2024-06-11T00:00:00"/>
    <x v="0"/>
    <s v="Beverly Stevens"/>
    <s v="NovaHealth River Valley Hospital"/>
    <s v="Female"/>
    <n v="68"/>
    <x v="0"/>
    <n v="1"/>
    <x v="7"/>
    <x v="7"/>
    <n v="3646.44"/>
    <n v="2456.92"/>
    <n v="15.4"/>
    <x v="0"/>
    <x v="1"/>
  </r>
  <r>
    <s v="NHM-2024-100230"/>
    <s v="January"/>
    <x v="3"/>
    <n v="1"/>
    <d v="2026-01-09T00:00:00"/>
    <x v="2"/>
    <s v="Catherine Russell"/>
    <s v="NovaHealth Lakeside Medical Center"/>
    <s v="Female"/>
    <n v="66"/>
    <x v="1"/>
    <n v="3"/>
    <x v="7"/>
    <x v="7"/>
    <n v="6590.34"/>
    <n v="4585.13"/>
    <n v="21.2"/>
    <x v="1"/>
    <x v="1"/>
  </r>
  <r>
    <s v="NHM-2025-100947"/>
    <s v="January"/>
    <x v="3"/>
    <n v="1"/>
    <d v="2025-01-21T00:00:00"/>
    <x v="1"/>
    <s v="Martha Hughes"/>
    <s v="NovaHealth Chicago Medical Center"/>
    <s v="Male"/>
    <n v="63"/>
    <x v="0"/>
    <n v="2"/>
    <x v="2"/>
    <x v="2"/>
    <n v="3062.14"/>
    <n v="2198.6999999999998"/>
    <n v="6.9"/>
    <x v="1"/>
    <x v="0"/>
  </r>
  <r>
    <s v="NHM-2024-101222"/>
    <s v="January"/>
    <x v="3"/>
    <n v="1"/>
    <d v="2024-01-30T00:00:00"/>
    <x v="0"/>
    <s v="Noah Murray"/>
    <s v="NovaHealth Greenfield Clinic"/>
    <s v="Male"/>
    <n v="69"/>
    <x v="1"/>
    <n v="4"/>
    <x v="3"/>
    <x v="3"/>
    <n v="13290.19"/>
    <n v="9775.44"/>
    <n v="9.1999999999999993"/>
    <x v="2"/>
    <x v="1"/>
  </r>
  <r>
    <s v="NHM-2024-100850"/>
    <s v="March"/>
    <x v="1"/>
    <n v="3"/>
    <d v="2024-03-16T00:00:00"/>
    <x v="0"/>
    <s v="Justin Morris"/>
    <s v="NovaHealth Greenfield Clinic"/>
    <s v="Female"/>
    <n v="70"/>
    <x v="0"/>
    <n v="3"/>
    <x v="2"/>
    <x v="2"/>
    <n v="4408.3599999999997"/>
    <n v="3423.15"/>
    <n v="9.1"/>
    <x v="1"/>
    <x v="1"/>
  </r>
  <r>
    <s v="NHM-2023-101928"/>
    <s v="September"/>
    <x v="7"/>
    <n v="9"/>
    <d v="2023-09-28T00:00:00"/>
    <x v="3"/>
    <s v="Sandra Ortiz"/>
    <s v="NovaHealth River Valley Hospital"/>
    <s v="Female"/>
    <n v="52"/>
    <x v="0"/>
    <n v="3"/>
    <x v="1"/>
    <x v="1"/>
    <n v="14505.45"/>
    <n v="8445.9599999999991"/>
    <n v="4.0999999999999996"/>
    <x v="1"/>
    <x v="0"/>
  </r>
  <r>
    <s v="NHM-2023-101259"/>
    <s v="March"/>
    <x v="1"/>
    <n v="3"/>
    <d v="2024-03-07T00:00:00"/>
    <x v="0"/>
    <s v="Juan Lewis"/>
    <s v="NovaHealth Chicago Medical Center"/>
    <s v="Female"/>
    <n v="58"/>
    <x v="0"/>
    <n v="1"/>
    <x v="3"/>
    <x v="3"/>
    <n v="4112.9799999999996"/>
    <n v="2565.7199999999998"/>
    <n v="7.1"/>
    <x v="0"/>
    <x v="0"/>
  </r>
  <r>
    <s v="NHM-2026-100081"/>
    <s v="December"/>
    <x v="6"/>
    <n v="12"/>
    <d v="2024-12-25T00:00:00"/>
    <x v="0"/>
    <s v="Beverly Sanchez"/>
    <s v="NovaHealth Midtown Medical Center"/>
    <s v="Male"/>
    <n v="15"/>
    <x v="1"/>
    <n v="4"/>
    <x v="6"/>
    <x v="6"/>
    <n v="2260.8200000000002"/>
    <n v="1459.72"/>
    <n v="1.6"/>
    <x v="2"/>
    <x v="2"/>
  </r>
  <r>
    <s v="NHM-2026-100481"/>
    <s v="November"/>
    <x v="4"/>
    <n v="11"/>
    <d v="2025-11-27T00:00:00"/>
    <x v="1"/>
    <s v="Teresa Mitchell"/>
    <s v="NovaHealth Northside Hospital"/>
    <s v="Male"/>
    <n v="21"/>
    <x v="0"/>
    <n v="1"/>
    <x v="7"/>
    <x v="7"/>
    <n v="4205.21"/>
    <n v="2932.69"/>
    <n v="14.4"/>
    <x v="0"/>
    <x v="0"/>
  </r>
  <r>
    <s v="NHM-2026-100527"/>
    <s v="December"/>
    <x v="6"/>
    <n v="12"/>
    <d v="2023-12-27T00:00:00"/>
    <x v="3"/>
    <s v="Nathan Wood"/>
    <s v="NovaHealth Northside Hospital"/>
    <s v="Female"/>
    <n v="34"/>
    <x v="0"/>
    <n v="2"/>
    <x v="7"/>
    <x v="7"/>
    <n v="7649.55"/>
    <n v="5471.48"/>
    <n v="14.6"/>
    <x v="1"/>
    <x v="0"/>
  </r>
  <r>
    <s v="NHM-2025-100338"/>
    <s v="July"/>
    <x v="8"/>
    <n v="7"/>
    <d v="2024-07-31T00:00:00"/>
    <x v="0"/>
    <s v="Thomas Powell"/>
    <s v="NovaHealth Northside Hospital"/>
    <s v="Female"/>
    <n v="58"/>
    <x v="0"/>
    <n v="1"/>
    <x v="7"/>
    <x v="7"/>
    <n v="7354.12"/>
    <n v="5494.91"/>
    <n v="15.8"/>
    <x v="0"/>
    <x v="0"/>
  </r>
  <r>
    <s v="NHM-2023-100022"/>
    <s v="October"/>
    <x v="5"/>
    <n v="10"/>
    <d v="2025-10-13T00:00:00"/>
    <x v="1"/>
    <s v="Carol Davis"/>
    <s v="NovaHealth Metro General Hospital"/>
    <s v="Male"/>
    <n v="26"/>
    <x v="0"/>
    <n v="1"/>
    <x v="0"/>
    <x v="0"/>
    <n v="5002.47"/>
    <n v="3828.28"/>
    <n v="3.3"/>
    <x v="0"/>
    <x v="0"/>
  </r>
  <r>
    <s v="NHM-2023-101288"/>
    <s v="March"/>
    <x v="1"/>
    <n v="3"/>
    <d v="2026-03-17T00:00:00"/>
    <x v="2"/>
    <s v="Valerie Kelly"/>
    <s v="NovaHealth Greenfield Clinic"/>
    <s v="Female"/>
    <n v="57"/>
    <x v="2"/>
    <n v="3"/>
    <x v="3"/>
    <x v="3"/>
    <n v="6235.64"/>
    <n v="3706.27"/>
    <n v="11.2"/>
    <x v="1"/>
    <x v="0"/>
  </r>
  <r>
    <s v="NHM-2026-100155"/>
    <s v="April"/>
    <x v="0"/>
    <n v="4"/>
    <d v="2025-04-04T00:00:00"/>
    <x v="1"/>
    <s v="David Murphy"/>
    <s v="NovaHealth Northside Hospital"/>
    <s v="Female"/>
    <n v="76"/>
    <x v="2"/>
    <n v="2"/>
    <x v="7"/>
    <x v="7"/>
    <n v="3952.84"/>
    <n v="2584.83"/>
    <n v="21.7"/>
    <x v="1"/>
    <x v="1"/>
  </r>
  <r>
    <s v="NHM-2026-100086"/>
    <s v="May"/>
    <x v="9"/>
    <n v="5"/>
    <d v="2026-05-21T00:00:00"/>
    <x v="2"/>
    <s v="Lauren Perry"/>
    <s v="NovaHealth Chicago Medical Center"/>
    <s v="Female"/>
    <n v="66"/>
    <x v="1"/>
    <n v="3"/>
    <x v="4"/>
    <x v="4"/>
    <n v="12739.66"/>
    <n v="8220.58"/>
    <n v="8.4"/>
    <x v="1"/>
    <x v="1"/>
  </r>
  <r>
    <s v="NHM-2025-101554"/>
    <s v="July"/>
    <x v="8"/>
    <n v="7"/>
    <d v="2024-07-11T00:00:00"/>
    <x v="0"/>
    <s v="Richard James"/>
    <s v="NovaHealth River Valley Hospital"/>
    <s v="Male"/>
    <n v="89"/>
    <x v="1"/>
    <n v="3"/>
    <x v="4"/>
    <x v="4"/>
    <n v="18589.150000000001"/>
    <n v="12525.13"/>
    <n v="8.8000000000000007"/>
    <x v="1"/>
    <x v="1"/>
  </r>
  <r>
    <s v="NHM-2024-101981"/>
    <s v="September"/>
    <x v="7"/>
    <n v="9"/>
    <d v="2024-09-20T00:00:00"/>
    <x v="0"/>
    <s v="Joan Ford"/>
    <s v="NovaHealth Lakeside Medical Center"/>
    <s v="Female"/>
    <n v="49"/>
    <x v="0"/>
    <n v="2"/>
    <x v="3"/>
    <x v="3"/>
    <n v="8559.2099999999991"/>
    <n v="6074.65"/>
    <n v="10.4"/>
    <x v="1"/>
    <x v="0"/>
  </r>
  <r>
    <s v="NHM-2025-100173"/>
    <s v="December"/>
    <x v="6"/>
    <n v="12"/>
    <d v="2023-12-26T00:00:00"/>
    <x v="3"/>
    <s v="Patrick Gibson"/>
    <s v="NovaHealth Chicago Medical Center"/>
    <s v="Male"/>
    <n v="63"/>
    <x v="1"/>
    <n v="3"/>
    <x v="4"/>
    <x v="4"/>
    <n v="11864.6"/>
    <n v="8732.36"/>
    <n v="8.9"/>
    <x v="1"/>
    <x v="0"/>
  </r>
  <r>
    <s v="NHM-2026-100323"/>
    <s v="December"/>
    <x v="6"/>
    <n v="12"/>
    <d v="2023-12-24T00:00:00"/>
    <x v="3"/>
    <s v="Alexander Hughes"/>
    <s v="NovaHealth Chicago Medical Center"/>
    <s v="Male"/>
    <n v="56"/>
    <x v="1"/>
    <n v="4"/>
    <x v="5"/>
    <x v="5"/>
    <n v="22991.52"/>
    <n v="17545.560000000001"/>
    <n v="9"/>
    <x v="2"/>
    <x v="0"/>
  </r>
  <r>
    <s v="NHM-2026-100195"/>
    <s v="May"/>
    <x v="9"/>
    <n v="5"/>
    <d v="2026-05-01T00:00:00"/>
    <x v="2"/>
    <s v="Kathryn Walker"/>
    <s v="NovaHealth Northside Hospital"/>
    <s v="Female"/>
    <n v="39"/>
    <x v="0"/>
    <n v="1"/>
    <x v="7"/>
    <x v="7"/>
    <n v="3175.03"/>
    <n v="1951.12"/>
    <n v="13.7"/>
    <x v="0"/>
    <x v="0"/>
  </r>
  <r>
    <s v="NHM-2023-100381"/>
    <s v="June"/>
    <x v="11"/>
    <n v="6"/>
    <d v="2026-06-23T00:00:00"/>
    <x v="2"/>
    <s v="Julia Martin"/>
    <s v="NovaHealth Chicago Medical Center"/>
    <s v="Male"/>
    <n v="61"/>
    <x v="0"/>
    <n v="3"/>
    <x v="4"/>
    <x v="4"/>
    <n v="12717.24"/>
    <n v="7837.52"/>
    <n v="10"/>
    <x v="1"/>
    <x v="0"/>
  </r>
  <r>
    <s v="NHM-2023-101439"/>
    <s v="July"/>
    <x v="8"/>
    <n v="7"/>
    <d v="2024-07-16T00:00:00"/>
    <x v="0"/>
    <s v="David Cox"/>
    <s v="NovaHealth Northside Hospital"/>
    <s v="Male"/>
    <n v="69"/>
    <x v="0"/>
    <n v="2"/>
    <x v="1"/>
    <x v="1"/>
    <n v="12787.21"/>
    <n v="8221.41"/>
    <n v="4.7"/>
    <x v="1"/>
    <x v="1"/>
  </r>
  <r>
    <s v="NHM-2025-102236"/>
    <s v="February"/>
    <x v="2"/>
    <n v="2"/>
    <d v="2024-02-09T00:00:00"/>
    <x v="0"/>
    <s v="Juan Griffin"/>
    <s v="NovaHealth River Valley Hospital"/>
    <s v="Male"/>
    <n v="75"/>
    <x v="0"/>
    <n v="3"/>
    <x v="0"/>
    <x v="0"/>
    <n v="5908.83"/>
    <n v="3988.52"/>
    <n v="3.7"/>
    <x v="1"/>
    <x v="1"/>
  </r>
  <r>
    <s v="NHM-2026-101438"/>
    <s v="September"/>
    <x v="7"/>
    <n v="9"/>
    <d v="2024-09-12T00:00:00"/>
    <x v="0"/>
    <s v="Ann Jenkins"/>
    <s v="NovaHealth Northside Hospital"/>
    <s v="Male"/>
    <n v="50"/>
    <x v="0"/>
    <n v="1"/>
    <x v="1"/>
    <x v="1"/>
    <n v="8392.8799999999992"/>
    <n v="5895.02"/>
    <n v="2.5"/>
    <x v="0"/>
    <x v="0"/>
  </r>
  <r>
    <s v="NHM-2026-100873"/>
    <s v="January"/>
    <x v="3"/>
    <n v="1"/>
    <d v="2024-01-16T00:00:00"/>
    <x v="0"/>
    <s v="Amanda Hicks"/>
    <s v="NovaHealth River Valley Hospital"/>
    <s v="Male"/>
    <n v="76"/>
    <x v="2"/>
    <n v="4"/>
    <x v="7"/>
    <x v="7"/>
    <n v="7447.71"/>
    <n v="5612.03"/>
    <n v="21.9"/>
    <x v="2"/>
    <x v="1"/>
  </r>
  <r>
    <s v="NHM-2026-101447"/>
    <s v="January"/>
    <x v="3"/>
    <n v="1"/>
    <d v="2024-01-15T00:00:00"/>
    <x v="0"/>
    <s v="Lawrence Diaz"/>
    <s v="NovaHealth Chicago Medical Center"/>
    <s v="Female"/>
    <n v="47"/>
    <x v="0"/>
    <n v="3"/>
    <x v="1"/>
    <x v="1"/>
    <n v="6261.44"/>
    <n v="4805.8900000000003"/>
    <n v="5.9"/>
    <x v="1"/>
    <x v="0"/>
  </r>
  <r>
    <s v="NHM-2024-101689"/>
    <s v="January"/>
    <x v="3"/>
    <n v="1"/>
    <d v="2025-01-14T00:00:00"/>
    <x v="1"/>
    <s v="Jesse Simmons"/>
    <s v="NovaHealth Greenfield Clinic"/>
    <s v="Male"/>
    <n v="54"/>
    <x v="0"/>
    <n v="1"/>
    <x v="3"/>
    <x v="3"/>
    <n v="4606.18"/>
    <n v="2711.58"/>
    <n v="5"/>
    <x v="0"/>
    <x v="0"/>
  </r>
  <r>
    <s v="NHM-2024-101703"/>
    <s v="June"/>
    <x v="11"/>
    <n v="6"/>
    <d v="2025-06-06T00:00:00"/>
    <x v="1"/>
    <s v="Emily Sullivan"/>
    <s v="NovaHealth Chicago Medical Center"/>
    <s v="Male"/>
    <n v="80"/>
    <x v="0"/>
    <n v="2"/>
    <x v="2"/>
    <x v="2"/>
    <n v="2174.83"/>
    <n v="1385.05"/>
    <n v="7.3"/>
    <x v="1"/>
    <x v="1"/>
  </r>
  <r>
    <s v="NHM-2025-100190"/>
    <s v="February"/>
    <x v="2"/>
    <n v="2"/>
    <d v="2025-02-13T00:00:00"/>
    <x v="1"/>
    <s v="Debra Roberts"/>
    <s v="NovaHealth Greenfield Clinic"/>
    <s v="Male"/>
    <n v="83"/>
    <x v="0"/>
    <n v="5"/>
    <x v="2"/>
    <x v="2"/>
    <n v="5088.28"/>
    <n v="3334.9"/>
    <n v="9.8000000000000007"/>
    <x v="2"/>
    <x v="1"/>
  </r>
  <r>
    <s v="NHM-2026-101675"/>
    <s v="June"/>
    <x v="11"/>
    <n v="6"/>
    <d v="2025-06-02T00:00:00"/>
    <x v="1"/>
    <s v="Michael Sullivan"/>
    <s v="NovaHealth Oakridge Community Hospital"/>
    <s v="Male"/>
    <n v="65"/>
    <x v="0"/>
    <n v="2"/>
    <x v="0"/>
    <x v="0"/>
    <n v="6575.02"/>
    <n v="4481.26"/>
    <n v="9.5"/>
    <x v="1"/>
    <x v="1"/>
  </r>
  <r>
    <s v="NHM-2026-102398"/>
    <s v="May"/>
    <x v="9"/>
    <n v="5"/>
    <d v="2024-05-23T00:00:00"/>
    <x v="0"/>
    <s v="Virginia Reed"/>
    <s v="NovaHealth Oakridge Community Hospital"/>
    <s v="Male"/>
    <n v="70"/>
    <x v="0"/>
    <n v="3"/>
    <x v="4"/>
    <x v="4"/>
    <n v="19737.52"/>
    <n v="13898.66"/>
    <n v="10.3"/>
    <x v="1"/>
    <x v="1"/>
  </r>
  <r>
    <s v="NHM-2026-101534"/>
    <s v="January"/>
    <x v="3"/>
    <n v="1"/>
    <d v="2024-01-24T00:00:00"/>
    <x v="0"/>
    <s v="Ronald Jenkins"/>
    <s v="NovaHealth Lakeshore Regional Center"/>
    <s v="Male"/>
    <n v="93"/>
    <x v="0"/>
    <n v="2"/>
    <x v="3"/>
    <x v="3"/>
    <n v="8229.81"/>
    <n v="6026.96"/>
    <n v="2.4"/>
    <x v="1"/>
    <x v="1"/>
  </r>
  <r>
    <s v="NHM-2026-101678"/>
    <s v="March"/>
    <x v="1"/>
    <n v="3"/>
    <d v="2024-03-20T00:00:00"/>
    <x v="0"/>
    <s v="Gregory Gonzalez"/>
    <s v="NovaHealth Lakeside Medical Center"/>
    <s v="Male"/>
    <n v="68"/>
    <x v="1"/>
    <n v="3"/>
    <x v="4"/>
    <x v="4"/>
    <n v="16388.37"/>
    <n v="12553.56"/>
    <n v="12.3"/>
    <x v="1"/>
    <x v="1"/>
  </r>
  <r>
    <s v="NHM-2023-102177"/>
    <s v="January"/>
    <x v="3"/>
    <n v="1"/>
    <d v="2024-01-26T00:00:00"/>
    <x v="0"/>
    <s v="Ralph Kim"/>
    <s v="NovaHealth Lakeside Medical Center"/>
    <s v="Female"/>
    <n v="72"/>
    <x v="1"/>
    <n v="5"/>
    <x v="4"/>
    <x v="4"/>
    <n v="11440.99"/>
    <n v="6742.97"/>
    <n v="13.4"/>
    <x v="2"/>
    <x v="1"/>
  </r>
  <r>
    <s v="NHM-2023-100974"/>
    <s v="November"/>
    <x v="4"/>
    <n v="11"/>
    <d v="2024-11-07T00:00:00"/>
    <x v="0"/>
    <s v="Harold Adams"/>
    <s v="NovaHealth Lakeshore Regional Center"/>
    <s v="Female"/>
    <n v="56"/>
    <x v="0"/>
    <n v="2"/>
    <x v="7"/>
    <x v="7"/>
    <n v="10071.16"/>
    <n v="6309.01"/>
    <n v="20.7"/>
    <x v="1"/>
    <x v="0"/>
  </r>
  <r>
    <s v="NHM-2026-100807"/>
    <s v="June"/>
    <x v="11"/>
    <n v="6"/>
    <d v="2026-06-30T00:00:00"/>
    <x v="2"/>
    <s v="Michael Ramos"/>
    <s v="NovaHealth Chicago Medical Center"/>
    <s v="Female"/>
    <n v="55"/>
    <x v="0"/>
    <n v="3"/>
    <x v="5"/>
    <x v="5"/>
    <n v="19773.61"/>
    <n v="12726.31"/>
    <n v="8.9"/>
    <x v="1"/>
    <x v="0"/>
  </r>
  <r>
    <s v="NHM-2025-101300"/>
    <s v="February"/>
    <x v="2"/>
    <n v="2"/>
    <d v="2025-02-22T00:00:00"/>
    <x v="1"/>
    <s v="Anthony Crawford"/>
    <s v="NovaHealth Chicago Medical Center"/>
    <s v="Male"/>
    <n v="42"/>
    <x v="0"/>
    <n v="1"/>
    <x v="0"/>
    <x v="0"/>
    <n v="5994.91"/>
    <n v="4090.19"/>
    <n v="9.1999999999999993"/>
    <x v="0"/>
    <x v="0"/>
  </r>
  <r>
    <s v="NHM-2026-101961"/>
    <s v="August"/>
    <x v="10"/>
    <n v="8"/>
    <d v="2025-08-12T00:00:00"/>
    <x v="1"/>
    <s v="Gregory Butler"/>
    <s v="NovaHealth Northside Hospital"/>
    <s v="Male"/>
    <n v="61"/>
    <x v="1"/>
    <n v="4"/>
    <x v="5"/>
    <x v="5"/>
    <n v="19263.34"/>
    <n v="13544.34"/>
    <n v="7.5"/>
    <x v="2"/>
    <x v="0"/>
  </r>
  <r>
    <s v="NHM-2026-100432"/>
    <s v="January"/>
    <x v="3"/>
    <n v="1"/>
    <d v="2024-01-16T00:00:00"/>
    <x v="0"/>
    <s v="Nathan Fisher"/>
    <s v="NovaHealth Chicago Medical Center"/>
    <s v="Male"/>
    <n v="6"/>
    <x v="1"/>
    <n v="3"/>
    <x v="6"/>
    <x v="6"/>
    <n v="1541.36"/>
    <n v="1145.99"/>
    <n v="2.6"/>
    <x v="1"/>
    <x v="2"/>
  </r>
  <r>
    <s v="NHM-2023-101559"/>
    <s v="January"/>
    <x v="3"/>
    <n v="1"/>
    <d v="2025-01-10T00:00:00"/>
    <x v="1"/>
    <s v="Jeffrey Lopez"/>
    <s v="NovaHealth Chicago Medical Center"/>
    <s v="Female"/>
    <n v="71"/>
    <x v="0"/>
    <n v="2"/>
    <x v="3"/>
    <x v="3"/>
    <n v="8760.49"/>
    <n v="6709.17"/>
    <n v="6.4"/>
    <x v="1"/>
    <x v="1"/>
  </r>
  <r>
    <s v="NHM-2025-101337"/>
    <s v="September"/>
    <x v="7"/>
    <n v="9"/>
    <d v="2025-09-23T00:00:00"/>
    <x v="1"/>
    <s v="Gerald Stevens"/>
    <s v="NovaHealth Lakeside Medical Center"/>
    <s v="Male"/>
    <n v="55"/>
    <x v="2"/>
    <n v="3"/>
    <x v="0"/>
    <x v="0"/>
    <n v="8800.2999999999993"/>
    <n v="5123.37"/>
    <n v="2.4"/>
    <x v="1"/>
    <x v="0"/>
  </r>
  <r>
    <s v="NHM-2026-100783"/>
    <s v="April"/>
    <x v="0"/>
    <n v="4"/>
    <d v="2025-04-03T00:00:00"/>
    <x v="1"/>
    <s v="Vincent Sullivan"/>
    <s v="NovaHealth Lakeside Medical Center"/>
    <s v="Female"/>
    <n v="23"/>
    <x v="2"/>
    <n v="3"/>
    <x v="7"/>
    <x v="7"/>
    <n v="10533.83"/>
    <n v="6595.24"/>
    <n v="21.2"/>
    <x v="1"/>
    <x v="0"/>
  </r>
  <r>
    <s v="NHM-2023-100771"/>
    <s v="July"/>
    <x v="8"/>
    <n v="7"/>
    <d v="2024-07-17T00:00:00"/>
    <x v="0"/>
    <s v="Judy Reyes"/>
    <s v="NovaHealth River Valley Hospital"/>
    <s v="Male"/>
    <n v="76"/>
    <x v="2"/>
    <n v="5"/>
    <x v="5"/>
    <x v="5"/>
    <n v="18020.439999999999"/>
    <n v="11626.68"/>
    <n v="11.7"/>
    <x v="2"/>
    <x v="1"/>
  </r>
  <r>
    <s v="NHM-2025-102204"/>
    <s v="February"/>
    <x v="2"/>
    <n v="2"/>
    <d v="2026-02-11T00:00:00"/>
    <x v="2"/>
    <s v="Jose Warren"/>
    <s v="NovaHealth Chicago Medical Center"/>
    <s v="Female"/>
    <n v="83"/>
    <x v="1"/>
    <n v="3"/>
    <x v="3"/>
    <x v="3"/>
    <n v="11542.11"/>
    <n v="7826.81"/>
    <n v="11.7"/>
    <x v="1"/>
    <x v="1"/>
  </r>
  <r>
    <s v="NHM-2024-100348"/>
    <s v="May"/>
    <x v="9"/>
    <n v="5"/>
    <d v="2025-05-09T00:00:00"/>
    <x v="1"/>
    <s v="Eric Boyd"/>
    <s v="NovaHealth Northside Hospital"/>
    <s v="Female"/>
    <n v="54"/>
    <x v="0"/>
    <n v="1"/>
    <x v="0"/>
    <x v="0"/>
    <n v="6874.29"/>
    <n v="4842.3999999999996"/>
    <n v="3.8"/>
    <x v="0"/>
    <x v="0"/>
  </r>
  <r>
    <s v="NHM-2023-100853"/>
    <s v="September"/>
    <x v="7"/>
    <n v="9"/>
    <d v="2023-09-14T00:00:00"/>
    <x v="3"/>
    <s v="Joshua Rodriguez"/>
    <s v="NovaHealth Chicago Medical Center"/>
    <s v="Female"/>
    <n v="72"/>
    <x v="0"/>
    <n v="1"/>
    <x v="1"/>
    <x v="1"/>
    <n v="4975.5200000000004"/>
    <n v="3724.93"/>
    <n v="11.6"/>
    <x v="0"/>
    <x v="1"/>
  </r>
  <r>
    <s v="NHM-2024-102054"/>
    <s v="March"/>
    <x v="1"/>
    <n v="3"/>
    <d v="2024-03-28T00:00:00"/>
    <x v="0"/>
    <s v="Stephanie Reyes"/>
    <s v="NovaHealth Metro General Hospital"/>
    <s v="Male"/>
    <n v="25"/>
    <x v="0"/>
    <n v="1"/>
    <x v="7"/>
    <x v="7"/>
    <n v="7922.47"/>
    <n v="6106.68"/>
    <n v="10.7"/>
    <x v="0"/>
    <x v="0"/>
  </r>
  <r>
    <s v="NHM-2026-100129"/>
    <s v="May"/>
    <x v="9"/>
    <n v="5"/>
    <d v="2024-05-30T00:00:00"/>
    <x v="0"/>
    <s v="Elizabeth Simmons"/>
    <s v="NovaHealth Midtown Medical Center"/>
    <s v="Male"/>
    <n v="84"/>
    <x v="2"/>
    <n v="4"/>
    <x v="5"/>
    <x v="5"/>
    <n v="20941.259999999998"/>
    <n v="12201.13"/>
    <n v="6.9"/>
    <x v="2"/>
    <x v="1"/>
  </r>
  <r>
    <s v="NHM-2024-101810"/>
    <s v="February"/>
    <x v="2"/>
    <n v="2"/>
    <d v="2025-02-20T00:00:00"/>
    <x v="1"/>
    <s v="Gary Butler"/>
    <s v="NovaHealth Midtown Medical Center"/>
    <s v="Male"/>
    <n v="78"/>
    <x v="0"/>
    <n v="1"/>
    <x v="0"/>
    <x v="0"/>
    <n v="9231.57"/>
    <n v="5680.86"/>
    <n v="6.2"/>
    <x v="0"/>
    <x v="1"/>
  </r>
  <r>
    <s v="NHM-2026-101025"/>
    <s v="July"/>
    <x v="8"/>
    <n v="7"/>
    <d v="2024-07-12T00:00:00"/>
    <x v="0"/>
    <s v="Evelyn Patterson"/>
    <s v="NovaHealth Northside Hospital"/>
    <s v="Female"/>
    <n v="58"/>
    <x v="2"/>
    <n v="4"/>
    <x v="4"/>
    <x v="4"/>
    <n v="17258.240000000002"/>
    <n v="11126.87"/>
    <n v="10.199999999999999"/>
    <x v="2"/>
    <x v="0"/>
  </r>
  <r>
    <s v="NHM-2026-101715"/>
    <s v="October"/>
    <x v="5"/>
    <n v="10"/>
    <d v="2024-10-18T00:00:00"/>
    <x v="0"/>
    <s v="Joshua Perry"/>
    <s v="NovaHealth Northside Hospital"/>
    <s v="Male"/>
    <n v="80"/>
    <x v="2"/>
    <n v="4"/>
    <x v="4"/>
    <x v="4"/>
    <n v="22428.48"/>
    <n v="15168.68"/>
    <n v="17.7"/>
    <x v="2"/>
    <x v="1"/>
  </r>
  <r>
    <s v="NHM-2024-102062"/>
    <s v="February"/>
    <x v="2"/>
    <n v="2"/>
    <d v="2025-02-19T00:00:00"/>
    <x v="1"/>
    <s v="Jennifer Porter"/>
    <s v="NovaHealth Northside Hospital"/>
    <s v="Male"/>
    <n v="23"/>
    <x v="2"/>
    <n v="1"/>
    <x v="7"/>
    <x v="7"/>
    <n v="6822.52"/>
    <n v="4955.76"/>
    <n v="22.5"/>
    <x v="0"/>
    <x v="0"/>
  </r>
  <r>
    <s v="NHM-2023-101011"/>
    <s v="June"/>
    <x v="11"/>
    <n v="6"/>
    <d v="2026-06-29T00:00:00"/>
    <x v="2"/>
    <s v="Carol Reyes"/>
    <s v="NovaHealth Lakeshore Regional Center"/>
    <s v="Female"/>
    <n v="9"/>
    <x v="0"/>
    <n v="1"/>
    <x v="6"/>
    <x v="6"/>
    <n v="2241.96"/>
    <n v="1641.43"/>
    <n v="0.6"/>
    <x v="0"/>
    <x v="2"/>
  </r>
  <r>
    <s v="NHM-2025-101066"/>
    <s v="May"/>
    <x v="9"/>
    <n v="5"/>
    <d v="2026-05-25T00:00:00"/>
    <x v="2"/>
    <s v="Andrew Russell"/>
    <s v="NovaHealth Chicago Medical Center"/>
    <s v="Male"/>
    <n v="65"/>
    <x v="0"/>
    <n v="1"/>
    <x v="0"/>
    <x v="0"/>
    <n v="9445.61"/>
    <n v="7234.66"/>
    <n v="7"/>
    <x v="0"/>
    <x v="1"/>
  </r>
  <r>
    <s v="NHM-2025-100634"/>
    <s v="January"/>
    <x v="3"/>
    <n v="1"/>
    <d v="2025-01-24T00:00:00"/>
    <x v="1"/>
    <s v="Kelly Campbell"/>
    <s v="NovaHealth Chicago Medical Center"/>
    <s v="Male"/>
    <n v="82"/>
    <x v="0"/>
    <n v="4"/>
    <x v="3"/>
    <x v="3"/>
    <n v="10903.86"/>
    <n v="6381.84"/>
    <n v="7.2"/>
    <x v="2"/>
    <x v="1"/>
  </r>
  <r>
    <s v="NHM-2023-101451"/>
    <s v="December"/>
    <x v="6"/>
    <n v="12"/>
    <d v="2023-12-11T00:00:00"/>
    <x v="3"/>
    <s v="Joe Rodriguez"/>
    <s v="NovaHealth Greenfield Clinic"/>
    <s v="Female"/>
    <n v="79"/>
    <x v="1"/>
    <n v="5"/>
    <x v="4"/>
    <x v="4"/>
    <n v="21975.57"/>
    <n v="13486.7"/>
    <n v="10.199999999999999"/>
    <x v="2"/>
    <x v="1"/>
  </r>
  <r>
    <s v="NHM-2023-100331"/>
    <s v="March"/>
    <x v="1"/>
    <n v="3"/>
    <d v="2024-03-05T00:00:00"/>
    <x v="0"/>
    <s v="Megan Morales"/>
    <s v="NovaHealth River Valley Hospital"/>
    <s v="Female"/>
    <n v="83"/>
    <x v="2"/>
    <n v="3"/>
    <x v="4"/>
    <x v="4"/>
    <n v="15621.02"/>
    <n v="10103.049999999999"/>
    <n v="13.2"/>
    <x v="1"/>
    <x v="1"/>
  </r>
  <r>
    <s v="NHM-2023-101129"/>
    <s v="January"/>
    <x v="3"/>
    <n v="1"/>
    <d v="2026-01-12T00:00:00"/>
    <x v="2"/>
    <s v="Maria Lopez"/>
    <s v="NovaHealth Chicago Medical Center"/>
    <s v="Male"/>
    <n v="84"/>
    <x v="0"/>
    <n v="4"/>
    <x v="5"/>
    <x v="5"/>
    <n v="19797.650000000001"/>
    <n v="13302.03"/>
    <n v="4.7"/>
    <x v="2"/>
    <x v="1"/>
  </r>
  <r>
    <s v="NHM-2023-101434"/>
    <s v="March"/>
    <x v="1"/>
    <n v="3"/>
    <d v="2025-03-17T00:00:00"/>
    <x v="1"/>
    <s v="Rachel Taylor"/>
    <s v="NovaHealth Chicago Medical Center"/>
    <s v="Male"/>
    <n v="11"/>
    <x v="2"/>
    <n v="5"/>
    <x v="6"/>
    <x v="6"/>
    <n v="2695.52"/>
    <n v="1914.06"/>
    <n v="3.4"/>
    <x v="2"/>
    <x v="2"/>
  </r>
  <r>
    <s v="NHM-2024-101413"/>
    <s v="November"/>
    <x v="4"/>
    <n v="11"/>
    <d v="2023-11-27T00:00:00"/>
    <x v="3"/>
    <s v="Sean Robinson"/>
    <s v="NovaHealth Metro General Hospital"/>
    <s v="Female"/>
    <n v="80"/>
    <x v="2"/>
    <n v="4"/>
    <x v="0"/>
    <x v="0"/>
    <n v="13840.27"/>
    <n v="10169"/>
    <n v="8.1999999999999993"/>
    <x v="2"/>
    <x v="1"/>
  </r>
  <r>
    <s v="NHM-2023-100429"/>
    <s v="September"/>
    <x v="7"/>
    <n v="9"/>
    <d v="2023-09-05T00:00:00"/>
    <x v="3"/>
    <s v="Jason Stevens"/>
    <s v="NovaHealth Greenfield Clinic"/>
    <s v="Female"/>
    <n v="61"/>
    <x v="0"/>
    <n v="1"/>
    <x v="1"/>
    <x v="1"/>
    <n v="8675.7800000000007"/>
    <n v="6593.59"/>
    <m/>
    <x v="0"/>
    <x v="0"/>
  </r>
  <r>
    <s v="NHM-2023-102183"/>
    <s v="February"/>
    <x v="2"/>
    <n v="2"/>
    <d v="2026-02-18T00:00:00"/>
    <x v="2"/>
    <s v="Kathleen Reyes"/>
    <s v="NovaHealth Chicago Medical Center"/>
    <s v="Female"/>
    <n v="28"/>
    <x v="0"/>
    <n v="3"/>
    <x v="5"/>
    <x v="5"/>
    <n v="11532.68"/>
    <n v="6772.95"/>
    <n v="10.5"/>
    <x v="1"/>
    <x v="0"/>
  </r>
  <r>
    <s v="NHM-2025-101619"/>
    <s v="January"/>
    <x v="3"/>
    <n v="1"/>
    <d v="2026-01-20T00:00:00"/>
    <x v="2"/>
    <s v="Benjamin Graham"/>
    <s v="NovaHealth Midtown Medical Center"/>
    <s v="Female"/>
    <n v="37"/>
    <x v="0"/>
    <n v="4"/>
    <x v="5"/>
    <x v="5"/>
    <n v="20902.73"/>
    <n v="12783.47"/>
    <n v="4.0999999999999996"/>
    <x v="2"/>
    <x v="0"/>
  </r>
  <r>
    <s v="NHM-2023-101974"/>
    <s v="September"/>
    <x v="7"/>
    <n v="9"/>
    <d v="2023-09-17T00:00:00"/>
    <x v="3"/>
    <s v="Gregory Foster"/>
    <s v="NovaHealth Greenfield Clinic"/>
    <s v="Female"/>
    <n v="17"/>
    <x v="0"/>
    <n v="2"/>
    <x v="6"/>
    <x v="6"/>
    <n v="2943.48"/>
    <n v="1885.43"/>
    <n v="0.2"/>
    <x v="1"/>
    <x v="2"/>
  </r>
  <r>
    <s v="NHM-2026-100198"/>
    <s v="September"/>
    <x v="7"/>
    <n v="9"/>
    <d v="2025-09-23T00:00:00"/>
    <x v="1"/>
    <s v="Tyler Richardson"/>
    <s v="NovaHealth Metro General Hospital"/>
    <s v="Female"/>
    <n v="70"/>
    <x v="2"/>
    <n v="5"/>
    <x v="4"/>
    <x v="4"/>
    <n v="18292.349999999999"/>
    <n v="12372.67"/>
    <n v="14.6"/>
    <x v="2"/>
    <x v="1"/>
  </r>
  <r>
    <s v="NHM-2024-100907"/>
    <s v="June"/>
    <x v="11"/>
    <n v="6"/>
    <d v="2024-06-27T00:00:00"/>
    <x v="0"/>
    <s v="Nathan Stevens"/>
    <s v="NovaHealth Chicago Medical Center"/>
    <s v="Female"/>
    <n v="24"/>
    <x v="0"/>
    <n v="2"/>
    <x v="7"/>
    <x v="7"/>
    <n v="8884.35"/>
    <n v="6323.85"/>
    <n v="13.1"/>
    <x v="1"/>
    <x v="0"/>
  </r>
  <r>
    <s v="NHM-2026-102316"/>
    <s v="January"/>
    <x v="3"/>
    <n v="1"/>
    <d v="2026-01-25T00:00:00"/>
    <x v="2"/>
    <s v="Donna Hamilton"/>
    <s v="NovaHealth River Valley Hospital"/>
    <s v="Male"/>
    <n v="80"/>
    <x v="0"/>
    <n v="2"/>
    <x v="3"/>
    <x v="3"/>
    <n v="7381.44"/>
    <n v="5406.85"/>
    <n v="2.2999999999999998"/>
    <x v="1"/>
    <x v="1"/>
  </r>
  <r>
    <s v="NHM-2023-102159"/>
    <s v="May"/>
    <x v="9"/>
    <n v="5"/>
    <d v="2025-05-21T00:00:00"/>
    <x v="1"/>
    <s v="Jeremy Diaz"/>
    <s v="NovaHealth Greenfield Clinic"/>
    <s v="Male"/>
    <n v="48"/>
    <x v="2"/>
    <n v="3"/>
    <x v="0"/>
    <x v="0"/>
    <n v="10694.18"/>
    <n v="8194.7800000000007"/>
    <n v="8.4"/>
    <x v="1"/>
    <x v="0"/>
  </r>
  <r>
    <s v="NHM-2026-100547"/>
    <s v="November"/>
    <x v="4"/>
    <n v="11"/>
    <d v="2024-11-01T00:00:00"/>
    <x v="0"/>
    <s v="Jeffrey Mcdonald"/>
    <s v="NovaHealth Lakeshore Regional Center"/>
    <s v="Female"/>
    <n v="24"/>
    <x v="0"/>
    <n v="1"/>
    <x v="1"/>
    <x v="1"/>
    <n v="7809.93"/>
    <n v="4602.5600000000004"/>
    <n v="9.1"/>
    <x v="0"/>
    <x v="0"/>
  </r>
  <r>
    <s v="NHM-2025-101957"/>
    <s v="January"/>
    <x v="3"/>
    <n v="1"/>
    <d v="2025-01-21T00:00:00"/>
    <x v="1"/>
    <s v="Kelly Watson"/>
    <s v="NovaHealth Metro General Hospital"/>
    <s v="Male"/>
    <n v="28"/>
    <x v="0"/>
    <n v="3"/>
    <x v="2"/>
    <x v="2"/>
    <n v="2663.22"/>
    <n v="1682.96"/>
    <n v="7.3"/>
    <x v="1"/>
    <x v="0"/>
  </r>
  <r>
    <s v="NHM-2023-100846"/>
    <s v="March"/>
    <x v="1"/>
    <n v="3"/>
    <d v="2024-03-26T00:00:00"/>
    <x v="0"/>
    <s v="Logan Tucker"/>
    <s v="NovaHealth Midtown Medical Center"/>
    <s v="Female"/>
    <n v="29"/>
    <x v="0"/>
    <n v="2"/>
    <x v="0"/>
    <x v="0"/>
    <n v="10576.29"/>
    <n v="6790.43"/>
    <n v="2.7"/>
    <x v="1"/>
    <x v="0"/>
  </r>
  <r>
    <s v="NHM-2023-101808"/>
    <s v="August"/>
    <x v="10"/>
    <n v="8"/>
    <d v="2025-08-22T00:00:00"/>
    <x v="1"/>
    <s v="Nancy Ford"/>
    <s v="NovaHealth River Valley Hospital"/>
    <s v="Female"/>
    <n v="41"/>
    <x v="0"/>
    <n v="1"/>
    <x v="7"/>
    <x v="7"/>
    <n v="8596.43"/>
    <n v="5947.61"/>
    <n v="23.5"/>
    <x v="0"/>
    <x v="0"/>
  </r>
  <r>
    <s v="NHM-2025-100193"/>
    <s v="December"/>
    <x v="6"/>
    <n v="12"/>
    <d v="2025-12-08T00:00:00"/>
    <x v="1"/>
    <s v="Emma Jackson"/>
    <s v="NovaHealth Chicago Medical Center"/>
    <s v="Male"/>
    <n v="61"/>
    <x v="0"/>
    <n v="1"/>
    <x v="3"/>
    <x v="3"/>
    <n v="6247.97"/>
    <n v="4460.78"/>
    <n v="10.9"/>
    <x v="0"/>
    <x v="0"/>
  </r>
  <r>
    <s v="NHM-2023-100114"/>
    <s v="July"/>
    <x v="8"/>
    <n v="7"/>
    <d v="2024-07-10T00:00:00"/>
    <x v="0"/>
    <s v="Lauren Porter"/>
    <s v="NovaHealth Chicago Medical Center"/>
    <s v="Female"/>
    <n v="12"/>
    <x v="2"/>
    <n v="3"/>
    <x v="6"/>
    <x v="6"/>
    <n v="2323.0300000000002"/>
    <n v="1739.01"/>
    <n v="5.4"/>
    <x v="1"/>
    <x v="2"/>
  </r>
  <r>
    <s v="NHM-2025-101037"/>
    <s v="December"/>
    <x v="6"/>
    <n v="12"/>
    <d v="2024-12-25T00:00:00"/>
    <x v="0"/>
    <s v="Ronald Baker"/>
    <s v="NovaHealth Lakeshore Regional Center"/>
    <s v="Male"/>
    <n v="59"/>
    <x v="2"/>
    <n v="5"/>
    <x v="1"/>
    <x v="1"/>
    <n v="19417.98"/>
    <n v="14784.06"/>
    <n v="3.3"/>
    <x v="2"/>
    <x v="0"/>
  </r>
  <r>
    <s v="NHM-2024-101036"/>
    <s v="July"/>
    <x v="8"/>
    <n v="7"/>
    <d v="2024-07-26T00:00:00"/>
    <x v="0"/>
    <s v="Melissa Miller"/>
    <s v="NovaHealth River Valley Hospital"/>
    <s v="Male"/>
    <n v="47"/>
    <x v="2"/>
    <n v="4"/>
    <x v="3"/>
    <x v="3"/>
    <n v="8553.5300000000007"/>
    <n v="5003.45"/>
    <n v="5.3"/>
    <x v="2"/>
    <x v="0"/>
  </r>
  <r>
    <s v="NHM-2025-101727"/>
    <s v="October"/>
    <x v="5"/>
    <n v="10"/>
    <d v="2023-10-18T00:00:00"/>
    <x v="3"/>
    <s v="Kelly Campbell"/>
    <s v="NovaHealth Metro General Hospital"/>
    <s v="Male"/>
    <n v="72"/>
    <x v="0"/>
    <n v="2"/>
    <x v="2"/>
    <x v="2"/>
    <n v="5218.72"/>
    <n v="3249.02"/>
    <n v="8.1999999999999993"/>
    <x v="1"/>
    <x v="1"/>
  </r>
  <r>
    <s v="NHM-2025-101226"/>
    <s v="August"/>
    <x v="10"/>
    <n v="8"/>
    <d v="2024-08-30T00:00:00"/>
    <x v="0"/>
    <s v="Karen Stewart"/>
    <s v="NovaHealth Chicago Medical Center"/>
    <s v="Female"/>
    <n v="11"/>
    <x v="2"/>
    <n v="3"/>
    <x v="6"/>
    <x v="6"/>
    <n v="1178.55"/>
    <n v="799.07"/>
    <n v="5.6"/>
    <x v="1"/>
    <x v="2"/>
  </r>
  <r>
    <s v="NHM-2026-100616"/>
    <s v="July"/>
    <x v="8"/>
    <n v="7"/>
    <d v="2025-07-09T00:00:00"/>
    <x v="1"/>
    <s v="Terry Stevens"/>
    <s v="NovaHealth Oakridge Community Hospital"/>
    <s v="Male"/>
    <n v="70"/>
    <x v="2"/>
    <n v="1"/>
    <x v="0"/>
    <x v="0"/>
    <n v="7459.02"/>
    <n v="5080.74"/>
    <n v="10.4"/>
    <x v="0"/>
    <x v="1"/>
  </r>
  <r>
    <s v="NHM-2026-102242"/>
    <s v="December"/>
    <x v="6"/>
    <n v="12"/>
    <d v="2025-12-19T00:00:00"/>
    <x v="1"/>
    <s v="Joseph Sanchez"/>
    <s v="NovaHealth Northside Hospital"/>
    <s v="Male"/>
    <n v="4"/>
    <x v="0"/>
    <n v="4"/>
    <x v="6"/>
    <x v="6"/>
    <n v="3545.93"/>
    <n v="2513.35"/>
    <n v="3.9"/>
    <x v="2"/>
    <x v="2"/>
  </r>
  <r>
    <s v="NHM-2023-100256"/>
    <s v="November"/>
    <x v="4"/>
    <n v="11"/>
    <d v="2023-11-16T00:00:00"/>
    <x v="3"/>
    <s v="Scott Reynolds"/>
    <s v="NovaHealth Greenfield Clinic"/>
    <s v="Female"/>
    <n v="55"/>
    <x v="0"/>
    <n v="2"/>
    <x v="3"/>
    <x v="3"/>
    <n v="7224.62"/>
    <n v="5367.57"/>
    <n v="11.7"/>
    <x v="1"/>
    <x v="0"/>
  </r>
  <r>
    <s v="NHM-2026-102336"/>
    <s v="September"/>
    <x v="7"/>
    <n v="9"/>
    <d v="2024-09-27T00:00:00"/>
    <x v="0"/>
    <s v="Jonathan Hall"/>
    <s v="NovaHealth Northside Hospital"/>
    <s v="Female"/>
    <n v="3"/>
    <x v="1"/>
    <n v="2"/>
    <x v="6"/>
    <x v="6"/>
    <n v="2001.42"/>
    <n v="1554.68"/>
    <n v="4.2"/>
    <x v="1"/>
    <x v="2"/>
  </r>
  <r>
    <s v="NHM-2024-100186"/>
    <s v="January"/>
    <x v="3"/>
    <n v="1"/>
    <d v="2024-01-18T00:00:00"/>
    <x v="0"/>
    <s v="Vincent Ramos"/>
    <s v="NovaHealth Chicago Medical Center"/>
    <s v="Female"/>
    <n v="72"/>
    <x v="2"/>
    <n v="2"/>
    <x v="2"/>
    <x v="2"/>
    <n v="1777.96"/>
    <n v="1095.22"/>
    <n v="8"/>
    <x v="1"/>
    <x v="1"/>
  </r>
  <r>
    <s v="NHM-2023-100357"/>
    <s v="July"/>
    <x v="8"/>
    <n v="7"/>
    <d v="2026-07-07T00:00:00"/>
    <x v="2"/>
    <s v="Sharon Stewart"/>
    <s v="NovaHealth Lakeside Medical Center"/>
    <s v="Male"/>
    <n v="8"/>
    <x v="0"/>
    <n v="2"/>
    <x v="6"/>
    <x v="6"/>
    <n v="2696.06"/>
    <n v="1648.6"/>
    <n v="0.5"/>
    <x v="1"/>
    <x v="2"/>
  </r>
  <r>
    <s v="NHM-2025-100497"/>
    <s v="November"/>
    <x v="4"/>
    <n v="11"/>
    <d v="2025-11-24T00:00:00"/>
    <x v="1"/>
    <s v="Jonathan Ortiz"/>
    <s v="NovaHealth Greenfield Clinic"/>
    <s v="Male"/>
    <n v="62"/>
    <x v="0"/>
    <n v="1"/>
    <x v="7"/>
    <x v="7"/>
    <n v="3778.09"/>
    <n v="2605.1799999999998"/>
    <n v="23.4"/>
    <x v="0"/>
    <x v="0"/>
  </r>
  <r>
    <s v="NHM-2026-100642"/>
    <s v="July"/>
    <x v="8"/>
    <n v="7"/>
    <d v="2025-07-07T00:00:00"/>
    <x v="1"/>
    <s v="Shirley Hughes"/>
    <s v="NovaHealth Lakeside Medical Center"/>
    <s v="Male"/>
    <n v="28"/>
    <x v="0"/>
    <n v="1"/>
    <x v="0"/>
    <x v="0"/>
    <n v="10484.370000000001"/>
    <n v="7054.13"/>
    <n v="3.7"/>
    <x v="0"/>
    <x v="0"/>
  </r>
  <r>
    <s v="NHM-2023-101254"/>
    <s v="October"/>
    <x v="5"/>
    <n v="10"/>
    <d v="2023-10-24T00:00:00"/>
    <x v="3"/>
    <s v="Willie Walker"/>
    <s v="NovaHealth Lakeshore Regional Center"/>
    <s v="Male"/>
    <n v="90"/>
    <x v="2"/>
    <n v="4"/>
    <x v="4"/>
    <x v="4"/>
    <n v="11288.34"/>
    <n v="8019.44"/>
    <n v="14.7"/>
    <x v="2"/>
    <x v="1"/>
  </r>
  <r>
    <s v="NHM-2025-102451"/>
    <s v="February"/>
    <x v="2"/>
    <n v="2"/>
    <d v="2025-02-13T00:00:00"/>
    <x v="1"/>
    <s v="Judith Morales"/>
    <s v="NovaHealth Northside Hospital"/>
    <s v="Male"/>
    <n v="51"/>
    <x v="2"/>
    <n v="3"/>
    <x v="5"/>
    <x v="5"/>
    <n v="15397.83"/>
    <n v="11269.22"/>
    <n v="3.6"/>
    <x v="1"/>
    <x v="0"/>
  </r>
  <r>
    <s v="NHM-2025-102429"/>
    <s v="August"/>
    <x v="10"/>
    <n v="8"/>
    <d v="2024-08-28T00:00:00"/>
    <x v="0"/>
    <s v="Peter Henderson"/>
    <s v="NovaHealth Metro General Hospital"/>
    <s v="Female"/>
    <n v="23"/>
    <x v="0"/>
    <n v="1"/>
    <x v="7"/>
    <x v="7"/>
    <n v="2592.17"/>
    <n v="2079.65"/>
    <n v="13.7"/>
    <x v="0"/>
    <x v="0"/>
  </r>
  <r>
    <s v="NHM-2026-101431"/>
    <s v="February"/>
    <x v="2"/>
    <n v="2"/>
    <d v="2025-02-22T00:00:00"/>
    <x v="1"/>
    <s v="Debra Roberts"/>
    <s v="NovaHealth Lakeside Medical Center"/>
    <s v="Female"/>
    <n v="43"/>
    <x v="1"/>
    <n v="4"/>
    <x v="5"/>
    <x v="5"/>
    <n v="18807.04"/>
    <n v="10941.68"/>
    <n v="4.2"/>
    <x v="2"/>
    <x v="0"/>
  </r>
  <r>
    <s v="NHM-2024-101994"/>
    <s v="February"/>
    <x v="2"/>
    <n v="2"/>
    <d v="2026-02-03T00:00:00"/>
    <x v="2"/>
    <s v="Aaron Thompson"/>
    <s v="NovaHealth Midtown Medical Center"/>
    <s v="Female"/>
    <n v="62"/>
    <x v="0"/>
    <n v="1"/>
    <x v="1"/>
    <x v="1"/>
    <n v="10011.629999999999"/>
    <n v="6171.89"/>
    <n v="8.1"/>
    <x v="0"/>
    <x v="0"/>
  </r>
  <r>
    <s v="NHM-2026-102196"/>
    <s v="August"/>
    <x v="10"/>
    <n v="8"/>
    <d v="2025-08-05T00:00:00"/>
    <x v="1"/>
    <s v="Paul Wilson"/>
    <s v="NovaHealth Greenfield Clinic"/>
    <s v="Male"/>
    <n v="33"/>
    <x v="2"/>
    <n v="3"/>
    <x v="2"/>
    <x v="2"/>
    <n v="3608.28"/>
    <n v="2379.6999999999998"/>
    <n v="8.8000000000000007"/>
    <x v="1"/>
    <x v="0"/>
  </r>
  <r>
    <s v="NHM-2025-101869"/>
    <s v="July"/>
    <x v="8"/>
    <n v="7"/>
    <d v="2026-07-11T00:00:00"/>
    <x v="2"/>
    <s v="Mary Wood"/>
    <s v="NovaHealth Northside Hospital"/>
    <s v="Female"/>
    <n v="55"/>
    <x v="0"/>
    <n v="2"/>
    <x v="7"/>
    <x v="7"/>
    <n v="4180.74"/>
    <n v="2988.3"/>
    <n v="23.4"/>
    <x v="1"/>
    <x v="0"/>
  </r>
  <r>
    <s v="NHM-2024-101821"/>
    <s v="February"/>
    <x v="2"/>
    <n v="2"/>
    <d v="2026-02-07T00:00:00"/>
    <x v="2"/>
    <s v="Grace Hernandez"/>
    <s v="NovaHealth Greenfield Clinic"/>
    <s v="Male"/>
    <n v="50"/>
    <x v="1"/>
    <n v="5"/>
    <x v="3"/>
    <x v="3"/>
    <n v="13469.43"/>
    <n v="9488.6"/>
    <n v="7.5"/>
    <x v="2"/>
    <x v="0"/>
  </r>
  <r>
    <s v="NHM-2024-102003"/>
    <s v="January"/>
    <x v="3"/>
    <n v="1"/>
    <d v="2024-01-19T00:00:00"/>
    <x v="0"/>
    <s v="Joe Cruz"/>
    <s v="NovaHealth Northside Hospital"/>
    <s v="Female"/>
    <n v="81"/>
    <x v="2"/>
    <n v="4"/>
    <x v="4"/>
    <x v="4"/>
    <n v="16140.34"/>
    <n v="11923.25"/>
    <n v="17.600000000000001"/>
    <x v="2"/>
    <x v="1"/>
  </r>
  <r>
    <s v="NHM-2023-101440"/>
    <s v="May"/>
    <x v="9"/>
    <n v="5"/>
    <d v="2024-05-10T00:00:00"/>
    <x v="0"/>
    <s v="Megan Gomez"/>
    <s v="NovaHealth Greenfield Clinic"/>
    <s v="Female"/>
    <n v="60"/>
    <x v="0"/>
    <n v="2"/>
    <x v="1"/>
    <x v="1"/>
    <n v="5537.57"/>
    <n v="4269.3500000000004"/>
    <n v="7.6"/>
    <x v="1"/>
    <x v="0"/>
  </r>
  <r>
    <s v="NHM-2023-101916"/>
    <s v="May"/>
    <x v="9"/>
    <n v="5"/>
    <d v="2025-05-05T00:00:00"/>
    <x v="1"/>
    <s v="Steven Warren"/>
    <s v="NovaHealth Northside Hospital"/>
    <s v="Male"/>
    <n v="34"/>
    <x v="2"/>
    <n v="4"/>
    <x v="5"/>
    <x v="5"/>
    <n v="22262.28"/>
    <n v="12972.92"/>
    <n v="7.6"/>
    <x v="2"/>
    <x v="0"/>
  </r>
  <r>
    <s v="NHM-2023-102245"/>
    <s v="July"/>
    <x v="8"/>
    <n v="7"/>
    <d v="2026-07-02T00:00:00"/>
    <x v="2"/>
    <s v="Jack Clark"/>
    <s v="NovaHealth Lakeside Medical Center"/>
    <s v="Female"/>
    <n v="53"/>
    <x v="0"/>
    <n v="2"/>
    <x v="3"/>
    <x v="3"/>
    <n v="5374.85"/>
    <n v="3315.46"/>
    <n v="4.5999999999999996"/>
    <x v="1"/>
    <x v="0"/>
  </r>
  <r>
    <s v="NHM-2026-102012"/>
    <s v="May"/>
    <x v="9"/>
    <n v="5"/>
    <d v="2025-05-23T00:00:00"/>
    <x v="1"/>
    <s v="Frances Henderson"/>
    <s v="NovaHealth Chicago Medical Center"/>
    <s v="Male"/>
    <n v="31"/>
    <x v="0"/>
    <n v="1"/>
    <x v="2"/>
    <x v="2"/>
    <n v="2886.35"/>
    <n v="1884.86"/>
    <n v="4.7"/>
    <x v="0"/>
    <x v="0"/>
  </r>
  <r>
    <s v="NHM-2026-102228"/>
    <s v="December"/>
    <x v="6"/>
    <n v="12"/>
    <d v="2025-12-12T00:00:00"/>
    <x v="1"/>
    <s v="Karen Russell"/>
    <s v="NovaHealth Lakeside Medical Center"/>
    <s v="Female"/>
    <n v="75"/>
    <x v="2"/>
    <n v="4"/>
    <x v="5"/>
    <x v="5"/>
    <n v="22039.24"/>
    <n v="14811.09"/>
    <n v="5.6"/>
    <x v="2"/>
    <x v="1"/>
  </r>
  <r>
    <s v="NHM-2023-100747"/>
    <s v="June"/>
    <x v="11"/>
    <n v="6"/>
    <d v="2025-06-27T00:00:00"/>
    <x v="1"/>
    <s v="Eugene Simmons"/>
    <s v="NovaHealth Lakeside Medical Center"/>
    <s v="Female"/>
    <n v="23"/>
    <x v="0"/>
    <n v="2"/>
    <x v="2"/>
    <x v="2"/>
    <n v="2685.63"/>
    <n v="1913.54"/>
    <n v="4.2"/>
    <x v="1"/>
    <x v="0"/>
  </r>
  <r>
    <s v="NHM-2023-102490"/>
    <s v="May"/>
    <x v="9"/>
    <n v="5"/>
    <d v="2024-05-15T00:00:00"/>
    <x v="0"/>
    <s v="Elizabeth Cox"/>
    <s v="NovaHealth River Valley Hospital"/>
    <s v="Female"/>
    <n v="21"/>
    <x v="0"/>
    <n v="2"/>
    <x v="0"/>
    <x v="0"/>
    <n v="8773.6200000000008"/>
    <n v="6485.54"/>
    <n v="10.1"/>
    <x v="1"/>
    <x v="0"/>
  </r>
  <r>
    <s v="NHM-2024-101792"/>
    <s v="September"/>
    <x v="7"/>
    <n v="9"/>
    <d v="2024-09-24T00:00:00"/>
    <x v="0"/>
    <s v="Rachel Boyd"/>
    <s v="NovaHealth Chicago Medical Center"/>
    <s v="Male"/>
    <n v="70"/>
    <x v="1"/>
    <n v="4"/>
    <x v="5"/>
    <x v="5"/>
    <n v="18573.560000000001"/>
    <n v="14209.51"/>
    <n v="11.7"/>
    <x v="2"/>
    <x v="1"/>
  </r>
  <r>
    <s v="NHM-2024-101330"/>
    <s v="January"/>
    <x v="3"/>
    <n v="1"/>
    <d v="2026-01-06T00:00:00"/>
    <x v="2"/>
    <s v="Jason Sullivan"/>
    <s v="NovaHealth Chicago Medical Center"/>
    <s v="Female"/>
    <n v="28"/>
    <x v="0"/>
    <n v="2"/>
    <x v="0"/>
    <x v="0"/>
    <n v="8448.19"/>
    <n v="4935.95"/>
    <n v="4.5"/>
    <x v="1"/>
    <x v="0"/>
  </r>
  <r>
    <s v="NHM-2026-100930"/>
    <s v="October"/>
    <x v="5"/>
    <n v="10"/>
    <d v="2025-10-13T00:00:00"/>
    <x v="1"/>
    <s v="Kathryn Cooper"/>
    <s v="NovaHealth Northside Hospital"/>
    <s v="Female"/>
    <n v="30"/>
    <x v="2"/>
    <n v="2"/>
    <x v="2"/>
    <x v="2"/>
    <n v="5174.6400000000003"/>
    <n v="3197.33"/>
    <n v="5.0999999999999996"/>
    <x v="1"/>
    <x v="0"/>
  </r>
  <r>
    <s v="NHM-2026-101647"/>
    <s v="August"/>
    <x v="10"/>
    <n v="8"/>
    <d v="2024-08-19T00:00:00"/>
    <x v="0"/>
    <s v="Cheryl James"/>
    <s v="NovaHealth Northside Hospital"/>
    <s v="Female"/>
    <n v="79"/>
    <x v="0"/>
    <n v="4"/>
    <x v="4"/>
    <x v="4"/>
    <n v="19837.53"/>
    <n v="12784.02"/>
    <n v="11"/>
    <x v="2"/>
    <x v="1"/>
  </r>
  <r>
    <s v="NHM-2023-100927"/>
    <s v="May"/>
    <x v="9"/>
    <n v="5"/>
    <d v="2025-05-06T00:00:00"/>
    <x v="1"/>
    <s v="Tyler Wood"/>
    <s v="NovaHealth Chicago Medical Center"/>
    <s v="Male"/>
    <n v="19"/>
    <x v="2"/>
    <n v="4"/>
    <x v="7"/>
    <x v="7"/>
    <n v="10064.280000000001"/>
    <n v="6885.47"/>
    <n v="17.8"/>
    <x v="2"/>
    <x v="0"/>
  </r>
  <r>
    <s v="NHM-2026-101852"/>
    <s v="August"/>
    <x v="10"/>
    <n v="8"/>
    <d v="2023-08-29T00:00:00"/>
    <x v="3"/>
    <s v="Jessica Reyes"/>
    <s v="NovaHealth Lakeshore Regional Center"/>
    <s v="Male"/>
    <n v="81"/>
    <x v="0"/>
    <n v="1"/>
    <x v="3"/>
    <x v="3"/>
    <n v="6291.31"/>
    <n v="4483.12"/>
    <n v="9.9"/>
    <x v="0"/>
    <x v="1"/>
  </r>
  <r>
    <s v="NHM-2024-102366"/>
    <s v="May"/>
    <x v="9"/>
    <n v="5"/>
    <d v="2025-05-12T00:00:00"/>
    <x v="1"/>
    <s v="Amanda Henry"/>
    <s v="NovaHealth Greenfield Clinic"/>
    <s v="Female"/>
    <n v="71"/>
    <x v="2"/>
    <n v="5"/>
    <x v="2"/>
    <x v="2"/>
    <n v="3708.81"/>
    <n v="2741.03"/>
    <n v="4.2"/>
    <x v="2"/>
    <x v="1"/>
  </r>
  <r>
    <s v="NHM-2023-100896"/>
    <s v="April"/>
    <x v="0"/>
    <n v="4"/>
    <d v="2025-04-07T00:00:00"/>
    <x v="1"/>
    <s v="Terry Owens"/>
    <s v="NovaHealth Lakeside Medical Center"/>
    <s v="Male"/>
    <n v="54"/>
    <x v="1"/>
    <n v="3"/>
    <x v="5"/>
    <x v="5"/>
    <n v="17631.580000000002"/>
    <n v="13423.2"/>
    <n v="2.9"/>
    <x v="1"/>
    <x v="0"/>
  </r>
  <r>
    <s v="NHM-2024-100458"/>
    <s v="November"/>
    <x v="4"/>
    <n v="11"/>
    <d v="2024-11-01T00:00:00"/>
    <x v="0"/>
    <s v="Randy Turner"/>
    <s v="NovaHealth River Valley Hospital"/>
    <s v="Male"/>
    <n v="92"/>
    <x v="2"/>
    <n v="5"/>
    <x v="4"/>
    <x v="4"/>
    <n v="11403.9"/>
    <n v="6735.06"/>
    <n v="15.1"/>
    <x v="2"/>
    <x v="1"/>
  </r>
  <r>
    <s v="NHM-2025-102473"/>
    <s v="June"/>
    <x v="11"/>
    <n v="6"/>
    <d v="2025-06-18T00:00:00"/>
    <x v="1"/>
    <s v="Gerald Reed"/>
    <s v="NovaHealth Midtown Medical Center"/>
    <s v="Female"/>
    <n v="72"/>
    <x v="1"/>
    <n v="4"/>
    <x v="1"/>
    <x v="1"/>
    <n v="16292.04"/>
    <n v="10030.94"/>
    <n v="11.6"/>
    <x v="2"/>
    <x v="1"/>
  </r>
  <r>
    <s v="NHM-2024-100021"/>
    <s v="April"/>
    <x v="0"/>
    <n v="4"/>
    <d v="2026-04-07T00:00:00"/>
    <x v="2"/>
    <s v="Harold Kelly"/>
    <s v="NovaHealth Chicago Medical Center"/>
    <s v="Male"/>
    <n v="79"/>
    <x v="1"/>
    <n v="4"/>
    <x v="5"/>
    <x v="5"/>
    <n v="20415.02"/>
    <n v="13124.81"/>
    <n v="7.4"/>
    <x v="2"/>
    <x v="1"/>
  </r>
  <r>
    <s v="NHM-2024-101624"/>
    <s v="February"/>
    <x v="2"/>
    <n v="2"/>
    <d v="2026-02-18T00:00:00"/>
    <x v="2"/>
    <s v="Randy Cole"/>
    <s v="NovaHealth Lakeside Medical Center"/>
    <s v="Male"/>
    <n v="46"/>
    <x v="0"/>
    <n v="1"/>
    <x v="7"/>
    <x v="7"/>
    <n v="5383.65"/>
    <n v="3689.45"/>
    <n v="10.3"/>
    <x v="0"/>
    <x v="0"/>
  </r>
  <r>
    <s v="NHM-2025-102379"/>
    <s v="February"/>
    <x v="2"/>
    <n v="2"/>
    <d v="2026-02-19T00:00:00"/>
    <x v="2"/>
    <s v="Janet Kim"/>
    <s v="NovaHealth Chicago Medical Center"/>
    <s v="Female"/>
    <n v="47"/>
    <x v="0"/>
    <n v="1"/>
    <x v="0"/>
    <x v="0"/>
    <n v="8645.14"/>
    <n v="6098"/>
    <n v="5.8"/>
    <x v="0"/>
    <x v="0"/>
  </r>
  <r>
    <s v="NHM-2023-101674"/>
    <s v="November"/>
    <x v="4"/>
    <n v="11"/>
    <d v="2024-11-08T00:00:00"/>
    <x v="0"/>
    <s v="Douglas Crawford"/>
    <s v="NovaHealth River Valley Hospital"/>
    <s v="Female"/>
    <n v="36"/>
    <x v="0"/>
    <n v="4"/>
    <x v="5"/>
    <x v="5"/>
    <n v="19801.259999999998"/>
    <n v="14550.12"/>
    <n v="11.9"/>
    <x v="2"/>
    <x v="0"/>
  </r>
  <r>
    <s v="NHM-2024-100819"/>
    <s v="July"/>
    <x v="8"/>
    <n v="7"/>
    <d v="2026-07-10T00:00:00"/>
    <x v="2"/>
    <s v="Larry Sullivan"/>
    <s v="NovaHealth Greenfield Clinic"/>
    <s v="Female"/>
    <n v="63"/>
    <x v="0"/>
    <n v="3"/>
    <x v="5"/>
    <x v="5"/>
    <n v="14115.26"/>
    <n v="10819.6"/>
    <n v="11.5"/>
    <x v="1"/>
    <x v="0"/>
  </r>
  <r>
    <s v="NHM-2025-101811"/>
    <s v="April"/>
    <x v="0"/>
    <n v="4"/>
    <d v="2026-04-24T00:00:00"/>
    <x v="2"/>
    <s v="Marilyn Howard"/>
    <s v="NovaHealth Lakeside Medical Center"/>
    <s v="Male"/>
    <n v="36"/>
    <x v="2"/>
    <n v="4"/>
    <x v="5"/>
    <x v="5"/>
    <n v="21689.8"/>
    <n v="12652.88"/>
    <n v="9.1"/>
    <x v="2"/>
    <x v="0"/>
  </r>
  <r>
    <s v="NHM-2023-100808"/>
    <s v="April"/>
    <x v="0"/>
    <n v="4"/>
    <d v="2025-04-01T00:00:00"/>
    <x v="1"/>
    <s v="Anthony Jenkins"/>
    <s v="NovaHealth Metro General Hospital"/>
    <s v="Male"/>
    <n v="33"/>
    <x v="0"/>
    <n v="1"/>
    <x v="0"/>
    <x v="0"/>
    <n v="5401.5"/>
    <n v="3377.32"/>
    <n v="10.3"/>
    <x v="0"/>
    <x v="0"/>
  </r>
  <r>
    <s v="NHM-2023-100184"/>
    <s v="July"/>
    <x v="8"/>
    <n v="7"/>
    <d v="2025-07-15T00:00:00"/>
    <x v="1"/>
    <s v="Charles Diaz"/>
    <s v="NovaHealth Midtown Medical Center"/>
    <s v="Female"/>
    <n v="58"/>
    <x v="2"/>
    <n v="5"/>
    <x v="5"/>
    <x v="5"/>
    <n v="13776.55"/>
    <n v="8866.59"/>
    <n v="6.2"/>
    <x v="2"/>
    <x v="0"/>
  </r>
  <r>
    <s v="NHM-2026-101677"/>
    <s v="March"/>
    <x v="1"/>
    <n v="3"/>
    <d v="2024-03-07T00:00:00"/>
    <x v="0"/>
    <s v="Ann Murray"/>
    <s v="NovaHealth Metro General Hospital"/>
    <s v="Female"/>
    <n v="78"/>
    <x v="2"/>
    <n v="1"/>
    <x v="1"/>
    <x v="1"/>
    <n v="11227.48"/>
    <n v="7600.81"/>
    <n v="9.8000000000000007"/>
    <x v="0"/>
    <x v="1"/>
  </r>
  <r>
    <s v="NHM-2026-102201"/>
    <s v="June"/>
    <x v="11"/>
    <n v="6"/>
    <d v="2024-06-25T00:00:00"/>
    <x v="0"/>
    <s v="Rachel Davis"/>
    <s v="NovaHealth Greenfield Clinic"/>
    <s v="Female"/>
    <n v="68"/>
    <x v="2"/>
    <n v="4"/>
    <x v="4"/>
    <x v="4"/>
    <n v="18779.37"/>
    <n v="13250.36"/>
    <n v="13.1"/>
    <x v="2"/>
    <x v="1"/>
  </r>
  <r>
    <s v="NHM-2024-101531"/>
    <s v="October"/>
    <x v="5"/>
    <n v="10"/>
    <d v="2023-10-18T00:00:00"/>
    <x v="3"/>
    <s v="Amber Graham"/>
    <s v="NovaHealth Lakeside Medical Center"/>
    <s v="Male"/>
    <n v="50"/>
    <x v="0"/>
    <n v="3"/>
    <x v="2"/>
    <x v="2"/>
    <n v="4284.3100000000004"/>
    <n v="3205.95"/>
    <n v="9.8000000000000007"/>
    <x v="1"/>
    <x v="0"/>
  </r>
  <r>
    <s v="NHM-2025-100681"/>
    <s v="December"/>
    <x v="6"/>
    <n v="12"/>
    <d v="2023-12-01T00:00:00"/>
    <x v="3"/>
    <s v="Victoria Bell"/>
    <s v="NovaHealth Northside Hospital"/>
    <s v="Male"/>
    <n v="23"/>
    <x v="0"/>
    <n v="1"/>
    <x v="1"/>
    <x v="1"/>
    <n v="5335.41"/>
    <n v="4099.71"/>
    <n v="5.6"/>
    <x v="0"/>
    <x v="0"/>
  </r>
  <r>
    <s v="NHM-2023-100655"/>
    <s v="January"/>
    <x v="3"/>
    <n v="1"/>
    <d v="2024-01-25T00:00:00"/>
    <x v="0"/>
    <s v="Doris Martin"/>
    <s v="NovaHealth River Valley Hospital"/>
    <s v="Female"/>
    <n v="9"/>
    <x v="0"/>
    <n v="1"/>
    <x v="6"/>
    <x v="6"/>
    <n v="2173.87"/>
    <n v="1295.24"/>
    <n v="4.3"/>
    <x v="0"/>
    <x v="2"/>
  </r>
  <r>
    <s v="NHM-2026-100549"/>
    <s v="March"/>
    <x v="1"/>
    <n v="3"/>
    <d v="2026-03-18T00:00:00"/>
    <x v="2"/>
    <s v="Teresa Ramos"/>
    <s v="NovaHealth Northside Hospital"/>
    <s v="Female"/>
    <n v="44"/>
    <x v="0"/>
    <n v="1"/>
    <x v="1"/>
    <x v="1"/>
    <n v="5166.4399999999996"/>
    <n v="3221.13"/>
    <n v="8.6999999999999993"/>
    <x v="0"/>
    <x v="0"/>
  </r>
  <r>
    <s v="NHM-2024-101738"/>
    <s v="December"/>
    <x v="6"/>
    <n v="12"/>
    <d v="2025-12-24T00:00:00"/>
    <x v="1"/>
    <s v="Joseph Butler"/>
    <s v="NovaHealth Oakridge Community Hospital"/>
    <s v="Female"/>
    <n v="40"/>
    <x v="0"/>
    <n v="1"/>
    <x v="7"/>
    <x v="7"/>
    <n v="7289.84"/>
    <n v="4801.5"/>
    <n v="17"/>
    <x v="0"/>
    <x v="0"/>
  </r>
  <r>
    <s v="NHM-2025-102021"/>
    <s v="September"/>
    <x v="7"/>
    <n v="9"/>
    <d v="2024-09-30T00:00:00"/>
    <x v="0"/>
    <s v="Juan Jimenez"/>
    <s v="NovaHealth Lakeshore Regional Center"/>
    <s v="Male"/>
    <n v="83"/>
    <x v="0"/>
    <n v="2"/>
    <x v="7"/>
    <x v="7"/>
    <n v="5589.12"/>
    <n v="3843.91"/>
    <n v="12.4"/>
    <x v="1"/>
    <x v="1"/>
  </r>
  <r>
    <s v="NHM-2025-101404"/>
    <s v="October"/>
    <x v="5"/>
    <n v="10"/>
    <d v="2025-10-23T00:00:00"/>
    <x v="1"/>
    <s v="Jeremy Jackson"/>
    <s v="NovaHealth Midtown Medical Center"/>
    <s v="Male"/>
    <n v="52"/>
    <x v="0"/>
    <n v="1"/>
    <x v="7"/>
    <x v="7"/>
    <n v="6849.72"/>
    <n v="4945.2"/>
    <n v="18.8"/>
    <x v="0"/>
    <x v="0"/>
  </r>
  <r>
    <s v="NHM-2024-101202"/>
    <s v="June"/>
    <x v="11"/>
    <n v="6"/>
    <d v="2024-06-26T00:00:00"/>
    <x v="0"/>
    <s v="Marilyn Marshall"/>
    <s v="NovaHealth Metro General Hospital"/>
    <s v="Female"/>
    <n v="85"/>
    <x v="2"/>
    <n v="4"/>
    <x v="2"/>
    <x v="2"/>
    <n v="6620.16"/>
    <n v="4897.5200000000004"/>
    <n v="8.1"/>
    <x v="2"/>
    <x v="1"/>
  </r>
  <r>
    <s v="NHM-2023-101403"/>
    <s v="April"/>
    <x v="0"/>
    <n v="4"/>
    <d v="2024-04-03T00:00:00"/>
    <x v="0"/>
    <s v="Jeffrey Gonzales"/>
    <s v="NovaHealth Northside Hospital"/>
    <s v="Male"/>
    <n v="41"/>
    <x v="0"/>
    <n v="1"/>
    <x v="7"/>
    <x v="7"/>
    <n v="3038.05"/>
    <n v="2488.92"/>
    <n v="22.5"/>
    <x v="0"/>
    <x v="0"/>
  </r>
  <r>
    <s v="NHM-2026-101463"/>
    <s v="January"/>
    <x v="3"/>
    <n v="1"/>
    <d v="2026-01-15T00:00:00"/>
    <x v="2"/>
    <s v="Vincent Garcia"/>
    <s v="NovaHealth Oakridge Community Hospital"/>
    <s v="Female"/>
    <n v="85"/>
    <x v="2"/>
    <n v="4"/>
    <x v="5"/>
    <x v="5"/>
    <n v="12360.99"/>
    <n v="7203.77"/>
    <n v="4.3"/>
    <x v="2"/>
    <x v="1"/>
  </r>
  <r>
    <s v="NHM-2023-100961"/>
    <s v="November"/>
    <x v="4"/>
    <n v="11"/>
    <d v="2024-11-19T00:00:00"/>
    <x v="0"/>
    <s v="Christina Taylor"/>
    <s v="NovaHealth Chicago Medical Center"/>
    <s v="Female"/>
    <n v="79"/>
    <x v="2"/>
    <n v="4"/>
    <x v="4"/>
    <x v="4"/>
    <n v="11626.65"/>
    <n v="7178.66"/>
    <n v="10.8"/>
    <x v="2"/>
    <x v="1"/>
  </r>
  <r>
    <s v="NHM-2025-102086"/>
    <s v="August"/>
    <x v="10"/>
    <n v="8"/>
    <d v="2024-08-23T00:00:00"/>
    <x v="0"/>
    <s v="Joseph Bryant"/>
    <s v="NovaHealth Chicago Medical Center"/>
    <s v="Male"/>
    <n v="94"/>
    <x v="0"/>
    <n v="2"/>
    <x v="3"/>
    <x v="3"/>
    <n v="8707.1299999999992"/>
    <n v="5602.96"/>
    <n v="3.8"/>
    <x v="1"/>
    <x v="1"/>
  </r>
  <r>
    <s v="NHM-2023-101759"/>
    <s v="April"/>
    <x v="0"/>
    <n v="4"/>
    <d v="2026-04-06T00:00:00"/>
    <x v="2"/>
    <s v="Lisa Graham"/>
    <s v="NovaHealth Lakeside Medical Center"/>
    <s v="Male"/>
    <n v="47"/>
    <x v="0"/>
    <n v="1"/>
    <x v="0"/>
    <x v="0"/>
    <n v="6701.24"/>
    <n v="4515.43"/>
    <n v="3.2"/>
    <x v="0"/>
    <x v="0"/>
  </r>
  <r>
    <s v="NHM-2025-100335"/>
    <s v="May"/>
    <x v="9"/>
    <n v="5"/>
    <d v="2024-05-03T00:00:00"/>
    <x v="0"/>
    <s v="Anthony Martin"/>
    <s v="NovaHealth Northside Hospital"/>
    <s v="Male"/>
    <n v="5"/>
    <x v="1"/>
    <n v="1"/>
    <x v="6"/>
    <x v="6"/>
    <n v="2027.23"/>
    <n v="1466.26"/>
    <n v="5.9"/>
    <x v="0"/>
    <x v="2"/>
  </r>
  <r>
    <s v="NHM-2026-102154"/>
    <s v="March"/>
    <x v="1"/>
    <n v="3"/>
    <d v="2026-03-20T00:00:00"/>
    <x v="2"/>
    <s v="Matthew Ramos"/>
    <s v="NovaHealth Greenfield Clinic"/>
    <s v="Female"/>
    <n v="90"/>
    <x v="2"/>
    <n v="4"/>
    <x v="4"/>
    <x v="4"/>
    <n v="13407.95"/>
    <n v="9882.2000000000007"/>
    <n v="11.8"/>
    <x v="2"/>
    <x v="1"/>
  </r>
  <r>
    <s v="NHM-2026-100779"/>
    <s v="May"/>
    <x v="9"/>
    <n v="5"/>
    <d v="2024-05-28T00:00:00"/>
    <x v="0"/>
    <s v="Joan Cox"/>
    <s v="NovaHealth Lakeshore Regional Center"/>
    <s v="Male"/>
    <n v="76"/>
    <x v="2"/>
    <n v="5"/>
    <x v="3"/>
    <x v="3"/>
    <n v="11066.83"/>
    <n v="8488.39"/>
    <n v="9.6999999999999993"/>
    <x v="2"/>
    <x v="1"/>
  </r>
  <r>
    <s v="NHM-2026-102350"/>
    <s v="April"/>
    <x v="0"/>
    <n v="4"/>
    <d v="2026-04-06T00:00:00"/>
    <x v="2"/>
    <s v="Deborah King"/>
    <s v="NovaHealth Midtown Medical Center"/>
    <s v="Female"/>
    <n v="75"/>
    <x v="0"/>
    <n v="1"/>
    <x v="0"/>
    <x v="0"/>
    <n v="7740.06"/>
    <n v="4558.03"/>
    <n v="8.6"/>
    <x v="0"/>
    <x v="1"/>
  </r>
  <r>
    <s v="NHM-2023-100448"/>
    <s v="February"/>
    <x v="2"/>
    <n v="2"/>
    <d v="2026-02-20T00:00:00"/>
    <x v="2"/>
    <s v="Scott Castillo"/>
    <s v="NovaHealth Lakeside Medical Center"/>
    <s v="Female"/>
    <n v="82"/>
    <x v="1"/>
    <n v="3"/>
    <x v="1"/>
    <x v="1"/>
    <n v="9479.68"/>
    <n v="5851.4"/>
    <n v="8.6"/>
    <x v="1"/>
    <x v="1"/>
  </r>
  <r>
    <s v="NHM-2026-101057"/>
    <s v="February"/>
    <x v="2"/>
    <n v="2"/>
    <d v="2026-02-27T00:00:00"/>
    <x v="2"/>
    <s v="Roy Cruz"/>
    <s v="NovaHealth Metro General Hospital"/>
    <s v="Female"/>
    <n v="66"/>
    <x v="2"/>
    <n v="3"/>
    <x v="1"/>
    <x v="1"/>
    <n v="9320.1"/>
    <n v="6058.46"/>
    <n v="11.7"/>
    <x v="1"/>
    <x v="1"/>
  </r>
  <r>
    <s v="NHM-2024-101335"/>
    <s v="July"/>
    <x v="8"/>
    <n v="7"/>
    <d v="2024-07-19T00:00:00"/>
    <x v="0"/>
    <s v="Alexander Lee"/>
    <s v="NovaHealth Chicago Medical Center"/>
    <s v="Male"/>
    <n v="17"/>
    <x v="1"/>
    <n v="3"/>
    <x v="6"/>
    <x v="6"/>
    <n v="1776.79"/>
    <n v="1205.6500000000001"/>
    <n v="1.9"/>
    <x v="1"/>
    <x v="2"/>
  </r>
  <r>
    <s v="NHM-2024-101780"/>
    <s v="April"/>
    <x v="0"/>
    <n v="4"/>
    <d v="2026-04-27T00:00:00"/>
    <x v="2"/>
    <s v="Brandon Hayes"/>
    <s v="NovaHealth River Valley Hospital"/>
    <s v="Male"/>
    <n v="54"/>
    <x v="2"/>
    <n v="2"/>
    <x v="0"/>
    <x v="0"/>
    <n v="6680.04"/>
    <n v="4707.2299999999996"/>
    <n v="3.9"/>
    <x v="1"/>
    <x v="0"/>
  </r>
  <r>
    <s v="NHM-2026-102065"/>
    <s v="January"/>
    <x v="3"/>
    <n v="1"/>
    <d v="2025-01-16T00:00:00"/>
    <x v="1"/>
    <s v="Pamela Nelson"/>
    <s v="NovaHealth River Valley Hospital"/>
    <s v="Male"/>
    <n v="64"/>
    <x v="0"/>
    <n v="2"/>
    <x v="3"/>
    <x v="3"/>
    <n v="9062.7000000000007"/>
    <n v="6710.97"/>
    <n v="11.9"/>
    <x v="1"/>
    <x v="0"/>
  </r>
  <r>
    <s v="NHM-2026-102101"/>
    <s v="March"/>
    <x v="1"/>
    <n v="3"/>
    <d v="2025-03-18T00:00:00"/>
    <x v="1"/>
    <s v="Jack Mcdonald"/>
    <s v="NovaHealth Metro General Hospital"/>
    <s v="Female"/>
    <n v="40"/>
    <x v="0"/>
    <n v="1"/>
    <x v="7"/>
    <x v="7"/>
    <n v="2524.4899999999998"/>
    <n v="2091.41"/>
    <n v="21.6"/>
    <x v="0"/>
    <x v="0"/>
  </r>
  <r>
    <s v="NHM-2023-102237"/>
    <s v="March"/>
    <x v="1"/>
    <n v="3"/>
    <d v="2025-03-13T00:00:00"/>
    <x v="1"/>
    <s v="Douglas Morris"/>
    <s v="NovaHealth Chicago Medical Center"/>
    <s v="Male"/>
    <n v="57"/>
    <x v="1"/>
    <n v="4"/>
    <x v="4"/>
    <x v="4"/>
    <n v="10685.73"/>
    <n v="6330.52"/>
    <n v="16.600000000000001"/>
    <x v="2"/>
    <x v="0"/>
  </r>
  <r>
    <s v="NHM-2023-100992"/>
    <s v="February"/>
    <x v="2"/>
    <n v="2"/>
    <d v="2026-02-14T00:00:00"/>
    <x v="2"/>
    <s v="Debra Campbell"/>
    <s v="NovaHealth Northside Hospital"/>
    <s v="Male"/>
    <n v="1"/>
    <x v="0"/>
    <n v="2"/>
    <x v="6"/>
    <x v="6"/>
    <n v="2051.14"/>
    <n v="1255.2"/>
    <n v="0.5"/>
    <x v="1"/>
    <x v="2"/>
  </r>
  <r>
    <s v="NHM-2024-101940"/>
    <s v="July"/>
    <x v="8"/>
    <n v="7"/>
    <d v="2025-07-16T00:00:00"/>
    <x v="1"/>
    <s v="Barbara Hill"/>
    <s v="NovaHealth River Valley Hospital"/>
    <s v="Male"/>
    <n v="3"/>
    <x v="1"/>
    <n v="4"/>
    <x v="6"/>
    <x v="6"/>
    <n v="1473.98"/>
    <n v="990.55"/>
    <n v="5.9"/>
    <x v="2"/>
    <x v="2"/>
  </r>
  <r>
    <s v="NHM-2025-100463"/>
    <s v="June"/>
    <x v="11"/>
    <n v="6"/>
    <d v="2025-06-13T00:00:00"/>
    <x v="1"/>
    <s v="Sandra Morales"/>
    <s v="NovaHealth River Valley Hospital"/>
    <s v="Female"/>
    <n v="28"/>
    <x v="0"/>
    <n v="1"/>
    <x v="2"/>
    <x v="2"/>
    <n v="1788.23"/>
    <n v="1231.71"/>
    <n v="4.2"/>
    <x v="0"/>
    <x v="0"/>
  </r>
  <r>
    <s v="NHM-2024-102304"/>
    <s v="February"/>
    <x v="2"/>
    <n v="2"/>
    <d v="2024-02-10T00:00:00"/>
    <x v="0"/>
    <s v="Julie Sullivan"/>
    <s v="Nova Health Lakeshore Regional Center"/>
    <s v="Male"/>
    <n v="57"/>
    <x v="1"/>
    <n v="4"/>
    <x v="4"/>
    <x v="4"/>
    <n v="13148.89"/>
    <n v="9270.6200000000008"/>
    <n v="8.3000000000000007"/>
    <x v="2"/>
    <x v="0"/>
  </r>
  <r>
    <s v="NHM-2026-102457"/>
    <s v="December"/>
    <x v="6"/>
    <n v="12"/>
    <d v="2025-12-27T00:00:00"/>
    <x v="1"/>
    <s v="Angela Kelly"/>
    <s v="NovaHealth Northside Hospital"/>
    <s v="Male"/>
    <n v="70"/>
    <x v="0"/>
    <n v="2"/>
    <x v="7"/>
    <x v="7"/>
    <n v="7623.22"/>
    <n v="5655.35"/>
    <n v="11.3"/>
    <x v="1"/>
    <x v="1"/>
  </r>
  <r>
    <s v="NHM-2025-102015"/>
    <s v="January"/>
    <x v="3"/>
    <n v="1"/>
    <d v="2026-01-05T00:00:00"/>
    <x v="2"/>
    <s v="Joseph Chavez"/>
    <s v="NovaHealth Greenfield Clinic"/>
    <s v="Male"/>
    <n v="74"/>
    <x v="2"/>
    <n v="3"/>
    <x v="3"/>
    <x v="3"/>
    <n v="10045.16"/>
    <n v="7676.72"/>
    <n v="5.3"/>
    <x v="1"/>
    <x v="1"/>
  </r>
  <r>
    <s v="NHM-2026-102488"/>
    <s v="November"/>
    <x v="4"/>
    <n v="11"/>
    <d v="2025-11-03T00:00:00"/>
    <x v="1"/>
    <s v="Rachel Rivera"/>
    <s v="NovaHealth Lakeside Medical Center"/>
    <s v="Male"/>
    <n v="84"/>
    <x v="0"/>
    <n v="2"/>
    <x v="1"/>
    <x v="1"/>
    <n v="11194.31"/>
    <n v="6553.5"/>
    <n v="7.6"/>
    <x v="1"/>
    <x v="1"/>
  </r>
  <r>
    <s v="NHM-2024-101185"/>
    <s v="October"/>
    <x v="5"/>
    <n v="10"/>
    <d v="2025-10-16T00:00:00"/>
    <x v="1"/>
    <s v="Justin Hall"/>
    <s v="NovaHealth Chicago Medical Center"/>
    <s v="Male"/>
    <n v="42"/>
    <x v="0"/>
    <n v="1"/>
    <x v="0"/>
    <x v="0"/>
    <n v="5206.92"/>
    <n v="3211.42"/>
    <n v="4.4000000000000004"/>
    <x v="0"/>
    <x v="0"/>
  </r>
  <r>
    <s v="NHM-2023-101763"/>
    <s v="May"/>
    <x v="9"/>
    <n v="5"/>
    <d v="2026-05-01T00:00:00"/>
    <x v="2"/>
    <s v="Tyler Castillo"/>
    <s v="Nova Health Northside Hospital"/>
    <s v="Male"/>
    <n v="69"/>
    <x v="1"/>
    <n v="4"/>
    <x v="5"/>
    <x v="5"/>
    <n v="14055.05"/>
    <n v="9017.6299999999992"/>
    <n v="2.8"/>
    <x v="2"/>
    <x v="1"/>
  </r>
  <r>
    <s v="NHM-2026-101840"/>
    <s v="May"/>
    <x v="9"/>
    <n v="5"/>
    <d v="2025-05-01T00:00:00"/>
    <x v="1"/>
    <s v="David Young"/>
    <s v="NovaHealth Metro General Hospital"/>
    <s v="Female"/>
    <n v="64"/>
    <x v="1"/>
    <n v="3"/>
    <x v="5"/>
    <x v="5"/>
    <n v="12004.47"/>
    <n v="8126.19"/>
    <n v="10.4"/>
    <x v="1"/>
    <x v="0"/>
  </r>
  <r>
    <s v="NHM-2026-101219"/>
    <s v="November"/>
    <x v="4"/>
    <n v="11"/>
    <d v="2025-11-04T00:00:00"/>
    <x v="1"/>
    <s v="Bruce Ruiz"/>
    <s v="NovaHealth Midtown Medical Center"/>
    <s v="Female"/>
    <n v="58"/>
    <x v="0"/>
    <n v="2"/>
    <x v="7"/>
    <x v="7"/>
    <n v="4415.78"/>
    <n v="3216.65"/>
    <n v="15.7"/>
    <x v="1"/>
    <x v="0"/>
  </r>
  <r>
    <s v="NHM-2024-100102"/>
    <s v="November"/>
    <x v="4"/>
    <n v="11"/>
    <d v="2024-11-22T00:00:00"/>
    <x v="0"/>
    <s v="Jeffrey Wallace"/>
    <s v="Nova Health River Valley Hospital"/>
    <s v="Female"/>
    <n v="78"/>
    <x v="0"/>
    <n v="4"/>
    <x v="4"/>
    <x v="4"/>
    <n v="18574.490000000002"/>
    <n v="13684.98"/>
    <n v="15.7"/>
    <x v="2"/>
    <x v="1"/>
  </r>
  <r>
    <s v="NHM-2024-101522"/>
    <s v="February"/>
    <x v="2"/>
    <n v="2"/>
    <d v="2026-02-06T00:00:00"/>
    <x v="2"/>
    <s v="Gabriel Gonzalez"/>
    <s v="Nova Health Chicago Medical Center"/>
    <s v="Female"/>
    <n v="15"/>
    <x v="0"/>
    <n v="1"/>
    <x v="6"/>
    <x v="6"/>
    <n v="1650.77"/>
    <n v="1293.79"/>
    <n v="4.9000000000000004"/>
    <x v="0"/>
    <x v="2"/>
  </r>
  <r>
    <s v="NHM-2025-100171"/>
    <s v="May"/>
    <x v="9"/>
    <n v="5"/>
    <d v="2026-05-19T00:00:00"/>
    <x v="2"/>
    <s v="Andrew King"/>
    <s v="NovaHealth Northside Hospital"/>
    <s v="Male"/>
    <n v="85"/>
    <x v="0"/>
    <n v="3"/>
    <x v="0"/>
    <x v="0"/>
    <n v="13542.93"/>
    <n v="7928.5"/>
    <n v="9.1999999999999993"/>
    <x v="1"/>
    <x v="1"/>
  </r>
  <r>
    <s v="NHM-2023-100643"/>
    <s v="October"/>
    <x v="5"/>
    <n v="10"/>
    <d v="2023-10-27T00:00:00"/>
    <x v="3"/>
    <s v="Christine Rogers"/>
    <s v="NovaHealth Northside Hospital"/>
    <s v="Female"/>
    <n v="26"/>
    <x v="1"/>
    <n v="5"/>
    <x v="5"/>
    <x v="5"/>
    <n v="21874.43"/>
    <n v="13425.8"/>
    <n v="10.3"/>
    <x v="2"/>
    <x v="0"/>
  </r>
  <r>
    <s v="NHM-2026-102037"/>
    <s v="December"/>
    <x v="6"/>
    <n v="12"/>
    <d v="2025-12-04T00:00:00"/>
    <x v="1"/>
    <s v="David Gibson"/>
    <s v="NovaHealth Lakeshore Regional Center"/>
    <s v="Male"/>
    <n v="38"/>
    <x v="0"/>
    <n v="3"/>
    <x v="7"/>
    <x v="7"/>
    <n v="5927.59"/>
    <n v="3971.26"/>
    <n v="22.2"/>
    <x v="1"/>
    <x v="0"/>
  </r>
  <r>
    <s v="NHM-2023-102126"/>
    <s v="August"/>
    <x v="10"/>
    <n v="8"/>
    <d v="2024-08-01T00:00:00"/>
    <x v="0"/>
    <s v="Roger Gonzales"/>
    <s v="NovaHealth Midtown Medical Center"/>
    <s v="Male"/>
    <n v="27"/>
    <x v="2"/>
    <n v="1"/>
    <x v="2"/>
    <x v="2"/>
    <n v="4004.42"/>
    <n v="2724.56"/>
    <n v="5.2"/>
    <x v="0"/>
    <x v="0"/>
  </r>
  <r>
    <s v="NHM-2025-101931"/>
    <s v="October"/>
    <x v="5"/>
    <n v="10"/>
    <d v="2023-10-23T00:00:00"/>
    <x v="3"/>
    <s v="Adam Wood"/>
    <s v="NovaHealth Midtown Medical Center"/>
    <s v="Female"/>
    <n v="67"/>
    <x v="1"/>
    <n v="4"/>
    <x v="4"/>
    <x v="4"/>
    <n v="14637.58"/>
    <n v="10326.31"/>
    <n v="10"/>
    <x v="2"/>
    <x v="1"/>
  </r>
  <r>
    <s v="NHM-2025-101992"/>
    <s v="November"/>
    <x v="4"/>
    <n v="11"/>
    <d v="2025-11-12T00:00:00"/>
    <x v="1"/>
    <s v="Evelyn Jordan"/>
    <s v="NovaHealth Lakeshore Regional Center"/>
    <s v="Female"/>
    <n v="51"/>
    <x v="1"/>
    <n v="4"/>
    <x v="7"/>
    <x v="7"/>
    <n v="4668.66"/>
    <n v="3500.92"/>
    <n v="11.6"/>
    <x v="2"/>
    <x v="0"/>
  </r>
  <r>
    <s v="NHM-2026-100281"/>
    <s v="October"/>
    <x v="5"/>
    <n v="10"/>
    <d v="2023-10-23T00:00:00"/>
    <x v="3"/>
    <s v="Amber Garcia"/>
    <s v="NovaHealth Chicago Medical Center"/>
    <s v="Female"/>
    <n v="18"/>
    <x v="0"/>
    <n v="1"/>
    <x v="7"/>
    <x v="7"/>
    <n v="7346.27"/>
    <n v="5774.37"/>
    <n v="23.9"/>
    <x v="0"/>
    <x v="2"/>
  </r>
  <r>
    <s v="NHM-2026-100062"/>
    <s v="February"/>
    <x v="2"/>
    <n v="2"/>
    <d v="2024-02-16T00:00:00"/>
    <x v="0"/>
    <s v="Roger Boyd"/>
    <s v="NovaHealth Northside Hospital"/>
    <s v="Male"/>
    <n v="61"/>
    <x v="2"/>
    <n v="5"/>
    <x v="4"/>
    <x v="4"/>
    <n v="19592.689999999999"/>
    <n v="11458.96"/>
    <n v="11.9"/>
    <x v="2"/>
    <x v="0"/>
  </r>
  <r>
    <s v="NHM-2026-100326"/>
    <s v="January"/>
    <x v="3"/>
    <n v="1"/>
    <d v="2026-01-22T00:00:00"/>
    <x v="2"/>
    <s v="Alice Jordan"/>
    <s v="NovaHealth River Valley Hospital"/>
    <s v="Male"/>
    <n v="47"/>
    <x v="2"/>
    <n v="3"/>
    <x v="3"/>
    <x v="3"/>
    <n v="6292.38"/>
    <n v="3905.55"/>
    <n v="8.4"/>
    <x v="1"/>
    <x v="0"/>
  </r>
  <r>
    <s v="NHM-2024-100395"/>
    <s v="September"/>
    <x v="7"/>
    <n v="9"/>
    <d v="2024-09-04T00:00:00"/>
    <x v="0"/>
    <s v="Richard Webb"/>
    <s v="NovaHealth Greenfield Clinic"/>
    <s v="Male"/>
    <n v="66"/>
    <x v="2"/>
    <n v="4"/>
    <x v="4"/>
    <x v="4"/>
    <n v="19083.22"/>
    <n v="12345.26"/>
    <n v="16.5"/>
    <x v="2"/>
    <x v="1"/>
  </r>
  <r>
    <s v="NHM-2026-101540"/>
    <s v="October"/>
    <x v="5"/>
    <n v="10"/>
    <d v="2025-10-13T00:00:00"/>
    <x v="1"/>
    <s v="Justin Thomas"/>
    <s v="NovaHealth Lakeside Medical Center"/>
    <s v="Female"/>
    <n v="76"/>
    <x v="2"/>
    <n v="4"/>
    <x v="1"/>
    <x v="1"/>
    <n v="17176.13"/>
    <n v="11573.61"/>
    <n v="8.1999999999999993"/>
    <x v="2"/>
    <x v="1"/>
  </r>
  <r>
    <s v="NHM-2024-100665"/>
    <s v="March"/>
    <x v="1"/>
    <n v="3"/>
    <d v="2025-03-20T00:00:00"/>
    <x v="1"/>
    <s v="Debra Diaz"/>
    <s v="NovaHealth Metro General Hospital"/>
    <s v="Female"/>
    <n v="26"/>
    <x v="2"/>
    <n v="1"/>
    <x v="2"/>
    <x v="2"/>
    <n v="1251.3"/>
    <n v="923.91"/>
    <n v="6"/>
    <x v="0"/>
    <x v="0"/>
  </r>
  <r>
    <s v="NHM-2026-100139"/>
    <s v="January"/>
    <x v="3"/>
    <n v="1"/>
    <d v="2026-01-08T00:00:00"/>
    <x v="2"/>
    <s v="Jesse Washington"/>
    <s v="NovaHealth Oakridge Community Hospital"/>
    <s v="Female"/>
    <n v="79"/>
    <x v="2"/>
    <n v="4"/>
    <x v="4"/>
    <x v="4"/>
    <n v="12525.57"/>
    <n v="9251.67"/>
    <n v="13.5"/>
    <x v="2"/>
    <x v="1"/>
  </r>
  <r>
    <s v="NHM-2024-101394"/>
    <s v="April"/>
    <x v="0"/>
    <n v="4"/>
    <d v="2026-04-18T00:00:00"/>
    <x v="2"/>
    <s v="Christine Hall"/>
    <s v="NovaHealth Chicago Medical Center"/>
    <s v="Female"/>
    <n v="56"/>
    <x v="0"/>
    <n v="1"/>
    <x v="1"/>
    <x v="1"/>
    <n v="9394.8799999999992"/>
    <n v="7208.91"/>
    <n v="8.6"/>
    <x v="0"/>
    <x v="0"/>
  </r>
  <r>
    <s v="NHM-2025-100586"/>
    <s v="December"/>
    <x v="6"/>
    <n v="12"/>
    <d v="2023-12-13T00:00:00"/>
    <x v="3"/>
    <s v="Debra Hall"/>
    <s v="NovaHealth Northside Hospital"/>
    <s v="Male"/>
    <n v="59"/>
    <x v="0"/>
    <n v="1"/>
    <x v="2"/>
    <x v="2"/>
    <n v="1702.66"/>
    <n v="1034.74"/>
    <n v="5.9"/>
    <x v="0"/>
    <x v="0"/>
  </r>
  <r>
    <s v="NHM-2026-102147"/>
    <s v="August"/>
    <x v="10"/>
    <n v="8"/>
    <d v="2025-08-14T00:00:00"/>
    <x v="1"/>
    <s v="Jennifer Tucker"/>
    <s v="NovaHealth Chicago Medical Ctr"/>
    <s v="Female"/>
    <n v="38"/>
    <x v="2"/>
    <n v="2"/>
    <x v="2"/>
    <x v="2"/>
    <n v="4340.1899999999996"/>
    <n v="2686.72"/>
    <n v="4.9000000000000004"/>
    <x v="1"/>
    <x v="0"/>
  </r>
  <r>
    <s v="NHM-2023-100743"/>
    <s v="January"/>
    <x v="3"/>
    <n v="1"/>
    <d v="2025-01-16T00:00:00"/>
    <x v="1"/>
    <s v="Margaret Baker"/>
    <s v="NovaHealth Chicago Medical Center"/>
    <s v="Male"/>
    <n v="53"/>
    <x v="0"/>
    <n v="2"/>
    <x v="2"/>
    <x v="2"/>
    <n v="5600.33"/>
    <n v="3625.81"/>
    <n v="5.2"/>
    <x v="1"/>
    <x v="0"/>
  </r>
  <r>
    <s v="NHM-2025-101726"/>
    <s v="October"/>
    <x v="5"/>
    <n v="10"/>
    <d v="2024-10-10T00:00:00"/>
    <x v="0"/>
    <s v="Gloria Barnes"/>
    <s v="Nova Health Lakeside Medical Center"/>
    <s v="Male"/>
    <n v="62"/>
    <x v="2"/>
    <n v="5"/>
    <x v="4"/>
    <x v="4"/>
    <n v="18422.830000000002"/>
    <n v="12471.3"/>
    <n v="16"/>
    <x v="2"/>
    <x v="0"/>
  </r>
  <r>
    <s v="NHM-2024-101670"/>
    <s v="October"/>
    <x v="5"/>
    <n v="10"/>
    <d v="2023-10-09T00:00:00"/>
    <x v="3"/>
    <s v="Robert Flores"/>
    <s v="NovaHealth Chicago Medical Center"/>
    <s v="Male"/>
    <n v="55"/>
    <x v="2"/>
    <n v="5"/>
    <x v="4"/>
    <x v="4"/>
    <n v="22063.15"/>
    <n v="15541"/>
    <n v="12.1"/>
    <x v="2"/>
    <x v="0"/>
  </r>
  <r>
    <s v="NHM-2025-102394"/>
    <s v="April"/>
    <x v="0"/>
    <n v="4"/>
    <d v="2026-04-24T00:00:00"/>
    <x v="2"/>
    <s v="Angela Moore"/>
    <s v="NovaHealth Midtown Medical Center"/>
    <s v="Male"/>
    <n v="51"/>
    <x v="0"/>
    <n v="2"/>
    <x v="2"/>
    <x v="2"/>
    <n v="3947.44"/>
    <n v="2951.23"/>
    <n v="8.6999999999999993"/>
    <x v="1"/>
    <x v="0"/>
  </r>
  <r>
    <s v="NHM-2023-100685"/>
    <s v="April"/>
    <x v="0"/>
    <n v="4"/>
    <d v="2024-04-19T00:00:00"/>
    <x v="0"/>
    <s v="James Morales"/>
    <s v="Nova Health Greenfield Clinic"/>
    <s v="Female"/>
    <n v="79"/>
    <x v="0"/>
    <n v="4"/>
    <x v="5"/>
    <x v="5"/>
    <n v="17498.7"/>
    <n v="13378.21"/>
    <n v="9.9"/>
    <x v="2"/>
    <x v="1"/>
  </r>
  <r>
    <s v="NHM-2024-102051"/>
    <s v="February"/>
    <x v="2"/>
    <n v="2"/>
    <d v="2025-02-03T00:00:00"/>
    <x v="1"/>
    <s v="Elijah Butler"/>
    <s v="Nova Health River Valley Hospital"/>
    <s v="Male"/>
    <n v="76"/>
    <x v="0"/>
    <n v="3"/>
    <x v="2"/>
    <x v="2"/>
    <n v="5536.47"/>
    <n v="3284.75"/>
    <n v="9.1999999999999993"/>
    <x v="1"/>
    <x v="1"/>
  </r>
  <r>
    <s v="NHM-2023-100699"/>
    <s v="September"/>
    <x v="7"/>
    <n v="9"/>
    <d v="2025-09-22T00:00:00"/>
    <x v="1"/>
    <s v="Samuel Castillo"/>
    <s v="NovaHealth Midtown Medical Center"/>
    <s v="Male"/>
    <n v="28"/>
    <x v="1"/>
    <n v="4"/>
    <x v="2"/>
    <x v="2"/>
    <n v="6010.47"/>
    <n v="3725.59"/>
    <n v="7.4"/>
    <x v="2"/>
    <x v="0"/>
  </r>
  <r>
    <s v="NHM-2024-102374"/>
    <s v="August"/>
    <x v="10"/>
    <n v="8"/>
    <d v="2024-08-06T00:00:00"/>
    <x v="0"/>
    <s v="Roy Gonzales"/>
    <s v="NovaHealth River Valley Hospital"/>
    <s v="Male"/>
    <n v="49"/>
    <x v="2"/>
    <n v="2"/>
    <x v="1"/>
    <x v="1"/>
    <n v="11407.21"/>
    <n v="7385.41"/>
    <n v="10.6"/>
    <x v="1"/>
    <x v="0"/>
  </r>
  <r>
    <s v="NHM-2023-102193"/>
    <s v="April"/>
    <x v="0"/>
    <n v="4"/>
    <d v="2024-04-19T00:00:00"/>
    <x v="0"/>
    <s v="Timothy Patel"/>
    <s v="NovaHealth River Valley Hospital"/>
    <s v="Male"/>
    <n v="9"/>
    <x v="0"/>
    <n v="1"/>
    <x v="6"/>
    <x v="6"/>
    <n v="2256.1"/>
    <n v="1552.39"/>
    <n v="5.0999999999999996"/>
    <x v="0"/>
    <x v="2"/>
  </r>
  <r>
    <s v="NHM-2024-100883"/>
    <s v="July"/>
    <x v="8"/>
    <n v="7"/>
    <d v="2024-07-29T00:00:00"/>
    <x v="0"/>
    <s v="Frank Mason"/>
    <s v="NovaHealth Greenfield Clinic"/>
    <s v="Female"/>
    <n v="55"/>
    <x v="0"/>
    <n v="1"/>
    <x v="1"/>
    <x v="1"/>
    <n v="7004.19"/>
    <n v="4985.33"/>
    <n v="10.3"/>
    <x v="0"/>
    <x v="0"/>
  </r>
  <r>
    <s v="NHM-2023-101510"/>
    <s v="May"/>
    <x v="9"/>
    <n v="5"/>
    <d v="2025-05-27T00:00:00"/>
    <x v="1"/>
    <s v="Joe Tucker"/>
    <s v="NovaHealth Greenfield Clinic"/>
    <s v="Female"/>
    <n v="34"/>
    <x v="2"/>
    <n v="3"/>
    <x v="7"/>
    <x v="7"/>
    <n v="8130.06"/>
    <n v="6050.14"/>
    <n v="14.4"/>
    <x v="1"/>
    <x v="0"/>
  </r>
  <r>
    <s v="NHM-2025-101626"/>
    <s v="May"/>
    <x v="9"/>
    <n v="5"/>
    <d v="2025-05-28T00:00:00"/>
    <x v="1"/>
    <s v="Debra Johnson"/>
    <s v="NovaHealth Chicago Medical Center"/>
    <s v="Male"/>
    <n v="55"/>
    <x v="1"/>
    <n v="3"/>
    <x v="3"/>
    <x v="3"/>
    <n v="5815.81"/>
    <n v="4515.22"/>
    <n v="11.9"/>
    <x v="1"/>
    <x v="0"/>
  </r>
  <r>
    <s v="NHM-2024-102378"/>
    <s v="October"/>
    <x v="5"/>
    <n v="10"/>
    <d v="2024-10-08T00:00:00"/>
    <x v="0"/>
    <s v="Timothy Morris"/>
    <s v="NovaHealth Lakeshore Regional Center"/>
    <s v="Male"/>
    <n v="83"/>
    <x v="0"/>
    <n v="2"/>
    <x v="0"/>
    <x v="0"/>
    <n v="12252.6"/>
    <n v="7188.11"/>
    <n v="10.199999999999999"/>
    <x v="1"/>
    <x v="1"/>
  </r>
  <r>
    <s v="NHM-2025-101704"/>
    <s v="January"/>
    <x v="3"/>
    <n v="1"/>
    <d v="2024-01-31T00:00:00"/>
    <x v="0"/>
    <s v="Margaret Washington"/>
    <s v="NovaHealth Metro General Hospital"/>
    <s v="Female"/>
    <n v="62"/>
    <x v="0"/>
    <n v="1"/>
    <x v="2"/>
    <x v="2"/>
    <n v="2793.35"/>
    <n v="1753.54"/>
    <n v="6.2"/>
    <x v="0"/>
    <x v="0"/>
  </r>
  <r>
    <s v="NHM-2025-101688"/>
    <s v="January"/>
    <x v="3"/>
    <n v="1"/>
    <d v="2025-01-07T00:00:00"/>
    <x v="1"/>
    <s v="Kyle Gomez"/>
    <s v="NovaHealth Lakeshore Regional Center"/>
    <s v="Male"/>
    <n v="66"/>
    <x v="0"/>
    <n v="2"/>
    <x v="7"/>
    <x v="7"/>
    <n v="9430.85"/>
    <n v="6212.54"/>
    <n v="22.1"/>
    <x v="1"/>
    <x v="1"/>
  </r>
  <r>
    <s v="NHM-2025-102053"/>
    <s v="May"/>
    <x v="9"/>
    <n v="5"/>
    <d v="2025-05-07T00:00:00"/>
    <x v="1"/>
    <s v="Brian Roberts"/>
    <s v="NovaHealth Northside Hospital"/>
    <s v="Male"/>
    <n v="79"/>
    <x v="0"/>
    <n v="3"/>
    <x v="4"/>
    <x v="4"/>
    <n v="12302.12"/>
    <n v="8352.02"/>
    <n v="13.7"/>
    <x v="1"/>
    <x v="1"/>
  </r>
  <r>
    <s v="NHM-2024-101628"/>
    <s v="May"/>
    <x v="9"/>
    <n v="5"/>
    <d v="2024-05-02T00:00:00"/>
    <x v="0"/>
    <s v="William Adams"/>
    <s v="NovaHealth Lakeside Medical Center"/>
    <s v="Male"/>
    <n v="55"/>
    <x v="2"/>
    <n v="5"/>
    <x v="4"/>
    <x v="4"/>
    <n v="11401.87"/>
    <n v="8116.51"/>
    <n v="16.899999999999999"/>
    <x v="2"/>
    <x v="0"/>
  </r>
  <r>
    <s v="NHM-2024-102013"/>
    <s v="November"/>
    <x v="4"/>
    <n v="11"/>
    <d v="2023-11-21T00:00:00"/>
    <x v="3"/>
    <s v="Joshua Gibson"/>
    <s v="NovaHealth Midtown Medical Ctr"/>
    <s v="Male"/>
    <n v="35"/>
    <x v="2"/>
    <n v="3"/>
    <x v="5"/>
    <x v="5"/>
    <n v="17372.88"/>
    <n v="12778.2"/>
    <n v="12"/>
    <x v="1"/>
    <x v="0"/>
  </r>
  <r>
    <s v="NHM-2024-100386"/>
    <s v="September"/>
    <x v="7"/>
    <n v="9"/>
    <d v="2025-09-25T00:00:00"/>
    <x v="1"/>
    <s v="Dorothy Fisher"/>
    <s v="NovaHealth Lakeside Medical Ctr"/>
    <s v="Female"/>
    <n v="94"/>
    <x v="1"/>
    <n v="4"/>
    <x v="4"/>
    <x v="4"/>
    <n v="11204.49"/>
    <n v="8587.41"/>
    <n v="9"/>
    <x v="2"/>
    <x v="1"/>
  </r>
  <r>
    <s v="NHM-2026-100282"/>
    <s v="January"/>
    <x v="3"/>
    <n v="1"/>
    <d v="2024-01-17T00:00:00"/>
    <x v="0"/>
    <s v="Teresa Alvarez"/>
    <s v="NovaHealth Lakeside Medical Center"/>
    <s v="Male"/>
    <n v="93"/>
    <x v="1"/>
    <n v="3"/>
    <x v="3"/>
    <x v="3"/>
    <n v="8651.2199999999993"/>
    <n v="5035.3100000000004"/>
    <n v="2.2000000000000002"/>
    <x v="1"/>
    <x v="1"/>
  </r>
  <r>
    <s v="NHM-2026-101734"/>
    <s v="June"/>
    <x v="11"/>
    <n v="6"/>
    <d v="2026-06-30T00:00:00"/>
    <x v="2"/>
    <s v="Kelly Crawford"/>
    <s v="NovaHealth Lakeshore Regional Center"/>
    <s v="Male"/>
    <n v="14"/>
    <x v="0"/>
    <n v="1"/>
    <x v="6"/>
    <x v="6"/>
    <n v="2497.21"/>
    <n v="1561.7"/>
    <n v="4.8"/>
    <x v="0"/>
    <x v="2"/>
  </r>
  <r>
    <s v="NHM-2026-100311"/>
    <s v="July"/>
    <x v="8"/>
    <n v="7"/>
    <d v="2025-07-27T00:00:00"/>
    <x v="1"/>
    <s v="Stephanie Davis"/>
    <s v="NovaHealth Lakeside Medical Center"/>
    <s v="Male"/>
    <n v="54"/>
    <x v="2"/>
    <n v="4"/>
    <x v="5"/>
    <x v="5"/>
    <n v="17919.349999999999"/>
    <n v="11511.58"/>
    <n v="5.4"/>
    <x v="2"/>
    <x v="0"/>
  </r>
  <r>
    <s v="NHM-2025-101132"/>
    <s v="January"/>
    <x v="3"/>
    <n v="1"/>
    <d v="2026-01-05T00:00:00"/>
    <x v="2"/>
    <s v="Jacqueline Hill"/>
    <s v="NovaHealth Chicago Medical Center"/>
    <s v="Male"/>
    <n v="84"/>
    <x v="1"/>
    <n v="4"/>
    <x v="4"/>
    <x v="4"/>
    <n v="18269.14"/>
    <n v="12325.12"/>
    <n v="10.6"/>
    <x v="2"/>
    <x v="1"/>
  </r>
  <r>
    <s v="NHM-2023-102184"/>
    <s v="May"/>
    <x v="9"/>
    <n v="5"/>
    <d v="2026-05-28T00:00:00"/>
    <x v="2"/>
    <s v="Carolyn Flores"/>
    <s v="NovaHealth Lakeshore Regional Center"/>
    <s v="Male"/>
    <n v="56"/>
    <x v="0"/>
    <n v="1"/>
    <x v="1"/>
    <x v="1"/>
    <n v="6991.71"/>
    <n v="4925.3999999999996"/>
    <n v="3.9"/>
    <x v="0"/>
    <x v="0"/>
  </r>
  <r>
    <s v="NHM-2026-102240"/>
    <s v="April"/>
    <x v="0"/>
    <n v="4"/>
    <d v="2024-04-01T00:00:00"/>
    <x v="0"/>
    <s v="Evelyn Anderson"/>
    <s v="Nova Health Midtown Medical Center"/>
    <s v="Female"/>
    <n v="32"/>
    <x v="2"/>
    <n v="4"/>
    <x v="7"/>
    <x v="7"/>
    <n v="5718.4"/>
    <n v="4308.03"/>
    <n v="16.7"/>
    <x v="2"/>
    <x v="0"/>
  </r>
  <r>
    <s v="NHM-2024-101691"/>
    <s v="March"/>
    <x v="1"/>
    <n v="3"/>
    <d v="2026-03-27T00:00:00"/>
    <x v="2"/>
    <s v="Justin Davis"/>
    <s v="NovaHealth Metro General Hospital"/>
    <s v="Female"/>
    <n v="38"/>
    <x v="1"/>
    <n v="1"/>
    <x v="2"/>
    <x v="2"/>
    <n v="2874.63"/>
    <n v="2237.52"/>
    <n v="6.6"/>
    <x v="0"/>
    <x v="0"/>
  </r>
  <r>
    <s v="NHM-2026-100928"/>
    <s v="March"/>
    <x v="1"/>
    <n v="3"/>
    <d v="2025-03-04T00:00:00"/>
    <x v="1"/>
    <s v="Jennifer Hill"/>
    <s v="NovaHealth Chicago Medical Center"/>
    <s v="Female"/>
    <n v="82"/>
    <x v="0"/>
    <n v="1"/>
    <x v="1"/>
    <x v="1"/>
    <n v="9004.98"/>
    <n v="5298.09"/>
    <n v="9.4"/>
    <x v="0"/>
    <x v="1"/>
  </r>
  <r>
    <s v="NHM-2024-101079"/>
    <s v="May"/>
    <x v="9"/>
    <n v="5"/>
    <d v="2026-05-15T00:00:00"/>
    <x v="2"/>
    <s v="Jerry Johnson"/>
    <s v="NovaHealth Northside Hospital"/>
    <s v="Male"/>
    <n v="48"/>
    <x v="0"/>
    <n v="1"/>
    <x v="1"/>
    <x v="1"/>
    <n v="8314.86"/>
    <n v="5163.26"/>
    <n v="11.4"/>
    <x v="0"/>
    <x v="0"/>
  </r>
  <r>
    <s v="NHM-2023-100984"/>
    <s v="April"/>
    <x v="0"/>
    <n v="4"/>
    <d v="2026-04-07T00:00:00"/>
    <x v="2"/>
    <s v="Alice Butler"/>
    <s v="NovaHealth Chicago Medical Center"/>
    <s v="Male"/>
    <n v="48"/>
    <x v="0"/>
    <n v="1"/>
    <x v="0"/>
    <x v="0"/>
    <n v="6810.65"/>
    <n v="4452.42"/>
    <n v="11.7"/>
    <x v="0"/>
    <x v="0"/>
  </r>
  <r>
    <s v="NHM-2025-100960"/>
    <s v="February"/>
    <x v="2"/>
    <n v="2"/>
    <d v="2026-02-06T00:00:00"/>
    <x v="2"/>
    <s v="Joan Hamilton"/>
    <s v="Nova Health Lakeside Medical Center"/>
    <s v="Female"/>
    <n v="13"/>
    <x v="1"/>
    <n v="3"/>
    <x v="6"/>
    <x v="6"/>
    <n v="2321.41"/>
    <n v="1574.54"/>
    <n v="2.4"/>
    <x v="1"/>
    <x v="2"/>
  </r>
  <r>
    <s v="NHM-2024-100398"/>
    <s v="February"/>
    <x v="2"/>
    <n v="2"/>
    <d v="2025-02-28T00:00:00"/>
    <x v="1"/>
    <s v="Beverly Hughes"/>
    <s v="NovaHealth River Valley Hospital"/>
    <s v="Male"/>
    <n v="76"/>
    <x v="0"/>
    <n v="1"/>
    <x v="3"/>
    <x v="3"/>
    <n v="5416.73"/>
    <n v="3865.31"/>
    <n v="9.1999999999999993"/>
    <x v="0"/>
    <x v="1"/>
  </r>
  <r>
    <s v="NHM-2024-100343"/>
    <s v="June"/>
    <x v="11"/>
    <n v="6"/>
    <d v="2025-06-19T00:00:00"/>
    <x v="1"/>
    <s v="Fiona King"/>
    <s v="NovaHealth River Valley Hospital"/>
    <s v="Female"/>
    <n v="27"/>
    <x v="2"/>
    <n v="5"/>
    <x v="0"/>
    <x v="0"/>
    <n v="17918.310000000001"/>
    <n v="13147.57"/>
    <n v="8.4"/>
    <x v="2"/>
    <x v="0"/>
  </r>
  <r>
    <s v="NHM-2025-101982"/>
    <s v="February"/>
    <x v="2"/>
    <n v="2"/>
    <d v="2024-02-22T00:00:00"/>
    <x v="0"/>
    <s v="Susan Campbell"/>
    <s v="NovaHealth Chicago Medical Center"/>
    <s v="Male"/>
    <n v="51"/>
    <x v="0"/>
    <n v="2"/>
    <x v="2"/>
    <x v="2"/>
    <n v="3186.6"/>
    <n v="2456.2199999999998"/>
    <n v="4.3"/>
    <x v="1"/>
    <x v="0"/>
  </r>
  <r>
    <s v="NHM-2024-102209"/>
    <s v="January"/>
    <x v="3"/>
    <n v="1"/>
    <d v="2025-01-09T00:00:00"/>
    <x v="1"/>
    <s v="Marilyn Graham"/>
    <s v="NovaHealth Lakeside Medical Center"/>
    <s v="Female"/>
    <n v="50"/>
    <x v="2"/>
    <n v="4"/>
    <x v="5"/>
    <x v="5"/>
    <n v="21508.799999999999"/>
    <n v="12506.3"/>
    <n v="3.9"/>
    <x v="2"/>
    <x v="0"/>
  </r>
  <r>
    <s v="NHM-2024-102367"/>
    <s v="April"/>
    <x v="0"/>
    <n v="4"/>
    <d v="2026-04-06T00:00:00"/>
    <x v="2"/>
    <s v="Ann Phillips"/>
    <s v="NovaHealth Lakeside Medical Center"/>
    <s v="Male"/>
    <n v="75"/>
    <x v="0"/>
    <n v="2"/>
    <x v="0"/>
    <x v="0"/>
    <n v="6050.17"/>
    <n v="3690.6"/>
    <m/>
    <x v="1"/>
    <x v="1"/>
  </r>
  <r>
    <s v="NHM-2023-101711"/>
    <s v="October"/>
    <x v="5"/>
    <n v="10"/>
    <d v="2025-10-13T00:00:00"/>
    <x v="1"/>
    <s v="Betty Price"/>
    <s v="NovaHealth Lakeside Medical Center"/>
    <s v="Male"/>
    <n v="83"/>
    <x v="0"/>
    <n v="1"/>
    <x v="2"/>
    <x v="2"/>
    <n v="2017.56"/>
    <n v="1344.84"/>
    <n v="6.7"/>
    <x v="0"/>
    <x v="1"/>
  </r>
  <r>
    <s v="NHM-2026-101243"/>
    <s v="July"/>
    <x v="8"/>
    <n v="7"/>
    <d v="2025-07-17T00:00:00"/>
    <x v="1"/>
    <s v="Gerald Patterson"/>
    <s v="NovaHealth Greenfield Clinic"/>
    <s v="Male"/>
    <n v="39"/>
    <x v="0"/>
    <n v="2"/>
    <x v="0"/>
    <x v="0"/>
    <n v="10065.25"/>
    <n v="6774.92"/>
    <n v="3.9"/>
    <x v="1"/>
    <x v="0"/>
  </r>
  <r>
    <s v="NHM-2026-100057"/>
    <s v="October"/>
    <x v="5"/>
    <n v="10"/>
    <d v="2023-10-26T00:00:00"/>
    <x v="3"/>
    <s v="Richard Bell"/>
    <s v="NovaHealth Chicago Medical Center"/>
    <s v="Male"/>
    <n v="51"/>
    <x v="0"/>
    <n v="1"/>
    <x v="3"/>
    <x v="3"/>
    <n v="8039.75"/>
    <n v="5707.02"/>
    <n v="9.9"/>
    <x v="0"/>
    <x v="0"/>
  </r>
  <r>
    <s v="NHM-2024-101317"/>
    <s v="September"/>
    <x v="7"/>
    <n v="9"/>
    <d v="2024-09-04T00:00:00"/>
    <x v="0"/>
    <s v="Marilyn Sullivan"/>
    <s v="NovaHealth Chicago Med. Center"/>
    <s v="Female"/>
    <n v="20"/>
    <x v="0"/>
    <n v="1"/>
    <x v="1"/>
    <x v="1"/>
    <n v="6863.9"/>
    <n v="5010.6499999999996"/>
    <m/>
    <x v="0"/>
    <x v="0"/>
  </r>
  <r>
    <s v="NHM-2025-100328"/>
    <s v="September"/>
    <x v="7"/>
    <n v="9"/>
    <d v="2024-09-23T00:00:00"/>
    <x v="0"/>
    <s v="Patrick Lopez"/>
    <s v="NovaHealth Metro General Hospital"/>
    <s v="Male"/>
    <n v="74"/>
    <x v="0"/>
    <n v="2"/>
    <x v="2"/>
    <x v="2"/>
    <n v="5043.2700000000004"/>
    <n v="3884.89"/>
    <n v="6.5"/>
    <x v="1"/>
    <x v="1"/>
  </r>
  <r>
    <s v="NHM-2025-100573"/>
    <s v="February"/>
    <x v="2"/>
    <n v="2"/>
    <d v="2024-02-20T00:00:00"/>
    <x v="0"/>
    <s v="Samantha Murray"/>
    <s v="NovaHealth Oakridge Community Hospital"/>
    <s v="Male"/>
    <n v="79"/>
    <x v="0"/>
    <n v="1"/>
    <x v="2"/>
    <x v="2"/>
    <n v="2176.98"/>
    <n v="1325.05"/>
    <n v="7.8"/>
    <x v="0"/>
    <x v="1"/>
  </r>
  <r>
    <s v="NHM-2023-100922"/>
    <s v="May"/>
    <x v="9"/>
    <n v="5"/>
    <d v="2026-05-25T00:00:00"/>
    <x v="2"/>
    <s v="Bryan Morgan"/>
    <s v="NovaHealth Lakeside Medical Center"/>
    <s v="Female"/>
    <n v="50"/>
    <x v="0"/>
    <n v="1"/>
    <x v="7"/>
    <x v="7"/>
    <n v="7262.05"/>
    <n v="4591.45"/>
    <n v="20.2"/>
    <x v="0"/>
    <x v="0"/>
  </r>
  <r>
    <s v="NHM-2023-102386"/>
    <s v="January"/>
    <x v="3"/>
    <n v="1"/>
    <d v="2025-01-02T00:00:00"/>
    <x v="1"/>
    <s v="Maria Martinez"/>
    <s v="NovaHealth Midtown Medical Center"/>
    <s v="Female"/>
    <n v="62"/>
    <x v="0"/>
    <n v="1"/>
    <x v="0"/>
    <x v="0"/>
    <n v="9112.1299999999992"/>
    <n v="5898.96"/>
    <n v="8.4"/>
    <x v="0"/>
    <x v="0"/>
  </r>
  <r>
    <s v="NHM-2026-101331"/>
    <s v="April"/>
    <x v="0"/>
    <n v="4"/>
    <d v="2026-04-30T00:00:00"/>
    <x v="2"/>
    <s v="Charles Hughes"/>
    <s v="NovaHealth Northside Hospital"/>
    <s v="Female"/>
    <n v="87"/>
    <x v="0"/>
    <n v="2"/>
    <x v="3"/>
    <x v="3"/>
    <n v="5260.42"/>
    <n v="3574.08"/>
    <n v="6.2"/>
    <x v="1"/>
    <x v="1"/>
  </r>
  <r>
    <s v="NHM-2026-101410"/>
    <s v="October"/>
    <x v="5"/>
    <n v="10"/>
    <d v="2023-10-03T00:00:00"/>
    <x v="3"/>
    <s v="Joseph Campbell"/>
    <s v="NovaHealth Northside Hospital"/>
    <s v="Male"/>
    <n v="45"/>
    <x v="0"/>
    <n v="1"/>
    <x v="7"/>
    <x v="7"/>
    <n v="3426.59"/>
    <n v="2513.0100000000002"/>
    <n v="14.3"/>
    <x v="0"/>
    <x v="0"/>
  </r>
  <r>
    <s v="NHM-2024-101919"/>
    <s v="March"/>
    <x v="1"/>
    <n v="3"/>
    <d v="2024-03-06T00:00:00"/>
    <x v="0"/>
    <s v="Denise Alexander"/>
    <s v="NovaHealth Northside Hospital"/>
    <s v="Female"/>
    <n v="79"/>
    <x v="0"/>
    <n v="2"/>
    <x v="1"/>
    <x v="1"/>
    <n v="10471.86"/>
    <n v="7729.26"/>
    <n v="10.6"/>
    <x v="1"/>
    <x v="1"/>
  </r>
  <r>
    <s v="NHM-2024-100691"/>
    <s v="April"/>
    <x v="0"/>
    <n v="4"/>
    <d v="2025-04-22T00:00:00"/>
    <x v="1"/>
    <s v="Nicholas Cruz"/>
    <s v="NovaHealth Lakeside Medical Center"/>
    <s v="Male"/>
    <n v="60"/>
    <x v="0"/>
    <n v="1"/>
    <x v="1"/>
    <x v="1"/>
    <n v="11315.95"/>
    <n v="8624.1200000000008"/>
    <n v="3"/>
    <x v="0"/>
    <x v="0"/>
  </r>
  <r>
    <s v="NHM-2026-102307"/>
    <s v="January"/>
    <x v="3"/>
    <n v="1"/>
    <d v="2025-01-08T00:00:00"/>
    <x v="1"/>
    <s v="Laura Gomez"/>
    <s v="NovaHealth Greenfield Clinic"/>
    <s v="Female"/>
    <n v="85"/>
    <x v="2"/>
    <n v="3"/>
    <x v="5"/>
    <x v="5"/>
    <n v="15338.71"/>
    <n v="8917.25"/>
    <n v="2.6"/>
    <x v="1"/>
    <x v="1"/>
  </r>
  <r>
    <s v="NHM-2026-102047"/>
    <s v="September"/>
    <x v="7"/>
    <n v="9"/>
    <d v="2025-09-22T00:00:00"/>
    <x v="1"/>
    <s v="Jasmine Mcdonald"/>
    <s v="NovaHealth Northside Hospital"/>
    <s v="Female"/>
    <n v="57"/>
    <x v="0"/>
    <n v="2"/>
    <x v="1"/>
    <x v="1"/>
    <n v="12398.33"/>
    <n v="7614.18"/>
    <n v="6.4"/>
    <x v="1"/>
    <x v="0"/>
  </r>
  <r>
    <s v="NHM-2026-100149"/>
    <s v="April"/>
    <x v="0"/>
    <n v="4"/>
    <d v="2026-04-24T00:00:00"/>
    <x v="2"/>
    <s v="Lisa Adams"/>
    <s v="NovaHealth Chicago Medical Center"/>
    <s v="Female"/>
    <n v="64"/>
    <x v="1"/>
    <n v="5"/>
    <x v="4"/>
    <x v="4"/>
    <n v="25334.61"/>
    <n v="16328.55"/>
    <n v="14.3"/>
    <x v="2"/>
    <x v="0"/>
  </r>
  <r>
    <s v="NHM-2023-100043"/>
    <s v="January"/>
    <x v="3"/>
    <n v="1"/>
    <d v="2025-01-24T00:00:00"/>
    <x v="1"/>
    <s v="Aaron Johnson"/>
    <s v="NovaHealth River Valley Hospital"/>
    <s v="Female"/>
    <n v="28"/>
    <x v="0"/>
    <n v="1"/>
    <x v="0"/>
    <x v="0"/>
    <n v="4236.24"/>
    <n v="2904.68"/>
    <n v="8.3000000000000007"/>
    <x v="0"/>
    <x v="0"/>
  </r>
  <r>
    <s v="NHM-2024-100611"/>
    <s v="December"/>
    <x v="6"/>
    <n v="12"/>
    <d v="2024-12-13T00:00:00"/>
    <x v="0"/>
    <s v="Christopher Phillips"/>
    <s v="NovaHealth Metro General Hospital"/>
    <s v="Female"/>
    <n v="59"/>
    <x v="0"/>
    <n v="3"/>
    <x v="7"/>
    <x v="7"/>
    <n v="4494.78"/>
    <n v="3266.35"/>
    <n v="15"/>
    <x v="1"/>
    <x v="0"/>
  </r>
  <r>
    <s v="NHM-2023-100029"/>
    <s v="May"/>
    <x v="9"/>
    <n v="5"/>
    <d v="2024-05-02T00:00:00"/>
    <x v="0"/>
    <s v="Kyle Evans"/>
    <s v="NovaHealth Northside Hospital"/>
    <s v="Male"/>
    <n v="56"/>
    <x v="2"/>
    <n v="4"/>
    <x v="4"/>
    <x v="4"/>
    <n v="12377.97"/>
    <n v="9179.1200000000008"/>
    <n v="17.899999999999999"/>
    <x v="2"/>
    <x v="0"/>
  </r>
  <r>
    <s v="NHM-2026-101386"/>
    <s v="September"/>
    <x v="7"/>
    <n v="9"/>
    <d v="2024-09-26T00:00:00"/>
    <x v="0"/>
    <s v="Roy Bell"/>
    <s v="NovaHealth Greenfield Clinic"/>
    <s v="Female"/>
    <n v="60"/>
    <x v="0"/>
    <n v="1"/>
    <x v="2"/>
    <x v="2"/>
    <n v="2539.37"/>
    <n v="1985.92"/>
    <n v="7"/>
    <x v="0"/>
    <x v="0"/>
  </r>
  <r>
    <s v="NHM-2024-100521"/>
    <s v="June"/>
    <x v="11"/>
    <n v="6"/>
    <d v="2025-06-05T00:00:00"/>
    <x v="1"/>
    <s v="Ryan Bryant"/>
    <s v="NovaHealth Greenfield Clinic"/>
    <s v="Male"/>
    <n v="72"/>
    <x v="0"/>
    <n v="1"/>
    <x v="0"/>
    <x v="0"/>
    <n v="6785"/>
    <n v="3968.1"/>
    <n v="4.0999999999999996"/>
    <x v="0"/>
    <x v="1"/>
  </r>
  <r>
    <s v="NHM-2025-100418"/>
    <s v="April"/>
    <x v="0"/>
    <n v="4"/>
    <d v="2024-04-29T00:00:00"/>
    <x v="0"/>
    <s v="Diane Cole"/>
    <s v="NovaHealth Greenfield Clinic"/>
    <s v="Female"/>
    <n v="9"/>
    <x v="0"/>
    <n v="1"/>
    <x v="6"/>
    <x v="6"/>
    <n v="1737.44"/>
    <n v="1105.44"/>
    <n v="5.7"/>
    <x v="0"/>
    <x v="2"/>
  </r>
  <r>
    <s v="NHM-2025-100854"/>
    <s v="September"/>
    <x v="7"/>
    <n v="9"/>
    <d v="2024-09-11T00:00:00"/>
    <x v="0"/>
    <s v="Anna Marshall"/>
    <s v="NovaHealth River Valley Hospital"/>
    <s v="Male"/>
    <n v="41"/>
    <x v="0"/>
    <n v="3"/>
    <x v="7"/>
    <x v="7"/>
    <n v="10467.86"/>
    <n v="6800.23"/>
    <n v="12.6"/>
    <x v="1"/>
    <x v="0"/>
  </r>
  <r>
    <s v="NHM-2025-100625"/>
    <s v="September"/>
    <x v="7"/>
    <n v="9"/>
    <d v="2024-09-24T00:00:00"/>
    <x v="0"/>
    <s v="Nicole Watson"/>
    <s v="NovaHealth Oakridge Community Hospital"/>
    <s v="Male"/>
    <n v="62"/>
    <x v="2"/>
    <n v="4"/>
    <x v="7"/>
    <x v="7"/>
    <n v="4371.84"/>
    <n v="3052.33"/>
    <n v="15.4"/>
    <x v="2"/>
    <x v="0"/>
  </r>
  <r>
    <s v="NHM-2024-101441"/>
    <s v="November"/>
    <x v="4"/>
    <n v="11"/>
    <d v="2024-11-14T00:00:00"/>
    <x v="0"/>
    <s v="Joseph Wood"/>
    <s v="NovaHealth Greenfield Clinic"/>
    <s v="Female"/>
    <n v="29"/>
    <x v="0"/>
    <n v="4"/>
    <x v="7"/>
    <x v="7"/>
    <n v="7483.18"/>
    <n v="5424.63"/>
    <n v="23.3"/>
    <x v="2"/>
    <x v="0"/>
  </r>
  <r>
    <s v="NHM-2025-101956"/>
    <s v="September"/>
    <x v="7"/>
    <n v="9"/>
    <d v="2023-09-26T00:00:00"/>
    <x v="3"/>
    <s v="Amanda Green"/>
    <s v="NovaHealth Chicago Medical Center"/>
    <s v="Female"/>
    <n v="15"/>
    <x v="0"/>
    <n v="1"/>
    <x v="6"/>
    <x v="6"/>
    <n v="1772.16"/>
    <n v="1326.48"/>
    <n v="4.0999999999999996"/>
    <x v="0"/>
    <x v="2"/>
  </r>
  <r>
    <s v="NHM-2024-102155"/>
    <s v="May"/>
    <x v="9"/>
    <n v="5"/>
    <d v="2024-05-14T00:00:00"/>
    <x v="0"/>
    <s v="Alan Cole"/>
    <s v="NovaHealth Metro General Hospital"/>
    <s v="Male"/>
    <n v="86"/>
    <x v="2"/>
    <n v="4"/>
    <x v="5"/>
    <x v="5"/>
    <n v="12028.03"/>
    <n v="9170.9"/>
    <n v="3.7"/>
    <x v="2"/>
    <x v="1"/>
  </r>
  <r>
    <s v="NHM-2024-100137"/>
    <s v="March"/>
    <x v="1"/>
    <n v="3"/>
    <d v="2025-03-12T00:00:00"/>
    <x v="1"/>
    <s v="Evelyn Garcia"/>
    <s v="NovaHealth Northside Hospital"/>
    <s v="Male"/>
    <n v="84"/>
    <x v="1"/>
    <n v="4"/>
    <x v="4"/>
    <x v="4"/>
    <n v="14499.18"/>
    <n v="8544.7199999999993"/>
    <n v="16.899999999999999"/>
    <x v="2"/>
    <x v="1"/>
  </r>
  <r>
    <s v="NHM-2026-100379"/>
    <s v="November"/>
    <x v="4"/>
    <n v="11"/>
    <d v="2023-11-30T00:00:00"/>
    <x v="3"/>
    <s v="Rachel Butler"/>
    <s v="NovaHealth Midtown Medical Center"/>
    <s v="Female"/>
    <n v="69"/>
    <x v="0"/>
    <n v="1"/>
    <x v="1"/>
    <x v="1"/>
    <n v="11322.93"/>
    <n v="6991.79"/>
    <n v="10.6"/>
    <x v="0"/>
    <x v="1"/>
  </r>
  <r>
    <s v="NHM-2023-100071"/>
    <s v="December"/>
    <x v="6"/>
    <n v="12"/>
    <d v="2023-12-18T00:00:00"/>
    <x v="3"/>
    <s v="Albert Foster"/>
    <s v="NovaHealth Greenfield Clinic"/>
    <s v="Male"/>
    <n v="3"/>
    <x v="0"/>
    <n v="1"/>
    <x v="6"/>
    <x v="6"/>
    <n v="954.83"/>
    <n v="633.49"/>
    <n v="2.8"/>
    <x v="0"/>
    <x v="2"/>
  </r>
  <r>
    <s v="NHM-2024-101452"/>
    <s v="April"/>
    <x v="0"/>
    <n v="4"/>
    <d v="2025-04-18T00:00:00"/>
    <x v="1"/>
    <s v="Sarah King"/>
    <s v="NovaHealth Northside Hospital"/>
    <s v="Male"/>
    <n v="23"/>
    <x v="0"/>
    <n v="1"/>
    <x v="1"/>
    <x v="1"/>
    <n v="9097.85"/>
    <n v="6174.76"/>
    <n v="9.9"/>
    <x v="0"/>
    <x v="0"/>
  </r>
  <r>
    <s v="NHM-2024-101285"/>
    <s v="May"/>
    <x v="9"/>
    <n v="5"/>
    <d v="2024-05-13T00:00:00"/>
    <x v="0"/>
    <s v="Elizabeth Gonzales"/>
    <s v="NovaHealth Northside Hospital"/>
    <s v="Female"/>
    <n v="82"/>
    <x v="0"/>
    <n v="1"/>
    <x v="7"/>
    <x v="7"/>
    <n v="8358.1"/>
    <n v="5978.67"/>
    <n v="16"/>
    <x v="0"/>
    <x v="1"/>
  </r>
  <r>
    <s v="NHM-2026-102267"/>
    <s v="May"/>
    <x v="9"/>
    <n v="5"/>
    <d v="2026-05-30T00:00:00"/>
    <x v="2"/>
    <s v="Jeremy Parker"/>
    <s v="NovaHealth Northside Hospital"/>
    <s v="Female"/>
    <n v="24"/>
    <x v="0"/>
    <n v="1"/>
    <x v="7"/>
    <x v="7"/>
    <n v="7382.53"/>
    <n v="5490.85"/>
    <n v="12.7"/>
    <x v="0"/>
    <x v="0"/>
  </r>
  <r>
    <s v="NHM-2026-101673"/>
    <s v="April"/>
    <x v="0"/>
    <n v="4"/>
    <d v="2026-04-16T00:00:00"/>
    <x v="2"/>
    <s v="Jerry Adams"/>
    <s v="NovaHealth Northside Hospital"/>
    <s v="Male"/>
    <n v="74"/>
    <x v="1"/>
    <n v="4"/>
    <x v="2"/>
    <x v="2"/>
    <n v="3507.35"/>
    <n v="2733.59"/>
    <n v="8.5"/>
    <x v="2"/>
    <x v="1"/>
  </r>
  <r>
    <s v="NHM-2026-101645"/>
    <s v="May"/>
    <x v="9"/>
    <n v="5"/>
    <d v="2026-05-05T00:00:00"/>
    <x v="2"/>
    <s v="Adam Johnson"/>
    <s v="NovaHealth Lakeside Medical Center"/>
    <s v="Female"/>
    <n v="70"/>
    <x v="2"/>
    <n v="4"/>
    <x v="4"/>
    <x v="4"/>
    <n v="16786.330000000002"/>
    <n v="9826.4699999999993"/>
    <n v="11.3"/>
    <x v="2"/>
    <x v="1"/>
  </r>
  <r>
    <s v="NHM-2023-101469"/>
    <s v="February"/>
    <x v="2"/>
    <n v="2"/>
    <d v="2026-02-16T00:00:00"/>
    <x v="2"/>
    <s v="Laura Bailey"/>
    <s v="NovaHealth Oakridge Community Hospital"/>
    <s v="Female"/>
    <n v="73"/>
    <x v="2"/>
    <n v="5"/>
    <x v="0"/>
    <x v="0"/>
    <n v="8691.2900000000009"/>
    <n v="5396.89"/>
    <n v="11.9"/>
    <x v="2"/>
    <x v="1"/>
  </r>
  <r>
    <s v="NHM-2024-101846"/>
    <s v="December"/>
    <x v="6"/>
    <n v="12"/>
    <d v="2023-12-12T00:00:00"/>
    <x v="3"/>
    <s v="Judith Nelson"/>
    <s v="NovaHealth Northside Hospital"/>
    <s v="Female"/>
    <n v="49"/>
    <x v="0"/>
    <n v="2"/>
    <x v="3"/>
    <x v="3"/>
    <n v="7553.9"/>
    <n v="4899.3"/>
    <n v="8.1"/>
    <x v="1"/>
    <x v="0"/>
  </r>
  <r>
    <s v="NHM-2025-102262"/>
    <s v="January"/>
    <x v="3"/>
    <n v="1"/>
    <d v="2025-01-27T00:00:00"/>
    <x v="1"/>
    <s v="Anthony Cook"/>
    <s v="NovaHealth Metro General Hospital"/>
    <s v="Male"/>
    <n v="59"/>
    <x v="1"/>
    <n v="3"/>
    <x v="3"/>
    <x v="3"/>
    <n v="7930.61"/>
    <n v="5391.11"/>
    <n v="9.6999999999999993"/>
    <x v="1"/>
    <x v="0"/>
  </r>
  <r>
    <s v="NHM-2023-102231"/>
    <s v="May"/>
    <x v="9"/>
    <n v="5"/>
    <d v="2026-05-03T00:00:00"/>
    <x v="2"/>
    <s v="Pamela Murray"/>
    <s v="NovaHealth Lakeshore Regional Center"/>
    <s v="Female"/>
    <n v="30"/>
    <x v="0"/>
    <n v="1"/>
    <x v="0"/>
    <x v="0"/>
    <n v="7310.12"/>
    <n v="5168.28"/>
    <n v="6.4"/>
    <x v="0"/>
    <x v="0"/>
  </r>
  <r>
    <s v="NHM-2024-102462"/>
    <s v="January"/>
    <x v="3"/>
    <n v="1"/>
    <d v="2024-01-09T00:00:00"/>
    <x v="0"/>
    <s v="Juan Jenkins"/>
    <s v="NovaHealth Lakeside Medical Center"/>
    <s v="Female"/>
    <n v="42"/>
    <x v="0"/>
    <n v="2"/>
    <x v="0"/>
    <x v="0"/>
    <n v="7003.63"/>
    <n v="5163.8500000000004"/>
    <n v="6.4"/>
    <x v="1"/>
    <x v="0"/>
  </r>
  <r>
    <s v="NHM-2024-102282"/>
    <s v="November"/>
    <x v="4"/>
    <n v="11"/>
    <d v="2025-11-26T00:00:00"/>
    <x v="1"/>
    <s v="Jonathan Ramos"/>
    <s v="NovaHealth Chicago Medical Center"/>
    <s v="Male"/>
    <n v="40"/>
    <x v="0"/>
    <n v="1"/>
    <x v="1"/>
    <x v="1"/>
    <n v="5971.1"/>
    <n v="4562.04"/>
    <n v="3"/>
    <x v="0"/>
    <x v="0"/>
  </r>
  <r>
    <s v="NHM-2023-100728"/>
    <s v="June"/>
    <x v="11"/>
    <n v="6"/>
    <d v="2026-06-01T00:00:00"/>
    <x v="2"/>
    <s v="Jeffrey Howard"/>
    <s v="NovaHealth River Valley Hospital"/>
    <s v="Female"/>
    <n v="23"/>
    <x v="0"/>
    <n v="3"/>
    <x v="2"/>
    <x v="2"/>
    <n v="2883.59"/>
    <n v="1672.48"/>
    <m/>
    <x v="1"/>
    <x v="0"/>
  </r>
  <r>
    <s v="NHM-2024-100554"/>
    <s v="May"/>
    <x v="9"/>
    <n v="5"/>
    <d v="2025-05-12T00:00:00"/>
    <x v="1"/>
    <s v="Nicole Long"/>
    <s v="NovaHealth Lakeside Medical Center"/>
    <s v="Female"/>
    <n v="25"/>
    <x v="2"/>
    <n v="3"/>
    <x v="1"/>
    <x v="1"/>
    <n v="9835.27"/>
    <n v="6033.91"/>
    <n v="4.3"/>
    <x v="1"/>
    <x v="0"/>
  </r>
  <r>
    <s v="NHM-2026-100294"/>
    <s v="February"/>
    <x v="2"/>
    <n v="2"/>
    <d v="2024-02-19T00:00:00"/>
    <x v="0"/>
    <s v="Terry Edwards"/>
    <s v="NovaHealth Greenfield Clinic"/>
    <s v="Female"/>
    <n v="35"/>
    <x v="0"/>
    <n v="1"/>
    <x v="7"/>
    <x v="7"/>
    <n v="5608.66"/>
    <n v="3688.74"/>
    <n v="12.4"/>
    <x v="0"/>
    <x v="0"/>
  </r>
  <r>
    <s v="NHM-2023-101509"/>
    <s v="January"/>
    <x v="3"/>
    <n v="1"/>
    <d v="2025-01-18T00:00:00"/>
    <x v="1"/>
    <s v="Vincent Sullivan"/>
    <s v="NovaHealth Oakridge Community Hospital"/>
    <s v="Male"/>
    <n v="76"/>
    <x v="1"/>
    <n v="4"/>
    <x v="5"/>
    <x v="5"/>
    <n v="14333.62"/>
    <n v="9665.1299999999992"/>
    <n v="7.7"/>
    <x v="2"/>
    <x v="1"/>
  </r>
  <r>
    <s v="NHM-2024-101864"/>
    <s v="December"/>
    <x v="6"/>
    <n v="12"/>
    <d v="2024-12-03T00:00:00"/>
    <x v="0"/>
    <s v="Christine Howard"/>
    <s v="NovaHealth Midtown Medical Center"/>
    <s v="Female"/>
    <n v="22"/>
    <x v="0"/>
    <n v="1"/>
    <x v="2"/>
    <x v="2"/>
    <n v="1265.06"/>
    <n v="935.94"/>
    <n v="6.3"/>
    <x v="0"/>
    <x v="0"/>
  </r>
  <r>
    <s v="NHM-2025-101267"/>
    <s v="October"/>
    <x v="5"/>
    <n v="10"/>
    <d v="2025-10-16T00:00:00"/>
    <x v="1"/>
    <s v="Ronald Reyes"/>
    <s v="NovaHealth Greenfield Clinic"/>
    <s v="Female"/>
    <n v="37"/>
    <x v="2"/>
    <n v="2"/>
    <x v="1"/>
    <x v="1"/>
    <n v="12305.62"/>
    <n v="9047.9"/>
    <n v="8.1"/>
    <x v="1"/>
    <x v="0"/>
  </r>
  <r>
    <s v="NHM-2023-102329"/>
    <s v="April"/>
    <x v="0"/>
    <n v="4"/>
    <d v="2025-04-28T00:00:00"/>
    <x v="1"/>
    <s v="Edward Patel"/>
    <s v="NovaHealth Midtown Medical Center"/>
    <s v="Female"/>
    <n v="47"/>
    <x v="1"/>
    <n v="4"/>
    <x v="0"/>
    <x v="0"/>
    <n v="12623.61"/>
    <n v="9617.94"/>
    <n v="3"/>
    <x v="2"/>
    <x v="0"/>
  </r>
  <r>
    <s v="NHM-2026-102148"/>
    <s v="January"/>
    <x v="3"/>
    <n v="1"/>
    <d v="2026-01-23T00:00:00"/>
    <x v="2"/>
    <s v="Randy Diaz"/>
    <s v="NovaHealth Northside Hospital"/>
    <s v="Female"/>
    <n v="79"/>
    <x v="0"/>
    <n v="2"/>
    <x v="7"/>
    <x v="7"/>
    <n v="3188.97"/>
    <n v="2028"/>
    <n v="22.3"/>
    <x v="1"/>
    <x v="1"/>
  </r>
  <r>
    <s v="NHM-2023-101304"/>
    <s v="May"/>
    <x v="9"/>
    <n v="5"/>
    <d v="2025-05-15T00:00:00"/>
    <x v="1"/>
    <s v="Zachary Lee"/>
    <s v="NovaHealth Greenfield Clinic"/>
    <s v="Female"/>
    <n v="19"/>
    <x v="0"/>
    <n v="1"/>
    <x v="2"/>
    <x v="2"/>
    <n v="3565.17"/>
    <n v="2206.75"/>
    <n v="4"/>
    <x v="0"/>
    <x v="0"/>
  </r>
  <r>
    <s v="NHM-2025-102023"/>
    <s v="March"/>
    <x v="1"/>
    <n v="3"/>
    <d v="2024-03-19T00:00:00"/>
    <x v="0"/>
    <s v="Sean Garcia"/>
    <s v="NovaHealth Lakeside Medical Center"/>
    <s v="Male"/>
    <n v="67"/>
    <x v="2"/>
    <n v="3"/>
    <x v="1"/>
    <x v="1"/>
    <n v="6314.26"/>
    <n v="4119.53"/>
    <n v="9.8000000000000007"/>
    <x v="1"/>
    <x v="1"/>
  </r>
  <r>
    <s v="NHM-2026-100891"/>
    <s v="February"/>
    <x v="2"/>
    <n v="2"/>
    <d v="2025-02-20T00:00:00"/>
    <x v="1"/>
    <s v="Ruth White"/>
    <s v="NovaHealth River Valley Hospital"/>
    <s v="Female"/>
    <n v="55"/>
    <x v="2"/>
    <n v="1"/>
    <x v="1"/>
    <x v="1"/>
    <n v="5681.41"/>
    <n v="3901.74"/>
    <n v="11.9"/>
    <x v="0"/>
    <x v="0"/>
  </r>
  <r>
    <s v="NHM-2026-102050"/>
    <s v="July"/>
    <x v="8"/>
    <n v="7"/>
    <d v="2024-07-14T00:00:00"/>
    <x v="0"/>
    <s v="Jennifer Coleman"/>
    <s v="NovaHealth Metro General Hospital"/>
    <s v="Female"/>
    <n v="59"/>
    <x v="0"/>
    <n v="3"/>
    <x v="5"/>
    <x v="5"/>
    <n v="11984.83"/>
    <n v="8422.98"/>
    <n v="4.2"/>
    <x v="1"/>
    <x v="0"/>
  </r>
  <r>
    <s v="NHM-2024-100741"/>
    <s v="April"/>
    <x v="0"/>
    <n v="4"/>
    <d v="2026-04-17T00:00:00"/>
    <x v="2"/>
    <s v="Katherine Davis"/>
    <s v="NovaHealth Metro General Hospital"/>
    <s v="Male"/>
    <n v="51"/>
    <x v="0"/>
    <n v="2"/>
    <x v="1"/>
    <x v="1"/>
    <n v="8591.2099999999991"/>
    <n v="6309.98"/>
    <n v="4.8"/>
    <x v="1"/>
    <x v="0"/>
  </r>
  <r>
    <s v="NHM-2024-100976"/>
    <s v="April"/>
    <x v="0"/>
    <n v="4"/>
    <d v="2025-04-16T00:00:00"/>
    <x v="1"/>
    <s v="Keith Sanchez"/>
    <s v="NovaHealth Greenfield Clinic"/>
    <s v="Male"/>
    <n v="32"/>
    <x v="0"/>
    <n v="1"/>
    <x v="7"/>
    <x v="7"/>
    <n v="6789.51"/>
    <n v="5246.43"/>
    <n v="10.8"/>
    <x v="0"/>
    <x v="0"/>
  </r>
  <r>
    <s v="NHM-2025-100499"/>
    <s v="November"/>
    <x v="4"/>
    <n v="11"/>
    <d v="2023-11-03T00:00:00"/>
    <x v="3"/>
    <s v="Kevin Rivera"/>
    <s v="NovaHealth Lakeside Medical Center"/>
    <s v="Female"/>
    <n v="71"/>
    <x v="2"/>
    <n v="3"/>
    <x v="7"/>
    <x v="7"/>
    <n v="10501.73"/>
    <n v="6257.4"/>
    <n v="20.8"/>
    <x v="1"/>
    <x v="1"/>
  </r>
  <r>
    <s v="NHM-2026-101794"/>
    <s v="March"/>
    <x v="1"/>
    <n v="3"/>
    <d v="2026-03-15T00:00:00"/>
    <x v="2"/>
    <s v="Gabriel Ramos"/>
    <s v="NovaHealth Chicago Medical Center"/>
    <s v="Female"/>
    <n v="78"/>
    <x v="2"/>
    <n v="4"/>
    <x v="5"/>
    <x v="5"/>
    <n v="13876.46"/>
    <n v="8487.0400000000009"/>
    <n v="2.8"/>
    <x v="2"/>
    <x v="1"/>
  </r>
  <r>
    <s v="NHM-2025-102128"/>
    <s v="December"/>
    <x v="6"/>
    <n v="12"/>
    <d v="2024-12-19T00:00:00"/>
    <x v="0"/>
    <s v="Maria Reed"/>
    <s v="NovaHealth River Valley Hospital"/>
    <s v="Male"/>
    <n v="33"/>
    <x v="2"/>
    <n v="4"/>
    <x v="5"/>
    <x v="5"/>
    <n v="16418.77"/>
    <n v="10564.81"/>
    <n v="7.1"/>
    <x v="2"/>
    <x v="0"/>
  </r>
  <r>
    <s v="NHM-2026-101641"/>
    <s v="February"/>
    <x v="2"/>
    <n v="2"/>
    <d v="2025-02-20T00:00:00"/>
    <x v="1"/>
    <s v="Margaret Anderson"/>
    <s v="NovaHealth Chicago Medical Center"/>
    <s v="Female"/>
    <n v="48"/>
    <x v="0"/>
    <n v="1"/>
    <x v="0"/>
    <x v="0"/>
    <n v="10360.56"/>
    <n v="7006.38"/>
    <n v="8.1"/>
    <x v="0"/>
    <x v="0"/>
  </r>
  <r>
    <s v="NHM-2023-100981"/>
    <s v="October"/>
    <x v="5"/>
    <n v="10"/>
    <d v="2024-10-07T00:00:00"/>
    <x v="0"/>
    <s v="Gabriel Russell"/>
    <s v="NovaHealth Lakeshore Regional Center"/>
    <s v="Male"/>
    <n v="55"/>
    <x v="2"/>
    <n v="4"/>
    <x v="5"/>
    <x v="5"/>
    <n v="21504.67"/>
    <n v="15131.67"/>
    <n v="9.8000000000000007"/>
    <x v="2"/>
    <x v="0"/>
  </r>
  <r>
    <s v="NHM-2026-101613"/>
    <s v="January"/>
    <x v="3"/>
    <n v="1"/>
    <d v="2026-01-15T00:00:00"/>
    <x v="2"/>
    <s v="Aaron Morales"/>
    <s v="NovaHealth Lakeside Medical Center"/>
    <s v="Male"/>
    <n v="77"/>
    <x v="0"/>
    <n v="4"/>
    <x v="4"/>
    <x v="4"/>
    <n v="11210.81"/>
    <n v="8279.09"/>
    <n v="11.9"/>
    <x v="2"/>
    <x v="1"/>
  </r>
  <r>
    <s v="NHM-2025-101387"/>
    <s v="June"/>
    <x v="11"/>
    <n v="6"/>
    <d v="2024-06-15T00:00:00"/>
    <x v="0"/>
    <s v="Rebecca Peterson"/>
    <s v="NovaHealth Lakeside Medical Center"/>
    <s v="Female"/>
    <n v="32"/>
    <x v="0"/>
    <n v="1"/>
    <x v="2"/>
    <x v="2"/>
    <n v="1438.62"/>
    <n v="1154.1500000000001"/>
    <n v="7.6"/>
    <x v="0"/>
    <x v="0"/>
  </r>
  <r>
    <s v="NHM-2024-100144"/>
    <s v="August"/>
    <x v="10"/>
    <n v="8"/>
    <d v="2024-08-02T00:00:00"/>
    <x v="0"/>
    <s v="Michael Patterson"/>
    <s v="NovaHealth Lakeside Medical Center"/>
    <s v="Female"/>
    <n v="51"/>
    <x v="1"/>
    <n v="2"/>
    <x v="2"/>
    <x v="2"/>
    <n v="2115.13"/>
    <n v="1303.58"/>
    <n v="9.6"/>
    <x v="1"/>
    <x v="0"/>
  </r>
  <r>
    <s v="NHM-2023-100204"/>
    <s v="May"/>
    <x v="9"/>
    <n v="5"/>
    <d v="2025-05-19T00:00:00"/>
    <x v="1"/>
    <s v="Ethan Foster"/>
    <s v="NovaHealth Chicago Medical Center"/>
    <s v="Female"/>
    <n v="95"/>
    <x v="0"/>
    <n v="2"/>
    <x v="3"/>
    <x v="3"/>
    <n v="4344.97"/>
    <n v="2728.03"/>
    <n v="9.6999999999999993"/>
    <x v="1"/>
    <x v="1"/>
  </r>
  <r>
    <s v="NHM-2025-101188"/>
    <s v="April"/>
    <x v="0"/>
    <n v="4"/>
    <d v="2025-04-11T00:00:00"/>
    <x v="1"/>
    <s v="Daniel Russell"/>
    <s v="NovaHealth Lakeside Medical Center"/>
    <s v="Male"/>
    <n v="48"/>
    <x v="2"/>
    <n v="4"/>
    <x v="5"/>
    <x v="5"/>
    <n v="15066.87"/>
    <n v="9666"/>
    <n v="2.9"/>
    <x v="2"/>
    <x v="0"/>
  </r>
  <r>
    <s v="NHM-2023-101781"/>
    <s v="February"/>
    <x v="2"/>
    <n v="2"/>
    <d v="2026-02-13T00:00:00"/>
    <x v="2"/>
    <s v="Anna Crawford"/>
    <s v="NovaHealth Lakeside Medical Center"/>
    <s v="Male"/>
    <n v="41"/>
    <x v="0"/>
    <n v="2"/>
    <x v="7"/>
    <x v="7"/>
    <n v="5179.3"/>
    <n v="3599.73"/>
    <n v="16.2"/>
    <x v="1"/>
    <x v="0"/>
  </r>
  <r>
    <s v="NHM-2023-102133"/>
    <s v="May"/>
    <x v="9"/>
    <n v="5"/>
    <d v="2024-05-09T00:00:00"/>
    <x v="0"/>
    <s v="Carol Gonzalez"/>
    <s v="NovaHealth Northside Hospital"/>
    <s v="Male"/>
    <n v="47"/>
    <x v="0"/>
    <n v="1"/>
    <x v="0"/>
    <x v="0"/>
    <n v="5604.9"/>
    <n v="4005.03"/>
    <n v="10.199999999999999"/>
    <x v="0"/>
    <x v="0"/>
  </r>
  <r>
    <s v="NHM-2026-101100"/>
    <s v="April"/>
    <x v="0"/>
    <n v="4"/>
    <d v="2026-04-14T00:00:00"/>
    <x v="2"/>
    <s v="Joseph Parker"/>
    <s v="NovaHealth Midtown Medical Center"/>
    <s v="Male"/>
    <n v="43"/>
    <x v="0"/>
    <n v="1"/>
    <x v="1"/>
    <x v="1"/>
    <n v="6135.18"/>
    <n v="4573.88"/>
    <n v="11.9"/>
    <x v="0"/>
    <x v="0"/>
  </r>
  <r>
    <s v="NHM-2025-101166"/>
    <s v="May"/>
    <x v="9"/>
    <n v="5"/>
    <d v="2025-05-12T00:00:00"/>
    <x v="1"/>
    <s v="Doris Russell"/>
    <s v="NovaHealth River Valley Hospital"/>
    <s v="Male"/>
    <n v="59"/>
    <x v="2"/>
    <n v="1"/>
    <x v="1"/>
    <x v="1"/>
    <n v="7281.44"/>
    <n v="5611.49"/>
    <n v="9.6999999999999993"/>
    <x v="0"/>
    <x v="0"/>
  </r>
  <r>
    <s v="NHM-2026-101143"/>
    <s v="June"/>
    <x v="11"/>
    <n v="6"/>
    <d v="2026-06-18T00:00:00"/>
    <x v="2"/>
    <s v="Willie Patterson"/>
    <s v="NovaHealth Chicago Medical Center"/>
    <s v="Male"/>
    <n v="81"/>
    <x v="1"/>
    <n v="3"/>
    <x v="3"/>
    <x v="3"/>
    <n v="5083.18"/>
    <n v="3040.24"/>
    <n v="11.5"/>
    <x v="1"/>
    <x v="1"/>
  </r>
  <r>
    <s v="NHM-2025-101651"/>
    <s v="June"/>
    <x v="11"/>
    <n v="6"/>
    <d v="2026-06-05T00:00:00"/>
    <x v="2"/>
    <s v="John Butler"/>
    <s v="NovaHealth Lakeside Medical Center"/>
    <s v="Female"/>
    <n v="50"/>
    <x v="1"/>
    <n v="2"/>
    <x v="3"/>
    <x v="3"/>
    <n v="8409.31"/>
    <n v="5158.4799999999996"/>
    <n v="3.6"/>
    <x v="1"/>
    <x v="0"/>
  </r>
  <r>
    <s v="NHM-2023-101601"/>
    <s v="February"/>
    <x v="2"/>
    <n v="2"/>
    <d v="2026-02-10T00:00:00"/>
    <x v="2"/>
    <s v="Paul Ford"/>
    <s v="NovaHealth Midtown Medical Center"/>
    <s v="Male"/>
    <n v="48"/>
    <x v="0"/>
    <n v="2"/>
    <x v="7"/>
    <x v="7"/>
    <n v="6259.51"/>
    <n v="4170.09"/>
    <n v="20.5"/>
    <x v="1"/>
    <x v="0"/>
  </r>
  <r>
    <s v="NHM-2025-101595"/>
    <s v="February"/>
    <x v="2"/>
    <n v="2"/>
    <d v="2024-02-09T00:00:00"/>
    <x v="0"/>
    <s v="Thomas Richardson"/>
    <s v="NovaHealth River Valley Hospital"/>
    <s v="Male"/>
    <n v="11"/>
    <x v="0"/>
    <n v="2"/>
    <x v="6"/>
    <x v="6"/>
    <n v="2037.37"/>
    <n v="1400.24"/>
    <n v="4.4000000000000004"/>
    <x v="1"/>
    <x v="2"/>
  </r>
  <r>
    <s v="NHM-2024-101941"/>
    <s v="June"/>
    <x v="11"/>
    <n v="6"/>
    <d v="2025-06-19T00:00:00"/>
    <x v="1"/>
    <s v="Rachel Webb"/>
    <s v="NovaHealth Greenfield Clinic"/>
    <s v="Male"/>
    <n v="37"/>
    <x v="1"/>
    <n v="1"/>
    <x v="1"/>
    <x v="1"/>
    <n v="7012.79"/>
    <n v="4959.3500000000004"/>
    <n v="6.3"/>
    <x v="0"/>
    <x v="0"/>
  </r>
  <r>
    <s v="NHM-2025-100963"/>
    <s v="January"/>
    <x v="3"/>
    <n v="1"/>
    <d v="2025-01-22T00:00:00"/>
    <x v="1"/>
    <s v="Ashley Fisher"/>
    <s v="NovaHealth Metro General Hospital"/>
    <s v="Female"/>
    <n v="66"/>
    <x v="0"/>
    <n v="3"/>
    <x v="5"/>
    <x v="5"/>
    <n v="16286.76"/>
    <n v="11948.53"/>
    <n v="7.4"/>
    <x v="1"/>
    <x v="1"/>
  </r>
  <r>
    <s v="NHM-2025-102326"/>
    <s v="October"/>
    <x v="5"/>
    <n v="10"/>
    <d v="2023-10-20T00:00:00"/>
    <x v="3"/>
    <s v="Bruce Richardson"/>
    <s v="NovaHealth Lakeside Medical Center"/>
    <s v="Male"/>
    <n v="30"/>
    <x v="0"/>
    <n v="4"/>
    <x v="5"/>
    <x v="5"/>
    <n v="12215.63"/>
    <n v="9369.48"/>
    <n v="10.7"/>
    <x v="2"/>
    <x v="0"/>
  </r>
  <r>
    <s v="NHM-2025-101634"/>
    <s v="October"/>
    <x v="5"/>
    <n v="10"/>
    <d v="2023-10-10T00:00:00"/>
    <x v="3"/>
    <s v="Steven Morales"/>
    <s v="NovaHealth Midtown Medical Center"/>
    <s v="Male"/>
    <n v="69"/>
    <x v="0"/>
    <n v="2"/>
    <x v="2"/>
    <x v="2"/>
    <n v="5356.49"/>
    <n v="3178.76"/>
    <n v="9"/>
    <x v="1"/>
    <x v="1"/>
  </r>
  <r>
    <s v="NHM-2023-100174"/>
    <s v="August"/>
    <x v="10"/>
    <n v="8"/>
    <d v="2024-08-21T00:00:00"/>
    <x v="0"/>
    <s v="Danielle Nguyen"/>
    <s v="NovaHealth Lakeshore Regional Center"/>
    <s v="Female"/>
    <n v="80"/>
    <x v="2"/>
    <n v="5"/>
    <x v="7"/>
    <x v="7"/>
    <n v="11032.73"/>
    <n v="6860.37"/>
    <n v="16.3"/>
    <x v="2"/>
    <x v="1"/>
  </r>
  <r>
    <s v="NHM-2023-100442"/>
    <s v="February"/>
    <x v="2"/>
    <n v="2"/>
    <d v="2026-02-19T00:00:00"/>
    <x v="2"/>
    <s v="Adam Ford"/>
    <s v="NovaHealth Oakridge Community Hospital"/>
    <s v="Female"/>
    <n v="90"/>
    <x v="2"/>
    <n v="4"/>
    <x v="4"/>
    <x v="4"/>
    <n v="17867.57"/>
    <n v="11552.04"/>
    <n v="14.6"/>
    <x v="2"/>
    <x v="1"/>
  </r>
  <r>
    <s v="NHM-2026-102424"/>
    <s v="March"/>
    <x v="1"/>
    <n v="3"/>
    <d v="2025-03-20T00:00:00"/>
    <x v="1"/>
    <s v="Diane Myers"/>
    <s v="NovaHealth Metro General Hospital"/>
    <s v="Female"/>
    <n v="39"/>
    <x v="0"/>
    <n v="2"/>
    <x v="2"/>
    <x v="2"/>
    <n v="1843.71"/>
    <n v="1292.0899999999999"/>
    <n v="7.1"/>
    <x v="1"/>
    <x v="0"/>
  </r>
  <r>
    <s v="NHM-2026-101365"/>
    <s v="September"/>
    <x v="7"/>
    <n v="9"/>
    <d v="2024-09-03T00:00:00"/>
    <x v="0"/>
    <s v="Olivia White"/>
    <s v="NovaHealth Metro General Hospital"/>
    <s v="Female"/>
    <n v="14"/>
    <x v="0"/>
    <n v="1"/>
    <x v="6"/>
    <x v="6"/>
    <n v="2140.59"/>
    <n v="1500.81"/>
    <n v="0.3"/>
    <x v="0"/>
    <x v="2"/>
  </r>
  <r>
    <s v="NHM-2023-102139"/>
    <s v="February"/>
    <x v="2"/>
    <n v="2"/>
    <d v="2026-02-06T00:00:00"/>
    <x v="2"/>
    <s v="Tyler Jordan"/>
    <s v="NovaHealth Chicago Medical Center"/>
    <s v="Female"/>
    <n v="22"/>
    <x v="0"/>
    <n v="1"/>
    <x v="2"/>
    <x v="2"/>
    <n v="3939.59"/>
    <n v="2933.5"/>
    <n v="7.2"/>
    <x v="0"/>
    <x v="0"/>
  </r>
  <r>
    <s v="NHM-2025-100374"/>
    <s v="June"/>
    <x v="11"/>
    <n v="6"/>
    <d v="2026-06-01T00:00:00"/>
    <x v="2"/>
    <s v="Gabriel Torres"/>
    <s v="NovaHealth Chicago Medical Center"/>
    <s v="Female"/>
    <n v="61"/>
    <x v="2"/>
    <n v="1"/>
    <x v="3"/>
    <x v="3"/>
    <n v="8502.0400000000009"/>
    <n v="6526.35"/>
    <n v="8.1"/>
    <x v="0"/>
    <x v="0"/>
  </r>
  <r>
    <s v="NHM-2026-100703"/>
    <s v="December"/>
    <x v="6"/>
    <n v="12"/>
    <d v="2025-12-12T00:00:00"/>
    <x v="1"/>
    <s v="Carolyn Long"/>
    <s v="NovaHealth Greenfield Clinic"/>
    <s v="Female"/>
    <n v="31"/>
    <x v="2"/>
    <n v="3"/>
    <x v="5"/>
    <x v="5"/>
    <n v="13325.36"/>
    <n v="7819.11"/>
    <n v="11.3"/>
    <x v="1"/>
    <x v="0"/>
  </r>
  <r>
    <s v="NHM-2024-102281"/>
    <s v="July"/>
    <x v="8"/>
    <n v="7"/>
    <d v="2025-07-11T00:00:00"/>
    <x v="1"/>
    <s v="Andrew Nguyen"/>
    <s v="NovaHealth Metro General Hospital"/>
    <s v="Male"/>
    <n v="86"/>
    <x v="2"/>
    <n v="5"/>
    <x v="4"/>
    <x v="4"/>
    <n v="21684.6"/>
    <n v="13332.41"/>
    <n v="13.1"/>
    <x v="2"/>
    <x v="1"/>
  </r>
  <r>
    <s v="NHM-2026-102392"/>
    <s v="June"/>
    <x v="11"/>
    <n v="6"/>
    <d v="2025-06-16T00:00:00"/>
    <x v="1"/>
    <s v="Heather Flores"/>
    <s v="NovaHealth Chicago Medical Center"/>
    <s v="Male"/>
    <n v="80"/>
    <x v="0"/>
    <n v="3"/>
    <x v="0"/>
    <x v="0"/>
    <n v="11621.72"/>
    <n v="7519.5"/>
    <n v="10.199999999999999"/>
    <x v="1"/>
    <x v="1"/>
  </r>
  <r>
    <s v="NHM-2024-101893"/>
    <s v="July"/>
    <x v="8"/>
    <n v="7"/>
    <d v="2025-07-04T00:00:00"/>
    <x v="1"/>
    <s v="Nicholas Simmons"/>
    <s v="NovaHealth Greenfield Clinic"/>
    <s v="Male"/>
    <n v="63"/>
    <x v="2"/>
    <n v="5"/>
    <x v="5"/>
    <x v="5"/>
    <n v="15002.32"/>
    <n v="10126.75"/>
    <n v="9.4"/>
    <x v="2"/>
    <x v="0"/>
  </r>
  <r>
    <s v="NHM-2024-101849"/>
    <s v="December"/>
    <x v="6"/>
    <n v="12"/>
    <d v="2025-12-19T00:00:00"/>
    <x v="1"/>
    <s v="Jean Griffin"/>
    <s v="NovaHealth Chicago Medical Center"/>
    <s v="Male"/>
    <n v="25"/>
    <x v="1"/>
    <n v="4"/>
    <x v="5"/>
    <x v="5"/>
    <n v="14362.13"/>
    <n v="10083.09"/>
    <n v="3.7"/>
    <x v="2"/>
    <x v="0"/>
  </r>
  <r>
    <s v="NHM-2024-102400"/>
    <s v="June"/>
    <x v="11"/>
    <n v="6"/>
    <d v="2026-06-08T00:00:00"/>
    <x v="2"/>
    <s v="Douglas Gutierrez"/>
    <s v="NovaHealth Northside Hospital"/>
    <s v="Female"/>
    <n v="18"/>
    <x v="0"/>
    <n v="2"/>
    <x v="1"/>
    <x v="1"/>
    <n v="10654.67"/>
    <n v="7829.11"/>
    <n v="6.4"/>
    <x v="1"/>
    <x v="2"/>
  </r>
  <r>
    <s v="NHM-2023-101198"/>
    <s v="April"/>
    <x v="0"/>
    <n v="4"/>
    <d v="2025-04-10T00:00:00"/>
    <x v="1"/>
    <s v="Mark Jimenez"/>
    <s v="NovaHealth Chicago Medical Center"/>
    <s v="Female"/>
    <n v="51"/>
    <x v="0"/>
    <n v="1"/>
    <x v="2"/>
    <x v="2"/>
    <n v="3289.84"/>
    <n v="2557.08"/>
    <n v="7.1"/>
    <x v="0"/>
    <x v="0"/>
  </r>
  <r>
    <s v="NHM-2023-101139"/>
    <s v="November"/>
    <x v="4"/>
    <n v="11"/>
    <d v="2025-11-26T00:00:00"/>
    <x v="1"/>
    <s v="Joan Adams"/>
    <s v="NovaHealth Chicago Medical Center"/>
    <s v="Female"/>
    <n v="43"/>
    <x v="2"/>
    <n v="5"/>
    <x v="5"/>
    <x v="5"/>
    <n v="18394.740000000002"/>
    <n v="10688.95"/>
    <n v="2.5"/>
    <x v="2"/>
    <x v="0"/>
  </r>
  <r>
    <s v="NHM-2023-100020"/>
    <s v="June"/>
    <x v="11"/>
    <n v="6"/>
    <d v="2025-06-03T00:00:00"/>
    <x v="1"/>
    <s v="Elijah Gomez"/>
    <s v="NovaHealth Lakeside Medical Center"/>
    <s v="Male"/>
    <n v="60"/>
    <x v="1"/>
    <n v="3"/>
    <x v="4"/>
    <x v="4"/>
    <n v="15020.07"/>
    <n v="9285.44"/>
    <n v="15.4"/>
    <x v="1"/>
    <x v="0"/>
  </r>
  <r>
    <s v="NHM-2023-100956"/>
    <s v="December"/>
    <x v="6"/>
    <n v="12"/>
    <d v="2025-12-03T00:00:00"/>
    <x v="1"/>
    <s v="Fiona Ellis"/>
    <s v="NovaHealth Metro General Hospital"/>
    <s v="Female"/>
    <n v="66"/>
    <x v="0"/>
    <n v="2"/>
    <x v="7"/>
    <x v="7"/>
    <n v="7918.08"/>
    <n v="5181.97"/>
    <n v="14.3"/>
    <x v="1"/>
    <x v="1"/>
  </r>
  <r>
    <s v="NHM-2023-100999"/>
    <s v="July"/>
    <x v="8"/>
    <n v="7"/>
    <d v="2026-07-17T00:00:00"/>
    <x v="2"/>
    <s v="Kenneth Roberts"/>
    <s v="NovaHealth Northside Hospital"/>
    <s v="Female"/>
    <n v="35"/>
    <x v="0"/>
    <n v="1"/>
    <x v="1"/>
    <x v="1"/>
    <n v="10175.030000000001"/>
    <n v="6908.47"/>
    <n v="11.4"/>
    <x v="0"/>
    <x v="0"/>
  </r>
  <r>
    <s v="NHM-2025-101962"/>
    <s v="August"/>
    <x v="10"/>
    <n v="8"/>
    <d v="2023-08-31T00:00:00"/>
    <x v="3"/>
    <s v="Cynthia Ruiz"/>
    <s v="NovaHealth Lakeside Medical Center"/>
    <s v="Female"/>
    <n v="81"/>
    <x v="0"/>
    <n v="3"/>
    <x v="4"/>
    <x v="4"/>
    <n v="19236.259999999998"/>
    <n v="13604.58"/>
    <n v="17.399999999999999"/>
    <x v="1"/>
    <x v="1"/>
  </r>
  <r>
    <s v="NHM-2026-101087"/>
    <s v="April"/>
    <x v="0"/>
    <n v="4"/>
    <d v="2026-04-01T00:00:00"/>
    <x v="2"/>
    <s v="Michael Gomez"/>
    <s v="NovaHealth Midtown Medical Center"/>
    <s v="Male"/>
    <n v="26"/>
    <x v="0"/>
    <n v="4"/>
    <x v="2"/>
    <x v="2"/>
    <n v="3288.64"/>
    <n v="2475.91"/>
    <n v="9.4"/>
    <x v="2"/>
    <x v="0"/>
  </r>
  <r>
    <s v="NHM-2026-101068"/>
    <s v="December"/>
    <x v="6"/>
    <n v="12"/>
    <d v="2025-12-22T00:00:00"/>
    <x v="1"/>
    <s v="Eugene Porter"/>
    <s v="NovaHealth Chicago Medical Center"/>
    <s v="Male"/>
    <n v="21"/>
    <x v="2"/>
    <n v="5"/>
    <x v="1"/>
    <x v="1"/>
    <n v="19324.990000000002"/>
    <n v="14776.59"/>
    <n v="11.2"/>
    <x v="2"/>
    <x v="0"/>
  </r>
  <r>
    <s v="NHM-2025-102000"/>
    <s v="December"/>
    <x v="6"/>
    <n v="12"/>
    <d v="2023-12-18T00:00:00"/>
    <x v="3"/>
    <s v="Amy Alexander"/>
    <s v="NovaHealth Chicago Medical Center"/>
    <s v="Male"/>
    <n v="72"/>
    <x v="1"/>
    <n v="4"/>
    <x v="4"/>
    <x v="4"/>
    <n v="20655.28"/>
    <n v="12089.66"/>
    <n v="13.7"/>
    <x v="2"/>
    <x v="1"/>
  </r>
  <r>
    <s v="NHM-2026-101966"/>
    <s v="September"/>
    <x v="7"/>
    <n v="9"/>
    <d v="2024-09-16T00:00:00"/>
    <x v="0"/>
    <s v="Samantha Morales"/>
    <s v="NovaHealth Chicago Medical Center"/>
    <s v="Male"/>
    <n v="40"/>
    <x v="2"/>
    <n v="2"/>
    <x v="0"/>
    <x v="0"/>
    <n v="8430.2099999999991"/>
    <n v="5220.83"/>
    <n v="9.8000000000000007"/>
    <x v="1"/>
    <x v="0"/>
  </r>
  <r>
    <s v="NHM-2025-101194"/>
    <s v="December"/>
    <x v="6"/>
    <n v="12"/>
    <d v="2023-12-12T00:00:00"/>
    <x v="3"/>
    <s v="Jacqueline Williams"/>
    <s v="NovaHealth Lakeside Medical Center"/>
    <s v="Female"/>
    <n v="53"/>
    <x v="0"/>
    <n v="3"/>
    <x v="1"/>
    <x v="1"/>
    <n v="7999.33"/>
    <n v="5154.7700000000004"/>
    <n v="4.4000000000000004"/>
    <x v="1"/>
    <x v="0"/>
  </r>
  <r>
    <s v="NHM-2026-100683"/>
    <s v="October"/>
    <x v="5"/>
    <n v="10"/>
    <d v="2024-10-18T00:00:00"/>
    <x v="0"/>
    <s v="Ryan Diaz"/>
    <s v="NovaHealth Greenfield Clinic"/>
    <s v="Male"/>
    <n v="2"/>
    <x v="0"/>
    <n v="1"/>
    <x v="6"/>
    <x v="6"/>
    <n v="2084.31"/>
    <n v="1414.89"/>
    <n v="2.2999999999999998"/>
    <x v="0"/>
    <x v="2"/>
  </r>
  <r>
    <s v="NHM-2026-100773"/>
    <s v="February"/>
    <x v="2"/>
    <n v="2"/>
    <d v="2025-02-25T00:00:00"/>
    <x v="1"/>
    <s v="Larry West"/>
    <s v="NovaHealth Chicago Medical Center"/>
    <s v="Female"/>
    <n v="62"/>
    <x v="2"/>
    <n v="5"/>
    <x v="5"/>
    <x v="5"/>
    <n v="19103.39"/>
    <n v="13427.57"/>
    <n v="6.9"/>
    <x v="2"/>
    <x v="0"/>
  </r>
  <r>
    <s v="NHM-2023-101805"/>
    <s v="May"/>
    <x v="9"/>
    <n v="5"/>
    <d v="2024-05-23T00:00:00"/>
    <x v="0"/>
    <s v="Jasmine Hicks"/>
    <s v="NovaHealth Midtown Medical Center"/>
    <s v="Female"/>
    <n v="64"/>
    <x v="2"/>
    <n v="2"/>
    <x v="7"/>
    <x v="7"/>
    <n v="4639.33"/>
    <n v="3540.31"/>
    <n v="19.2"/>
    <x v="1"/>
    <x v="0"/>
  </r>
  <r>
    <s v="NHM-2026-101627"/>
    <s v="April"/>
    <x v="0"/>
    <n v="4"/>
    <d v="2025-04-09T00:00:00"/>
    <x v="1"/>
    <s v="Samantha Sanchez"/>
    <s v="NovaHealth Lakeshore Regional Center"/>
    <s v="Female"/>
    <n v="87"/>
    <x v="2"/>
    <n v="4"/>
    <x v="4"/>
    <x v="4"/>
    <n v="10681.38"/>
    <n v="8182.65"/>
    <n v="8.1"/>
    <x v="2"/>
    <x v="1"/>
  </r>
  <r>
    <s v="NHM-2025-101636"/>
    <s v="February"/>
    <x v="2"/>
    <n v="2"/>
    <d v="2026-02-11T00:00:00"/>
    <x v="2"/>
    <s v="Gloria Patterson"/>
    <s v="NovaHealth Lakeside Medical Center"/>
    <s v="Male"/>
    <n v="47"/>
    <x v="2"/>
    <n v="5"/>
    <x v="5"/>
    <x v="5"/>
    <n v="21429.86"/>
    <n v="12429.32"/>
    <m/>
    <x v="2"/>
    <x v="0"/>
  </r>
  <r>
    <s v="NHM-2024-101684"/>
    <s v="May"/>
    <x v="9"/>
    <n v="5"/>
    <d v="2026-05-17T00:00:00"/>
    <x v="2"/>
    <s v="Nicholas Kim"/>
    <s v="NovaHealth Greenfield Clinic"/>
    <s v="Male"/>
    <n v="9"/>
    <x v="0"/>
    <n v="1"/>
    <x v="6"/>
    <x v="6"/>
    <n v="1877.9"/>
    <n v="1169.52"/>
    <n v="3"/>
    <x v="0"/>
    <x v="2"/>
  </r>
  <r>
    <s v="NHM-2026-100751"/>
    <s v="December"/>
    <x v="6"/>
    <n v="12"/>
    <d v="2024-12-31T00:00:00"/>
    <x v="0"/>
    <s v="Brenda Barnes"/>
    <s v="NovaHealth Lakeside Medical Center"/>
    <s v="Male"/>
    <n v="81"/>
    <x v="0"/>
    <n v="3"/>
    <x v="3"/>
    <x v="3"/>
    <n v="10687.19"/>
    <n v="6896.6"/>
    <n v="7.1"/>
    <x v="1"/>
    <x v="1"/>
  </r>
  <r>
    <s v="NHM-2026-102069"/>
    <s v="July"/>
    <x v="8"/>
    <n v="7"/>
    <d v="2024-07-18T00:00:00"/>
    <x v="0"/>
    <s v="Wayne Jenkins"/>
    <s v="NovaHealth Lakeside Medical Center"/>
    <s v="Male"/>
    <n v="40"/>
    <x v="0"/>
    <n v="2"/>
    <x v="7"/>
    <x v="7"/>
    <n v="6271.56"/>
    <n v="4284.3500000000004"/>
    <n v="10.3"/>
    <x v="1"/>
    <x v="0"/>
  </r>
  <r>
    <s v="NHM-2023-100478"/>
    <s v="May"/>
    <x v="9"/>
    <n v="5"/>
    <d v="2025-05-26T00:00:00"/>
    <x v="1"/>
    <s v="Amanda Johnson"/>
    <s v="NovaHealth Metro General Hospital"/>
    <s v="Female"/>
    <n v="32"/>
    <x v="0"/>
    <n v="1"/>
    <x v="7"/>
    <x v="7"/>
    <n v="8361.39"/>
    <n v="6043.37"/>
    <n v="23.8"/>
    <x v="0"/>
    <x v="0"/>
  </r>
  <r>
    <s v="NHM-2025-100727"/>
    <s v="September"/>
    <x v="7"/>
    <n v="9"/>
    <d v="2023-09-26T00:00:00"/>
    <x v="3"/>
    <s v="Patrick Allen"/>
    <s v="NovaHealth Lakeshore Regional Center"/>
    <s v="Female"/>
    <n v="84"/>
    <x v="2"/>
    <n v="4"/>
    <x v="3"/>
    <x v="3"/>
    <n v="13446.41"/>
    <n v="9871.8799999999992"/>
    <n v="7"/>
    <x v="2"/>
    <x v="1"/>
  </r>
  <r>
    <s v="NHM-2025-102272"/>
    <s v="December"/>
    <x v="6"/>
    <n v="12"/>
    <d v="2025-12-11T00:00:00"/>
    <x v="1"/>
    <s v="Alan Ward"/>
    <s v="NovaHealth Lakeside Medical Center"/>
    <s v="Female"/>
    <n v="27"/>
    <x v="2"/>
    <n v="4"/>
    <x v="1"/>
    <x v="1"/>
    <n v="10822.58"/>
    <n v="8308.36"/>
    <n v="10.4"/>
    <x v="2"/>
    <x v="0"/>
  </r>
  <r>
    <s v="NHM-2023-100140"/>
    <s v="March"/>
    <x v="1"/>
    <n v="3"/>
    <d v="2024-03-06T00:00:00"/>
    <x v="0"/>
    <s v="Linda Hunter"/>
    <s v="NovaHealth River Valley Hospital"/>
    <s v="Female"/>
    <n v="12"/>
    <x v="2"/>
    <n v="3"/>
    <x v="6"/>
    <x v="6"/>
    <n v="1697.78"/>
    <n v="985.51"/>
    <n v="0.1"/>
    <x v="1"/>
    <x v="2"/>
  </r>
  <r>
    <s v="NHM-2024-100118"/>
    <s v="April"/>
    <x v="0"/>
    <n v="4"/>
    <d v="2024-04-17T00:00:00"/>
    <x v="0"/>
    <s v="Eugene Woods"/>
    <s v="NovaHealth Lakeshore Regional Center"/>
    <s v="Female"/>
    <n v="33"/>
    <x v="2"/>
    <n v="5"/>
    <x v="0"/>
    <x v="0"/>
    <n v="10452.25"/>
    <n v="6417.47"/>
    <n v="5.2"/>
    <x v="2"/>
    <x v="0"/>
  </r>
  <r>
    <s v="NHM-2026-100706"/>
    <s v="March"/>
    <x v="1"/>
    <n v="3"/>
    <d v="2026-03-31T00:00:00"/>
    <x v="2"/>
    <s v="Nicole Brooks"/>
    <s v="NovaHealth Northside Hospital"/>
    <s v="Female"/>
    <n v="22"/>
    <x v="1"/>
    <n v="2"/>
    <x v="2"/>
    <x v="2"/>
    <n v="3435.83"/>
    <n v="2270.9299999999998"/>
    <n v="9"/>
    <x v="1"/>
    <x v="0"/>
  </r>
  <r>
    <s v="NHM-2023-102481"/>
    <s v="April"/>
    <x v="0"/>
    <n v="4"/>
    <d v="2024-04-25T00:00:00"/>
    <x v="0"/>
    <s v="Mark Moore"/>
    <s v="NovaHealth Greenfield Clinic"/>
    <s v="Female"/>
    <n v="65"/>
    <x v="1"/>
    <n v="3"/>
    <x v="4"/>
    <x v="4"/>
    <n v="17912.53"/>
    <n v="12122.2"/>
    <n v="15.1"/>
    <x v="1"/>
    <x v="1"/>
  </r>
  <r>
    <s v="NHM-2026-101735"/>
    <s v="July"/>
    <x v="8"/>
    <n v="7"/>
    <d v="2024-07-09T00:00:00"/>
    <x v="0"/>
    <s v="Alexander Smith"/>
    <s v="NovaHealth Lakeside Medical Center"/>
    <s v="Female"/>
    <n v="53"/>
    <x v="1"/>
    <n v="3"/>
    <x v="2"/>
    <x v="2"/>
    <n v="6084.01"/>
    <n v="4317.21"/>
    <n v="7.3"/>
    <x v="1"/>
    <x v="0"/>
  </r>
  <r>
    <s v="NHM-2026-100267"/>
    <s v="April"/>
    <x v="0"/>
    <n v="4"/>
    <d v="2025-04-17T00:00:00"/>
    <x v="1"/>
    <s v="Judy Rodriguez"/>
    <s v="NovaHealth Chicago Medical Center"/>
    <s v="Male"/>
    <n v="95"/>
    <x v="1"/>
    <n v="3"/>
    <x v="4"/>
    <x v="4"/>
    <n v="9829.31"/>
    <n v="7253.8"/>
    <n v="9.8000000000000007"/>
    <x v="1"/>
    <x v="1"/>
  </r>
  <r>
    <s v="NHM-2023-101432"/>
    <s v="July"/>
    <x v="8"/>
    <n v="7"/>
    <d v="2026-07-06T00:00:00"/>
    <x v="2"/>
    <s v="Martha Phillips"/>
    <s v="NovaHealth Northside Hospital"/>
    <s v="Male"/>
    <n v="83"/>
    <x v="1"/>
    <n v="1"/>
    <x v="0"/>
    <x v="0"/>
    <n v="8817.11"/>
    <n v="6763.4"/>
    <n v="7.8"/>
    <x v="0"/>
    <x v="1"/>
  </r>
  <r>
    <s v="NHM-2023-100289"/>
    <s v="March"/>
    <x v="1"/>
    <n v="3"/>
    <d v="2025-03-10T00:00:00"/>
    <x v="1"/>
    <s v="Katherine Bennett"/>
    <s v="NovaHealth Metro General Hospital"/>
    <s v="Male"/>
    <n v="53"/>
    <x v="0"/>
    <n v="1"/>
    <x v="7"/>
    <x v="7"/>
    <n v="5162.55"/>
    <n v="3160.68"/>
    <n v="20.8"/>
    <x v="0"/>
    <x v="0"/>
  </r>
  <r>
    <s v="NHM-2026-101987"/>
    <s v="December"/>
    <x v="6"/>
    <n v="12"/>
    <d v="2025-12-26T00:00:00"/>
    <x v="1"/>
    <s v="Jerry Clark"/>
    <s v="NovaHealth Midtown Medical Center"/>
    <s v="Female"/>
    <n v="86"/>
    <x v="0"/>
    <n v="3"/>
    <x v="3"/>
    <x v="3"/>
    <n v="7063.31"/>
    <n v="4393.42"/>
    <n v="10.6"/>
    <x v="1"/>
    <x v="1"/>
  </r>
  <r>
    <s v="NHM-2024-100272"/>
    <s v="May"/>
    <x v="9"/>
    <n v="5"/>
    <d v="2026-05-13T00:00:00"/>
    <x v="2"/>
    <s v="Austin Harris"/>
    <s v="NovaHealth River Valley Hospital"/>
    <s v="Female"/>
    <n v="74"/>
    <x v="0"/>
    <n v="1"/>
    <x v="7"/>
    <x v="7"/>
    <n v="3203.61"/>
    <n v="2197.5100000000002"/>
    <n v="18.399999999999999"/>
    <x v="0"/>
    <x v="1"/>
  </r>
  <r>
    <s v="NHM-2024-100083"/>
    <s v="April"/>
    <x v="0"/>
    <n v="4"/>
    <d v="2026-04-22T00:00:00"/>
    <x v="2"/>
    <s v="Jose Perry"/>
    <s v="NovaHealth Chicago Medical Center"/>
    <s v="Male"/>
    <n v="85"/>
    <x v="1"/>
    <n v="4"/>
    <x v="7"/>
    <x v="7"/>
    <n v="5233.8999999999996"/>
    <n v="3604.31"/>
    <n v="12.2"/>
    <x v="2"/>
    <x v="1"/>
  </r>
  <r>
    <s v="NHM-2025-101659"/>
    <s v="January"/>
    <x v="3"/>
    <n v="1"/>
    <d v="2025-01-09T00:00:00"/>
    <x v="1"/>
    <s v="Christina Rodriguez"/>
    <s v="NovaHealth Northside Hospital"/>
    <s v="Female"/>
    <n v="58"/>
    <x v="0"/>
    <n v="1"/>
    <x v="2"/>
    <x v="2"/>
    <n v="2601.63"/>
    <n v="1869.94"/>
    <n v="6.1"/>
    <x v="0"/>
    <x v="0"/>
  </r>
  <r>
    <s v="NHM-2023-102354"/>
    <s v="October"/>
    <x v="5"/>
    <n v="10"/>
    <d v="2025-10-22T00:00:00"/>
    <x v="1"/>
    <s v="Justin White"/>
    <s v="NovaHealth Northside Hospital"/>
    <s v="Male"/>
    <n v="74"/>
    <x v="1"/>
    <n v="5"/>
    <x v="4"/>
    <x v="4"/>
    <n v="18585.599999999999"/>
    <n v="13633.09"/>
    <n v="8.1999999999999993"/>
    <x v="2"/>
    <x v="1"/>
  </r>
  <r>
    <s v="NHM-2024-100589"/>
    <s v="June"/>
    <x v="11"/>
    <n v="6"/>
    <d v="2024-06-03T00:00:00"/>
    <x v="0"/>
    <s v="Harold Sullivan"/>
    <s v="NovaHealth Lakeshore Regional Center"/>
    <s v="Male"/>
    <n v="56"/>
    <x v="2"/>
    <n v="4"/>
    <x v="5"/>
    <x v="5"/>
    <n v="11809.78"/>
    <n v="9045.83"/>
    <n v="8.8000000000000007"/>
    <x v="2"/>
    <x v="0"/>
  </r>
  <r>
    <s v="NHM-2025-102212"/>
    <s v="January"/>
    <x v="3"/>
    <n v="1"/>
    <d v="2024-01-18T00:00:00"/>
    <x v="0"/>
    <s v="Debra Boyd"/>
    <s v="NovaHealth Midtown Medical Center"/>
    <s v="Female"/>
    <n v="15"/>
    <x v="2"/>
    <n v="3"/>
    <x v="6"/>
    <x v="6"/>
    <n v="2956.97"/>
    <n v="1732.64"/>
    <n v="2.2000000000000002"/>
    <x v="1"/>
    <x v="2"/>
  </r>
  <r>
    <s v="NHM-2023-100248"/>
    <s v="December"/>
    <x v="6"/>
    <n v="12"/>
    <d v="2025-12-25T00:00:00"/>
    <x v="1"/>
    <s v="Andrea Gomez"/>
    <s v="NovaHealth Midtown Medical Center"/>
    <s v="Female"/>
    <n v="47"/>
    <x v="0"/>
    <n v="1"/>
    <x v="3"/>
    <x v="3"/>
    <n v="5407.78"/>
    <n v="3317.95"/>
    <n v="2.4"/>
    <x v="0"/>
    <x v="0"/>
  </r>
  <r>
    <s v="NHM-2026-101241"/>
    <s v="July"/>
    <x v="8"/>
    <n v="7"/>
    <d v="2025-07-25T00:00:00"/>
    <x v="1"/>
    <s v="Joan Brown"/>
    <s v="NovaHealth Lakeshore Regional Center"/>
    <s v="Female"/>
    <n v="46"/>
    <x v="0"/>
    <n v="1"/>
    <x v="0"/>
    <x v="0"/>
    <n v="5342.38"/>
    <n v="3440.72"/>
    <n v="2.7"/>
    <x v="0"/>
    <x v="0"/>
  </r>
  <r>
    <s v="NHM-2025-100721"/>
    <s v="July"/>
    <x v="8"/>
    <n v="7"/>
    <d v="2026-07-03T00:00:00"/>
    <x v="2"/>
    <s v="Roger Reyes"/>
    <s v="NovaHealth Chicago Medical Center"/>
    <s v="Male"/>
    <n v="35"/>
    <x v="1"/>
    <n v="1"/>
    <x v="2"/>
    <x v="2"/>
    <n v="1508.56"/>
    <n v="1049.94"/>
    <n v="4.9000000000000004"/>
    <x v="0"/>
    <x v="0"/>
  </r>
  <r>
    <s v="NHM-2023-100925"/>
    <s v="February"/>
    <x v="2"/>
    <n v="2"/>
    <d v="2025-02-26T00:00:00"/>
    <x v="1"/>
    <s v="Victoria Morales"/>
    <s v="NovaHealth Northside Hospital"/>
    <s v="Male"/>
    <n v="43"/>
    <x v="0"/>
    <n v="1"/>
    <x v="7"/>
    <x v="7"/>
    <n v="7737.18"/>
    <n v="5593.63"/>
    <n v="22.2"/>
    <x v="0"/>
    <x v="0"/>
  </r>
  <r>
    <s v="NHM-2025-101569"/>
    <s v="May"/>
    <x v="9"/>
    <n v="5"/>
    <d v="2025-05-01T00:00:00"/>
    <x v="1"/>
    <s v="Stephen Baker"/>
    <s v="NovaHealth River Valley Hospital"/>
    <s v="Male"/>
    <n v="73"/>
    <x v="2"/>
    <n v="4"/>
    <x v="4"/>
    <x v="4"/>
    <n v="10552.45"/>
    <n v="7807.29"/>
    <n v="13"/>
    <x v="2"/>
    <x v="1"/>
  </r>
  <r>
    <s v="NHM-2024-100265"/>
    <s v="May"/>
    <x v="9"/>
    <n v="5"/>
    <d v="2026-05-27T00:00:00"/>
    <x v="2"/>
    <s v="Ashley Kim"/>
    <s v="NovaHealth Greenfield Clinic"/>
    <s v="Female"/>
    <n v="1"/>
    <x v="0"/>
    <n v="2"/>
    <x v="6"/>
    <x v="6"/>
    <n v="1130.2"/>
    <n v="886.15"/>
    <n v="3.4"/>
    <x v="1"/>
    <x v="2"/>
  </r>
  <r>
    <s v="NHM-2024-100733"/>
    <s v="June"/>
    <x v="11"/>
    <n v="6"/>
    <d v="2024-06-28T00:00:00"/>
    <x v="0"/>
    <s v="Arthur Hayes"/>
    <s v="NovaHealth Lakeside Medical Center"/>
    <s v="Female"/>
    <n v="32"/>
    <x v="1"/>
    <n v="4"/>
    <x v="0"/>
    <x v="0"/>
    <n v="13937.86"/>
    <n v="8131.16"/>
    <n v="5.9"/>
    <x v="2"/>
    <x v="0"/>
  </r>
  <r>
    <s v="NHM-2025-101136"/>
    <s v="August"/>
    <x v="10"/>
    <n v="8"/>
    <d v="2025-08-04T00:00:00"/>
    <x v="1"/>
    <s v="Anna Watson"/>
    <s v="NovaHealth Metro General Hospital"/>
    <s v="Female"/>
    <n v="85"/>
    <x v="2"/>
    <n v="4"/>
    <x v="4"/>
    <x v="4"/>
    <n v="22397.279999999999"/>
    <n v="13789.54"/>
    <n v="15.9"/>
    <x v="2"/>
    <x v="1"/>
  </r>
  <r>
    <s v="NHM-2024-101938"/>
    <s v="July"/>
    <x v="8"/>
    <n v="7"/>
    <d v="2025-07-09T00:00:00"/>
    <x v="1"/>
    <s v="Vincent Garcia"/>
    <s v="NovaHealth Oakridge Community Hospital"/>
    <s v="Male"/>
    <n v="81"/>
    <x v="1"/>
    <n v="5"/>
    <x v="3"/>
    <x v="3"/>
    <n v="13083.68"/>
    <n v="8403.16"/>
    <n v="3.7"/>
    <x v="2"/>
    <x v="1"/>
  </r>
  <r>
    <s v="NHM-2024-100829"/>
    <s v="October"/>
    <x v="5"/>
    <n v="10"/>
    <d v="2025-10-09T00:00:00"/>
    <x v="1"/>
    <s v="Emma Kelly"/>
    <s v="NovaHealth Chicago Medical Center"/>
    <s v="Female"/>
    <n v="64"/>
    <x v="0"/>
    <n v="3"/>
    <x v="3"/>
    <x v="3"/>
    <n v="7045.93"/>
    <n v="4796.7700000000004"/>
    <n v="9.5"/>
    <x v="1"/>
    <x v="0"/>
  </r>
  <r>
    <s v="NHM-2026-102041"/>
    <s v="March"/>
    <x v="1"/>
    <n v="3"/>
    <d v="2026-03-18T00:00:00"/>
    <x v="2"/>
    <s v="Samantha Young"/>
    <s v="NovaHealth Northside Hospital"/>
    <s v="Male"/>
    <n v="3"/>
    <x v="0"/>
    <n v="1"/>
    <x v="6"/>
    <x v="6"/>
    <n v="1245.3699999999999"/>
    <n v="880.56"/>
    <n v="1.1000000000000001"/>
    <x v="0"/>
    <x v="2"/>
  </r>
  <r>
    <s v="NHM-2024-100888"/>
    <s v="June"/>
    <x v="11"/>
    <n v="6"/>
    <d v="2025-06-18T00:00:00"/>
    <x v="1"/>
    <s v="Carl Smith"/>
    <s v="NovaHealth Chicago Medical Center"/>
    <s v="Female"/>
    <n v="2"/>
    <x v="0"/>
    <n v="3"/>
    <x v="6"/>
    <x v="6"/>
    <n v="1685.73"/>
    <n v="1242.58"/>
    <n v="1.5"/>
    <x v="1"/>
    <x v="2"/>
  </r>
  <r>
    <s v="NHM-2025-100403"/>
    <s v="September"/>
    <x v="7"/>
    <n v="9"/>
    <d v="2024-09-18T00:00:00"/>
    <x v="0"/>
    <s v="Sean Wilson"/>
    <s v="NovaHealth Chicago Medical Center"/>
    <s v="Female"/>
    <n v="78"/>
    <x v="0"/>
    <n v="1"/>
    <x v="3"/>
    <x v="3"/>
    <n v="4822.63"/>
    <n v="3725.2"/>
    <n v="7.5"/>
    <x v="0"/>
    <x v="1"/>
  </r>
  <r>
    <s v="NHM-2026-100552"/>
    <s v="December"/>
    <x v="6"/>
    <n v="12"/>
    <d v="2024-12-30T00:00:00"/>
    <x v="0"/>
    <s v="Andrew Jenkins"/>
    <s v="NovaHealth Lakeside Medical Center"/>
    <s v="Female"/>
    <n v="46"/>
    <x v="0"/>
    <n v="1"/>
    <x v="0"/>
    <x v="0"/>
    <n v="6085.76"/>
    <n v="3612.94"/>
    <n v="10.4"/>
    <x v="0"/>
    <x v="0"/>
  </r>
  <r>
    <s v="NHM-2026-100207"/>
    <s v="October"/>
    <x v="5"/>
    <n v="10"/>
    <d v="2025-10-21T00:00:00"/>
    <x v="1"/>
    <s v="Steven Hicks"/>
    <s v="NovaHealth Chicago Medical Center"/>
    <s v="Female"/>
    <n v="42"/>
    <x v="0"/>
    <n v="1"/>
    <x v="1"/>
    <x v="1"/>
    <n v="7092.63"/>
    <n v="4356.8999999999996"/>
    <n v="3.8"/>
    <x v="0"/>
    <x v="0"/>
  </r>
  <r>
    <s v="NHM-2023-101853"/>
    <s v="December"/>
    <x v="6"/>
    <n v="12"/>
    <d v="2024-12-19T00:00:00"/>
    <x v="0"/>
    <s v="Keith Patel"/>
    <s v="NovaHealth Midtown Medical Center"/>
    <s v="Male"/>
    <n v="82"/>
    <x v="0"/>
    <n v="2"/>
    <x v="1"/>
    <x v="1"/>
    <n v="11000.45"/>
    <n v="7063.49"/>
    <n v="2.9"/>
    <x v="1"/>
    <x v="1"/>
  </r>
  <r>
    <s v="NHM-2023-100462"/>
    <s v="December"/>
    <x v="6"/>
    <n v="12"/>
    <d v="2025-12-17T00:00:00"/>
    <x v="1"/>
    <s v="Katherine Tucker"/>
    <s v="NovaHealth Greenfield Clinic"/>
    <s v="Female"/>
    <n v="45"/>
    <x v="0"/>
    <n v="2"/>
    <x v="1"/>
    <x v="1"/>
    <n v="10414.6"/>
    <n v="7013.78"/>
    <n v="4.5"/>
    <x v="1"/>
    <x v="0"/>
  </r>
  <r>
    <s v="NHM-2026-102227"/>
    <s v="April"/>
    <x v="0"/>
    <n v="4"/>
    <d v="2026-04-23T00:00:00"/>
    <x v="2"/>
    <s v="Roger Anderson"/>
    <s v="NovaHealth River Valley Hospital"/>
    <s v="Female"/>
    <n v="19"/>
    <x v="0"/>
    <n v="1"/>
    <x v="7"/>
    <x v="7"/>
    <n v="7145.81"/>
    <n v="5102.07"/>
    <n v="12.5"/>
    <x v="0"/>
    <x v="0"/>
  </r>
  <r>
    <s v="NHM-2024-100168"/>
    <s v="October"/>
    <x v="5"/>
    <n v="10"/>
    <d v="2025-10-17T00:00:00"/>
    <x v="1"/>
    <s v="Jordan Bennett"/>
    <s v="NovaHealth Midtown Medical Center"/>
    <s v="Male"/>
    <n v="66"/>
    <x v="2"/>
    <n v="3"/>
    <x v="2"/>
    <x v="2"/>
    <n v="1888.79"/>
    <n v="1442.82"/>
    <n v="8"/>
    <x v="1"/>
    <x v="1"/>
  </r>
  <r>
    <s v="NHM-2026-102239"/>
    <s v="October"/>
    <x v="5"/>
    <n v="10"/>
    <d v="2025-10-27T00:00:00"/>
    <x v="1"/>
    <s v="Logan Roberts"/>
    <s v="NovaHealth River Valley Hospital"/>
    <s v="Female"/>
    <n v="61"/>
    <x v="0"/>
    <n v="2"/>
    <x v="3"/>
    <x v="3"/>
    <n v="5154.83"/>
    <n v="3987.27"/>
    <n v="8.6999999999999993"/>
    <x v="1"/>
    <x v="0"/>
  </r>
  <r>
    <s v="NHM-2023-102474"/>
    <s v="July"/>
    <x v="8"/>
    <n v="7"/>
    <d v="2024-07-05T00:00:00"/>
    <x v="0"/>
    <s v="Maria Anderson"/>
    <s v="NovaHealth River Valley Hospital"/>
    <s v="Female"/>
    <n v="85"/>
    <x v="2"/>
    <n v="3"/>
    <x v="7"/>
    <x v="7"/>
    <n v="10040.98"/>
    <n v="5963.77"/>
    <n v="17.5"/>
    <x v="1"/>
    <x v="1"/>
  </r>
  <r>
    <s v="NHM-2023-101862"/>
    <s v="June"/>
    <x v="11"/>
    <n v="6"/>
    <d v="2026-06-08T00:00:00"/>
    <x v="2"/>
    <s v="Wayne Graham"/>
    <s v="NovaHealth Greenfield Clinic"/>
    <s v="Female"/>
    <n v="59"/>
    <x v="0"/>
    <n v="1"/>
    <x v="1"/>
    <x v="1"/>
    <n v="5161.3100000000004"/>
    <n v="3215.6"/>
    <n v="8.4"/>
    <x v="0"/>
    <x v="0"/>
  </r>
  <r>
    <s v="NHM-2025-102288"/>
    <s v="November"/>
    <x v="4"/>
    <n v="11"/>
    <d v="2023-11-12T00:00:00"/>
    <x v="3"/>
    <s v="Christian Cook"/>
    <s v="NovaHealth Greenfield Clinic"/>
    <s v="Female"/>
    <n v="48"/>
    <x v="0"/>
    <n v="3"/>
    <x v="3"/>
    <x v="3"/>
    <n v="6985.4"/>
    <n v="4517.0600000000004"/>
    <n v="5.8"/>
    <x v="1"/>
    <x v="0"/>
  </r>
  <r>
    <s v="NHM-2025-102384"/>
    <s v="July"/>
    <x v="8"/>
    <n v="7"/>
    <d v="2025-07-08T00:00:00"/>
    <x v="1"/>
    <s v="Keith Mcdonald"/>
    <s v="NovaHealth Chicago Medical Center"/>
    <s v="Male"/>
    <n v="1"/>
    <x v="0"/>
    <n v="1"/>
    <x v="6"/>
    <x v="6"/>
    <n v="976.36"/>
    <n v="660.56"/>
    <n v="0.8"/>
    <x v="0"/>
    <x v="2"/>
  </r>
  <r>
    <s v="NHM-2026-101724"/>
    <s v="March"/>
    <x v="1"/>
    <n v="3"/>
    <d v="2024-03-21T00:00:00"/>
    <x v="0"/>
    <s v="Kimberly Gutierrez"/>
    <s v="NovaHealth Lakeshore Regional Center"/>
    <s v="Male"/>
    <n v="20"/>
    <x v="0"/>
    <n v="2"/>
    <x v="7"/>
    <x v="7"/>
    <n v="9786.33"/>
    <n v="6950.43"/>
    <n v="12.5"/>
    <x v="1"/>
    <x v="0"/>
  </r>
  <r>
    <s v="NHM-2026-102150"/>
    <s v="February"/>
    <x v="2"/>
    <n v="2"/>
    <d v="2026-02-15T00:00:00"/>
    <x v="2"/>
    <s v="Timothy Mitchell"/>
    <s v="NovaHealth Metro General Hospital"/>
    <s v="Male"/>
    <n v="11"/>
    <x v="0"/>
    <n v="2"/>
    <x v="6"/>
    <x v="6"/>
    <n v="926.85"/>
    <n v="703.8"/>
    <n v="3.4"/>
    <x v="1"/>
    <x v="2"/>
  </r>
  <r>
    <s v="NHM-2024-100725"/>
    <s v="March"/>
    <x v="1"/>
    <n v="3"/>
    <d v="2026-03-21T00:00:00"/>
    <x v="2"/>
    <s v="Bryan Reynolds"/>
    <s v="NovaHealth Lakeshore Regional Center"/>
    <s v="Female"/>
    <n v="67"/>
    <x v="0"/>
    <n v="1"/>
    <x v="7"/>
    <x v="7"/>
    <n v="8704.3799999999992"/>
    <n v="6615.33"/>
    <m/>
    <x v="0"/>
    <x v="1"/>
  </r>
  <r>
    <s v="NHM-2025-100380"/>
    <s v="June"/>
    <x v="11"/>
    <n v="6"/>
    <d v="2024-06-19T00:00:00"/>
    <x v="0"/>
    <s v="Ethan Cook"/>
    <s v="NovaHealth Northside Hospital"/>
    <s v="Female"/>
    <n v="63"/>
    <x v="2"/>
    <n v="5"/>
    <x v="4"/>
    <x v="4"/>
    <n v="21128.6"/>
    <n v="12368.19"/>
    <n v="14.2"/>
    <x v="2"/>
    <x v="0"/>
  </r>
  <r>
    <s v="NHM-2024-101777"/>
    <s v="December"/>
    <x v="6"/>
    <n v="12"/>
    <d v="2025-12-15T00:00:00"/>
    <x v="1"/>
    <s v="Denise Marshall"/>
    <s v="NovaHealth Lakeside Medical Center"/>
    <s v="Female"/>
    <n v="51"/>
    <x v="0"/>
    <n v="3"/>
    <x v="1"/>
    <x v="1"/>
    <n v="7120.66"/>
    <n v="4370.8"/>
    <n v="3.4"/>
    <x v="1"/>
    <x v="0"/>
  </r>
  <r>
    <s v="NHM-2024-100933"/>
    <s v="July"/>
    <x v="8"/>
    <n v="7"/>
    <d v="2024-07-10T00:00:00"/>
    <x v="0"/>
    <s v="Rachel Wood"/>
    <s v="NovaHealth Midtown Medical Center"/>
    <s v="Female"/>
    <n v="94"/>
    <x v="0"/>
    <n v="2"/>
    <x v="3"/>
    <x v="3"/>
    <n v="6560.75"/>
    <n v="4271.68"/>
    <n v="9.1"/>
    <x v="1"/>
    <x v="1"/>
  </r>
  <r>
    <s v="NHM-2023-101103"/>
    <s v="January"/>
    <x v="3"/>
    <n v="1"/>
    <d v="2024-01-29T00:00:00"/>
    <x v="0"/>
    <s v="Scott Adams"/>
    <s v="NovaHealth Lakeside Medical Center"/>
    <s v="Female"/>
    <n v="34"/>
    <x v="0"/>
    <n v="1"/>
    <x v="2"/>
    <x v="2"/>
    <n v="1679.82"/>
    <n v="1173.48"/>
    <n v="6"/>
    <x v="0"/>
    <x v="0"/>
  </r>
  <r>
    <s v="NHM-2023-102035"/>
    <s v="April"/>
    <x v="0"/>
    <n v="4"/>
    <d v="2026-04-16T00:00:00"/>
    <x v="2"/>
    <s v="Ryan Morris"/>
    <s v="NovaHealth Lakeside Medical Center"/>
    <s v="Male"/>
    <n v="76"/>
    <x v="0"/>
    <n v="2"/>
    <x v="7"/>
    <x v="7"/>
    <n v="8778.11"/>
    <n v="6281.48"/>
    <n v="17.100000000000001"/>
    <x v="1"/>
    <x v="1"/>
  </r>
  <r>
    <s v="NHM-2023-100631"/>
    <s v="February"/>
    <x v="2"/>
    <n v="2"/>
    <d v="2025-02-21T00:00:00"/>
    <x v="1"/>
    <s v="Frank Jenkins"/>
    <s v="NovaHealth Lakeshore Regional Center"/>
    <s v="Male"/>
    <n v="23"/>
    <x v="0"/>
    <n v="1"/>
    <x v="1"/>
    <x v="1"/>
    <n v="6574.25"/>
    <n v="4837.6000000000004"/>
    <n v="4.8"/>
    <x v="0"/>
    <x v="0"/>
  </r>
  <r>
    <s v="NHM-2023-100180"/>
    <s v="July"/>
    <x v="8"/>
    <n v="7"/>
    <d v="2025-07-22T00:00:00"/>
    <x v="1"/>
    <s v="Helen Hughes"/>
    <s v="NovaHealth Lakeside Medical Center"/>
    <s v="Male"/>
    <n v="16"/>
    <x v="2"/>
    <n v="1"/>
    <x v="6"/>
    <x v="6"/>
    <n v="1889.82"/>
    <n v="1475.46"/>
    <n v="4.9000000000000004"/>
    <x v="0"/>
    <x v="2"/>
  </r>
  <r>
    <s v="NHM-2024-100582"/>
    <s v="November"/>
    <x v="4"/>
    <n v="11"/>
    <d v="2025-11-20T00:00:00"/>
    <x v="1"/>
    <s v="Heather Jenkins"/>
    <s v="NovaHealth Chicago Medical Center"/>
    <s v="Female"/>
    <n v="34"/>
    <x v="0"/>
    <n v="2"/>
    <x v="0"/>
    <x v="0"/>
    <n v="11788.75"/>
    <n v="6837.47"/>
    <m/>
    <x v="1"/>
    <x v="0"/>
  </r>
  <r>
    <s v="NHM-2023-100718"/>
    <s v="February"/>
    <x v="2"/>
    <n v="2"/>
    <d v="2024-02-09T00:00:00"/>
    <x v="0"/>
    <s v="James Foster"/>
    <s v="NovaHealth Lakeshore Regional Center"/>
    <s v="Male"/>
    <n v="31"/>
    <x v="0"/>
    <n v="3"/>
    <x v="2"/>
    <x v="2"/>
    <n v="2148.9699999999998"/>
    <n v="1357.27"/>
    <n v="5.8"/>
    <x v="1"/>
    <x v="0"/>
  </r>
  <r>
    <s v="NHM-2026-102079"/>
    <s v="July"/>
    <x v="8"/>
    <n v="7"/>
    <d v="2025-07-01T00:00:00"/>
    <x v="1"/>
    <s v="Susan Coleman"/>
    <s v="NovaHealth Midtown Medical Center"/>
    <s v="Male"/>
    <n v="23"/>
    <x v="0"/>
    <n v="3"/>
    <x v="2"/>
    <x v="2"/>
    <n v="1660.83"/>
    <n v="1126.93"/>
    <n v="8"/>
    <x v="1"/>
    <x v="0"/>
  </r>
  <r>
    <s v="NHM-2026-102027"/>
    <s v="October"/>
    <x v="5"/>
    <n v="10"/>
    <d v="2025-10-15T00:00:00"/>
    <x v="1"/>
    <s v="Wayne Kennedy"/>
    <s v="NovaHealth Metro General Hospital"/>
    <s v="Female"/>
    <n v="75"/>
    <x v="1"/>
    <n v="4"/>
    <x v="5"/>
    <x v="5"/>
    <n v="15969.49"/>
    <n v="10748.36"/>
    <n v="6.1"/>
    <x v="2"/>
    <x v="1"/>
  </r>
  <r>
    <s v="NHM-2025-100124"/>
    <s v="November"/>
    <x v="4"/>
    <n v="11"/>
    <d v="2023-11-10T00:00:00"/>
    <x v="3"/>
    <s v="Frank White"/>
    <s v="NovaHealth Chicago Medical Center"/>
    <s v="Male"/>
    <n v="39"/>
    <x v="0"/>
    <n v="1"/>
    <x v="7"/>
    <x v="7"/>
    <n v="4214.74"/>
    <n v="3088.72"/>
    <n v="17.3"/>
    <x v="0"/>
    <x v="0"/>
  </r>
  <r>
    <s v="NHM-2025-102439"/>
    <s v="January"/>
    <x v="3"/>
    <n v="1"/>
    <d v="2024-01-16T00:00:00"/>
    <x v="0"/>
    <s v="Jonathan Hughes"/>
    <s v="NovaHealth Northside Hospital"/>
    <s v="Female"/>
    <n v="71"/>
    <x v="1"/>
    <n v="3"/>
    <x v="7"/>
    <x v="7"/>
    <n v="9385.2999999999993"/>
    <n v="7016.87"/>
    <n v="20.7"/>
    <x v="1"/>
    <x v="1"/>
  </r>
  <r>
    <s v="NHM-2024-100971"/>
    <s v="April"/>
    <x v="0"/>
    <n v="4"/>
    <d v="2025-04-08T00:00:00"/>
    <x v="1"/>
    <s v="Ethan Ruiz"/>
    <s v="NovaHealth Chicago Medical Center"/>
    <s v="Male"/>
    <n v="1"/>
    <x v="0"/>
    <n v="2"/>
    <x v="6"/>
    <x v="6"/>
    <n v="2493.6999999999998"/>
    <n v="1916.01"/>
    <n v="2.6"/>
    <x v="1"/>
    <x v="2"/>
  </r>
  <r>
    <s v="NHM-2025-100835"/>
    <s v="December"/>
    <x v="6"/>
    <n v="12"/>
    <d v="2024-12-06T00:00:00"/>
    <x v="0"/>
    <s v="Timothy Young"/>
    <s v="NovaHealth Lakeside Medical Center"/>
    <s v="Female"/>
    <n v="74"/>
    <x v="0"/>
    <n v="2"/>
    <x v="2"/>
    <x v="2"/>
    <n v="2707.36"/>
    <n v="1640.67"/>
    <n v="8.8000000000000007"/>
    <x v="1"/>
    <x v="1"/>
  </r>
  <r>
    <s v="NHM-2025-100496"/>
    <s v="March"/>
    <x v="1"/>
    <n v="3"/>
    <d v="2024-03-01T00:00:00"/>
    <x v="0"/>
    <s v="Ryan Jackson"/>
    <s v="NovaHealth River Valley Hospital"/>
    <s v="Female"/>
    <n v="85"/>
    <x v="2"/>
    <n v="4"/>
    <x v="4"/>
    <x v="4"/>
    <n v="15112.9"/>
    <n v="9359.67"/>
    <n v="17.600000000000001"/>
    <x v="2"/>
    <x v="1"/>
  </r>
  <r>
    <s v="NHM-2023-100460"/>
    <s v="February"/>
    <x v="2"/>
    <n v="2"/>
    <d v="2026-02-02T00:00:00"/>
    <x v="2"/>
    <s v="Ryan Bennett"/>
    <s v="NovaHealth River Valley Hospital"/>
    <s v="Female"/>
    <n v="64"/>
    <x v="2"/>
    <n v="1"/>
    <x v="0"/>
    <x v="0"/>
    <n v="6015.96"/>
    <n v="3918.21"/>
    <n v="8.5"/>
    <x v="0"/>
    <x v="0"/>
  </r>
  <r>
    <s v="NHM-2023-101823"/>
    <s v="March"/>
    <x v="1"/>
    <n v="3"/>
    <d v="2024-03-21T00:00:00"/>
    <x v="0"/>
    <s v="Amy White"/>
    <s v="NovaHealth Chicago Medical Center"/>
    <s v="Male"/>
    <n v="37"/>
    <x v="0"/>
    <n v="2"/>
    <x v="2"/>
    <x v="2"/>
    <n v="4189.16"/>
    <n v="2875.54"/>
    <n v="8.6"/>
    <x v="1"/>
    <x v="0"/>
  </r>
  <r>
    <s v="NHM-2024-101147"/>
    <s v="December"/>
    <x v="6"/>
    <n v="12"/>
    <d v="2023-12-01T00:00:00"/>
    <x v="3"/>
    <s v="Nancy Murphy"/>
    <s v="NovaHealth Lakeside Medical Center"/>
    <s v="Female"/>
    <n v="49"/>
    <x v="0"/>
    <n v="2"/>
    <x v="1"/>
    <x v="1"/>
    <n v="5485.43"/>
    <n v="3882.2"/>
    <n v="5.3"/>
    <x v="1"/>
    <x v="0"/>
  </r>
  <r>
    <s v="NHM-2025-100739"/>
    <s v="June"/>
    <x v="11"/>
    <n v="6"/>
    <d v="2025-06-23T00:00:00"/>
    <x v="1"/>
    <s v="Julie Lopez"/>
    <s v="NovaHealth Lakeside Medical Center"/>
    <s v="Female"/>
    <n v="13"/>
    <x v="0"/>
    <n v="3"/>
    <x v="6"/>
    <x v="6"/>
    <n v="1409.51"/>
    <n v="1064.94"/>
    <n v="4.5"/>
    <x v="1"/>
    <x v="2"/>
  </r>
  <r>
    <s v="NHM-2025-102472"/>
    <s v="December"/>
    <x v="6"/>
    <n v="12"/>
    <d v="2023-12-21T00:00:00"/>
    <x v="3"/>
    <s v="Sarah Sanders"/>
    <s v="NovaHealth Lakeside Medical Center"/>
    <s v="Female"/>
    <n v="57"/>
    <x v="0"/>
    <n v="3"/>
    <x v="5"/>
    <x v="5"/>
    <n v="14808.2"/>
    <n v="11310.23"/>
    <n v="7"/>
    <x v="1"/>
    <x v="0"/>
  </r>
  <r>
    <s v="NHM-2025-102312"/>
    <s v="January"/>
    <x v="3"/>
    <n v="1"/>
    <d v="2026-01-27T00:00:00"/>
    <x v="2"/>
    <s v="Kevin Wood"/>
    <s v="NovaHealth Greenfield Clinic"/>
    <s v="Female"/>
    <n v="20"/>
    <x v="0"/>
    <n v="1"/>
    <x v="2"/>
    <x v="2"/>
    <n v="4631.68"/>
    <n v="2754.37"/>
    <n v="8.5"/>
    <x v="0"/>
    <x v="0"/>
  </r>
  <r>
    <s v="NHM-2026-101955"/>
    <s v="December"/>
    <x v="6"/>
    <n v="12"/>
    <d v="2025-12-19T00:00:00"/>
    <x v="1"/>
    <s v="Teresa Owens"/>
    <s v="NovaHealth Chicago Medical Center"/>
    <s v="Female"/>
    <n v="33"/>
    <x v="0"/>
    <n v="3"/>
    <x v="2"/>
    <x v="2"/>
    <n v="3238.74"/>
    <n v="2022.03"/>
    <n v="5.8"/>
    <x v="1"/>
    <x v="0"/>
  </r>
  <r>
    <s v="NHM-2023-102445"/>
    <s v="February"/>
    <x v="2"/>
    <n v="2"/>
    <d v="2024-02-06T00:00:00"/>
    <x v="0"/>
    <s v="Albert Long"/>
    <s v="NovaHealth Chicago Medical Center"/>
    <s v="Female"/>
    <n v="41"/>
    <x v="2"/>
    <n v="5"/>
    <x v="5"/>
    <x v="5"/>
    <n v="13178.83"/>
    <n v="8476.85"/>
    <n v="5.3"/>
    <x v="2"/>
    <x v="0"/>
  </r>
  <r>
    <s v="NHM-2025-101516"/>
    <s v="October"/>
    <x v="5"/>
    <n v="10"/>
    <d v="2025-10-20T00:00:00"/>
    <x v="1"/>
    <s v="Douglas Evans"/>
    <s v="NovaHealth Metro General Hospital"/>
    <s v="Male"/>
    <n v="64"/>
    <x v="0"/>
    <n v="1"/>
    <x v="0"/>
    <x v="0"/>
    <n v="8350.61"/>
    <n v="5683.71"/>
    <n v="11.1"/>
    <x v="0"/>
    <x v="0"/>
  </r>
  <r>
    <s v="NHM-2025-100457"/>
    <s v="January"/>
    <x v="3"/>
    <n v="1"/>
    <d v="2025-01-03T00:00:00"/>
    <x v="1"/>
    <s v="Anthony Kelly"/>
    <s v="NovaHealth Oakridge Community Hospital"/>
    <s v="Male"/>
    <n v="40"/>
    <x v="1"/>
    <n v="3"/>
    <x v="7"/>
    <x v="7"/>
    <n v="11314.18"/>
    <n v="8046.33"/>
    <n v="15.8"/>
    <x v="1"/>
    <x v="0"/>
  </r>
  <r>
    <s v="NHM-2025-101496"/>
    <s v="June"/>
    <x v="11"/>
    <n v="6"/>
    <d v="2024-06-17T00:00:00"/>
    <x v="0"/>
    <s v="Amanda Mendoza"/>
    <s v="NovaHealth Chicago Medical Center"/>
    <s v="Female"/>
    <n v="63"/>
    <x v="0"/>
    <n v="3"/>
    <x v="3"/>
    <x v="3"/>
    <n v="6322.81"/>
    <n v="4676.45"/>
    <n v="7.6"/>
    <x v="1"/>
    <x v="0"/>
  </r>
  <r>
    <s v="NHM-2025-100430"/>
    <s v="December"/>
    <x v="6"/>
    <n v="12"/>
    <d v="2024-12-16T00:00:00"/>
    <x v="0"/>
    <s v="Joshua Mason"/>
    <s v="NovaHealth Lakeside Medical Center"/>
    <s v="Female"/>
    <n v="81"/>
    <x v="2"/>
    <n v="5"/>
    <x v="0"/>
    <x v="0"/>
    <n v="13078.23"/>
    <n v="9988.25"/>
    <n v="6.1"/>
    <x v="2"/>
    <x v="1"/>
  </r>
  <r>
    <s v="NHM-2024-101195"/>
    <s v="March"/>
    <x v="1"/>
    <n v="3"/>
    <d v="2026-03-30T00:00:00"/>
    <x v="2"/>
    <s v="Donald Foster"/>
    <s v="NovaHealth Chicago Medical Center"/>
    <s v="Female"/>
    <n v="28"/>
    <x v="0"/>
    <n v="1"/>
    <x v="1"/>
    <x v="1"/>
    <n v="10710.47"/>
    <n v="6232.87"/>
    <n v="2.6"/>
    <x v="0"/>
    <x v="0"/>
  </r>
  <r>
    <s v="NHM-2025-101457"/>
    <s v="January"/>
    <x v="3"/>
    <n v="1"/>
    <d v="2025-01-30T00:00:00"/>
    <x v="1"/>
    <s v="Lauren King"/>
    <s v="NovaHealth Greenfield Clinic"/>
    <s v="Male"/>
    <n v="7"/>
    <x v="0"/>
    <n v="1"/>
    <x v="6"/>
    <x v="6"/>
    <n v="1715.92"/>
    <n v="1071.51"/>
    <n v="3.1"/>
    <x v="0"/>
    <x v="2"/>
  </r>
  <r>
    <s v="NHM-2023-102290"/>
    <s v="March"/>
    <x v="1"/>
    <n v="3"/>
    <d v="2026-03-27T00:00:00"/>
    <x v="2"/>
    <s v="Charles Woods"/>
    <s v="NovaHealth Chicago Medical Center"/>
    <s v="Female"/>
    <n v="91"/>
    <x v="1"/>
    <n v="1"/>
    <x v="3"/>
    <x v="3"/>
    <n v="6942.96"/>
    <n v="4512.29"/>
    <n v="8.6"/>
    <x v="0"/>
    <x v="1"/>
  </r>
  <r>
    <s v="NHM-2023-100470"/>
    <s v="April"/>
    <x v="0"/>
    <n v="4"/>
    <d v="2026-04-07T00:00:00"/>
    <x v="2"/>
    <s v="Hannah Sullivan"/>
    <s v="NovaHealth Chicago Medical Center"/>
    <s v="Female"/>
    <n v="32"/>
    <x v="1"/>
    <n v="4"/>
    <x v="5"/>
    <x v="5"/>
    <n v="15801.26"/>
    <n v="10681.24"/>
    <n v="11.8"/>
    <x v="2"/>
    <x v="0"/>
  </r>
  <r>
    <s v="NHM-2023-100830"/>
    <s v="April"/>
    <x v="0"/>
    <n v="4"/>
    <d v="2025-04-09T00:00:00"/>
    <x v="1"/>
    <s v="Alan Phillips"/>
    <s v="NovaHealth Lakeside Medical Center"/>
    <s v="Male"/>
    <n v="17"/>
    <x v="0"/>
    <n v="1"/>
    <x v="6"/>
    <x v="6"/>
    <n v="825.45"/>
    <n v="597.80999999999995"/>
    <n v="2.5"/>
    <x v="0"/>
    <x v="2"/>
  </r>
  <r>
    <s v="NHM-2026-101467"/>
    <s v="July"/>
    <x v="8"/>
    <n v="7"/>
    <d v="2024-07-17T00:00:00"/>
    <x v="0"/>
    <s v="Keith Reyes"/>
    <s v="NovaHealth Greenfield Clinic"/>
    <s v="Male"/>
    <n v="43"/>
    <x v="1"/>
    <n v="3"/>
    <x v="5"/>
    <x v="5"/>
    <n v="18046.009999999998"/>
    <n v="13220.79"/>
    <n v="5.9"/>
    <x v="1"/>
    <x v="0"/>
  </r>
  <r>
    <s v="NHM-2024-101566"/>
    <s v="August"/>
    <x v="10"/>
    <n v="8"/>
    <d v="2025-08-05T00:00:00"/>
    <x v="1"/>
    <s v="Nathan Patel"/>
    <s v="NovaHealth Metro General Hospital"/>
    <s v="Male"/>
    <n v="42"/>
    <x v="0"/>
    <n v="3"/>
    <x v="0"/>
    <x v="0"/>
    <n v="13673.58"/>
    <n v="10451.92"/>
    <n v="7.5"/>
    <x v="1"/>
    <x v="0"/>
  </r>
  <r>
    <s v="NHM-2024-102346"/>
    <s v="May"/>
    <x v="9"/>
    <n v="5"/>
    <d v="2025-05-02T00:00:00"/>
    <x v="1"/>
    <s v="Patrick Cole"/>
    <s v="NovaHealth Midtown Medical Center"/>
    <s v="Male"/>
    <n v="74"/>
    <x v="0"/>
    <n v="3"/>
    <x v="5"/>
    <x v="5"/>
    <n v="19535.509999999998"/>
    <n v="11367.4"/>
    <n v="4.5999999999999996"/>
    <x v="1"/>
    <x v="1"/>
  </r>
  <r>
    <s v="NHM-2023-101213"/>
    <s v="January"/>
    <x v="3"/>
    <n v="1"/>
    <d v="2026-01-13T00:00:00"/>
    <x v="2"/>
    <s v="Dylan Ford"/>
    <s v="NovaHealth Northside Hospital"/>
    <s v="Female"/>
    <n v="66"/>
    <x v="2"/>
    <n v="4"/>
    <x v="1"/>
    <x v="1"/>
    <n v="16036.9"/>
    <n v="9837.7099999999991"/>
    <n v="6.9"/>
    <x v="2"/>
    <x v="1"/>
  </r>
  <r>
    <s v="NHM-2024-101698"/>
    <s v="January"/>
    <x v="3"/>
    <n v="1"/>
    <d v="2025-01-22T00:00:00"/>
    <x v="1"/>
    <s v="Jeffrey Foster"/>
    <s v="NovaHealth Northside Hospital"/>
    <s v="Male"/>
    <n v="53"/>
    <x v="2"/>
    <n v="3"/>
    <x v="1"/>
    <x v="1"/>
    <n v="9631.8700000000008"/>
    <n v="6244.4"/>
    <n v="10"/>
    <x v="1"/>
    <x v="0"/>
  </r>
  <r>
    <s v="NHM-2024-101224"/>
    <s v="October"/>
    <x v="5"/>
    <n v="10"/>
    <d v="2024-10-09T00:00:00"/>
    <x v="0"/>
    <s v="Zachary Young"/>
    <s v="NovaHealth Northside Hospital"/>
    <s v="Female"/>
    <n v="39"/>
    <x v="0"/>
    <n v="1"/>
    <x v="1"/>
    <x v="1"/>
    <n v="9975.58"/>
    <n v="6706.04"/>
    <n v="2.8"/>
    <x v="0"/>
    <x v="0"/>
  </r>
  <r>
    <s v="NHM-2023-101014"/>
    <s v="October"/>
    <x v="5"/>
    <n v="10"/>
    <d v="2025-10-24T00:00:00"/>
    <x v="1"/>
    <s v="Heather Graham"/>
    <s v="NovaHealth Metro General Hospital"/>
    <s v="Male"/>
    <n v="44"/>
    <x v="1"/>
    <n v="3"/>
    <x v="0"/>
    <x v="0"/>
    <n v="5496.07"/>
    <n v="3865.65"/>
    <n v="2.2999999999999998"/>
    <x v="1"/>
    <x v="0"/>
  </r>
  <r>
    <s v="NHM-2023-101606"/>
    <s v="May"/>
    <x v="9"/>
    <n v="5"/>
    <d v="2026-05-14T00:00:00"/>
    <x v="2"/>
    <s v="Theresa Simpson"/>
    <s v="NovaHealth River Valley Hospital"/>
    <s v="Female"/>
    <n v="8"/>
    <x v="0"/>
    <n v="1"/>
    <x v="6"/>
    <x v="6"/>
    <n v="2480.98"/>
    <n v="1814.32"/>
    <n v="0.4"/>
    <x v="0"/>
    <x v="2"/>
  </r>
  <r>
    <s v="NHM-2023-102172"/>
    <s v="April"/>
    <x v="0"/>
    <n v="4"/>
    <d v="2024-04-03T00:00:00"/>
    <x v="0"/>
    <s v="Kathryn Castillo"/>
    <s v="NovaHealth Chicago Medical Center"/>
    <s v="Male"/>
    <n v="9"/>
    <x v="0"/>
    <n v="2"/>
    <x v="6"/>
    <x v="6"/>
    <n v="2153.16"/>
    <n v="1661.2"/>
    <n v="3.1"/>
    <x v="1"/>
    <x v="2"/>
  </r>
  <r>
    <s v="NHM-2024-102096"/>
    <s v="December"/>
    <x v="6"/>
    <n v="12"/>
    <d v="2024-12-26T00:00:00"/>
    <x v="0"/>
    <s v="Walter Alvarez"/>
    <s v="NovaHealth Chicago Medical Center"/>
    <s v="Male"/>
    <n v="64"/>
    <x v="0"/>
    <n v="2"/>
    <x v="2"/>
    <x v="2"/>
    <n v="1732.06"/>
    <n v="1050.99"/>
    <n v="5.8"/>
    <x v="1"/>
    <x v="0"/>
  </r>
  <r>
    <s v="NHM-2024-100511"/>
    <s v="April"/>
    <x v="0"/>
    <n v="4"/>
    <d v="2025-04-25T00:00:00"/>
    <x v="1"/>
    <s v="Megan Porter"/>
    <s v="NovaHealth River Valley Hospital"/>
    <s v="Female"/>
    <n v="69"/>
    <x v="2"/>
    <n v="5"/>
    <x v="5"/>
    <x v="5"/>
    <n v="19706.46"/>
    <n v="12080.14"/>
    <n v="7.4"/>
    <x v="2"/>
    <x v="1"/>
  </r>
  <r>
    <s v="NHM-2023-100200"/>
    <s v="April"/>
    <x v="0"/>
    <n v="4"/>
    <d v="2025-04-24T00:00:00"/>
    <x v="1"/>
    <s v="Jeffrey Price"/>
    <s v="NovaHealth Greenfield Clinic"/>
    <s v="Female"/>
    <n v="65"/>
    <x v="2"/>
    <n v="3"/>
    <x v="1"/>
    <x v="1"/>
    <n v="8544.24"/>
    <n v="5500.31"/>
    <n v="4"/>
    <x v="1"/>
    <x v="1"/>
  </r>
  <r>
    <s v="NHM-2025-100013"/>
    <s v="October"/>
    <x v="5"/>
    <n v="10"/>
    <d v="2023-10-12T00:00:00"/>
    <x v="3"/>
    <s v="Matthew Stewart"/>
    <s v="NovaHealth Greenfield Clinic"/>
    <s v="Female"/>
    <n v="76"/>
    <x v="0"/>
    <n v="3"/>
    <x v="0"/>
    <x v="0"/>
    <n v="10877.88"/>
    <n v="7329.78"/>
    <n v="5.2"/>
    <x v="1"/>
    <x v="1"/>
  </r>
  <r>
    <s v="NHM-2025-102203"/>
    <s v="December"/>
    <x v="6"/>
    <n v="12"/>
    <d v="2023-12-07T00:00:00"/>
    <x v="3"/>
    <s v="Rachel James"/>
    <s v="NovaHealth Lakeside Medical Center"/>
    <s v="Female"/>
    <n v="87"/>
    <x v="2"/>
    <n v="4"/>
    <x v="4"/>
    <x v="4"/>
    <n v="15389.82"/>
    <n v="10842.47"/>
    <n v="8.6999999999999993"/>
    <x v="2"/>
    <x v="1"/>
  </r>
  <r>
    <s v="NHM-2025-102058"/>
    <s v="June"/>
    <x v="11"/>
    <n v="6"/>
    <d v="2026-06-11T00:00:00"/>
    <x v="2"/>
    <s v="Debra Cruz"/>
    <s v="NovaHealth Northside Hospital"/>
    <s v="Male"/>
    <n v="59"/>
    <x v="2"/>
    <n v="1"/>
    <x v="7"/>
    <x v="7"/>
    <n v="3362.03"/>
    <n v="2637.48"/>
    <n v="22.9"/>
    <x v="0"/>
    <x v="0"/>
  </r>
  <r>
    <s v="NHM-2023-101774"/>
    <s v="December"/>
    <x v="6"/>
    <n v="12"/>
    <d v="2024-12-12T00:00:00"/>
    <x v="0"/>
    <s v="Charles Mason"/>
    <s v="NovaHealth Lakeside Medical Center"/>
    <s v="Male"/>
    <n v="1"/>
    <x v="0"/>
    <n v="2"/>
    <x v="6"/>
    <x v="6"/>
    <n v="2643.49"/>
    <n v="2037.85"/>
    <n v="3.6"/>
    <x v="1"/>
    <x v="2"/>
  </r>
  <r>
    <s v="NHM-2025-100624"/>
    <s v="August"/>
    <x v="10"/>
    <n v="8"/>
    <d v="2025-08-19T00:00:00"/>
    <x v="1"/>
    <s v="Evelyn Thomas"/>
    <s v="NovaHealth Northside Hospital"/>
    <s v="Female"/>
    <n v="64"/>
    <x v="1"/>
    <n v="4"/>
    <x v="5"/>
    <x v="5"/>
    <n v="22860.7"/>
    <n v="13353.61"/>
    <n v="11.8"/>
    <x v="2"/>
    <x v="0"/>
  </r>
  <r>
    <s v="NHM-2024-100745"/>
    <s v="November"/>
    <x v="4"/>
    <n v="11"/>
    <d v="2024-11-19T00:00:00"/>
    <x v="0"/>
    <s v="Kimberly Reynolds"/>
    <s v="NovaHealth Chicago Medical Center"/>
    <s v="Male"/>
    <n v="19"/>
    <x v="0"/>
    <n v="1"/>
    <x v="7"/>
    <x v="7"/>
    <n v="8566.0400000000009"/>
    <n v="5348.48"/>
    <n v="15.4"/>
    <x v="0"/>
    <x v="0"/>
  </r>
  <r>
    <s v="NHM-2025-101128"/>
    <s v="June"/>
    <x v="11"/>
    <n v="6"/>
    <d v="2024-06-04T00:00:00"/>
    <x v="0"/>
    <s v="Judith Hernandez"/>
    <s v="NovaHealth Midtown Medical Center"/>
    <s v="Female"/>
    <n v="38"/>
    <x v="0"/>
    <n v="1"/>
    <x v="2"/>
    <x v="2"/>
    <n v="1278.1400000000001"/>
    <n v="887.61"/>
    <n v="8.6999999999999993"/>
    <x v="0"/>
    <x v="0"/>
  </r>
  <r>
    <s v="NHM-2025-101154"/>
    <s v="March"/>
    <x v="1"/>
    <n v="3"/>
    <d v="2024-03-14T00:00:00"/>
    <x v="0"/>
    <s v="Aaron Ellis"/>
    <s v="NovaHealth Northside Hospital"/>
    <s v="Male"/>
    <n v="78"/>
    <x v="1"/>
    <n v="5"/>
    <x v="5"/>
    <x v="5"/>
    <n v="20385.71"/>
    <n v="13683.23"/>
    <n v="3.1"/>
    <x v="2"/>
    <x v="1"/>
  </r>
  <r>
    <s v="NHM-2023-100882"/>
    <s v="November"/>
    <x v="4"/>
    <n v="11"/>
    <d v="2023-11-17T00:00:00"/>
    <x v="3"/>
    <s v="Jonathan Brown"/>
    <s v="NovaHealth Midtown Medical Center"/>
    <s v="Male"/>
    <n v="74"/>
    <x v="0"/>
    <n v="1"/>
    <x v="1"/>
    <x v="1"/>
    <n v="8522.98"/>
    <n v="6002.09"/>
    <n v="4.5"/>
    <x v="0"/>
    <x v="1"/>
  </r>
  <r>
    <s v="NHM-2026-102168"/>
    <s v="May"/>
    <x v="9"/>
    <n v="5"/>
    <d v="2025-05-22T00:00:00"/>
    <x v="1"/>
    <s v="Scott Roberts"/>
    <s v="NovaHealth Lakeside Medical Center"/>
    <s v="Male"/>
    <n v="15"/>
    <x v="0"/>
    <n v="1"/>
    <x v="6"/>
    <x v="6"/>
    <n v="869.86"/>
    <n v="654.20000000000005"/>
    <n v="2.4"/>
    <x v="0"/>
    <x v="2"/>
  </r>
  <r>
    <s v="NHM-2025-101528"/>
    <s v="February"/>
    <x v="2"/>
    <n v="2"/>
    <d v="2026-02-16T00:00:00"/>
    <x v="2"/>
    <s v="Nathan Wright"/>
    <s v="NovaHealth Lakeside Medical Center"/>
    <s v="Female"/>
    <n v="32"/>
    <x v="2"/>
    <n v="5"/>
    <x v="5"/>
    <x v="5"/>
    <n v="16768.88"/>
    <n v="12762.75"/>
    <n v="2.2999999999999998"/>
    <x v="2"/>
    <x v="0"/>
  </r>
  <r>
    <s v="NHM-2024-100513"/>
    <s v="May"/>
    <x v="9"/>
    <n v="5"/>
    <d v="2024-05-24T00:00:00"/>
    <x v="0"/>
    <s v="Bruce Coleman"/>
    <s v="NovaHealth Midtown Medical Center"/>
    <s v="Female"/>
    <n v="48"/>
    <x v="1"/>
    <n v="5"/>
    <x v="1"/>
    <x v="1"/>
    <n v="11087.83"/>
    <n v="6460.54"/>
    <n v="3.7"/>
    <x v="2"/>
    <x v="0"/>
  </r>
  <r>
    <s v="NHM-2026-100943"/>
    <s v="February"/>
    <x v="2"/>
    <n v="2"/>
    <d v="2024-02-29T00:00:00"/>
    <x v="0"/>
    <s v="Jeremy Campbell"/>
    <s v="NovaHealth Chicago Medical Center"/>
    <s v="Female"/>
    <n v="31"/>
    <x v="2"/>
    <n v="3"/>
    <x v="2"/>
    <x v="2"/>
    <n v="6199.23"/>
    <n v="3819.13"/>
    <n v="4.7"/>
    <x v="1"/>
    <x v="0"/>
  </r>
  <r>
    <s v="NHM-2026-101486"/>
    <s v="April"/>
    <x v="0"/>
    <n v="4"/>
    <d v="2025-04-24T00:00:00"/>
    <x v="1"/>
    <s v="Barbara Jones"/>
    <s v="NovaHealth Lakeside Medical Center"/>
    <s v="Male"/>
    <n v="10"/>
    <x v="0"/>
    <n v="1"/>
    <x v="6"/>
    <x v="6"/>
    <n v="804.12"/>
    <n v="561.04"/>
    <n v="5.8"/>
    <x v="0"/>
    <x v="2"/>
  </r>
  <r>
    <s v="NHM-2026-101376"/>
    <s v="August"/>
    <x v="10"/>
    <n v="8"/>
    <d v="2024-08-22T00:00:00"/>
    <x v="0"/>
    <s v="Charles Patterson"/>
    <s v="NovaHealth Northside Hospital"/>
    <s v="Male"/>
    <n v="70"/>
    <x v="0"/>
    <n v="5"/>
    <x v="5"/>
    <x v="5"/>
    <n v="22027.79"/>
    <n v="14792.22"/>
    <n v="4.2"/>
    <x v="2"/>
    <x v="1"/>
  </r>
  <r>
    <s v="NHM-2025-100132"/>
    <s v="October"/>
    <x v="5"/>
    <n v="10"/>
    <d v="2024-10-13T00:00:00"/>
    <x v="0"/>
    <s v="Roger Cruz"/>
    <s v="NovaHealth River Valley Hospital"/>
    <s v="Female"/>
    <n v="29"/>
    <x v="2"/>
    <n v="4"/>
    <x v="5"/>
    <x v="5"/>
    <n v="12120.39"/>
    <n v="8502.67"/>
    <n v="2.2999999999999998"/>
    <x v="2"/>
    <x v="0"/>
  </r>
  <r>
    <s v="NHM-2025-100851"/>
    <s v="September"/>
    <x v="7"/>
    <n v="9"/>
    <d v="2025-09-16T00:00:00"/>
    <x v="1"/>
    <s v="Gabriel Gonzales"/>
    <s v="NovaHealth Lakeshore Regional Center"/>
    <s v="Male"/>
    <n v="85"/>
    <x v="0"/>
    <n v="1"/>
    <x v="3"/>
    <x v="3"/>
    <n v="7827.17"/>
    <n v="5778.63"/>
    <n v="8.1"/>
    <x v="0"/>
    <x v="1"/>
  </r>
  <r>
    <s v="NHM-2026-100601"/>
    <s v="July"/>
    <x v="8"/>
    <n v="7"/>
    <d v="2024-07-30T00:00:00"/>
    <x v="0"/>
    <s v="Anna Griffin"/>
    <s v="NovaHealth Chicago Medical Center"/>
    <s v="Female"/>
    <n v="26"/>
    <x v="0"/>
    <n v="4"/>
    <x v="5"/>
    <x v="5"/>
    <n v="15842.05"/>
    <n v="12096.76"/>
    <n v="7.1"/>
    <x v="2"/>
    <x v="0"/>
  </r>
  <r>
    <s v="NHM-2024-101583"/>
    <s v="February"/>
    <x v="2"/>
    <n v="2"/>
    <d v="2025-02-05T00:00:00"/>
    <x v="1"/>
    <s v="Fiona Russell"/>
    <s v="NovaHealth Northside Hospital"/>
    <s v="Male"/>
    <n v="69"/>
    <x v="0"/>
    <n v="4"/>
    <x v="4"/>
    <x v="4"/>
    <n v="12315.73"/>
    <n v="7237.52"/>
    <n v="11.8"/>
    <x v="2"/>
    <x v="1"/>
  </r>
  <r>
    <s v="NHM-2023-100989"/>
    <s v="May"/>
    <x v="9"/>
    <n v="5"/>
    <d v="2026-05-11T00:00:00"/>
    <x v="2"/>
    <s v="Rachel Wright"/>
    <s v="NovaHealth Metro General Hospital"/>
    <s v="Male"/>
    <n v="69"/>
    <x v="1"/>
    <n v="2"/>
    <x v="1"/>
    <x v="1"/>
    <n v="9138.23"/>
    <n v="5605.52"/>
    <n v="3.9"/>
    <x v="1"/>
    <x v="1"/>
  </r>
  <r>
    <s v="NHM-2025-101314"/>
    <s v="April"/>
    <x v="0"/>
    <n v="4"/>
    <d v="2025-04-24T00:00:00"/>
    <x v="1"/>
    <s v="Nancy Butler"/>
    <s v="NovaHealth River Valley Hospital"/>
    <s v="Female"/>
    <n v="66"/>
    <x v="2"/>
    <n v="4"/>
    <x v="1"/>
    <x v="1"/>
    <n v="13641.34"/>
    <n v="8820.06"/>
    <n v="11.2"/>
    <x v="2"/>
    <x v="1"/>
  </r>
  <r>
    <s v="NHM-2025-100866"/>
    <s v="July"/>
    <x v="8"/>
    <n v="7"/>
    <d v="2025-07-22T00:00:00"/>
    <x v="1"/>
    <s v="Hannah Moore"/>
    <s v="NovaHealth Northside Hospital"/>
    <s v="Male"/>
    <n v="77"/>
    <x v="2"/>
    <n v="4"/>
    <x v="4"/>
    <x v="4"/>
    <n v="21918.67"/>
    <n v="14775.11"/>
    <n v="11.2"/>
    <x v="2"/>
    <x v="1"/>
  </r>
  <r>
    <s v="NHM-2023-101360"/>
    <s v="January"/>
    <x v="3"/>
    <n v="1"/>
    <d v="2024-01-30T00:00:00"/>
    <x v="0"/>
    <s v="Nathan Chavez"/>
    <s v="NovaHealth Metro General Hospital"/>
    <s v="Male"/>
    <n v="70"/>
    <x v="0"/>
    <n v="4"/>
    <x v="4"/>
    <x v="4"/>
    <n v="21317.72"/>
    <n v="14997.6"/>
    <n v="9.4"/>
    <x v="2"/>
    <x v="1"/>
  </r>
  <r>
    <s v="NHM-2024-101872"/>
    <s v="June"/>
    <x v="11"/>
    <n v="6"/>
    <d v="2024-06-12T00:00:00"/>
    <x v="0"/>
    <s v="Joshua Gutierrez"/>
    <s v="NovaHealth Chicago Medical Center"/>
    <s v="Female"/>
    <n v="83"/>
    <x v="0"/>
    <n v="2"/>
    <x v="1"/>
    <x v="1"/>
    <n v="10965.11"/>
    <n v="8064.53"/>
    <n v="7.5"/>
    <x v="1"/>
    <x v="1"/>
  </r>
  <r>
    <s v="NHM-2024-102115"/>
    <s v="December"/>
    <x v="6"/>
    <n v="12"/>
    <d v="2024-12-03T00:00:00"/>
    <x v="0"/>
    <s v="Linda Thompson"/>
    <s v="NovaHealth Northside Hospital"/>
    <s v="Female"/>
    <n v="61"/>
    <x v="2"/>
    <n v="4"/>
    <x v="4"/>
    <x v="4"/>
    <n v="18104.71"/>
    <n v="13867.58"/>
    <n v="13.5"/>
    <x v="2"/>
    <x v="0"/>
  </r>
  <r>
    <s v="NHM-2026-101048"/>
    <s v="November"/>
    <x v="4"/>
    <n v="11"/>
    <d v="2025-11-19T00:00:00"/>
    <x v="1"/>
    <s v="Ruth Baker"/>
    <s v="NovaHealth Greenfield Clinic"/>
    <s v="Female"/>
    <n v="24"/>
    <x v="2"/>
    <n v="1"/>
    <x v="1"/>
    <x v="1"/>
    <n v="10714.96"/>
    <n v="6256.28"/>
    <n v="5.2"/>
    <x v="0"/>
    <x v="0"/>
  </r>
  <r>
    <s v="NHM-2023-101687"/>
    <s v="September"/>
    <x v="7"/>
    <n v="9"/>
    <d v="2025-09-16T00:00:00"/>
    <x v="1"/>
    <s v="Catherine Stevens"/>
    <s v="NovaHealth Midtown Medical Center"/>
    <s v="Female"/>
    <n v="46"/>
    <x v="2"/>
    <n v="2"/>
    <x v="2"/>
    <x v="2"/>
    <n v="3522.01"/>
    <n v="2205.23"/>
    <n v="7.1"/>
    <x v="1"/>
    <x v="0"/>
  </r>
  <r>
    <s v="NHM-2026-100059"/>
    <s v="February"/>
    <x v="2"/>
    <n v="2"/>
    <d v="2024-02-29T00:00:00"/>
    <x v="0"/>
    <s v="Emma Ortiz"/>
    <s v="NovaHealth Northside Hospital"/>
    <s v="Female"/>
    <n v="33"/>
    <x v="0"/>
    <n v="2"/>
    <x v="0"/>
    <x v="0"/>
    <n v="7974.42"/>
    <n v="5150.03"/>
    <n v="5.8"/>
    <x v="1"/>
    <x v="0"/>
  </r>
  <r>
    <s v="NHM-2026-100406"/>
    <s v="November"/>
    <x v="4"/>
    <n v="11"/>
    <d v="2025-11-14T00:00:00"/>
    <x v="1"/>
    <s v="Sharon Powell"/>
    <s v="NovaHealth Oakridge Community Hospital"/>
    <s v="Male"/>
    <n v="61"/>
    <x v="2"/>
    <n v="2"/>
    <x v="0"/>
    <x v="0"/>
    <n v="9846.18"/>
    <n v="6667.34"/>
    <n v="8.8000000000000007"/>
    <x v="1"/>
    <x v="0"/>
  </r>
  <r>
    <s v="NHM-2023-101926"/>
    <s v="September"/>
    <x v="7"/>
    <n v="9"/>
    <d v="2023-09-26T00:00:00"/>
    <x v="3"/>
    <s v="Julie Jenkins"/>
    <s v="NovaHealth Lakeshore Regional Center"/>
    <s v="Male"/>
    <n v="54"/>
    <x v="2"/>
    <n v="4"/>
    <x v="1"/>
    <x v="1"/>
    <n v="14009.73"/>
    <n v="9878.01"/>
    <n v="8.9"/>
    <x v="2"/>
    <x v="0"/>
  </r>
  <r>
    <s v="NHM-2024-100131"/>
    <s v="February"/>
    <x v="2"/>
    <n v="2"/>
    <d v="2025-02-20T00:00:00"/>
    <x v="1"/>
    <s v="Alexander Bryant"/>
    <s v="NovaHealth Northside Hospital"/>
    <s v="Male"/>
    <n v="46"/>
    <x v="0"/>
    <n v="1"/>
    <x v="3"/>
    <x v="3"/>
    <n v="7270.04"/>
    <n v="5363.93"/>
    <n v="7.1"/>
    <x v="0"/>
    <x v="0"/>
  </r>
  <r>
    <s v="NHM-2026-101768"/>
    <s v="May"/>
    <x v="9"/>
    <n v="5"/>
    <d v="2024-05-08T00:00:00"/>
    <x v="0"/>
    <s v="Charles Ward"/>
    <s v="NovaHealth Greenfield Clinic"/>
    <s v="Female"/>
    <n v="53"/>
    <x v="0"/>
    <n v="1"/>
    <x v="0"/>
    <x v="0"/>
    <n v="6901.81"/>
    <n v="5334.98"/>
    <n v="11.2"/>
    <x v="0"/>
    <x v="0"/>
  </r>
  <r>
    <s v="NHM-2026-101383"/>
    <s v="March"/>
    <x v="1"/>
    <n v="3"/>
    <d v="2026-03-17T00:00:00"/>
    <x v="2"/>
    <s v="Eric West"/>
    <s v="NovaHealth River Valley Hospital"/>
    <s v="Female"/>
    <n v="85"/>
    <x v="2"/>
    <n v="4"/>
    <x v="5"/>
    <x v="5"/>
    <n v="11678.28"/>
    <n v="6823.8"/>
    <n v="6.3"/>
    <x v="2"/>
    <x v="1"/>
  </r>
  <r>
    <s v="NHM-2024-100415"/>
    <s v="September"/>
    <x v="7"/>
    <n v="9"/>
    <d v="2025-09-27T00:00:00"/>
    <x v="1"/>
    <s v="Theresa Morales"/>
    <s v="NovaHealth Northside Hospital"/>
    <s v="Male"/>
    <n v="76"/>
    <x v="0"/>
    <n v="1"/>
    <x v="0"/>
    <x v="0"/>
    <n v="10357.75"/>
    <n v="6352.63"/>
    <n v="4.3"/>
    <x v="0"/>
    <x v="1"/>
  </r>
  <r>
    <s v="NHM-2026-100300"/>
    <s v="December"/>
    <x v="6"/>
    <n v="12"/>
    <d v="2024-12-19T00:00:00"/>
    <x v="0"/>
    <s v="Aaron Hughes"/>
    <s v="NovaHealth Chicago Medical Center"/>
    <s v="Male"/>
    <n v="67"/>
    <x v="0"/>
    <n v="4"/>
    <x v="2"/>
    <x v="2"/>
    <n v="5878.14"/>
    <n v="3825.21"/>
    <n v="7.9"/>
    <x v="2"/>
    <x v="1"/>
  </r>
  <r>
    <s v="NHM-2024-102064"/>
    <s v="April"/>
    <x v="0"/>
    <n v="4"/>
    <d v="2026-04-20T00:00:00"/>
    <x v="2"/>
    <s v="Edward Fisher"/>
    <s v="NovaHealth Northside Hospital"/>
    <s v="Male"/>
    <n v="3"/>
    <x v="0"/>
    <n v="2"/>
    <x v="6"/>
    <x v="6"/>
    <n v="1175.47"/>
    <n v="816.36"/>
    <n v="3.6"/>
    <x v="1"/>
    <x v="2"/>
  </r>
  <r>
    <s v="NHM-2025-100197"/>
    <s v="October"/>
    <x v="5"/>
    <n v="10"/>
    <d v="2023-10-19T00:00:00"/>
    <x v="3"/>
    <s v="Christine Henry"/>
    <s v="NovaHealth Metro General Hospital"/>
    <s v="Male"/>
    <n v="67"/>
    <x v="2"/>
    <n v="3"/>
    <x v="2"/>
    <x v="2"/>
    <n v="2578.9499999999998"/>
    <n v="1874.86"/>
    <n v="8.6999999999999993"/>
    <x v="1"/>
    <x v="1"/>
  </r>
  <r>
    <s v="NHM-2024-100222"/>
    <s v="June"/>
    <x v="11"/>
    <n v="6"/>
    <d v="2025-06-30T00:00:00"/>
    <x v="1"/>
    <s v="Jean Price"/>
    <s v="NovaHealth River Valley Hospital"/>
    <s v="Female"/>
    <n v="46"/>
    <x v="1"/>
    <n v="5"/>
    <x v="5"/>
    <x v="5"/>
    <n v="15611.45"/>
    <n v="11427.56"/>
    <n v="3.9"/>
    <x v="2"/>
    <x v="0"/>
  </r>
  <r>
    <s v="NHM-2023-100339"/>
    <s v="May"/>
    <x v="9"/>
    <n v="5"/>
    <d v="2025-05-08T00:00:00"/>
    <x v="1"/>
    <s v="Mark Fisher"/>
    <s v="NovaHealth Greenfield Clinic"/>
    <s v="Female"/>
    <n v="40"/>
    <x v="2"/>
    <n v="3"/>
    <x v="1"/>
    <x v="1"/>
    <n v="12286.68"/>
    <n v="9421.8799999999992"/>
    <n v="10.5"/>
    <x v="1"/>
    <x v="0"/>
  </r>
  <r>
    <s v="NHM-2025-100906"/>
    <s v="December"/>
    <x v="6"/>
    <n v="12"/>
    <d v="2025-12-12T00:00:00"/>
    <x v="1"/>
    <s v="Lisa Green"/>
    <s v="NovaHealth River Valley Hospital"/>
    <s v="Male"/>
    <n v="47"/>
    <x v="1"/>
    <n v="1"/>
    <x v="2"/>
    <x v="2"/>
    <n v="3116.15"/>
    <n v="1864.17"/>
    <n v="7.1"/>
    <x v="0"/>
    <x v="0"/>
  </r>
  <r>
    <s v="NHM-2026-101879"/>
    <s v="April"/>
    <x v="0"/>
    <n v="4"/>
    <d v="2024-04-23T00:00:00"/>
    <x v="0"/>
    <s v="Wayne Wells"/>
    <s v="NovaHealth Lakeside Medical Center"/>
    <s v="Female"/>
    <n v="82"/>
    <x v="2"/>
    <n v="4"/>
    <x v="4"/>
    <x v="4"/>
    <n v="20644.009999999998"/>
    <n v="12669.65"/>
    <n v="9.6"/>
    <x v="2"/>
    <x v="1"/>
  </r>
  <r>
    <s v="NHM-2025-100416"/>
    <s v="June"/>
    <x v="11"/>
    <n v="6"/>
    <d v="2024-06-10T00:00:00"/>
    <x v="0"/>
    <s v="Melissa Diaz"/>
    <s v="NovaHealth Northside Hospital"/>
    <s v="Female"/>
    <n v="55"/>
    <x v="0"/>
    <n v="1"/>
    <x v="1"/>
    <x v="1"/>
    <n v="5434.7"/>
    <n v="3530.21"/>
    <n v="6.5"/>
    <x v="0"/>
    <x v="0"/>
  </r>
  <r>
    <s v="NHM-2023-101104"/>
    <s v="November"/>
    <x v="4"/>
    <n v="11"/>
    <d v="2023-11-29T00:00:00"/>
    <x v="3"/>
    <s v="Alan Chavez"/>
    <s v="NovaHealth Lakeshore Regional Center"/>
    <s v="Male"/>
    <n v="51"/>
    <x v="2"/>
    <n v="4"/>
    <x v="0"/>
    <x v="0"/>
    <n v="10904.09"/>
    <n v="7366.54"/>
    <n v="7.6"/>
    <x v="2"/>
    <x v="0"/>
  </r>
  <r>
    <s v="NHM-2025-101579"/>
    <s v="November"/>
    <x v="4"/>
    <n v="11"/>
    <d v="2023-11-13T00:00:00"/>
    <x v="3"/>
    <s v="Charles Mason"/>
    <s v="NovaHealth Lakeside Medical Center"/>
    <s v="Male"/>
    <n v="85"/>
    <x v="0"/>
    <n v="1"/>
    <x v="1"/>
    <x v="1"/>
    <n v="11141.88"/>
    <n v="7880.92"/>
    <n v="10.199999999999999"/>
    <x v="0"/>
    <x v="1"/>
  </r>
  <r>
    <s v="NHM-2026-101061"/>
    <s v="May"/>
    <x v="9"/>
    <n v="5"/>
    <d v="2025-05-13T00:00:00"/>
    <x v="1"/>
    <s v="Judy Cooper"/>
    <s v="NovaHealth River Valley Hospital"/>
    <s v="Male"/>
    <n v="14"/>
    <x v="0"/>
    <n v="2"/>
    <x v="6"/>
    <x v="6"/>
    <n v="686.65"/>
    <n v="521.25"/>
    <n v="2.5"/>
    <x v="1"/>
    <x v="2"/>
  </r>
  <r>
    <s v="NHM-2025-100776"/>
    <s v="June"/>
    <x v="11"/>
    <n v="6"/>
    <d v="2026-06-02T00:00:00"/>
    <x v="2"/>
    <s v="Madison Murphy"/>
    <s v="NovaHealth Midtown Medical Center"/>
    <s v="Female"/>
    <n v="72"/>
    <x v="1"/>
    <n v="5"/>
    <x v="4"/>
    <x v="4"/>
    <n v="18441.88"/>
    <n v="14129.43"/>
    <n v="14.2"/>
    <x v="2"/>
    <x v="1"/>
  </r>
  <r>
    <s v="NHM-2025-102387"/>
    <s v="April"/>
    <x v="0"/>
    <n v="4"/>
    <d v="2024-04-22T00:00:00"/>
    <x v="0"/>
    <s v="Joyce Warren"/>
    <s v="NovaHealth Metro General Hospital"/>
    <s v="Male"/>
    <n v="19"/>
    <x v="0"/>
    <n v="1"/>
    <x v="2"/>
    <x v="2"/>
    <n v="3254.05"/>
    <n v="1964.15"/>
    <n v="9.6"/>
    <x v="0"/>
    <x v="0"/>
  </r>
  <r>
    <s v="NHM-2024-100121"/>
    <s v="March"/>
    <x v="1"/>
    <n v="3"/>
    <d v="2024-03-15T00:00:00"/>
    <x v="0"/>
    <s v="Ronald Mendoza"/>
    <s v="NovaHealth Midtown Medical Center"/>
    <s v="Male"/>
    <n v="10"/>
    <x v="2"/>
    <n v="3"/>
    <x v="6"/>
    <x v="6"/>
    <n v="2746.42"/>
    <n v="1712.92"/>
    <n v="4.7"/>
    <x v="1"/>
    <x v="2"/>
  </r>
  <r>
    <s v="NHM-2025-100397"/>
    <s v="September"/>
    <x v="7"/>
    <n v="9"/>
    <d v="2025-09-26T00:00:00"/>
    <x v="1"/>
    <s v="Jasmine Ortiz"/>
    <s v="NovaHealth Lakeside Medical Center"/>
    <s v="Female"/>
    <n v="28"/>
    <x v="0"/>
    <n v="1"/>
    <x v="7"/>
    <x v="7"/>
    <n v="3851.09"/>
    <n v="2639.9"/>
    <n v="21.9"/>
    <x v="0"/>
    <x v="0"/>
  </r>
  <r>
    <s v="NHM-2026-101748"/>
    <s v="July"/>
    <x v="8"/>
    <n v="7"/>
    <d v="2024-07-10T00:00:00"/>
    <x v="0"/>
    <s v="Paul Bryant"/>
    <s v="NovaHealth Northside Hospital"/>
    <s v="Female"/>
    <n v="78"/>
    <x v="0"/>
    <n v="3"/>
    <x v="5"/>
    <x v="5"/>
    <n v="15282.51"/>
    <n v="10255.280000000001"/>
    <n v="2"/>
    <x v="1"/>
    <x v="1"/>
  </r>
  <r>
    <s v="NHM-2024-101612"/>
    <s v="December"/>
    <x v="6"/>
    <n v="12"/>
    <d v="2025-12-25T00:00:00"/>
    <x v="1"/>
    <s v="Debra Henderson"/>
    <s v="NovaHealth Midtown Medical Center"/>
    <s v="Female"/>
    <n v="71"/>
    <x v="0"/>
    <n v="1"/>
    <x v="7"/>
    <x v="7"/>
    <n v="4645.6499999999996"/>
    <n v="3396.75"/>
    <n v="18.100000000000001"/>
    <x v="0"/>
    <x v="1"/>
  </r>
  <r>
    <s v="NHM-2024-101178"/>
    <s v="March"/>
    <x v="1"/>
    <n v="3"/>
    <d v="2024-03-18T00:00:00"/>
    <x v="0"/>
    <s v="John Torres"/>
    <s v="NovaHealth Metro General Hospital"/>
    <s v="Female"/>
    <n v="32"/>
    <x v="0"/>
    <n v="1"/>
    <x v="2"/>
    <x v="2"/>
    <n v="2074.37"/>
    <n v="1571.09"/>
    <n v="7.1"/>
    <x v="0"/>
    <x v="0"/>
  </r>
  <r>
    <s v="NHM-2023-100236"/>
    <s v="May"/>
    <x v="9"/>
    <n v="5"/>
    <d v="2026-05-27T00:00:00"/>
    <x v="2"/>
    <s v="Mary Hamilton"/>
    <s v="NovaHealth Chicago Medical Center"/>
    <s v="Male"/>
    <n v="60"/>
    <x v="0"/>
    <n v="3"/>
    <x v="3"/>
    <x v="3"/>
    <n v="7018.29"/>
    <n v="5422.7"/>
    <n v="11.1"/>
    <x v="1"/>
    <x v="0"/>
  </r>
  <r>
    <s v="NHM-2026-100054"/>
    <s v="December"/>
    <x v="6"/>
    <n v="12"/>
    <d v="2025-12-11T00:00:00"/>
    <x v="1"/>
    <s v="Margaret Stewart"/>
    <s v="NovaHealth Lakeside Medical Center"/>
    <s v="Male"/>
    <n v="77"/>
    <x v="2"/>
    <n v="2"/>
    <x v="3"/>
    <x v="3"/>
    <n v="4658.96"/>
    <n v="2735.8"/>
    <n v="4.2"/>
    <x v="1"/>
    <x v="1"/>
  </r>
  <r>
    <s v="NHM-2025-100742"/>
    <s v="March"/>
    <x v="1"/>
    <n v="3"/>
    <d v="2025-03-23T00:00:00"/>
    <x v="1"/>
    <s v="Frances Gibson"/>
    <s v="NovaHealth Midtown Medical Center"/>
    <s v="Female"/>
    <n v="23"/>
    <x v="0"/>
    <n v="1"/>
    <x v="1"/>
    <x v="1"/>
    <n v="4690.55"/>
    <n v="2918.84"/>
    <n v="7.2"/>
    <x v="0"/>
    <x v="0"/>
  </r>
  <r>
    <s v="NHM-2026-100274"/>
    <s v="September"/>
    <x v="7"/>
    <n v="9"/>
    <d v="2025-09-25T00:00:00"/>
    <x v="1"/>
    <s v="Randy Cooper"/>
    <s v="NovaHealth Lakeside Medical Center"/>
    <s v="Male"/>
    <n v="56"/>
    <x v="0"/>
    <n v="2"/>
    <x v="1"/>
    <x v="1"/>
    <n v="6855.98"/>
    <n v="4387.83"/>
    <m/>
    <x v="1"/>
    <x v="0"/>
  </r>
  <r>
    <s v="NHM-2024-100011"/>
    <s v="November"/>
    <x v="4"/>
    <n v="11"/>
    <d v="2024-11-15T00:00:00"/>
    <x v="0"/>
    <s v="Patrick Harrison"/>
    <s v="NovaHealth Chicago Medical Center"/>
    <s v="Female"/>
    <n v="55"/>
    <x v="0"/>
    <n v="2"/>
    <x v="1"/>
    <x v="1"/>
    <n v="6405.43"/>
    <n v="4315.6400000000003"/>
    <n v="3"/>
    <x v="1"/>
    <x v="0"/>
  </r>
  <r>
    <s v="NHM-2023-101374"/>
    <s v="December"/>
    <x v="6"/>
    <n v="12"/>
    <d v="2024-12-24T00:00:00"/>
    <x v="0"/>
    <s v="Lisa Powell"/>
    <s v="NovaHealth River Valley Hospital"/>
    <s v="Female"/>
    <n v="81"/>
    <x v="0"/>
    <n v="3"/>
    <x v="1"/>
    <x v="1"/>
    <n v="13169.08"/>
    <n v="9251.9599999999991"/>
    <n v="4.2"/>
    <x v="1"/>
    <x v="1"/>
  </r>
  <r>
    <s v="NHM-2024-101266"/>
    <s v="September"/>
    <x v="7"/>
    <n v="9"/>
    <d v="2025-09-09T00:00:00"/>
    <x v="1"/>
    <s v="Raymond Patel"/>
    <s v="NovaHealth Chicago Medical Center"/>
    <s v="Male"/>
    <n v="65"/>
    <x v="0"/>
    <n v="1"/>
    <x v="1"/>
    <x v="1"/>
    <n v="4976.9799999999996"/>
    <n v="3691.6"/>
    <n v="7.3"/>
    <x v="0"/>
    <x v="1"/>
  </r>
  <r>
    <s v="NHM-2026-101035"/>
    <s v="March"/>
    <x v="1"/>
    <n v="3"/>
    <d v="2024-03-19T00:00:00"/>
    <x v="0"/>
    <s v="Patricia Morales"/>
    <s v="NovaHealth Midtown Medical Center"/>
    <s v="Male"/>
    <n v="80"/>
    <x v="2"/>
    <n v="3"/>
    <x v="1"/>
    <x v="1"/>
    <n v="11210.97"/>
    <n v="8566.74"/>
    <n v="5.8"/>
    <x v="1"/>
    <x v="1"/>
  </r>
  <r>
    <s v="NHM-2024-101167"/>
    <s v="September"/>
    <x v="7"/>
    <n v="9"/>
    <d v="2025-09-19T00:00:00"/>
    <x v="1"/>
    <s v="Gloria Hayes"/>
    <s v="NovaHealth Chicago Medical Center"/>
    <s v="Female"/>
    <n v="63"/>
    <x v="0"/>
    <n v="2"/>
    <x v="2"/>
    <x v="2"/>
    <n v="5010.01"/>
    <n v="2959.41"/>
    <n v="6.7"/>
    <x v="1"/>
    <x v="0"/>
  </r>
  <r>
    <s v="NHM-2026-101353"/>
    <s v="September"/>
    <x v="7"/>
    <n v="9"/>
    <d v="2025-09-01T00:00:00"/>
    <x v="1"/>
    <s v="Teresa Brown"/>
    <s v="NovaHealth Midtown Medical Center"/>
    <s v="Female"/>
    <n v="58"/>
    <x v="2"/>
    <n v="4"/>
    <x v="4"/>
    <x v="4"/>
    <n v="11839.58"/>
    <n v="7303.74"/>
    <n v="10.199999999999999"/>
    <x v="2"/>
    <x v="0"/>
  </r>
  <r>
    <s v="NHM-2026-100941"/>
    <s v="September"/>
    <x v="7"/>
    <n v="9"/>
    <d v="2024-09-20T00:00:00"/>
    <x v="0"/>
    <s v="Larry Bennett"/>
    <s v="NovaHealth Lakeside Medical Center"/>
    <s v="Female"/>
    <n v="16"/>
    <x v="0"/>
    <n v="1"/>
    <x v="6"/>
    <x v="6"/>
    <n v="1254.6099999999999"/>
    <n v="843.75"/>
    <n v="5.0999999999999996"/>
    <x v="0"/>
    <x v="2"/>
  </r>
  <r>
    <s v="NHM-2024-101658"/>
    <s v="March"/>
    <x v="1"/>
    <n v="3"/>
    <d v="2026-03-17T00:00:00"/>
    <x v="2"/>
    <s v="Alexander Graham"/>
    <s v="NovaHealth Northside Hospital"/>
    <s v="Female"/>
    <n v="89"/>
    <x v="2"/>
    <n v="4"/>
    <x v="4"/>
    <x v="4"/>
    <n v="18390.89"/>
    <n v="12421.1"/>
    <n v="12.4"/>
    <x v="2"/>
    <x v="1"/>
  </r>
  <r>
    <s v="NHM-2024-101391"/>
    <s v="October"/>
    <x v="5"/>
    <n v="10"/>
    <d v="2023-10-11T00:00:00"/>
    <x v="3"/>
    <s v="Evelyn Ellis"/>
    <s v="NovaHealth Metro General Hospital"/>
    <s v="Male"/>
    <n v="36"/>
    <x v="0"/>
    <n v="2"/>
    <x v="7"/>
    <x v="7"/>
    <n v="7347.42"/>
    <n v="5255.19"/>
    <n v="14"/>
    <x v="1"/>
    <x v="0"/>
  </r>
  <r>
    <s v="NHM-2025-100656"/>
    <s v="January"/>
    <x v="3"/>
    <n v="1"/>
    <d v="2025-01-08T00:00:00"/>
    <x v="1"/>
    <s v="Paul Murphy"/>
    <s v="NovaHealth Lakeside Medical Center"/>
    <s v="Male"/>
    <n v="53"/>
    <x v="2"/>
    <n v="3"/>
    <x v="5"/>
    <x v="5"/>
    <n v="12902.94"/>
    <n v="9466.35"/>
    <n v="5.9"/>
    <x v="1"/>
    <x v="0"/>
  </r>
  <r>
    <s v="NHM-2025-101354"/>
    <s v="October"/>
    <x v="5"/>
    <n v="10"/>
    <d v="2024-10-22T00:00:00"/>
    <x v="0"/>
    <s v="Grace Cox"/>
    <s v="NovaHealth Lakeside Medical Center"/>
    <s v="Male"/>
    <n v="2"/>
    <x v="0"/>
    <n v="2"/>
    <x v="6"/>
    <x v="6"/>
    <n v="1661.72"/>
    <n v="1301.31"/>
    <n v="4.8"/>
    <x v="1"/>
    <x v="2"/>
  </r>
  <r>
    <s v="NHM-2024-102335"/>
    <s v="January"/>
    <x v="3"/>
    <n v="1"/>
    <d v="2024-01-16T00:00:00"/>
    <x v="0"/>
    <s v="Nicholas Cole"/>
    <s v="NovaHealth Greenfield Clinic"/>
    <s v="Male"/>
    <n v="6"/>
    <x v="0"/>
    <n v="2"/>
    <x v="6"/>
    <x v="6"/>
    <n v="1336.04"/>
    <n v="795.7"/>
    <n v="2.6"/>
    <x v="1"/>
    <x v="2"/>
  </r>
  <r>
    <s v="NHM-2025-100061"/>
    <s v="December"/>
    <x v="6"/>
    <n v="12"/>
    <d v="2024-12-18T00:00:00"/>
    <x v="0"/>
    <s v="Sandra James"/>
    <s v="NovaHealth Lakeshore Regional Center"/>
    <s v="Female"/>
    <n v="44"/>
    <x v="2"/>
    <n v="1"/>
    <x v="7"/>
    <x v="7"/>
    <n v="3682.85"/>
    <n v="2431.34"/>
    <n v="23.1"/>
    <x v="0"/>
    <x v="0"/>
  </r>
  <r>
    <s v="NHM-2026-100408"/>
    <s v="July"/>
    <x v="8"/>
    <n v="7"/>
    <d v="2025-07-01T00:00:00"/>
    <x v="1"/>
    <s v="Valerie Stewart"/>
    <s v="NovaHealth Greenfield Clinic"/>
    <s v="Female"/>
    <n v="64"/>
    <x v="0"/>
    <n v="1"/>
    <x v="0"/>
    <x v="0"/>
    <n v="9356.19"/>
    <n v="6046.36"/>
    <n v="7.3"/>
    <x v="0"/>
    <x v="0"/>
  </r>
  <r>
    <s v="NHM-2023-102467"/>
    <s v="June"/>
    <x v="11"/>
    <n v="6"/>
    <d v="2024-06-26T00:00:00"/>
    <x v="0"/>
    <s v="Gabriel Ortiz"/>
    <s v="NovaHealth Chicago Medical Center"/>
    <s v="Female"/>
    <n v="61"/>
    <x v="0"/>
    <n v="3"/>
    <x v="3"/>
    <x v="3"/>
    <n v="10865.17"/>
    <n v="7338.86"/>
    <n v="7.4"/>
    <x v="1"/>
    <x v="0"/>
  </r>
  <r>
    <s v="NHM-2025-100568"/>
    <s v="June"/>
    <x v="11"/>
    <n v="6"/>
    <d v="2024-06-20T00:00:00"/>
    <x v="0"/>
    <s v="Kathryn Cruz"/>
    <s v="NovaHealth Lakeside Medical Center"/>
    <s v="Female"/>
    <n v="33"/>
    <x v="0"/>
    <n v="1"/>
    <x v="0"/>
    <x v="0"/>
    <n v="8126.41"/>
    <n v="5756.49"/>
    <n v="8.5"/>
    <x v="0"/>
    <x v="0"/>
  </r>
  <r>
    <s v="NHM-2025-100797"/>
    <s v="May"/>
    <x v="9"/>
    <n v="5"/>
    <d v="2024-05-21T00:00:00"/>
    <x v="0"/>
    <s v="Janet Stewart"/>
    <s v="NovaHealth Metro General Hospital"/>
    <s v="Female"/>
    <n v="48"/>
    <x v="0"/>
    <n v="1"/>
    <x v="1"/>
    <x v="1"/>
    <n v="7250.9"/>
    <n v="5382.76"/>
    <n v="11.2"/>
    <x v="0"/>
    <x v="0"/>
  </r>
  <r>
    <s v="NHM-2025-102360"/>
    <s v="January"/>
    <x v="3"/>
    <n v="1"/>
    <d v="2025-01-23T00:00:00"/>
    <x v="1"/>
    <s v="Sandra Anderson"/>
    <s v="NovaHealth Lakeside Medical Center"/>
    <s v="Female"/>
    <n v="63"/>
    <x v="2"/>
    <n v="3"/>
    <x v="3"/>
    <x v="3"/>
    <n v="10560.82"/>
    <n v="8103.02"/>
    <n v="9.6"/>
    <x v="1"/>
    <x v="0"/>
  </r>
  <r>
    <s v="NHM-2024-102108"/>
    <s v="August"/>
    <x v="10"/>
    <n v="8"/>
    <d v="2024-08-20T00:00:00"/>
    <x v="0"/>
    <s v="Aaron Henderson"/>
    <s v="NovaHealth Northside Hospital"/>
    <s v="Female"/>
    <n v="60"/>
    <x v="0"/>
    <n v="1"/>
    <x v="1"/>
    <x v="1"/>
    <n v="8771.92"/>
    <n v="5178.91"/>
    <n v="11.4"/>
    <x v="0"/>
    <x v="0"/>
  </r>
  <r>
    <s v="NHM-2023-102030"/>
    <s v="April"/>
    <x v="0"/>
    <n v="4"/>
    <d v="2024-04-10T00:00:00"/>
    <x v="0"/>
    <s v="Larry Brooks"/>
    <s v="NovaHealth Chicago Medical Center"/>
    <s v="Female"/>
    <n v="43"/>
    <x v="2"/>
    <n v="4"/>
    <x v="5"/>
    <x v="5"/>
    <n v="20417.669999999998"/>
    <n v="12493.98"/>
    <n v="4.9000000000000004"/>
    <x v="2"/>
    <x v="0"/>
  </r>
  <r>
    <s v="NHM-2026-101766"/>
    <s v="October"/>
    <x v="5"/>
    <n v="10"/>
    <d v="2023-10-20T00:00:00"/>
    <x v="3"/>
    <s v="Janet Walker"/>
    <s v="NovaHealth Metro General Hospital"/>
    <s v="Female"/>
    <n v="48"/>
    <x v="0"/>
    <n v="2"/>
    <x v="0"/>
    <x v="0"/>
    <n v="12124.05"/>
    <n v="7790.59"/>
    <n v="3.9"/>
    <x v="1"/>
    <x v="0"/>
  </r>
  <r>
    <s v="NHM-2024-100220"/>
    <s v="May"/>
    <x v="9"/>
    <n v="5"/>
    <d v="2024-05-24T00:00:00"/>
    <x v="0"/>
    <s v="Eugene King"/>
    <s v="NovaHealth Lakeside Medical Center"/>
    <s v="Female"/>
    <n v="53"/>
    <x v="1"/>
    <n v="4"/>
    <x v="7"/>
    <x v="7"/>
    <n v="6464.14"/>
    <n v="4496.57"/>
    <n v="20.7"/>
    <x v="2"/>
    <x v="0"/>
  </r>
  <r>
    <s v="NHM-2024-101340"/>
    <s v="September"/>
    <x v="7"/>
    <n v="9"/>
    <d v="2023-09-28T00:00:00"/>
    <x v="3"/>
    <s v="Stephen Adams"/>
    <s v="NovaHealth River Valley Hospital"/>
    <s v="Male"/>
    <n v="72"/>
    <x v="1"/>
    <n v="3"/>
    <x v="0"/>
    <x v="0"/>
    <n v="13220.66"/>
    <n v="9341.66"/>
    <n v="10.9"/>
    <x v="1"/>
    <x v="1"/>
  </r>
  <r>
    <s v="NHM-2023-102405"/>
    <s v="December"/>
    <x v="6"/>
    <n v="12"/>
    <d v="2023-12-14T00:00:00"/>
    <x v="3"/>
    <s v="Gary Hicks"/>
    <s v="NovaHealth Northside Hospital"/>
    <s v="Female"/>
    <n v="47"/>
    <x v="2"/>
    <n v="5"/>
    <x v="3"/>
    <x v="3"/>
    <n v="12811.89"/>
    <n v="9397.48"/>
    <n v="5.6"/>
    <x v="2"/>
    <x v="0"/>
  </r>
  <r>
    <s v="NHM-2025-101498"/>
    <s v="May"/>
    <x v="9"/>
    <n v="5"/>
    <d v="2024-05-14T00:00:00"/>
    <x v="0"/>
    <s v="Austin Mendoza"/>
    <s v="NovaHealth Greenfield Clinic"/>
    <s v="Female"/>
    <n v="92"/>
    <x v="1"/>
    <n v="3"/>
    <x v="4"/>
    <x v="4"/>
    <n v="18539.169999999998"/>
    <n v="14232.97"/>
    <n v="17.899999999999999"/>
    <x v="1"/>
    <x v="1"/>
  </r>
  <r>
    <s v="NHM-2023-100738"/>
    <s v="January"/>
    <x v="3"/>
    <n v="1"/>
    <d v="2026-01-07T00:00:00"/>
    <x v="2"/>
    <s v="Timothy Reed"/>
    <s v="NovaHealth Lakeshore Regional Center"/>
    <s v="Female"/>
    <n v="79"/>
    <x v="0"/>
    <n v="1"/>
    <x v="2"/>
    <x v="2"/>
    <n v="3254.64"/>
    <n v="1948.49"/>
    <n v="7.6"/>
    <x v="0"/>
    <x v="1"/>
  </r>
  <r>
    <s v="NHM-2023-101032"/>
    <s v="April"/>
    <x v="0"/>
    <n v="4"/>
    <d v="2024-04-17T00:00:00"/>
    <x v="0"/>
    <s v="Kimberly Reyes"/>
    <s v="NovaHealth Greenfield Clinic"/>
    <s v="Female"/>
    <n v="62"/>
    <x v="0"/>
    <n v="2"/>
    <x v="3"/>
    <x v="3"/>
    <n v="6005.47"/>
    <n v="3723.34"/>
    <n v="7.5"/>
    <x v="1"/>
    <x v="0"/>
  </r>
  <r>
    <s v="NHM-2023-101341"/>
    <s v="September"/>
    <x v="7"/>
    <n v="9"/>
    <d v="2025-09-08T00:00:00"/>
    <x v="1"/>
    <s v="Emma Murray"/>
    <s v="NovaHealth Northside Hospital"/>
    <s v="Male"/>
    <n v="36"/>
    <x v="2"/>
    <n v="1"/>
    <x v="7"/>
    <x v="7"/>
    <n v="6238.81"/>
    <n v="4132.04"/>
    <n v="17.399999999999999"/>
    <x v="0"/>
    <x v="0"/>
  </r>
  <r>
    <s v="NHM-2025-100191"/>
    <s v="July"/>
    <x v="8"/>
    <n v="7"/>
    <d v="2026-07-15T00:00:00"/>
    <x v="2"/>
    <s v="Dorothy Hayes"/>
    <s v="NovaHealth Lakeside Medical Center"/>
    <s v="Male"/>
    <n v="52"/>
    <x v="0"/>
    <n v="3"/>
    <x v="5"/>
    <x v="5"/>
    <n v="17892.009999999998"/>
    <n v="12022.05"/>
    <n v="4.3"/>
    <x v="1"/>
    <x v="0"/>
  </r>
  <r>
    <s v="NHM-2023-101328"/>
    <s v="April"/>
    <x v="0"/>
    <n v="4"/>
    <d v="2024-04-08T00:00:00"/>
    <x v="0"/>
    <s v="Frank Jenkins"/>
    <s v="NovaHealth Lakeside Medical Center"/>
    <s v="Female"/>
    <n v="64"/>
    <x v="1"/>
    <n v="5"/>
    <x v="4"/>
    <x v="4"/>
    <n v="17747.599999999999"/>
    <n v="12562.52"/>
    <n v="17.399999999999999"/>
    <x v="2"/>
    <x v="0"/>
  </r>
  <r>
    <s v="NHM-2026-100865"/>
    <s v="March"/>
    <x v="1"/>
    <n v="3"/>
    <d v="2026-03-11T00:00:00"/>
    <x v="2"/>
    <s v="Charles Jenkins"/>
    <s v="NovaHealth Chicago Medical Center"/>
    <s v="Male"/>
    <n v="5"/>
    <x v="0"/>
    <n v="1"/>
    <x v="6"/>
    <x v="6"/>
    <n v="2043.52"/>
    <n v="1530.97"/>
    <n v="4.9000000000000004"/>
    <x v="0"/>
    <x v="2"/>
  </r>
  <r>
    <s v="NHM-2026-102055"/>
    <s v="June"/>
    <x v="11"/>
    <n v="6"/>
    <d v="2026-06-25T00:00:00"/>
    <x v="2"/>
    <s v="Lisa Porter"/>
    <s v="NovaHealth Lakeside Medical Center"/>
    <s v="Male"/>
    <n v="36"/>
    <x v="0"/>
    <n v="2"/>
    <x v="1"/>
    <x v="1"/>
    <n v="10513.56"/>
    <n v="8072.71"/>
    <n v="10.3"/>
    <x v="1"/>
    <x v="0"/>
  </r>
  <r>
    <s v="NHM-2026-100709"/>
    <s v="May"/>
    <x v="9"/>
    <n v="5"/>
    <d v="2025-05-07T00:00:00"/>
    <x v="1"/>
    <s v="Keith Nelson"/>
    <s v="NovaHealth Midtown Medical Center"/>
    <s v="Male"/>
    <n v="82"/>
    <x v="1"/>
    <n v="3"/>
    <x v="4"/>
    <x v="4"/>
    <n v="13411.29"/>
    <n v="7860.15"/>
    <n v="10.199999999999999"/>
    <x v="1"/>
    <x v="1"/>
  </r>
  <r>
    <s v="NHM-2026-100610"/>
    <s v="March"/>
    <x v="1"/>
    <n v="3"/>
    <d v="2026-03-24T00:00:00"/>
    <x v="2"/>
    <s v="Martha Warren"/>
    <s v="NovaHealth Northside Hospital"/>
    <s v="Male"/>
    <n v="14"/>
    <x v="0"/>
    <n v="1"/>
    <x v="6"/>
    <x v="6"/>
    <n v="2288.0300000000002"/>
    <n v="1436.5"/>
    <n v="5.0999999999999996"/>
    <x v="0"/>
    <x v="2"/>
  </r>
  <r>
    <s v="NHM-2026-100203"/>
    <s v="October"/>
    <x v="5"/>
    <n v="10"/>
    <d v="2023-10-31T00:00:00"/>
    <x v="3"/>
    <s v="Rachel Gomez"/>
    <s v="NovaHealth River Valley Hospital"/>
    <s v="Male"/>
    <n v="57"/>
    <x v="0"/>
    <n v="2"/>
    <x v="0"/>
    <x v="0"/>
    <n v="4996.75"/>
    <n v="3246.72"/>
    <n v="6.1"/>
    <x v="1"/>
    <x v="0"/>
  </r>
  <r>
    <s v="NHM-2026-102476"/>
    <s v="November"/>
    <x v="4"/>
    <n v="11"/>
    <d v="2025-11-28T00:00:00"/>
    <x v="1"/>
    <s v="Bruce Mcdonald"/>
    <s v="NovaHealth Northside Hospital"/>
    <s v="Male"/>
    <n v="76"/>
    <x v="2"/>
    <n v="4"/>
    <x v="0"/>
    <x v="0"/>
    <n v="11009.36"/>
    <n v="7461.87"/>
    <n v="10.7"/>
    <x v="2"/>
    <x v="1"/>
  </r>
  <r>
    <s v="NHM-2025-100345"/>
    <s v="May"/>
    <x v="9"/>
    <n v="5"/>
    <d v="2026-05-29T00:00:00"/>
    <x v="2"/>
    <s v="Amanda Ortiz"/>
    <s v="NovaHealth Lakeside Medical Center"/>
    <s v="Male"/>
    <n v="55"/>
    <x v="0"/>
    <n v="2"/>
    <x v="1"/>
    <x v="1"/>
    <n v="10750.75"/>
    <n v="7552.72"/>
    <n v="3.4"/>
    <x v="1"/>
    <x v="0"/>
  </r>
  <r>
    <s v="NHM-2023-100614"/>
    <s v="February"/>
    <x v="2"/>
    <n v="2"/>
    <d v="2026-02-22T00:00:00"/>
    <x v="2"/>
    <s v="Elizabeth Diaz"/>
    <s v="NovaHealth Midtown Medical Center"/>
    <s v="Male"/>
    <n v="70"/>
    <x v="0"/>
    <n v="2"/>
    <x v="2"/>
    <x v="2"/>
    <n v="3835.3"/>
    <n v="2849.37"/>
    <n v="6.2"/>
    <x v="1"/>
    <x v="1"/>
  </r>
  <r>
    <s v="NHM-2023-101134"/>
    <s v="June"/>
    <x v="11"/>
    <n v="6"/>
    <d v="2024-06-27T00:00:00"/>
    <x v="0"/>
    <s v="Ronald Ramos"/>
    <s v="NovaHealth Northside Hospital"/>
    <s v="Male"/>
    <n v="83"/>
    <x v="0"/>
    <n v="2"/>
    <x v="7"/>
    <x v="7"/>
    <n v="3366.22"/>
    <n v="2683.13"/>
    <n v="15.6"/>
    <x v="1"/>
    <x v="1"/>
  </r>
  <r>
    <s v="NHM-2023-102254"/>
    <s v="January"/>
    <x v="3"/>
    <n v="1"/>
    <d v="2024-01-10T00:00:00"/>
    <x v="0"/>
    <s v="Christine Cruz"/>
    <s v="NovaHealth River Valley Hospital"/>
    <s v="Female"/>
    <n v="45"/>
    <x v="0"/>
    <n v="1"/>
    <x v="3"/>
    <x v="3"/>
    <n v="4628.9799999999996"/>
    <n v="2764.01"/>
    <n v="9.9"/>
    <x v="0"/>
    <x v="0"/>
  </r>
  <r>
    <s v="NHM-2023-100585"/>
    <s v="May"/>
    <x v="9"/>
    <n v="5"/>
    <d v="2024-05-13T00:00:00"/>
    <x v="0"/>
    <s v="Maria Hughes"/>
    <s v="NovaHealth Midtown Medical Center"/>
    <s v="Male"/>
    <n v="38"/>
    <x v="0"/>
    <n v="1"/>
    <x v="1"/>
    <x v="1"/>
    <n v="10644.15"/>
    <n v="6520.93"/>
    <n v="3.5"/>
    <x v="0"/>
    <x v="0"/>
  </r>
  <r>
    <s v="NHM-2024-101343"/>
    <s v="March"/>
    <x v="1"/>
    <n v="3"/>
    <d v="2025-03-14T00:00:00"/>
    <x v="1"/>
    <s v="Deborah Hernandez"/>
    <s v="NovaHealth Chicago Medical Center"/>
    <s v="Male"/>
    <n v="76"/>
    <x v="1"/>
    <n v="5"/>
    <x v="4"/>
    <x v="4"/>
    <n v="16436.75"/>
    <n v="10644.32"/>
    <n v="15.6"/>
    <x v="2"/>
    <x v="1"/>
  </r>
  <r>
    <s v="NHM-2024-101609"/>
    <s v="June"/>
    <x v="11"/>
    <n v="6"/>
    <d v="2025-06-24T00:00:00"/>
    <x v="1"/>
    <s v="Stephanie Perez"/>
    <s v="NovaHealth Chicago Medical Center"/>
    <s v="Male"/>
    <n v="74"/>
    <x v="0"/>
    <n v="3"/>
    <x v="3"/>
    <x v="3"/>
    <n v="7260.06"/>
    <n v="4954.6400000000003"/>
    <n v="11.3"/>
    <x v="1"/>
    <x v="1"/>
  </r>
  <r>
    <s v="NHM-2025-100076"/>
    <s v="October"/>
    <x v="5"/>
    <n v="10"/>
    <d v="2025-10-17T00:00:00"/>
    <x v="1"/>
    <s v="Angela Porter"/>
    <s v="NovaHealth Chicago Medical Center"/>
    <s v="Female"/>
    <n v="53"/>
    <x v="2"/>
    <n v="3"/>
    <x v="2"/>
    <x v="2"/>
    <n v="6449.24"/>
    <n v="4594.47"/>
    <n v="10"/>
    <x v="1"/>
    <x v="0"/>
  </r>
  <r>
    <s v="NHM-2024-101518"/>
    <s v="April"/>
    <x v="0"/>
    <n v="4"/>
    <d v="2025-04-23T00:00:00"/>
    <x v="1"/>
    <s v="Dennis Murray"/>
    <s v="NovaHealth Northside Hospital"/>
    <s v="Female"/>
    <n v="80"/>
    <x v="0"/>
    <n v="5"/>
    <x v="1"/>
    <x v="1"/>
    <n v="14212.97"/>
    <n v="10436.27"/>
    <n v="7.6"/>
    <x v="2"/>
    <x v="1"/>
  </r>
  <r>
    <s v="NHM-2025-101775"/>
    <s v="January"/>
    <x v="3"/>
    <n v="1"/>
    <d v="2026-01-26T00:00:00"/>
    <x v="2"/>
    <s v="Jose Jenkins"/>
    <s v="NovaHealth Chicago Medical Center"/>
    <s v="Female"/>
    <n v="81"/>
    <x v="0"/>
    <n v="4"/>
    <x v="2"/>
    <x v="2"/>
    <n v="2655.69"/>
    <n v="2057.52"/>
    <n v="4.9000000000000004"/>
    <x v="2"/>
    <x v="1"/>
  </r>
  <r>
    <s v="NHM-2025-101797"/>
    <s v="March"/>
    <x v="1"/>
    <n v="3"/>
    <d v="2024-03-19T00:00:00"/>
    <x v="0"/>
    <s v="Scott Rivera"/>
    <s v="NovaHealth Midtown Medical Center"/>
    <s v="Male"/>
    <n v="73"/>
    <x v="0"/>
    <n v="2"/>
    <x v="3"/>
    <x v="3"/>
    <n v="7306.28"/>
    <n v="4309.6400000000003"/>
    <n v="9"/>
    <x v="1"/>
    <x v="1"/>
  </r>
  <r>
    <s v="NHM-2025-102436"/>
    <s v="April"/>
    <x v="0"/>
    <n v="4"/>
    <d v="2024-04-19T00:00:00"/>
    <x v="0"/>
    <s v="Betty Jimenez"/>
    <s v="NovaHealth Greenfield Clinic"/>
    <s v="Male"/>
    <n v="66"/>
    <x v="2"/>
    <n v="4"/>
    <x v="3"/>
    <x v="3"/>
    <n v="5971.1"/>
    <n v="3678.37"/>
    <n v="4.5"/>
    <x v="2"/>
    <x v="1"/>
  </r>
  <r>
    <s v="NHM-2024-101312"/>
    <s v="November"/>
    <x v="4"/>
    <n v="11"/>
    <d v="2024-11-11T00:00:00"/>
    <x v="0"/>
    <s v="Willie Porter"/>
    <s v="NovaHealth Metro General Hospital"/>
    <s v="Female"/>
    <n v="83"/>
    <x v="0"/>
    <n v="2"/>
    <x v="2"/>
    <x v="2"/>
    <n v="1726.35"/>
    <n v="1144.06"/>
    <n v="4.9000000000000004"/>
    <x v="1"/>
    <x v="1"/>
  </r>
  <r>
    <s v="NHM-2024-102397"/>
    <s v="May"/>
    <x v="9"/>
    <n v="5"/>
    <d v="2025-05-30T00:00:00"/>
    <x v="1"/>
    <s v="Gabriel Adams"/>
    <s v="NovaHealth Greenfield Clinic"/>
    <s v="Female"/>
    <n v="36"/>
    <x v="0"/>
    <n v="2"/>
    <x v="1"/>
    <x v="1"/>
    <n v="11175.29"/>
    <n v="7532.24"/>
    <n v="5.6"/>
    <x v="1"/>
    <x v="0"/>
  </r>
  <r>
    <s v="NHM-2026-100689"/>
    <s v="April"/>
    <x v="0"/>
    <n v="4"/>
    <d v="2026-04-26T00:00:00"/>
    <x v="2"/>
    <s v="Mark Jimenez"/>
    <s v="NovaHealth Northside Hospital"/>
    <s v="Female"/>
    <n v="11"/>
    <x v="0"/>
    <n v="2"/>
    <x v="6"/>
    <x v="6"/>
    <n v="2260.5500000000002"/>
    <n v="1589.59"/>
    <n v="0.9"/>
    <x v="1"/>
    <x v="2"/>
  </r>
  <r>
    <s v="NHM-2023-101806"/>
    <s v="February"/>
    <x v="2"/>
    <n v="2"/>
    <d v="2024-02-19T00:00:00"/>
    <x v="0"/>
    <s v="Larry Marshall"/>
    <s v="NovaHealth Chicago Medical Center"/>
    <s v="Male"/>
    <n v="65"/>
    <x v="0"/>
    <n v="1"/>
    <x v="3"/>
    <x v="3"/>
    <n v="7347.89"/>
    <n v="5421.56"/>
    <n v="7.2"/>
    <x v="0"/>
    <x v="1"/>
  </r>
  <r>
    <s v="NHM-2023-101749"/>
    <s v="March"/>
    <x v="1"/>
    <n v="3"/>
    <d v="2024-03-06T00:00:00"/>
    <x v="0"/>
    <s v="Marilyn Murphy"/>
    <s v="NovaHealth Midtown Medical Center"/>
    <s v="Female"/>
    <n v="90"/>
    <x v="2"/>
    <n v="3"/>
    <x v="4"/>
    <x v="4"/>
    <n v="9568.02"/>
    <n v="7373.3"/>
    <n v="12.7"/>
    <x v="1"/>
    <x v="1"/>
  </r>
  <r>
    <s v="NHM-2023-100098"/>
    <s v="January"/>
    <x v="3"/>
    <n v="1"/>
    <d v="2026-01-29T00:00:00"/>
    <x v="2"/>
    <s v="Keith Allen"/>
    <s v="NovaHealth Chicago Medical Center"/>
    <s v="Female"/>
    <n v="29"/>
    <x v="0"/>
    <n v="2"/>
    <x v="7"/>
    <x v="7"/>
    <n v="10533.36"/>
    <n v="6258.15"/>
    <n v="18.600000000000001"/>
    <x v="1"/>
    <x v="0"/>
  </r>
  <r>
    <s v="NHM-2023-100781"/>
    <s v="March"/>
    <x v="1"/>
    <n v="3"/>
    <d v="2024-03-13T00:00:00"/>
    <x v="0"/>
    <s v="Martha Bennett"/>
    <s v="NovaHealth Chicago Medical Center"/>
    <s v="Female"/>
    <n v="61"/>
    <x v="0"/>
    <n v="1"/>
    <x v="3"/>
    <x v="3"/>
    <n v="7767.29"/>
    <n v="4821.25"/>
    <n v="10.4"/>
    <x v="0"/>
    <x v="0"/>
  </r>
  <r>
    <s v="NHM-2025-100292"/>
    <s v="September"/>
    <x v="7"/>
    <n v="9"/>
    <d v="2025-09-30T00:00:00"/>
    <x v="1"/>
    <s v="Sharon Flores"/>
    <s v="NovaHealth Lakeside Medical Center"/>
    <s v="Male"/>
    <n v="5"/>
    <x v="0"/>
    <n v="2"/>
    <x v="6"/>
    <x v="6"/>
    <n v="1094.94"/>
    <n v="731.96"/>
    <n v="3.9"/>
    <x v="1"/>
    <x v="2"/>
  </r>
  <r>
    <s v="NHM-2026-101573"/>
    <s v="May"/>
    <x v="9"/>
    <n v="5"/>
    <d v="2024-05-21T00:00:00"/>
    <x v="0"/>
    <s v="Dylan Ortiz"/>
    <s v="NovaHealth Northside Hospital"/>
    <s v="Female"/>
    <n v="58"/>
    <x v="0"/>
    <n v="1"/>
    <x v="1"/>
    <x v="1"/>
    <n v="8463.11"/>
    <n v="5747.08"/>
    <n v="9.6"/>
    <x v="0"/>
    <x v="0"/>
  </r>
  <r>
    <s v="NHM-2023-100714"/>
    <s v="December"/>
    <x v="6"/>
    <n v="12"/>
    <d v="2023-12-29T00:00:00"/>
    <x v="3"/>
    <s v="Timothy Jackson"/>
    <s v="NovaHealth Lakeside Medical Center"/>
    <s v="Male"/>
    <n v="61"/>
    <x v="0"/>
    <n v="1"/>
    <x v="1"/>
    <x v="1"/>
    <n v="9303.6299999999992"/>
    <n v="6553.34"/>
    <n v="5.0999999999999996"/>
    <x v="0"/>
    <x v="0"/>
  </r>
  <r>
    <s v="NHM-2025-101005"/>
    <s v="July"/>
    <x v="8"/>
    <n v="7"/>
    <d v="2025-07-04T00:00:00"/>
    <x v="1"/>
    <s v="Sharon Kim"/>
    <s v="NovaHealth Chicago Medical Center"/>
    <s v="Female"/>
    <n v="23"/>
    <x v="0"/>
    <n v="1"/>
    <x v="2"/>
    <x v="2"/>
    <n v="3965.25"/>
    <n v="2948.23"/>
    <n v="6.7"/>
    <x v="0"/>
    <x v="0"/>
  </r>
  <r>
    <s v="NHM-2023-101839"/>
    <s v="December"/>
    <x v="6"/>
    <n v="12"/>
    <d v="2023-12-12T00:00:00"/>
    <x v="3"/>
    <s v="Donna Martin"/>
    <s v="NovaHealth Greenfield Clinic"/>
    <s v="Female"/>
    <n v="72"/>
    <x v="1"/>
    <n v="4"/>
    <x v="5"/>
    <x v="5"/>
    <n v="22480.87"/>
    <n v="17175.060000000001"/>
    <n v="11.2"/>
    <x v="2"/>
    <x v="1"/>
  </r>
  <r>
    <s v="NHM-2026-100449"/>
    <s v="April"/>
    <x v="0"/>
    <n v="4"/>
    <d v="2025-04-09T00:00:00"/>
    <x v="1"/>
    <s v="Bruce Reyes"/>
    <s v="NovaHealth Chicago Medical Center"/>
    <s v="Female"/>
    <n v="62"/>
    <x v="0"/>
    <n v="3"/>
    <x v="7"/>
    <x v="7"/>
    <n v="7679.93"/>
    <n v="4572.76"/>
    <n v="14.8"/>
    <x v="1"/>
    <x v="0"/>
  </r>
  <r>
    <s v="NHM-2023-102410"/>
    <s v="May"/>
    <x v="9"/>
    <n v="5"/>
    <d v="2025-05-29T00:00:00"/>
    <x v="1"/>
    <s v="Adam Clark"/>
    <s v="NovaHealth Midtown Medical Center"/>
    <s v="Male"/>
    <n v="55"/>
    <x v="2"/>
    <n v="5"/>
    <x v="4"/>
    <x v="4"/>
    <n v="14672.41"/>
    <n v="9077.3700000000008"/>
    <n v="15.9"/>
    <x v="2"/>
    <x v="0"/>
  </r>
  <r>
    <s v="NHM-2024-102222"/>
    <s v="August"/>
    <x v="10"/>
    <n v="8"/>
    <d v="2025-08-18T00:00:00"/>
    <x v="1"/>
    <s v="Austin Ross"/>
    <s v="NovaHealth River Valley Hospital"/>
    <s v="Female"/>
    <n v="41"/>
    <x v="0"/>
    <n v="2"/>
    <x v="1"/>
    <x v="1"/>
    <n v="8254.9"/>
    <n v="5376.74"/>
    <n v="11.7"/>
    <x v="1"/>
    <x v="0"/>
  </r>
  <r>
    <s v="NHM-2025-101656"/>
    <s v="March"/>
    <x v="1"/>
    <n v="3"/>
    <d v="2024-03-28T00:00:00"/>
    <x v="0"/>
    <s v="Nancy Gomez"/>
    <s v="NovaHealth Northside Hospital"/>
    <s v="Male"/>
    <n v="64"/>
    <x v="0"/>
    <n v="2"/>
    <x v="3"/>
    <x v="3"/>
    <n v="4234.16"/>
    <n v="2879.29"/>
    <n v="5.3"/>
    <x v="1"/>
    <x v="0"/>
  </r>
  <r>
    <s v="NHM-2023-101030"/>
    <s v="July"/>
    <x v="8"/>
    <n v="7"/>
    <d v="2026-07-03T00:00:00"/>
    <x v="2"/>
    <s v="Frank Nguyen"/>
    <s v="NovaHealth Midtown Medical Center"/>
    <s v="Male"/>
    <n v="60"/>
    <x v="0"/>
    <n v="3"/>
    <x v="4"/>
    <x v="4"/>
    <n v="17307.669999999998"/>
    <n v="12197.77"/>
    <n v="10.3"/>
    <x v="1"/>
    <x v="0"/>
  </r>
  <r>
    <s v="NHM-2023-101111"/>
    <s v="November"/>
    <x v="4"/>
    <n v="11"/>
    <d v="2024-11-06T00:00:00"/>
    <x v="0"/>
    <s v="Sandra Reed"/>
    <s v="NovaHealth Chicago Medical Center"/>
    <s v="Female"/>
    <n v="85"/>
    <x v="0"/>
    <n v="1"/>
    <x v="0"/>
    <x v="0"/>
    <n v="7889.54"/>
    <n v="5805.76"/>
    <n v="5.8"/>
    <x v="0"/>
    <x v="1"/>
  </r>
  <r>
    <s v="NHM-2026-102412"/>
    <s v="July"/>
    <x v="8"/>
    <n v="7"/>
    <d v="2024-07-10T00:00:00"/>
    <x v="0"/>
    <s v="Jacob Cruz"/>
    <s v="NovaHealth Northside Hospital"/>
    <s v="Male"/>
    <n v="70"/>
    <x v="0"/>
    <n v="2"/>
    <x v="7"/>
    <x v="7"/>
    <n v="3457.96"/>
    <n v="2770.45"/>
    <n v="17.8"/>
    <x v="1"/>
    <x v="1"/>
  </r>
  <r>
    <s v="NHM-2026-100389"/>
    <s v="May"/>
    <x v="9"/>
    <n v="5"/>
    <d v="2026-05-12T00:00:00"/>
    <x v="2"/>
    <s v="Joan Butler"/>
    <s v="NovaHealth Chicago Medical Center"/>
    <s v="Female"/>
    <n v="74"/>
    <x v="2"/>
    <n v="5"/>
    <x v="4"/>
    <x v="4"/>
    <n v="19507.740000000002"/>
    <n v="11424.89"/>
    <n v="13.8"/>
    <x v="2"/>
    <x v="1"/>
  </r>
  <r>
    <s v="NHM-2026-100889"/>
    <s v="August"/>
    <x v="10"/>
    <n v="8"/>
    <d v="2025-08-15T00:00:00"/>
    <x v="1"/>
    <s v="Amy Simmons"/>
    <s v="NovaHealth Lakeshore Regional Center"/>
    <s v="Male"/>
    <n v="53"/>
    <x v="2"/>
    <n v="2"/>
    <x v="3"/>
    <x v="3"/>
    <n v="9524.2099999999991"/>
    <n v="5888.97"/>
    <n v="9.9"/>
    <x v="1"/>
    <x v="0"/>
  </r>
  <r>
    <s v="NHM-2023-102034"/>
    <s v="September"/>
    <x v="7"/>
    <n v="9"/>
    <d v="2025-09-19T00:00:00"/>
    <x v="1"/>
    <s v="Samantha Gutierrez"/>
    <s v="NovaHealth River Valley Hospital"/>
    <s v="Female"/>
    <n v="58"/>
    <x v="0"/>
    <n v="1"/>
    <x v="1"/>
    <x v="1"/>
    <n v="4573.79"/>
    <n v="2989.63"/>
    <n v="7.8"/>
    <x v="0"/>
    <x v="0"/>
  </r>
  <r>
    <s v="NHM-2025-101174"/>
    <s v="December"/>
    <x v="6"/>
    <n v="12"/>
    <d v="2024-12-04T00:00:00"/>
    <x v="0"/>
    <s v="Rachel Gonzales"/>
    <s v="NovaHealth River Valley Hospital"/>
    <s v="Female"/>
    <n v="69"/>
    <x v="1"/>
    <n v="4"/>
    <x v="4"/>
    <x v="4"/>
    <n v="13095.17"/>
    <n v="8840.16"/>
    <n v="8.3000000000000007"/>
    <x v="2"/>
    <x v="1"/>
  </r>
  <r>
    <s v="NHM-2025-101284"/>
    <s v="January"/>
    <x v="3"/>
    <n v="1"/>
    <d v="2026-01-23T00:00:00"/>
    <x v="2"/>
    <s v="Michael Peterson"/>
    <s v="NovaHealth Metro General Hospital"/>
    <s v="Female"/>
    <n v="30"/>
    <x v="1"/>
    <n v="2"/>
    <x v="7"/>
    <x v="7"/>
    <n v="3159.96"/>
    <n v="2297.5700000000002"/>
    <n v="10.7"/>
    <x v="1"/>
    <x v="0"/>
  </r>
  <r>
    <s v="NHM-2026-101761"/>
    <s v="February"/>
    <x v="2"/>
    <n v="2"/>
    <d v="2025-02-26T00:00:00"/>
    <x v="1"/>
    <s v="Angela Gibson"/>
    <s v="NovaHealth Midtown Medical Center"/>
    <s v="Female"/>
    <n v="5"/>
    <x v="2"/>
    <n v="4"/>
    <x v="6"/>
    <x v="6"/>
    <n v="2093.9499999999998"/>
    <n v="1551.78"/>
    <n v="2.9"/>
    <x v="2"/>
    <x v="2"/>
  </r>
  <r>
    <s v="NHM-2025-100199"/>
    <s v="October"/>
    <x v="5"/>
    <n v="10"/>
    <d v="2023-10-27T00:00:00"/>
    <x v="3"/>
    <s v="Samuel Diaz"/>
    <s v="NovaHealth Northside Hospital"/>
    <s v="Female"/>
    <n v="81"/>
    <x v="2"/>
    <n v="4"/>
    <x v="5"/>
    <x v="5"/>
    <n v="22434.42"/>
    <n v="17110.96"/>
    <n v="7.6"/>
    <x v="2"/>
    <x v="1"/>
  </r>
  <r>
    <s v="NHM-2023-101034"/>
    <s v="May"/>
    <x v="9"/>
    <n v="5"/>
    <d v="2025-05-22T00:00:00"/>
    <x v="1"/>
    <s v="Walter Long"/>
    <s v="NovaHealth Lakeside Medical Center"/>
    <s v="Female"/>
    <n v="0"/>
    <x v="0"/>
    <n v="1"/>
    <x v="6"/>
    <x v="6"/>
    <n v="1167.01"/>
    <n v="689.67"/>
    <n v="1.6"/>
    <x v="0"/>
    <x v="2"/>
  </r>
  <r>
    <s v="NHM-2025-100680"/>
    <s v="July"/>
    <x v="8"/>
    <n v="7"/>
    <d v="2025-07-24T00:00:00"/>
    <x v="1"/>
    <s v="Julia Webb"/>
    <s v="NovaHealth Midtown Medical Center"/>
    <s v="Male"/>
    <n v="85"/>
    <x v="2"/>
    <n v="5"/>
    <x v="4"/>
    <x v="4"/>
    <n v="11501.25"/>
    <n v="7104.56"/>
    <n v="11.1"/>
    <x v="2"/>
    <x v="1"/>
  </r>
  <r>
    <s v="NHM-2024-101073"/>
    <s v="August"/>
    <x v="10"/>
    <n v="8"/>
    <d v="2025-08-16T00:00:00"/>
    <x v="1"/>
    <s v="Sarah Hughes"/>
    <s v="NovaHealth Lakeside Medical Center"/>
    <s v="Male"/>
    <n v="43"/>
    <x v="2"/>
    <n v="3"/>
    <x v="7"/>
    <x v="7"/>
    <n v="6953.35"/>
    <n v="4638.9399999999996"/>
    <n v="23.6"/>
    <x v="1"/>
    <x v="0"/>
  </r>
  <r>
    <s v="NHM-2023-100803"/>
    <s v="June"/>
    <x v="11"/>
    <n v="6"/>
    <d v="2024-06-17T00:00:00"/>
    <x v="0"/>
    <s v="John Ramos"/>
    <s v="NovaHealth Midtown Medical Center"/>
    <s v="Male"/>
    <n v="65"/>
    <x v="0"/>
    <n v="1"/>
    <x v="0"/>
    <x v="0"/>
    <n v="7037.07"/>
    <n v="4799.6400000000003"/>
    <n v="10.6"/>
    <x v="0"/>
    <x v="1"/>
  </r>
  <r>
    <s v="NHM-2024-101513"/>
    <s v="November"/>
    <x v="4"/>
    <n v="11"/>
    <d v="2025-11-26T00:00:00"/>
    <x v="1"/>
    <s v="Dennis Hamilton"/>
    <s v="NovaHealth Midtown Medical Center"/>
    <s v="Male"/>
    <n v="41"/>
    <x v="0"/>
    <n v="1"/>
    <x v="1"/>
    <x v="1"/>
    <n v="9570.07"/>
    <n v="6742.25"/>
    <n v="5.4"/>
    <x v="0"/>
    <x v="0"/>
  </r>
  <r>
    <s v="NHM-2026-100666"/>
    <s v="January"/>
    <x v="3"/>
    <n v="1"/>
    <d v="2024-01-18T00:00:00"/>
    <x v="0"/>
    <s v="Anna Flores"/>
    <s v="NovaHealth Northside Hospital"/>
    <s v="Male"/>
    <n v="54"/>
    <x v="0"/>
    <n v="1"/>
    <x v="2"/>
    <x v="2"/>
    <n v="4037.47"/>
    <n v="2984.95"/>
    <n v="4.7"/>
    <x v="0"/>
    <x v="0"/>
  </r>
  <r>
    <s v="NHM-2023-100997"/>
    <s v="June"/>
    <x v="11"/>
    <n v="6"/>
    <d v="2024-06-14T00:00:00"/>
    <x v="0"/>
    <s v="Thomas Jenkins"/>
    <s v="NovaHealth River Valley Hospital"/>
    <s v="Female"/>
    <n v="64"/>
    <x v="0"/>
    <n v="1"/>
    <x v="2"/>
    <x v="2"/>
    <n v="1428.55"/>
    <n v="1160.9000000000001"/>
    <n v="9.4"/>
    <x v="0"/>
    <x v="0"/>
  </r>
  <r>
    <s v="NHM-2024-101969"/>
    <s v="October"/>
    <x v="5"/>
    <n v="10"/>
    <d v="2023-10-30T00:00:00"/>
    <x v="3"/>
    <s v="Christina Davis"/>
    <s v="NovaHealth Chicago Medical Center"/>
    <s v="Male"/>
    <n v="36"/>
    <x v="2"/>
    <n v="2"/>
    <x v="0"/>
    <x v="0"/>
    <n v="9033.5400000000009"/>
    <n v="5296.25"/>
    <n v="7.1"/>
    <x v="1"/>
    <x v="0"/>
  </r>
  <r>
    <s v="NHM-2024-101586"/>
    <s v="November"/>
    <x v="4"/>
    <n v="11"/>
    <d v="2024-11-11T00:00:00"/>
    <x v="0"/>
    <s v="Virginia Hill"/>
    <s v="NovaHealth Lakeside Medical Center"/>
    <s v="Male"/>
    <n v="66"/>
    <x v="2"/>
    <n v="4"/>
    <x v="3"/>
    <x v="3"/>
    <n v="12267.16"/>
    <n v="7550.17"/>
    <n v="8.4"/>
    <x v="2"/>
    <x v="1"/>
  </r>
  <r>
    <s v="NHM-2024-101094"/>
    <s v="October"/>
    <x v="5"/>
    <n v="10"/>
    <d v="2025-10-07T00:00:00"/>
    <x v="1"/>
    <s v="Abigail Collins"/>
    <s v="NovaHealth Lakeside Medical Center"/>
    <s v="Female"/>
    <n v="13"/>
    <x v="1"/>
    <n v="3"/>
    <x v="6"/>
    <x v="6"/>
    <n v="1103.3699999999999"/>
    <n v="738.96"/>
    <n v="4.0999999999999996"/>
    <x v="1"/>
    <x v="2"/>
  </r>
  <r>
    <s v="NHM-2026-101785"/>
    <s v="July"/>
    <x v="8"/>
    <n v="7"/>
    <d v="2024-07-16T00:00:00"/>
    <x v="0"/>
    <s v="John Hughes"/>
    <s v="NovaHealth Metro General Hospital"/>
    <s v="Male"/>
    <n v="17"/>
    <x v="2"/>
    <n v="1"/>
    <x v="6"/>
    <x v="6"/>
    <n v="557.23"/>
    <n v="412.54"/>
    <n v="4.9000000000000004"/>
    <x v="0"/>
    <x v="2"/>
  </r>
  <r>
    <s v="NHM-2025-100870"/>
    <s v="September"/>
    <x v="7"/>
    <n v="9"/>
    <d v="2025-09-24T00:00:00"/>
    <x v="1"/>
    <s v="Kelly Martinez"/>
    <s v="NovaHealth River Valley Hospital"/>
    <s v="Male"/>
    <n v="13"/>
    <x v="0"/>
    <n v="1"/>
    <x v="6"/>
    <x v="6"/>
    <n v="2325.69"/>
    <n v="1654.38"/>
    <n v="3.3"/>
    <x v="0"/>
    <x v="2"/>
  </r>
  <r>
    <s v="NHM-2025-100711"/>
    <s v="May"/>
    <x v="9"/>
    <n v="5"/>
    <d v="2025-05-28T00:00:00"/>
    <x v="1"/>
    <s v="Betty Walker"/>
    <s v="NovaHealth Oakridge Community Hospital"/>
    <s v="Male"/>
    <n v="81"/>
    <x v="1"/>
    <n v="4"/>
    <x v="5"/>
    <x v="5"/>
    <n v="21220.720000000001"/>
    <n v="15584.73"/>
    <n v="11.7"/>
    <x v="2"/>
    <x v="1"/>
  </r>
  <r>
    <s v="NHM-2026-100401"/>
    <s v="June"/>
    <x v="11"/>
    <n v="6"/>
    <d v="2025-06-23T00:00:00"/>
    <x v="1"/>
    <s v="Angela Russell"/>
    <s v="NovaHealth Chicago Medical Center"/>
    <s v="Male"/>
    <n v="61"/>
    <x v="2"/>
    <n v="5"/>
    <x v="5"/>
    <x v="5"/>
    <n v="20650.43"/>
    <n v="15759.13"/>
    <n v="8.1"/>
    <x v="2"/>
    <x v="0"/>
  </r>
  <r>
    <s v="NHM-2025-101203"/>
    <s v="July"/>
    <x v="8"/>
    <n v="7"/>
    <d v="2024-07-12T00:00:00"/>
    <x v="0"/>
    <s v="Deborah Patterson"/>
    <s v="NovaHealth Oakridge Community Hospital"/>
    <s v="Female"/>
    <n v="93"/>
    <x v="1"/>
    <n v="4"/>
    <x v="4"/>
    <x v="4"/>
    <n v="22000.44"/>
    <n v="12864.26"/>
    <n v="13"/>
    <x v="2"/>
    <x v="1"/>
  </r>
  <r>
    <s v="NHM-2023-100630"/>
    <s v="July"/>
    <x v="8"/>
    <n v="7"/>
    <d v="2024-07-16T00:00:00"/>
    <x v="0"/>
    <s v="Deborah Ruiz"/>
    <s v="NovaHealth Lakeshore Regional Center"/>
    <s v="Female"/>
    <n v="33"/>
    <x v="0"/>
    <n v="1"/>
    <x v="2"/>
    <x v="2"/>
    <n v="1380.49"/>
    <n v="902.9"/>
    <n v="7.6"/>
    <x v="0"/>
    <x v="0"/>
  </r>
  <r>
    <s v="NHM-2024-102181"/>
    <s v="December"/>
    <x v="6"/>
    <n v="12"/>
    <d v="2023-12-08T00:00:00"/>
    <x v="3"/>
    <s v="Roy Reynolds"/>
    <s v="NovaHealth Lakeside Medical Center"/>
    <s v="Male"/>
    <n v="56"/>
    <x v="0"/>
    <n v="3"/>
    <x v="0"/>
    <x v="0"/>
    <n v="8585.4500000000007"/>
    <n v="5589.89"/>
    <n v="11.9"/>
    <x v="1"/>
    <x v="0"/>
  </r>
  <r>
    <s v="NHM-2026-102192"/>
    <s v="February"/>
    <x v="2"/>
    <n v="2"/>
    <d v="2024-02-12T00:00:00"/>
    <x v="0"/>
    <s v="Nicole Long"/>
    <s v="NovaHealth Greenfield Clinic"/>
    <s v="Female"/>
    <n v="83"/>
    <x v="2"/>
    <n v="5"/>
    <x v="4"/>
    <x v="4"/>
    <n v="16174.8"/>
    <n v="10939.52"/>
    <n v="12.8"/>
    <x v="2"/>
    <x v="1"/>
  </r>
  <r>
    <s v="NHM-2023-102006"/>
    <s v="January"/>
    <x v="3"/>
    <n v="1"/>
    <d v="2026-01-13T00:00:00"/>
    <x v="2"/>
    <s v="Lawrence Lewis"/>
    <s v="NovaHealth Chicago Medical Center"/>
    <s v="Female"/>
    <n v="20"/>
    <x v="0"/>
    <n v="1"/>
    <x v="1"/>
    <x v="1"/>
    <n v="6314.94"/>
    <n v="4470.0600000000004"/>
    <n v="6.2"/>
    <x v="0"/>
    <x v="0"/>
  </r>
  <r>
    <s v="NHM-2025-100209"/>
    <s v="May"/>
    <x v="9"/>
    <n v="5"/>
    <d v="2026-05-19T00:00:00"/>
    <x v="2"/>
    <s v="Henry Morgan"/>
    <s v="NovaHealth Lakeshore Regional Center"/>
    <s v="Female"/>
    <n v="79"/>
    <x v="0"/>
    <n v="2"/>
    <x v="2"/>
    <x v="2"/>
    <n v="2216.1799999999998"/>
    <n v="1689.81"/>
    <n v="9"/>
    <x v="1"/>
    <x v="1"/>
  </r>
  <r>
    <s v="NHM-2026-101345"/>
    <s v="February"/>
    <x v="2"/>
    <n v="2"/>
    <d v="2026-02-19T00:00:00"/>
    <x v="2"/>
    <s v="Scott Mitchell"/>
    <s v="NovaHealth Chicago Medical Center"/>
    <s v="Male"/>
    <n v="76"/>
    <x v="1"/>
    <n v="4"/>
    <x v="5"/>
    <x v="5"/>
    <n v="15028.69"/>
    <n v="11469"/>
    <n v="5.9"/>
    <x v="2"/>
    <x v="1"/>
  </r>
  <r>
    <s v="NHM-2024-101047"/>
    <s v="December"/>
    <x v="6"/>
    <n v="12"/>
    <d v="2025-12-24T00:00:00"/>
    <x v="1"/>
    <s v="Randy Rogers"/>
    <s v="NovaHealth Midtown Medical Center"/>
    <s v="Male"/>
    <n v="46"/>
    <x v="0"/>
    <n v="3"/>
    <x v="0"/>
    <x v="0"/>
    <n v="11801.31"/>
    <n v="6887.16"/>
    <n v="5.3"/>
    <x v="1"/>
    <x v="0"/>
  </r>
  <r>
    <s v="NHM-2026-100008"/>
    <s v="March"/>
    <x v="1"/>
    <n v="3"/>
    <d v="2025-03-10T00:00:00"/>
    <x v="1"/>
    <s v="Katherine Young"/>
    <s v="NovaHealth Midtown Medical Center"/>
    <s v="Male"/>
    <n v="84"/>
    <x v="0"/>
    <n v="2"/>
    <x v="3"/>
    <x v="3"/>
    <n v="8373.33"/>
    <n v="5155.7299999999996"/>
    <n v="6"/>
    <x v="1"/>
    <x v="1"/>
  </r>
  <r>
    <s v="NHM-2026-101831"/>
    <s v="November"/>
    <x v="4"/>
    <n v="11"/>
    <d v="2024-11-12T00:00:00"/>
    <x v="0"/>
    <s v="Scott Sanders"/>
    <s v="NovaHealth Lakeside Medical Center"/>
    <s v="Male"/>
    <n v="37"/>
    <x v="0"/>
    <n v="2"/>
    <x v="0"/>
    <x v="0"/>
    <n v="9006.14"/>
    <n v="5856.73"/>
    <n v="11.6"/>
    <x v="1"/>
    <x v="0"/>
  </r>
  <r>
    <s v="NHM-2023-100251"/>
    <s v="July"/>
    <x v="8"/>
    <n v="7"/>
    <d v="2026-07-13T00:00:00"/>
    <x v="2"/>
    <s v="Sharon Alexander"/>
    <s v="NovaHealth Midtown Medical Center"/>
    <s v="Male"/>
    <n v="15"/>
    <x v="0"/>
    <n v="1"/>
    <x v="6"/>
    <x v="6"/>
    <n v="1540.95"/>
    <n v="1038.04"/>
    <n v="0.7"/>
    <x v="0"/>
    <x v="2"/>
  </r>
  <r>
    <s v="NHM-2023-100060"/>
    <s v="April"/>
    <x v="0"/>
    <n v="4"/>
    <d v="2024-04-18T00:00:00"/>
    <x v="0"/>
    <s v="Juan Patterson"/>
    <s v="NovaHealth Northside Hospital"/>
    <s v="Female"/>
    <n v="50"/>
    <x v="2"/>
    <n v="3"/>
    <x v="0"/>
    <x v="0"/>
    <n v="9094.06"/>
    <n v="6383.44"/>
    <n v="2.2000000000000002"/>
    <x v="1"/>
    <x v="0"/>
  </r>
  <r>
    <s v="NHM-2026-102406"/>
    <s v="August"/>
    <x v="10"/>
    <n v="8"/>
    <d v="2025-08-04T00:00:00"/>
    <x v="1"/>
    <s v="Danielle Harrison"/>
    <s v="NovaHealth Lakeside Medical Center"/>
    <s v="Female"/>
    <n v="45"/>
    <x v="0"/>
    <n v="1"/>
    <x v="7"/>
    <x v="7"/>
    <n v="8956.43"/>
    <n v="6691.79"/>
    <n v="19.2"/>
    <x v="0"/>
    <x v="0"/>
  </r>
  <r>
    <s v="NHM-2025-101589"/>
    <s v="January"/>
    <x v="3"/>
    <n v="1"/>
    <d v="2026-01-25T00:00:00"/>
    <x v="2"/>
    <s v="Mark Cook"/>
    <s v="NovaHealth Northside Hospital"/>
    <s v="Female"/>
    <n v="74"/>
    <x v="2"/>
    <n v="4"/>
    <x v="4"/>
    <x v="4"/>
    <n v="17036.169999999998"/>
    <n v="13042.69"/>
    <n v="11.9"/>
    <x v="2"/>
    <x v="1"/>
  </r>
  <r>
    <s v="NHM-2023-102207"/>
    <s v="May"/>
    <x v="9"/>
    <n v="5"/>
    <d v="2026-05-21T00:00:00"/>
    <x v="2"/>
    <s v="Matthew Bryant"/>
    <s v="NovaHealth River Valley Hospital"/>
    <s v="Female"/>
    <n v="46"/>
    <x v="0"/>
    <n v="1"/>
    <x v="1"/>
    <x v="1"/>
    <n v="4728.8100000000004"/>
    <n v="2793.91"/>
    <n v="6.4"/>
    <x v="0"/>
    <x v="0"/>
  </r>
  <r>
    <s v="NHM-2026-100584"/>
    <s v="May"/>
    <x v="9"/>
    <n v="5"/>
    <d v="2025-05-21T00:00:00"/>
    <x v="1"/>
    <s v="Amber Ortiz"/>
    <s v="NovaHealth Greenfield Clinic"/>
    <s v="Female"/>
    <n v="62"/>
    <x v="0"/>
    <n v="3"/>
    <x v="4"/>
    <x v="4"/>
    <n v="12215.94"/>
    <n v="7590.12"/>
    <n v="17.3"/>
    <x v="1"/>
    <x v="0"/>
  </r>
  <r>
    <s v="NHM-2025-100761"/>
    <s v="November"/>
    <x v="4"/>
    <n v="11"/>
    <d v="2023-11-30T00:00:00"/>
    <x v="3"/>
    <s v="Gary Butler"/>
    <s v="NovaHealth Northside Hospital"/>
    <s v="Male"/>
    <n v="22"/>
    <x v="0"/>
    <n v="2"/>
    <x v="2"/>
    <x v="2"/>
    <n v="3140.27"/>
    <n v="2060.17"/>
    <n v="6.3"/>
    <x v="1"/>
    <x v="0"/>
  </r>
  <r>
    <s v="NHM-2023-100869"/>
    <s v="November"/>
    <x v="4"/>
    <n v="11"/>
    <d v="2024-11-22T00:00:00"/>
    <x v="0"/>
    <s v="Beverly Long"/>
    <s v="NovaHealth Lakeside Medical Center"/>
    <s v="Male"/>
    <n v="63"/>
    <x v="0"/>
    <n v="1"/>
    <x v="1"/>
    <x v="1"/>
    <n v="6227.02"/>
    <n v="4238.5"/>
    <n v="8.3000000000000007"/>
    <x v="0"/>
    <x v="0"/>
  </r>
  <r>
    <s v="NHM-2026-101980"/>
    <s v="December"/>
    <x v="6"/>
    <n v="12"/>
    <d v="2023-12-19T00:00:00"/>
    <x v="3"/>
    <s v="Donna James"/>
    <s v="NovaHealth Chicago Medical Center"/>
    <s v="Female"/>
    <n v="74"/>
    <x v="2"/>
    <n v="3"/>
    <x v="1"/>
    <x v="1"/>
    <n v="11999.39"/>
    <n v="8423.57"/>
    <n v="3"/>
    <x v="1"/>
    <x v="1"/>
  </r>
  <r>
    <s v="NHM-2026-101418"/>
    <s v="September"/>
    <x v="7"/>
    <n v="9"/>
    <d v="2023-09-13T00:00:00"/>
    <x v="3"/>
    <s v="Doris Cruz"/>
    <s v="NovaHealth Lakeshore Regional Center"/>
    <s v="Male"/>
    <n v="16"/>
    <x v="2"/>
    <n v="1"/>
    <x v="6"/>
    <x v="6"/>
    <n v="1420.37"/>
    <n v="1044.8699999999999"/>
    <n v="1"/>
    <x v="0"/>
    <x v="2"/>
  </r>
  <r>
    <s v="NHM-2024-100308"/>
    <s v="April"/>
    <x v="0"/>
    <n v="4"/>
    <d v="2024-04-30T00:00:00"/>
    <x v="0"/>
    <s v="Cynthia Tucker"/>
    <s v="NovaHealth Chicago Medical Center"/>
    <s v="Male"/>
    <n v="73"/>
    <x v="0"/>
    <n v="1"/>
    <x v="7"/>
    <x v="7"/>
    <n v="7391.87"/>
    <n v="5770.62"/>
    <n v="19.100000000000001"/>
    <x v="0"/>
    <x v="1"/>
  </r>
  <r>
    <s v="NHM-2024-101508"/>
    <s v="September"/>
    <x v="7"/>
    <n v="9"/>
    <d v="2023-09-13T00:00:00"/>
    <x v="3"/>
    <s v="Jean Kelly"/>
    <s v="NovaHealth River Valley Hospital"/>
    <s v="Male"/>
    <n v="44"/>
    <x v="2"/>
    <n v="1"/>
    <x v="0"/>
    <x v="0"/>
    <n v="6946.72"/>
    <n v="4059.5"/>
    <n v="3.8"/>
    <x v="0"/>
    <x v="0"/>
  </r>
  <r>
    <s v="NHM-2026-100696"/>
    <s v="June"/>
    <x v="11"/>
    <n v="6"/>
    <d v="2026-06-12T00:00:00"/>
    <x v="2"/>
    <s v="Arthur Morales"/>
    <s v="NovaHealth Lakeside Medical Center"/>
    <s v="Male"/>
    <n v="79"/>
    <x v="0"/>
    <n v="3"/>
    <x v="0"/>
    <x v="0"/>
    <n v="9196.42"/>
    <n v="5670.62"/>
    <n v="7.6"/>
    <x v="1"/>
    <x v="1"/>
  </r>
  <r>
    <s v="NHM-2024-102063"/>
    <s v="January"/>
    <x v="3"/>
    <n v="1"/>
    <d v="2026-01-26T00:00:00"/>
    <x v="2"/>
    <s v="Danielle Alvarez"/>
    <s v="NovaHealth Greenfield Clinic"/>
    <s v="Male"/>
    <n v="83"/>
    <x v="1"/>
    <n v="4"/>
    <x v="5"/>
    <x v="5"/>
    <n v="19322.73"/>
    <n v="12382.55"/>
    <n v="2"/>
    <x v="2"/>
    <x v="1"/>
  </r>
  <r>
    <s v="NHM-2023-101903"/>
    <s v="August"/>
    <x v="10"/>
    <n v="8"/>
    <d v="2024-08-22T00:00:00"/>
    <x v="0"/>
    <s v="Sara Howard"/>
    <s v="NovaHealth Midtown Medical Center"/>
    <s v="Female"/>
    <n v="7"/>
    <x v="0"/>
    <n v="2"/>
    <x v="6"/>
    <x v="6"/>
    <n v="1817.7"/>
    <n v="1265.06"/>
    <n v="5.9"/>
    <x v="1"/>
    <x v="2"/>
  </r>
  <r>
    <s v="NHM-2024-100878"/>
    <s v="December"/>
    <x v="6"/>
    <n v="12"/>
    <d v="2024-12-12T00:00:00"/>
    <x v="0"/>
    <s v="Jacqueline Foster"/>
    <s v="NovaHealth River Valley Hospital"/>
    <s v="Female"/>
    <n v="70"/>
    <x v="2"/>
    <n v="4"/>
    <x v="4"/>
    <x v="4"/>
    <n v="16440.04"/>
    <n v="11580.83"/>
    <n v="9.1"/>
    <x v="2"/>
    <x v="1"/>
  </r>
  <r>
    <s v="NHM-2025-100356"/>
    <s v="June"/>
    <x v="11"/>
    <n v="6"/>
    <d v="2026-06-18T00:00:00"/>
    <x v="2"/>
    <s v="Gabriel Nguyen"/>
    <s v="NovaHealth Greenfield Clinic"/>
    <s v="Male"/>
    <n v="81"/>
    <x v="0"/>
    <n v="2"/>
    <x v="7"/>
    <x v="7"/>
    <n v="5052.68"/>
    <n v="3773.26"/>
    <n v="10.6"/>
    <x v="1"/>
    <x v="1"/>
  </r>
  <r>
    <s v="NHM-2023-101842"/>
    <s v="August"/>
    <x v="10"/>
    <n v="8"/>
    <d v="2025-08-23T00:00:00"/>
    <x v="1"/>
    <s v="Juan Myers"/>
    <s v="NovaHealth Northside Hospital"/>
    <s v="Female"/>
    <n v="25"/>
    <x v="0"/>
    <n v="5"/>
    <x v="5"/>
    <x v="5"/>
    <n v="22455.71"/>
    <n v="17156.740000000002"/>
    <n v="11.3"/>
    <x v="2"/>
    <x v="0"/>
  </r>
  <r>
    <s v="NHM-2025-101676"/>
    <s v="November"/>
    <x v="4"/>
    <n v="11"/>
    <d v="2023-11-23T00:00:00"/>
    <x v="3"/>
    <s v="Stephanie Boyd"/>
    <s v="NovaHealth Lakeside Medical Center"/>
    <s v="Female"/>
    <n v="91"/>
    <x v="2"/>
    <n v="5"/>
    <x v="4"/>
    <x v="4"/>
    <n v="12732.23"/>
    <n v="7455.89"/>
    <n v="8.9"/>
    <x v="2"/>
    <x v="1"/>
  </r>
  <r>
    <s v="NHM-2025-101555"/>
    <s v="February"/>
    <x v="2"/>
    <n v="2"/>
    <d v="2026-02-07T00:00:00"/>
    <x v="2"/>
    <s v="Grace Wells"/>
    <s v="NovaHealth Greenfield Clinic"/>
    <s v="Female"/>
    <n v="47"/>
    <x v="0"/>
    <n v="1"/>
    <x v="0"/>
    <x v="0"/>
    <n v="9258.08"/>
    <n v="5665.83"/>
    <n v="2.2999999999999998"/>
    <x v="0"/>
    <x v="0"/>
  </r>
  <r>
    <s v="NHM-2023-101970"/>
    <s v="December"/>
    <x v="6"/>
    <n v="12"/>
    <d v="2025-12-31T00:00:00"/>
    <x v="1"/>
    <s v="Brenda Murray"/>
    <s v="NovaHealth Greenfield Clinic"/>
    <s v="Male"/>
    <n v="61"/>
    <x v="1"/>
    <n v="3"/>
    <x v="4"/>
    <x v="4"/>
    <n v="19155.39"/>
    <n v="12329.05"/>
    <n v="8.6999999999999993"/>
    <x v="1"/>
    <x v="0"/>
  </r>
  <r>
    <s v="NHM-2023-100226"/>
    <s v="April"/>
    <x v="0"/>
    <n v="4"/>
    <d v="2025-04-12T00:00:00"/>
    <x v="1"/>
    <s v="Rachel Roberts"/>
    <s v="NovaHealth River Valley Hospital"/>
    <s v="Male"/>
    <n v="95"/>
    <x v="1"/>
    <n v="5"/>
    <x v="4"/>
    <x v="4"/>
    <n v="17829.98"/>
    <n v="12017.29"/>
    <n v="8.9"/>
    <x v="2"/>
    <x v="1"/>
  </r>
  <r>
    <s v="NHM-2026-100263"/>
    <s v="October"/>
    <x v="5"/>
    <n v="10"/>
    <d v="2023-10-10T00:00:00"/>
    <x v="3"/>
    <s v="Beverly Hill"/>
    <s v="NovaHealth Metro General Hospital"/>
    <s v="Female"/>
    <n v="6"/>
    <x v="0"/>
    <n v="2"/>
    <x v="6"/>
    <x v="6"/>
    <n v="882.86"/>
    <n v="630.79999999999995"/>
    <n v="1.6"/>
    <x v="1"/>
    <x v="2"/>
  </r>
  <r>
    <s v="NHM-2023-100269"/>
    <s v="June"/>
    <x v="11"/>
    <n v="6"/>
    <d v="2025-06-24T00:00:00"/>
    <x v="1"/>
    <s v="Justin Hughes"/>
    <s v="NovaHealth Chicago Medical Center"/>
    <s v="Male"/>
    <n v="88"/>
    <x v="0"/>
    <n v="5"/>
    <x v="4"/>
    <x v="4"/>
    <n v="18789.099999999999"/>
    <n v="13843.24"/>
    <n v="15.9"/>
    <x v="2"/>
    <x v="1"/>
  </r>
  <r>
    <s v="NHM-2023-100078"/>
    <s v="August"/>
    <x v="10"/>
    <n v="8"/>
    <d v="2024-08-14T00:00:00"/>
    <x v="0"/>
    <s v="Janice Ramirez"/>
    <s v="NovaHealth River Valley Hospital"/>
    <s v="Female"/>
    <n v="46"/>
    <x v="0"/>
    <n v="1"/>
    <x v="1"/>
    <x v="1"/>
    <n v="5895.97"/>
    <n v="4576.1400000000003"/>
    <n v="11.9"/>
    <x v="0"/>
    <x v="0"/>
  </r>
  <r>
    <s v="NHM-2023-100260"/>
    <s v="September"/>
    <x v="7"/>
    <n v="9"/>
    <d v="2025-09-08T00:00:00"/>
    <x v="1"/>
    <s v="Juan Cooper"/>
    <s v="NovaHealth Northside Hospital"/>
    <s v="Female"/>
    <n v="0"/>
    <x v="2"/>
    <n v="1"/>
    <x v="6"/>
    <x v="6"/>
    <n v="2435.8000000000002"/>
    <n v="1429.56"/>
    <n v="2.1"/>
    <x v="0"/>
    <x v="2"/>
  </r>
  <r>
    <s v="NHM-2023-102285"/>
    <s v="April"/>
    <x v="0"/>
    <n v="4"/>
    <d v="2024-04-01T00:00:00"/>
    <x v="0"/>
    <s v="Frances Dixon"/>
    <s v="NovaHealth River Valley Hospital"/>
    <s v="Male"/>
    <n v="23"/>
    <x v="0"/>
    <n v="1"/>
    <x v="2"/>
    <x v="2"/>
    <n v="1703.95"/>
    <n v="1039.4100000000001"/>
    <m/>
    <x v="0"/>
    <x v="0"/>
  </r>
  <r>
    <s v="NHM-2026-101433"/>
    <s v="January"/>
    <x v="3"/>
    <n v="1"/>
    <d v="2025-01-08T00:00:00"/>
    <x v="1"/>
    <s v="Julia Wilson"/>
    <s v="NovaHealth Chicago Medical Center"/>
    <s v="Male"/>
    <n v="74"/>
    <x v="0"/>
    <n v="2"/>
    <x v="7"/>
    <x v="7"/>
    <n v="4134.6400000000003"/>
    <n v="2787.77"/>
    <n v="17.7"/>
    <x v="1"/>
    <x v="1"/>
  </r>
  <r>
    <s v="NHM-2025-101649"/>
    <s v="February"/>
    <x v="2"/>
    <n v="2"/>
    <d v="2026-02-06T00:00:00"/>
    <x v="2"/>
    <s v="Alexander Cruz"/>
    <s v="NovaHealth Midtown Medical Center"/>
    <s v="Male"/>
    <n v="15"/>
    <x v="0"/>
    <n v="1"/>
    <x v="6"/>
    <x v="6"/>
    <n v="1468.27"/>
    <n v="1008.54"/>
    <n v="3.1"/>
    <x v="0"/>
    <x v="2"/>
  </r>
  <r>
    <s v="NHM-2026-101476"/>
    <s v="November"/>
    <x v="4"/>
    <n v="11"/>
    <d v="2025-11-26T00:00:00"/>
    <x v="1"/>
    <s v="Donald Parker"/>
    <s v="NovaHealth Midtown Medical Center"/>
    <s v="Male"/>
    <n v="64"/>
    <x v="0"/>
    <n v="1"/>
    <x v="7"/>
    <x v="7"/>
    <n v="4730.92"/>
    <n v="3403.64"/>
    <n v="11.5"/>
    <x v="0"/>
    <x v="0"/>
  </r>
  <r>
    <s v="NHM-2024-102165"/>
    <s v="February"/>
    <x v="2"/>
    <n v="2"/>
    <d v="2024-02-06T00:00:00"/>
    <x v="0"/>
    <s v="Margaret Hunter"/>
    <s v="NovaHealth Metro General Hospital"/>
    <s v="Female"/>
    <n v="49"/>
    <x v="0"/>
    <n v="2"/>
    <x v="2"/>
    <x v="2"/>
    <n v="5490.53"/>
    <n v="4044.09"/>
    <n v="4.5"/>
    <x v="1"/>
    <x v="0"/>
  </r>
  <r>
    <s v="NHM-2024-100757"/>
    <s v="July"/>
    <x v="8"/>
    <n v="7"/>
    <d v="2025-07-24T00:00:00"/>
    <x v="1"/>
    <s v="Thomas Reyes"/>
    <s v="NovaHealth Oakridge Community Hospital"/>
    <s v="Male"/>
    <n v="49"/>
    <x v="0"/>
    <n v="2"/>
    <x v="1"/>
    <x v="1"/>
    <n v="7195.12"/>
    <n v="5535.49"/>
    <n v="8.4"/>
    <x v="1"/>
    <x v="0"/>
  </r>
  <r>
    <s v="NHM-2026-102297"/>
    <s v="August"/>
    <x v="10"/>
    <n v="8"/>
    <d v="2024-08-07T00:00:00"/>
    <x v="0"/>
    <s v="Peter Martinez"/>
    <s v="NovaHealth River Valley Hospital"/>
    <s v="Female"/>
    <n v="24"/>
    <x v="2"/>
    <n v="3"/>
    <x v="1"/>
    <x v="1"/>
    <n v="7595.41"/>
    <n v="4424.54"/>
    <n v="2.4"/>
    <x v="1"/>
    <x v="0"/>
  </r>
  <r>
    <s v="NHM-2024-100504"/>
    <s v="February"/>
    <x v="2"/>
    <n v="2"/>
    <d v="2024-02-01T00:00:00"/>
    <x v="0"/>
    <s v="Julie Diaz"/>
    <s v="NovaHealth Greenfield Clinic"/>
    <s v="Female"/>
    <n v="35"/>
    <x v="0"/>
    <n v="1"/>
    <x v="7"/>
    <x v="7"/>
    <n v="3870.69"/>
    <n v="2479.52"/>
    <n v="14.8"/>
    <x v="0"/>
    <x v="0"/>
  </r>
  <r>
    <s v="NHM-2023-100046"/>
    <s v="July"/>
    <x v="8"/>
    <n v="7"/>
    <d v="2026-07-09T00:00:00"/>
    <x v="2"/>
    <s v="Amanda Stewart"/>
    <s v="NovaHealth River Valley Hospital"/>
    <s v="Male"/>
    <n v="36"/>
    <x v="2"/>
    <n v="3"/>
    <x v="5"/>
    <x v="5"/>
    <n v="17778.55"/>
    <n v="11439.87"/>
    <n v="7.7"/>
    <x v="1"/>
    <x v="0"/>
  </r>
  <r>
    <s v="NHM-2023-101663"/>
    <s v="April"/>
    <x v="0"/>
    <n v="4"/>
    <d v="2024-04-18T00:00:00"/>
    <x v="0"/>
    <s v="Christine Roberts"/>
    <s v="NovaHealth Midtown Medical Center"/>
    <s v="Male"/>
    <n v="75"/>
    <x v="0"/>
    <n v="3"/>
    <x v="2"/>
    <x v="2"/>
    <n v="1953.06"/>
    <n v="1346.15"/>
    <n v="4.7"/>
    <x v="1"/>
    <x v="1"/>
  </r>
  <r>
    <s v="NHM-2024-100520"/>
    <s v="July"/>
    <x v="8"/>
    <n v="7"/>
    <d v="2026-07-08T00:00:00"/>
    <x v="2"/>
    <s v="Nathan Martin"/>
    <s v="NovaHealth Northside Hospital"/>
    <s v="Male"/>
    <n v="90"/>
    <x v="2"/>
    <n v="3"/>
    <x v="4"/>
    <x v="4"/>
    <n v="9593.51"/>
    <n v="6825.86"/>
    <n v="13.8"/>
    <x v="1"/>
    <x v="1"/>
  </r>
  <r>
    <s v="NHM-2026-101758"/>
    <s v="August"/>
    <x v="10"/>
    <n v="8"/>
    <d v="2025-08-13T00:00:00"/>
    <x v="1"/>
    <s v="Christine Porter"/>
    <s v="NovaHealth Lakeshore Regional Center"/>
    <s v="Male"/>
    <n v="53"/>
    <x v="0"/>
    <n v="1"/>
    <x v="7"/>
    <x v="7"/>
    <n v="6130.64"/>
    <n v="4633.7700000000004"/>
    <n v="19.8"/>
    <x v="0"/>
    <x v="0"/>
  </r>
  <r>
    <s v="NHM-2025-101788"/>
    <s v="June"/>
    <x v="11"/>
    <n v="6"/>
    <d v="2024-06-26T00:00:00"/>
    <x v="0"/>
    <s v="Dennis Jenkins"/>
    <s v="NovaHealth River Valley Hospital"/>
    <s v="Female"/>
    <n v="83"/>
    <x v="0"/>
    <n v="1"/>
    <x v="3"/>
    <x v="3"/>
    <n v="7909.77"/>
    <n v="6105.03"/>
    <n v="11.7"/>
    <x v="0"/>
    <x v="1"/>
  </r>
  <r>
    <s v="NHM-2024-101578"/>
    <s v="December"/>
    <x v="6"/>
    <n v="12"/>
    <d v="2024-12-24T00:00:00"/>
    <x v="0"/>
    <s v="Billy Hall"/>
    <s v="NovaHealth River Valley Hospital"/>
    <s v="Female"/>
    <n v="69"/>
    <x v="0"/>
    <n v="1"/>
    <x v="0"/>
    <x v="0"/>
    <n v="7645.96"/>
    <n v="4527.46"/>
    <n v="11.6"/>
    <x v="0"/>
    <x v="1"/>
  </r>
  <r>
    <s v="NHM-2026-101568"/>
    <s v="March"/>
    <x v="1"/>
    <n v="3"/>
    <d v="2024-03-26T00:00:00"/>
    <x v="0"/>
    <s v="Julie Turner"/>
    <s v="NovaHealth Chicago Medical Center"/>
    <s v="Male"/>
    <n v="17"/>
    <x v="2"/>
    <n v="1"/>
    <x v="6"/>
    <x v="6"/>
    <n v="1283.1400000000001"/>
    <n v="802.72"/>
    <n v="2.5"/>
    <x v="0"/>
    <x v="2"/>
  </r>
  <r>
    <s v="NHM-2025-100617"/>
    <s v="January"/>
    <x v="3"/>
    <n v="1"/>
    <d v="2024-01-30T00:00:00"/>
    <x v="0"/>
    <s v="Ashley Jimenez"/>
    <s v="NovaHealth Chicago Medical Center"/>
    <s v="Male"/>
    <n v="4"/>
    <x v="2"/>
    <n v="3"/>
    <x v="6"/>
    <x v="6"/>
    <n v="1996.38"/>
    <n v="1279.28"/>
    <n v="0.2"/>
    <x v="1"/>
    <x v="2"/>
  </r>
  <r>
    <s v="NHM-2026-100660"/>
    <s v="June"/>
    <x v="11"/>
    <n v="6"/>
    <d v="2026-06-05T00:00:00"/>
    <x v="2"/>
    <s v="Jordan Scott"/>
    <s v="NovaHealth Chicago Medical Center"/>
    <s v="Male"/>
    <n v="78"/>
    <x v="2"/>
    <n v="1"/>
    <x v="3"/>
    <x v="3"/>
    <n v="4672.66"/>
    <n v="3224.28"/>
    <n v="11.7"/>
    <x v="0"/>
    <x v="1"/>
  </r>
  <r>
    <s v="NHM-2025-100404"/>
    <s v="March"/>
    <x v="1"/>
    <n v="3"/>
    <d v="2026-03-05T00:00:00"/>
    <x v="2"/>
    <s v="Willie Russell"/>
    <s v="NovaHealth Chicago Medical Center"/>
    <s v="Female"/>
    <n v="53"/>
    <x v="2"/>
    <n v="5"/>
    <x v="5"/>
    <x v="5"/>
    <n v="16048.03"/>
    <n v="11264.02"/>
    <n v="3.8"/>
    <x v="2"/>
    <x v="0"/>
  </r>
  <r>
    <s v="NHM-2024-102022"/>
    <s v="June"/>
    <x v="11"/>
    <n v="6"/>
    <d v="2025-06-20T00:00:00"/>
    <x v="1"/>
    <s v="Terry Flores"/>
    <s v="NovaHealth Northside Hospital"/>
    <s v="Female"/>
    <n v="1"/>
    <x v="0"/>
    <n v="2"/>
    <x v="6"/>
    <x v="6"/>
    <n v="2099.41"/>
    <n v="1561.37"/>
    <n v="3.6"/>
    <x v="1"/>
    <x v="2"/>
  </r>
  <r>
    <s v="NHM-2024-100366"/>
    <s v="June"/>
    <x v="11"/>
    <n v="6"/>
    <d v="2025-06-06T00:00:00"/>
    <x v="1"/>
    <s v="Lisa Hill"/>
    <s v="NovaHealth Greenfield Clinic"/>
    <s v="Female"/>
    <n v="22"/>
    <x v="1"/>
    <n v="4"/>
    <x v="0"/>
    <x v="0"/>
    <n v="11729.05"/>
    <n v="9000.48"/>
    <n v="10.8"/>
    <x v="2"/>
    <x v="0"/>
  </r>
  <r>
    <s v="NHM-2026-101411"/>
    <s v="July"/>
    <x v="8"/>
    <n v="7"/>
    <d v="2024-07-03T00:00:00"/>
    <x v="0"/>
    <s v="Robert Henry"/>
    <s v="NovaHealth Chicago Medical Center"/>
    <s v="Female"/>
    <n v="75"/>
    <x v="2"/>
    <n v="2"/>
    <x v="1"/>
    <x v="1"/>
    <n v="6992.46"/>
    <n v="4100.43"/>
    <n v="5.6"/>
    <x v="1"/>
    <x v="1"/>
  </r>
  <r>
    <s v="NHM-2025-101605"/>
    <s v="February"/>
    <x v="2"/>
    <n v="2"/>
    <d v="2026-02-14T00:00:00"/>
    <x v="2"/>
    <s v="Terry Ramos"/>
    <s v="NovaHealth Lakeside Medical Center"/>
    <s v="Male"/>
    <n v="49"/>
    <x v="0"/>
    <n v="1"/>
    <x v="7"/>
    <x v="7"/>
    <n v="8375.4500000000007"/>
    <n v="5196.22"/>
    <n v="10.9"/>
    <x v="0"/>
    <x v="0"/>
  </r>
  <r>
    <s v="NHM-2026-101685"/>
    <s v="February"/>
    <x v="2"/>
    <n v="2"/>
    <d v="2026-02-19T00:00:00"/>
    <x v="2"/>
    <s v="Fiona Sanders"/>
    <s v="NovaHealth Lakeside Medical Center"/>
    <s v="Male"/>
    <n v="2"/>
    <x v="0"/>
    <n v="2"/>
    <x v="6"/>
    <x v="6"/>
    <n v="2238.92"/>
    <n v="1456.91"/>
    <n v="3"/>
    <x v="1"/>
    <x v="2"/>
  </r>
  <r>
    <s v="NHM-2024-100152"/>
    <s v="December"/>
    <x v="6"/>
    <n v="12"/>
    <d v="2023-12-22T00:00:00"/>
    <x v="3"/>
    <s v="Kathryn Freeman"/>
    <s v="NovaHealth Chicago Medical Center"/>
    <s v="Female"/>
    <n v="48"/>
    <x v="1"/>
    <n v="3"/>
    <x v="5"/>
    <x v="5"/>
    <n v="20210.55"/>
    <n v="13571.47"/>
    <n v="3.8"/>
    <x v="1"/>
    <x v="0"/>
  </r>
  <r>
    <s v="NHM-2025-100301"/>
    <s v="August"/>
    <x v="10"/>
    <n v="8"/>
    <d v="2025-08-18T00:00:00"/>
    <x v="1"/>
    <s v="Catherine Henderson"/>
    <s v="NovaHealth Lakeshore Regional Center"/>
    <s v="Female"/>
    <n v="76"/>
    <x v="0"/>
    <n v="2"/>
    <x v="0"/>
    <x v="0"/>
    <n v="10601.08"/>
    <n v="7515.96"/>
    <n v="11.9"/>
    <x v="1"/>
    <x v="1"/>
  </r>
  <r>
    <s v="NHM-2026-101402"/>
    <s v="July"/>
    <x v="8"/>
    <n v="7"/>
    <d v="2026-07-03T00:00:00"/>
    <x v="2"/>
    <s v="Benjamin Sanders"/>
    <s v="NovaHealth Greenfield Clinic"/>
    <s v="Female"/>
    <n v="68"/>
    <x v="0"/>
    <n v="3"/>
    <x v="7"/>
    <x v="7"/>
    <n v="5787.38"/>
    <n v="4370.3900000000003"/>
    <n v="18.2"/>
    <x v="1"/>
    <x v="1"/>
  </r>
  <r>
    <s v="NHM-2024-102470"/>
    <s v="March"/>
    <x v="1"/>
    <n v="3"/>
    <d v="2026-03-11T00:00:00"/>
    <x v="2"/>
    <s v="Jean Jones"/>
    <s v="NovaHealth Lakeshore Regional Center"/>
    <s v="Male"/>
    <n v="70"/>
    <x v="2"/>
    <n v="5"/>
    <x v="3"/>
    <x v="3"/>
    <n v="8128.11"/>
    <n v="6253.36"/>
    <n v="9.5"/>
    <x v="2"/>
    <x v="1"/>
  </r>
  <r>
    <s v="NHM-2025-102275"/>
    <s v="November"/>
    <x v="4"/>
    <n v="11"/>
    <d v="2023-11-14T00:00:00"/>
    <x v="3"/>
    <s v="Michelle Hayes"/>
    <s v="NovaHealth Lakeshore Regional Center"/>
    <s v="Female"/>
    <n v="73"/>
    <x v="1"/>
    <n v="5"/>
    <x v="4"/>
    <x v="4"/>
    <n v="23580.44"/>
    <n v="13788.66"/>
    <n v="14"/>
    <x v="2"/>
    <x v="1"/>
  </r>
  <r>
    <s v="NHM-2024-100615"/>
    <s v="April"/>
    <x v="0"/>
    <n v="4"/>
    <d v="2025-04-07T00:00:00"/>
    <x v="1"/>
    <s v="Justin Wood"/>
    <s v="NovaHealth Lakeside Medical Center"/>
    <s v="Female"/>
    <n v="5"/>
    <x v="0"/>
    <n v="1"/>
    <x v="6"/>
    <x v="6"/>
    <n v="2327.6999999999998"/>
    <n v="1439.9"/>
    <n v="2.5"/>
    <x v="0"/>
    <x v="2"/>
  </r>
  <r>
    <s v="NHM-2024-100639"/>
    <s v="February"/>
    <x v="2"/>
    <n v="2"/>
    <d v="2024-02-02T00:00:00"/>
    <x v="0"/>
    <s v="Hannah Peterson"/>
    <s v="NovaHealth Greenfield Clinic"/>
    <s v="Male"/>
    <n v="31"/>
    <x v="2"/>
    <n v="1"/>
    <x v="7"/>
    <x v="7"/>
    <n v="4639.29"/>
    <n v="3051.55"/>
    <n v="10.3"/>
    <x v="0"/>
    <x v="0"/>
  </r>
  <r>
    <s v="NHM-2025-101914"/>
    <s v="February"/>
    <x v="2"/>
    <n v="2"/>
    <d v="2024-02-29T00:00:00"/>
    <x v="0"/>
    <s v="Wayne Myers"/>
    <s v="NovaHealth Chicago Medical Center"/>
    <s v="Female"/>
    <n v="9"/>
    <x v="0"/>
    <n v="2"/>
    <x v="6"/>
    <x v="6"/>
    <n v="1303.6400000000001"/>
    <n v="904.64"/>
    <n v="3.9"/>
    <x v="1"/>
    <x v="2"/>
  </r>
  <r>
    <s v="NHM-2024-102341"/>
    <s v="July"/>
    <x v="8"/>
    <n v="7"/>
    <d v="2026-07-02T00:00:00"/>
    <x v="2"/>
    <s v="Joan Walker"/>
    <s v="NovaHealth Oakridge Community Hospital"/>
    <s v="Female"/>
    <n v="65"/>
    <x v="0"/>
    <n v="1"/>
    <x v="2"/>
    <x v="2"/>
    <n v="2319.69"/>
    <n v="1659.78"/>
    <n v="4.5"/>
    <x v="0"/>
    <x v="1"/>
  </r>
  <r>
    <s v="NHM-2024-100787"/>
    <s v="October"/>
    <x v="5"/>
    <n v="10"/>
    <d v="2025-10-24T00:00:00"/>
    <x v="1"/>
    <s v="Melissa Lopez"/>
    <s v="NovaHealth Greenfield Clinic"/>
    <s v="Male"/>
    <n v="85"/>
    <x v="2"/>
    <n v="3"/>
    <x v="1"/>
    <x v="1"/>
    <n v="11894.95"/>
    <n v="8716.91"/>
    <n v="4.2"/>
    <x v="1"/>
    <x v="1"/>
  </r>
  <r>
    <s v="NHM-2023-100648"/>
    <s v="April"/>
    <x v="0"/>
    <n v="4"/>
    <d v="2026-04-02T00:00:00"/>
    <x v="2"/>
    <s v="Stephen Morris"/>
    <s v="NovaHealth Northside Hospital"/>
    <s v="Female"/>
    <n v="45"/>
    <x v="0"/>
    <n v="1"/>
    <x v="2"/>
    <x v="2"/>
    <n v="2477.56"/>
    <n v="1926.15"/>
    <n v="5.4"/>
    <x v="0"/>
    <x v="0"/>
  </r>
  <r>
    <s v="NHM-2026-100526"/>
    <s v="November"/>
    <x v="4"/>
    <n v="11"/>
    <d v="2023-11-21T00:00:00"/>
    <x v="3"/>
    <s v="Laura Butler"/>
    <s v="NovaHealth River Valley Hospital"/>
    <s v="Female"/>
    <n v="71"/>
    <x v="0"/>
    <n v="2"/>
    <x v="2"/>
    <x v="2"/>
    <n v="3981.66"/>
    <n v="2348.56"/>
    <n v="4.9000000000000004"/>
    <x v="1"/>
    <x v="1"/>
  </r>
  <r>
    <s v="NHM-2026-102305"/>
    <s v="September"/>
    <x v="7"/>
    <n v="9"/>
    <d v="2024-09-17T00:00:00"/>
    <x v="0"/>
    <s v="Martha Bennett"/>
    <s v="NovaHealth Chicago Medical Center"/>
    <s v="Male"/>
    <n v="71"/>
    <x v="1"/>
    <n v="3"/>
    <x v="1"/>
    <x v="1"/>
    <n v="15535.47"/>
    <n v="9503.84"/>
    <n v="3.4"/>
    <x v="1"/>
    <x v="1"/>
  </r>
  <r>
    <s v="NHM-2025-101003"/>
    <s v="June"/>
    <x v="11"/>
    <n v="6"/>
    <d v="2025-06-17T00:00:00"/>
    <x v="1"/>
    <s v="Diane Peterson"/>
    <s v="NovaHealth Lakeshore Regional Center"/>
    <s v="Female"/>
    <n v="70"/>
    <x v="0"/>
    <n v="2"/>
    <x v="1"/>
    <x v="1"/>
    <n v="10592.64"/>
    <n v="6820.09"/>
    <n v="5.0999999999999996"/>
    <x v="1"/>
    <x v="1"/>
  </r>
  <r>
    <s v="NHM-2024-100664"/>
    <s v="April"/>
    <x v="0"/>
    <n v="4"/>
    <d v="2026-04-29T00:00:00"/>
    <x v="2"/>
    <s v="Fiona Flores"/>
    <s v="NovaHealth Lakeside Medical Center"/>
    <s v="Female"/>
    <n v="58"/>
    <x v="0"/>
    <n v="1"/>
    <x v="0"/>
    <x v="0"/>
    <n v="4674.18"/>
    <n v="3177.3"/>
    <n v="5.7"/>
    <x v="0"/>
    <x v="0"/>
  </r>
  <r>
    <s v="NHM-2023-102277"/>
    <s v="January"/>
    <x v="3"/>
    <n v="1"/>
    <d v="2024-01-02T00:00:00"/>
    <x v="0"/>
    <s v="Lauren Green"/>
    <s v="NovaHealth Greenfield Clinic"/>
    <s v="Male"/>
    <n v="92"/>
    <x v="2"/>
    <n v="3"/>
    <x v="3"/>
    <x v="3"/>
    <n v="10652.77"/>
    <n v="7492.14"/>
    <n v="4.4000000000000004"/>
    <x v="1"/>
    <x v="1"/>
  </r>
  <r>
    <s v="NHM-2023-102403"/>
    <s v="March"/>
    <x v="1"/>
    <n v="3"/>
    <d v="2026-03-08T00:00:00"/>
    <x v="2"/>
    <s v="Kelly Hamilton"/>
    <s v="NovaHealth Lakeshore Regional Center"/>
    <s v="Female"/>
    <n v="75"/>
    <x v="2"/>
    <n v="5"/>
    <x v="4"/>
    <x v="4"/>
    <n v="22607.78"/>
    <n v="16628.48"/>
    <n v="15.6"/>
    <x v="2"/>
    <x v="1"/>
  </r>
  <r>
    <s v="NHM-2025-102082"/>
    <s v="August"/>
    <x v="10"/>
    <n v="8"/>
    <d v="2025-08-01T00:00:00"/>
    <x v="1"/>
    <s v="Janice Evans"/>
    <s v="NovaHealth Midtown Medical Center"/>
    <s v="Female"/>
    <n v="11"/>
    <x v="0"/>
    <n v="1"/>
    <x v="6"/>
    <x v="6"/>
    <n v="730.02"/>
    <n v="563.62"/>
    <n v="1.1000000000000001"/>
    <x v="0"/>
    <x v="2"/>
  </r>
  <r>
    <s v="NHM-2024-101050"/>
    <s v="August"/>
    <x v="10"/>
    <n v="8"/>
    <d v="2024-08-16T00:00:00"/>
    <x v="0"/>
    <s v="Alice Lee"/>
    <s v="NovaHealth Lakeside Medical Center"/>
    <s v="Female"/>
    <n v="28"/>
    <x v="0"/>
    <n v="2"/>
    <x v="2"/>
    <x v="2"/>
    <n v="3922.78"/>
    <n v="2331.21"/>
    <n v="7"/>
    <x v="1"/>
    <x v="0"/>
  </r>
  <r>
    <s v="NHM-2026-101731"/>
    <s v="November"/>
    <x v="4"/>
    <n v="11"/>
    <d v="2023-11-17T00:00:00"/>
    <x v="3"/>
    <s v="Amber Russell"/>
    <s v="NovaHealth Chicago Medical Center"/>
    <s v="Male"/>
    <n v="17"/>
    <x v="0"/>
    <n v="2"/>
    <x v="6"/>
    <x v="6"/>
    <n v="1430.69"/>
    <n v="894.32"/>
    <n v="2.7"/>
    <x v="1"/>
    <x v="2"/>
  </r>
  <r>
    <s v="NHM-2026-100123"/>
    <s v="January"/>
    <x v="3"/>
    <n v="1"/>
    <d v="2025-01-17T00:00:00"/>
    <x v="1"/>
    <s v="Alexander Jordan"/>
    <s v="NovaHealth River Valley Hospital"/>
    <s v="Male"/>
    <n v="34"/>
    <x v="0"/>
    <n v="3"/>
    <x v="5"/>
    <x v="5"/>
    <n v="11342.92"/>
    <n v="7307.47"/>
    <n v="6"/>
    <x v="1"/>
    <x v="0"/>
  </r>
  <r>
    <s v="NHM-2025-100758"/>
    <s v="February"/>
    <x v="2"/>
    <n v="2"/>
    <d v="2026-02-10T00:00:00"/>
    <x v="2"/>
    <s v="Paul Diaz"/>
    <s v="NovaHealth Chicago Medical Center"/>
    <s v="Male"/>
    <n v="77"/>
    <x v="1"/>
    <n v="3"/>
    <x v="0"/>
    <x v="0"/>
    <n v="8222.15"/>
    <n v="5552.04"/>
    <n v="5.4"/>
    <x v="1"/>
    <x v="1"/>
  </r>
  <r>
    <s v="NHM-2024-100881"/>
    <s v="February"/>
    <x v="2"/>
    <n v="2"/>
    <d v="2026-02-13T00:00:00"/>
    <x v="2"/>
    <s v="Peter Simmons"/>
    <s v="NovaHealth Lakeside Medical Center"/>
    <s v="Male"/>
    <n v="92"/>
    <x v="2"/>
    <n v="4"/>
    <x v="3"/>
    <x v="3"/>
    <n v="8759.09"/>
    <n v="6197.76"/>
    <n v="8.3000000000000007"/>
    <x v="2"/>
    <x v="1"/>
  </r>
  <r>
    <s v="NHM-2023-101220"/>
    <s v="July"/>
    <x v="8"/>
    <n v="7"/>
    <d v="2024-07-19T00:00:00"/>
    <x v="0"/>
    <s v="Sarah Russell"/>
    <s v="NovaHealth River Valley Hospital"/>
    <s v="Female"/>
    <n v="60"/>
    <x v="2"/>
    <n v="4"/>
    <x v="5"/>
    <x v="5"/>
    <n v="21274.66"/>
    <n v="15575.3"/>
    <n v="5.6"/>
    <x v="2"/>
    <x v="0"/>
  </r>
  <r>
    <s v="NHM-2025-100451"/>
    <s v="September"/>
    <x v="7"/>
    <n v="9"/>
    <d v="2025-09-12T00:00:00"/>
    <x v="1"/>
    <s v="Judy Jordan"/>
    <s v="NovaHealth Greenfield Clinic"/>
    <s v="Female"/>
    <n v="23"/>
    <x v="0"/>
    <n v="3"/>
    <x v="0"/>
    <x v="0"/>
    <n v="13977.26"/>
    <n v="10671.52"/>
    <n v="6.1"/>
    <x v="1"/>
    <x v="0"/>
  </r>
  <r>
    <s v="NHM-2026-100133"/>
    <s v="September"/>
    <x v="7"/>
    <n v="9"/>
    <d v="2025-09-30T00:00:00"/>
    <x v="1"/>
    <s v="Jesse Ross"/>
    <s v="NovaHealth Northside Hospital"/>
    <s v="Female"/>
    <n v="55"/>
    <x v="1"/>
    <n v="4"/>
    <x v="5"/>
    <x v="5"/>
    <n v="19085.07"/>
    <n v="11122.94"/>
    <n v="6.7"/>
    <x v="2"/>
    <x v="0"/>
  </r>
  <r>
    <s v="NHM-2026-101501"/>
    <s v="July"/>
    <x v="8"/>
    <n v="7"/>
    <d v="2025-07-21T00:00:00"/>
    <x v="1"/>
    <s v="Olivia Collins"/>
    <s v="NovaHealth River Valley Hospital"/>
    <s v="Female"/>
    <n v="6"/>
    <x v="0"/>
    <n v="2"/>
    <x v="6"/>
    <x v="6"/>
    <n v="1037.97"/>
    <n v="676.36"/>
    <n v="5.4"/>
    <x v="1"/>
    <x v="2"/>
  </r>
  <r>
    <s v="NHM-2024-100347"/>
    <s v="December"/>
    <x v="6"/>
    <n v="12"/>
    <d v="2023-12-14T00:00:00"/>
    <x v="3"/>
    <s v="Keith Rogers"/>
    <s v="NovaHealth Midtown Medical Center"/>
    <s v="Male"/>
    <n v="33"/>
    <x v="0"/>
    <n v="3"/>
    <x v="5"/>
    <x v="5"/>
    <n v="9857.4699999999993"/>
    <n v="6396.78"/>
    <n v="11"/>
    <x v="1"/>
    <x v="0"/>
  </r>
  <r>
    <s v="NHM-2026-101344"/>
    <s v="July"/>
    <x v="8"/>
    <n v="7"/>
    <d v="2025-07-14T00:00:00"/>
    <x v="1"/>
    <s v="Daniel Russell"/>
    <s v="NovaHealth Metro General Hospital"/>
    <s v="Female"/>
    <n v="0"/>
    <x v="0"/>
    <n v="1"/>
    <x v="6"/>
    <x v="6"/>
    <n v="720.26"/>
    <n v="494.57"/>
    <n v="1.5"/>
    <x v="0"/>
    <x v="2"/>
  </r>
  <r>
    <s v="NHM-2024-102190"/>
    <s v="January"/>
    <x v="3"/>
    <n v="1"/>
    <d v="2024-01-10T00:00:00"/>
    <x v="0"/>
    <s v="Peter Alvarez"/>
    <s v="NovaHealth Lakeshore Regional Center"/>
    <s v="Female"/>
    <n v="94"/>
    <x v="0"/>
    <n v="2"/>
    <x v="3"/>
    <x v="3"/>
    <n v="7032.21"/>
    <n v="4995.3500000000004"/>
    <n v="9.1"/>
    <x v="1"/>
    <x v="1"/>
  </r>
  <r>
    <s v="NHM-2025-100780"/>
    <s v="July"/>
    <x v="8"/>
    <n v="7"/>
    <d v="2025-07-04T00:00:00"/>
    <x v="1"/>
    <s v="Robert Phillips"/>
    <s v="NovaHealth Greenfield Clinic"/>
    <s v="Male"/>
    <n v="33"/>
    <x v="0"/>
    <n v="3"/>
    <x v="2"/>
    <x v="2"/>
    <n v="4886.54"/>
    <n v="3618.37"/>
    <n v="6.4"/>
    <x v="1"/>
    <x v="0"/>
  </r>
  <r>
    <s v="NHM-2026-100286"/>
    <s v="October"/>
    <x v="5"/>
    <n v="10"/>
    <d v="2025-10-28T00:00:00"/>
    <x v="1"/>
    <s v="Aaron Perry"/>
    <s v="NovaHealth Oakridge Community Hospital"/>
    <s v="Female"/>
    <n v="1"/>
    <x v="2"/>
    <n v="1"/>
    <x v="6"/>
    <x v="6"/>
    <n v="2338.63"/>
    <n v="1802.16"/>
    <n v="3.1"/>
    <x v="0"/>
    <x v="2"/>
  </r>
  <r>
    <s v="NHM-2023-100159"/>
    <s v="April"/>
    <x v="0"/>
    <n v="4"/>
    <d v="2025-04-01T00:00:00"/>
    <x v="1"/>
    <s v="Abigail Evans"/>
    <s v="NovaHealth Metro General Hospital"/>
    <s v="Male"/>
    <n v="40"/>
    <x v="0"/>
    <n v="3"/>
    <x v="1"/>
    <x v="1"/>
    <n v="15087.61"/>
    <n v="8795.61"/>
    <n v="5.6"/>
    <x v="1"/>
    <x v="0"/>
  </r>
  <r>
    <s v="NHM-2023-101280"/>
    <s v="July"/>
    <x v="8"/>
    <n v="7"/>
    <d v="2024-07-01T00:00:00"/>
    <x v="0"/>
    <s v="Lauren Brown"/>
    <s v="NovaHealth Chicago Medical Center"/>
    <s v="Male"/>
    <n v="68"/>
    <x v="2"/>
    <n v="5"/>
    <x v="4"/>
    <x v="4"/>
    <n v="19598.59"/>
    <n v="12019.94"/>
    <n v="8.1"/>
    <x v="2"/>
    <x v="1"/>
  </r>
  <r>
    <s v="NHM-2026-100128"/>
    <s v="July"/>
    <x v="8"/>
    <n v="7"/>
    <d v="2025-07-11T00:00:00"/>
    <x v="1"/>
    <s v="Juan Kennedy"/>
    <s v="NovaHealth Metro General Hospital"/>
    <s v="Male"/>
    <n v="61"/>
    <x v="0"/>
    <n v="1"/>
    <x v="2"/>
    <x v="2"/>
    <n v="4113.05"/>
    <n v="2702.75"/>
    <n v="8.8000000000000007"/>
    <x v="0"/>
    <x v="0"/>
  </r>
  <r>
    <s v="NHM-2024-101951"/>
    <s v="June"/>
    <x v="11"/>
    <n v="6"/>
    <d v="2024-06-13T00:00:00"/>
    <x v="0"/>
    <s v="Joe Cruz"/>
    <s v="NovaHealth Midtown Medical Center"/>
    <s v="Female"/>
    <n v="17"/>
    <x v="0"/>
    <n v="1"/>
    <x v="6"/>
    <x v="6"/>
    <n v="2195.23"/>
    <n v="1475.6"/>
    <n v="0.6"/>
    <x v="0"/>
    <x v="2"/>
  </r>
  <r>
    <s v="NHM-2025-101975"/>
    <s v="August"/>
    <x v="10"/>
    <n v="8"/>
    <d v="2025-08-14T00:00:00"/>
    <x v="1"/>
    <s v="Kenneth Kelly"/>
    <s v="NovaHealth Greenfield Clinic"/>
    <s v="Male"/>
    <n v="47"/>
    <x v="2"/>
    <n v="1"/>
    <x v="1"/>
    <x v="1"/>
    <n v="10481.530000000001"/>
    <n v="7389.87"/>
    <n v="6.6"/>
    <x v="0"/>
    <x v="0"/>
  </r>
  <r>
    <s v="NHM-2023-100954"/>
    <s v="November"/>
    <x v="4"/>
    <n v="11"/>
    <d v="2025-11-08T00:00:00"/>
    <x v="1"/>
    <s v="Aaron King"/>
    <s v="NovaHealth Metro General Hospital"/>
    <s v="Male"/>
    <n v="89"/>
    <x v="0"/>
    <n v="4"/>
    <x v="4"/>
    <x v="4"/>
    <n v="11225.32"/>
    <n v="8316.08"/>
    <n v="15.2"/>
    <x v="2"/>
    <x v="1"/>
  </r>
  <r>
    <s v="NHM-2023-101694"/>
    <s v="October"/>
    <x v="5"/>
    <n v="10"/>
    <d v="2025-10-08T00:00:00"/>
    <x v="1"/>
    <s v="Benjamin Patel"/>
    <s v="NovaHealth Northside Hospital"/>
    <s v="Male"/>
    <n v="91"/>
    <x v="2"/>
    <n v="4"/>
    <x v="3"/>
    <x v="3"/>
    <n v="12231.43"/>
    <n v="9313.49"/>
    <n v="2.2000000000000002"/>
    <x v="2"/>
    <x v="1"/>
  </r>
  <r>
    <s v="NHM-2025-102119"/>
    <s v="July"/>
    <x v="8"/>
    <n v="7"/>
    <d v="2025-07-01T00:00:00"/>
    <x v="1"/>
    <s v="Brandon Marshall"/>
    <s v="NovaHealth Lakeside Medical Center"/>
    <s v="Female"/>
    <n v="13"/>
    <x v="0"/>
    <n v="2"/>
    <x v="6"/>
    <x v="6"/>
    <n v="1401.42"/>
    <n v="843.22"/>
    <n v="3.8"/>
    <x v="1"/>
    <x v="2"/>
  </r>
  <r>
    <s v="NHM-2026-101773"/>
    <s v="May"/>
    <x v="9"/>
    <n v="5"/>
    <d v="2024-05-16T00:00:00"/>
    <x v="0"/>
    <s v="Bryan Butler"/>
    <s v="NovaHealth Northside Hospital"/>
    <s v="Female"/>
    <n v="29"/>
    <x v="0"/>
    <n v="3"/>
    <x v="1"/>
    <x v="1"/>
    <n v="14807.26"/>
    <n v="9106.0300000000007"/>
    <n v="9.1999999999999993"/>
    <x v="1"/>
    <x v="0"/>
  </r>
  <r>
    <s v="NHM-2023-100622"/>
    <s v="March"/>
    <x v="1"/>
    <n v="3"/>
    <d v="2024-03-07T00:00:00"/>
    <x v="0"/>
    <s v="Evelyn Howard"/>
    <s v="NovaHealth Greenfield Clinic"/>
    <s v="Male"/>
    <n v="28"/>
    <x v="2"/>
    <n v="5"/>
    <x v="5"/>
    <x v="5"/>
    <n v="18860.13"/>
    <n v="12102.48"/>
    <n v="4"/>
    <x v="2"/>
    <x v="0"/>
  </r>
  <r>
    <s v="NHM-2023-102492"/>
    <s v="January"/>
    <x v="3"/>
    <n v="1"/>
    <d v="2026-01-12T00:00:00"/>
    <x v="2"/>
    <s v="Barbara Bryant"/>
    <s v="NovaHealth Midtown Medical Center"/>
    <s v="Male"/>
    <n v="84"/>
    <x v="2"/>
    <n v="2"/>
    <x v="2"/>
    <x v="2"/>
    <n v="1510.08"/>
    <n v="1084.55"/>
    <n v="9.1"/>
    <x v="1"/>
    <x v="1"/>
  </r>
  <r>
    <s v="NHM-2025-101282"/>
    <s v="September"/>
    <x v="7"/>
    <n v="9"/>
    <d v="2025-09-09T00:00:00"/>
    <x v="1"/>
    <s v="Katherine Foster"/>
    <s v="NovaHealth Lakeshore Regional Center"/>
    <s v="Male"/>
    <n v="54"/>
    <x v="2"/>
    <n v="3"/>
    <x v="5"/>
    <x v="5"/>
    <n v="16553.080000000002"/>
    <n v="11674.36"/>
    <n v="10.9"/>
    <x v="1"/>
    <x v="0"/>
  </r>
  <r>
    <s v="NHM-2024-100620"/>
    <s v="May"/>
    <x v="9"/>
    <n v="5"/>
    <d v="2025-05-22T00:00:00"/>
    <x v="1"/>
    <s v="Mark Long"/>
    <s v="NovaHealth Chicago Medical Center"/>
    <s v="Male"/>
    <n v="83"/>
    <x v="0"/>
    <n v="1"/>
    <x v="1"/>
    <x v="1"/>
    <n v="9964.49"/>
    <n v="7313.28"/>
    <n v="4.9000000000000004"/>
    <x v="0"/>
    <x v="1"/>
  </r>
  <r>
    <s v="NHM-2025-100486"/>
    <s v="July"/>
    <x v="8"/>
    <n v="7"/>
    <d v="2025-07-28T00:00:00"/>
    <x v="1"/>
    <s v="Joan Cook"/>
    <s v="NovaHealth Chicago Medical Center"/>
    <s v="Male"/>
    <n v="6"/>
    <x v="1"/>
    <n v="4"/>
    <x v="6"/>
    <x v="6"/>
    <n v="2784.36"/>
    <n v="2121.71"/>
    <n v="0.7"/>
    <x v="2"/>
    <x v="2"/>
  </r>
  <r>
    <s v="NHM-2023-100838"/>
    <s v="May"/>
    <x v="9"/>
    <n v="5"/>
    <d v="2026-05-20T00:00:00"/>
    <x v="2"/>
    <s v="Alexander Bryant"/>
    <s v="NovaHealth Northside Hospital"/>
    <s v="Male"/>
    <n v="5"/>
    <x v="0"/>
    <n v="1"/>
    <x v="6"/>
    <x v="6"/>
    <n v="714.8"/>
    <n v="459.38"/>
    <n v="5.6"/>
    <x v="0"/>
    <x v="2"/>
  </r>
  <r>
    <s v="NHM-2024-101732"/>
    <s v="September"/>
    <x v="7"/>
    <n v="9"/>
    <d v="2024-09-25T00:00:00"/>
    <x v="0"/>
    <s v="Cheryl Phillips"/>
    <s v="NovaHealth Chicago Medical Center"/>
    <s v="Male"/>
    <n v="52"/>
    <x v="2"/>
    <n v="3"/>
    <x v="3"/>
    <x v="3"/>
    <n v="6102.3"/>
    <n v="3744.8"/>
    <n v="2.8"/>
    <x v="1"/>
    <x v="0"/>
  </r>
  <r>
    <s v="NHM-2024-102129"/>
    <s v="December"/>
    <x v="6"/>
    <n v="12"/>
    <d v="2024-12-04T00:00:00"/>
    <x v="0"/>
    <s v="Sandra Stevens"/>
    <s v="NovaHealth Greenfield Clinic"/>
    <s v="Female"/>
    <n v="54"/>
    <x v="1"/>
    <n v="4"/>
    <x v="5"/>
    <x v="5"/>
    <n v="11704.96"/>
    <n v="7575.97"/>
    <n v="10.6"/>
    <x v="2"/>
    <x v="0"/>
  </r>
  <r>
    <s v="NHM-2024-101979"/>
    <s v="June"/>
    <x v="11"/>
    <n v="6"/>
    <d v="2024-06-05T00:00:00"/>
    <x v="0"/>
    <s v="Alexander Baker"/>
    <s v="NovaHealth Greenfield Clinic"/>
    <s v="Male"/>
    <n v="9"/>
    <x v="1"/>
    <n v="5"/>
    <x v="6"/>
    <x v="6"/>
    <n v="1421.62"/>
    <n v="954.89"/>
    <n v="0.3"/>
    <x v="2"/>
    <x v="2"/>
  </r>
  <r>
    <s v="NHM-2023-101782"/>
    <s v="July"/>
    <x v="8"/>
    <n v="7"/>
    <d v="2024-07-11T00:00:00"/>
    <x v="0"/>
    <s v="Virginia Morgan"/>
    <s v="NovaHealth Chicago Medical Center"/>
    <s v="Male"/>
    <n v="53"/>
    <x v="1"/>
    <n v="2"/>
    <x v="3"/>
    <x v="3"/>
    <n v="7181.13"/>
    <n v="5089.99"/>
    <n v="7.9"/>
    <x v="1"/>
    <x v="0"/>
  </r>
  <r>
    <s v="NHM-2023-101208"/>
    <s v="November"/>
    <x v="4"/>
    <n v="11"/>
    <d v="2023-11-14T00:00:00"/>
    <x v="3"/>
    <s v="Donald Mendoza"/>
    <s v="NovaHealth Chicago Medical Center"/>
    <s v="Male"/>
    <n v="46"/>
    <x v="1"/>
    <n v="2"/>
    <x v="2"/>
    <x v="2"/>
    <n v="1712.45"/>
    <n v="1304.49"/>
    <n v="6.8"/>
    <x v="1"/>
    <x v="0"/>
  </r>
  <r>
    <s v="NHM-2026-100085"/>
    <s v="July"/>
    <x v="8"/>
    <n v="7"/>
    <d v="2025-07-18T00:00:00"/>
    <x v="1"/>
    <s v="Benjamin Walker"/>
    <s v="NovaHealth Metro General Hospital"/>
    <s v="Male"/>
    <n v="40"/>
    <x v="0"/>
    <n v="1"/>
    <x v="0"/>
    <x v="0"/>
    <n v="8839.1299999999992"/>
    <n v="6748.94"/>
    <n v="3.9"/>
    <x v="0"/>
    <x v="0"/>
  </r>
  <r>
    <s v="NHM-2026-102438"/>
    <s v="May"/>
    <x v="9"/>
    <n v="5"/>
    <d v="2024-05-23T00:00:00"/>
    <x v="0"/>
    <s v="Peter Jenkins"/>
    <s v="NovaHealth Lakeside Medical Center"/>
    <s v="Female"/>
    <n v="24"/>
    <x v="0"/>
    <n v="2"/>
    <x v="0"/>
    <x v="0"/>
    <n v="11693.01"/>
    <n v="6841.15"/>
    <n v="7.4"/>
    <x v="1"/>
    <x v="0"/>
  </r>
  <r>
    <s v="NHM-2025-100058"/>
    <s v="October"/>
    <x v="5"/>
    <n v="10"/>
    <d v="2025-10-08T00:00:00"/>
    <x v="1"/>
    <s v="Laura Patel"/>
    <s v="NovaHealth Northside Hospital"/>
    <s v="Female"/>
    <n v="62"/>
    <x v="1"/>
    <n v="4"/>
    <x v="5"/>
    <x v="5"/>
    <n v="14218.34"/>
    <n v="8750.7900000000009"/>
    <n v="9.6999999999999993"/>
    <x v="2"/>
    <x v="0"/>
  </r>
  <r>
    <s v="NHM-2024-101264"/>
    <s v="July"/>
    <x v="8"/>
    <n v="7"/>
    <d v="2024-07-09T00:00:00"/>
    <x v="0"/>
    <s v="Margaret Freeman"/>
    <s v="NovaHealth Chicago Medical Center"/>
    <s v="Male"/>
    <n v="79"/>
    <x v="2"/>
    <n v="5"/>
    <x v="1"/>
    <x v="1"/>
    <n v="15375.57"/>
    <n v="9891.56"/>
    <n v="6.4"/>
    <x v="2"/>
    <x v="1"/>
  </r>
  <r>
    <s v="NHM-2025-100600"/>
    <s v="July"/>
    <x v="8"/>
    <n v="7"/>
    <d v="2024-07-26T00:00:00"/>
    <x v="0"/>
    <s v="Joyce Kennedy"/>
    <s v="NovaHealth Northside Hospital"/>
    <s v="Male"/>
    <n v="40"/>
    <x v="1"/>
    <n v="1"/>
    <x v="2"/>
    <x v="2"/>
    <n v="4470.51"/>
    <n v="3032.04"/>
    <n v="4.5999999999999996"/>
    <x v="0"/>
    <x v="0"/>
  </r>
  <r>
    <s v="NHM-2023-100372"/>
    <s v="September"/>
    <x v="7"/>
    <n v="9"/>
    <d v="2024-09-02T00:00:00"/>
    <x v="0"/>
    <s v="Amy Jenkins"/>
    <s v="NovaHealth Greenfield Clinic"/>
    <s v="Male"/>
    <n v="28"/>
    <x v="1"/>
    <n v="3"/>
    <x v="0"/>
    <x v="0"/>
    <n v="10132.549999999999"/>
    <n v="7118.38"/>
    <n v="3.2"/>
    <x v="1"/>
    <x v="0"/>
  </r>
  <r>
    <s v="NHM-2024-100304"/>
    <s v="August"/>
    <x v="10"/>
    <n v="8"/>
    <d v="2024-08-02T00:00:00"/>
    <x v="0"/>
    <s v="Joseph Jordan"/>
    <s v="NovaHealth Greenfield Clinic"/>
    <s v="Female"/>
    <n v="46"/>
    <x v="0"/>
    <n v="2"/>
    <x v="1"/>
    <x v="1"/>
    <n v="10083.81"/>
    <n v="7447.58"/>
    <n v="10.8"/>
    <x v="1"/>
    <x v="0"/>
  </r>
  <r>
    <s v="NHM-2025-101929"/>
    <s v="February"/>
    <x v="2"/>
    <n v="2"/>
    <d v="2026-02-10T00:00:00"/>
    <x v="2"/>
    <s v="Susan Chavez"/>
    <s v="NovaHealth Greenfield Clinic"/>
    <s v="Male"/>
    <n v="14"/>
    <x v="0"/>
    <n v="2"/>
    <x v="6"/>
    <x v="6"/>
    <n v="904"/>
    <n v="717.44"/>
    <n v="3.8"/>
    <x v="1"/>
    <x v="2"/>
  </r>
  <r>
    <s v="NHM-2025-101239"/>
    <s v="December"/>
    <x v="6"/>
    <n v="12"/>
    <d v="2024-12-27T00:00:00"/>
    <x v="0"/>
    <s v="Lauren Patel"/>
    <s v="NovaHealth Midtown Medical Center"/>
    <s v="Female"/>
    <n v="44"/>
    <x v="0"/>
    <n v="2"/>
    <x v="1"/>
    <x v="1"/>
    <n v="8017.69"/>
    <n v="4745.46"/>
    <n v="11.9"/>
    <x v="1"/>
    <x v="0"/>
  </r>
  <r>
    <s v="NHM-2025-100798"/>
    <s v="February"/>
    <x v="2"/>
    <n v="2"/>
    <d v="2026-02-23T00:00:00"/>
    <x v="2"/>
    <s v="Jerry Rivera"/>
    <s v="NovaHealth Midtown Medical Center"/>
    <s v="Male"/>
    <n v="93"/>
    <x v="1"/>
    <n v="5"/>
    <x v="4"/>
    <x v="4"/>
    <n v="17666.73"/>
    <n v="10897.51"/>
    <n v="15.1"/>
    <x v="2"/>
    <x v="1"/>
  </r>
  <r>
    <s v="NHM-2023-101341"/>
    <s v="April"/>
    <x v="0"/>
    <n v="4"/>
    <d v="2025-04-03T00:00:00"/>
    <x v="1"/>
    <s v="Emma Murray"/>
    <s v="NovaHealth Northside Hospital"/>
    <s v="Male"/>
    <n v="36"/>
    <x v="2"/>
    <n v="1"/>
    <x v="7"/>
    <x v="7"/>
    <n v="6238.81"/>
    <n v="4132.04"/>
    <n v="17.399999999999999"/>
    <x v="0"/>
    <x v="0"/>
  </r>
  <r>
    <s v="NHM-2025-100035"/>
    <s v="March"/>
    <x v="1"/>
    <n v="3"/>
    <d v="2026-03-05T00:00:00"/>
    <x v="2"/>
    <s v="Lisa Butler"/>
    <s v="NovaHealth Lakeshore Regional Center"/>
    <s v="Male"/>
    <n v="25"/>
    <x v="1"/>
    <n v="3"/>
    <x v="5"/>
    <x v="5"/>
    <n v="18743.439999999999"/>
    <n v="12639.7"/>
    <n v="10.199999999999999"/>
    <x v="1"/>
    <x v="0"/>
  </r>
  <r>
    <s v="NHM-2026-101127"/>
    <s v="December"/>
    <x v="6"/>
    <n v="12"/>
    <d v="2024-12-20T00:00:00"/>
    <x v="0"/>
    <s v="Sara Gonzales"/>
    <s v="NovaHealth Northside Hospital"/>
    <s v="Male"/>
    <n v="49"/>
    <x v="0"/>
    <n v="1"/>
    <x v="0"/>
    <x v="0"/>
    <n v="8810.2199999999993"/>
    <n v="6218.35"/>
    <n v="6.4"/>
    <x v="0"/>
    <x v="0"/>
  </r>
  <r>
    <s v="NHM-2024-101201"/>
    <s v="December"/>
    <x v="6"/>
    <n v="12"/>
    <d v="2024-12-30T00:00:00"/>
    <x v="0"/>
    <s v="Victoria Barnes"/>
    <s v="NovaHealth Northside Hospital"/>
    <s v="Male"/>
    <n v="95"/>
    <x v="2"/>
    <n v="2"/>
    <x v="3"/>
    <x v="3"/>
    <n v="5964.47"/>
    <n v="4395.66"/>
    <n v="5.2"/>
    <x v="1"/>
    <x v="1"/>
  </r>
  <r>
    <s v="NHM-2025-100821"/>
    <s v="May"/>
    <x v="9"/>
    <n v="5"/>
    <d v="2025-05-23T00:00:00"/>
    <x v="1"/>
    <s v="Ralph Hamilton"/>
    <s v="NovaHealth Northside Hospital"/>
    <s v="Male"/>
    <n v="85"/>
    <x v="0"/>
    <n v="2"/>
    <x v="3"/>
    <x v="3"/>
    <n v="8784.14"/>
    <n v="6707.95"/>
    <n v="4"/>
    <x v="1"/>
    <x v="1"/>
  </r>
  <r>
    <s v="NHM-2026-101572"/>
    <s v="April"/>
    <x v="0"/>
    <n v="4"/>
    <d v="2026-04-15T00:00:00"/>
    <x v="2"/>
    <s v="Kevin Allen"/>
    <s v="NovaHealth Midtown Medical Center"/>
    <s v="Female"/>
    <n v="78"/>
    <x v="0"/>
    <n v="3"/>
    <x v="1"/>
    <x v="1"/>
    <n v="10485.280000000001"/>
    <n v="6139.06"/>
    <n v="7.2"/>
    <x v="1"/>
    <x v="1"/>
  </r>
  <r>
    <s v="NHM-2025-101157"/>
    <s v="February"/>
    <x v="2"/>
    <n v="2"/>
    <d v="2026-02-16T00:00:00"/>
    <x v="2"/>
    <s v="Charles Murray"/>
    <s v="NovaHealth Chicago Medical Center"/>
    <s v="Female"/>
    <n v="41"/>
    <x v="0"/>
    <n v="2"/>
    <x v="7"/>
    <x v="7"/>
    <n v="4168.3100000000004"/>
    <n v="2648.27"/>
    <n v="13.2"/>
    <x v="1"/>
    <x v="0"/>
  </r>
  <r>
    <s v="NHM-2023-102306"/>
    <s v="March"/>
    <x v="1"/>
    <n v="3"/>
    <d v="2026-03-31T00:00:00"/>
    <x v="2"/>
    <s v="Vincent Patel"/>
    <s v="NovaHealth Chicago Medical Center"/>
    <s v="Female"/>
    <n v="36"/>
    <x v="0"/>
    <n v="1"/>
    <x v="2"/>
    <x v="2"/>
    <n v="2613.71"/>
    <n v="1740.77"/>
    <n v="8.5"/>
    <x v="0"/>
    <x v="0"/>
  </r>
  <r>
    <s v="NHM-2023-100581"/>
    <s v="March"/>
    <x v="1"/>
    <n v="3"/>
    <d v="2025-03-28T00:00:00"/>
    <x v="1"/>
    <s v="Wayne Ortiz"/>
    <s v="NovaHealth Midtown Medical Center"/>
    <s v="Female"/>
    <n v="31"/>
    <x v="0"/>
    <n v="2"/>
    <x v="0"/>
    <x v="0"/>
    <n v="9857.16"/>
    <n v="6659.5"/>
    <n v="6.9"/>
    <x v="1"/>
    <x v="0"/>
  </r>
  <r>
    <s v="NHM-2026-100096"/>
    <s v="January"/>
    <x v="3"/>
    <n v="1"/>
    <d v="2026-01-02T00:00:00"/>
    <x v="2"/>
    <s v="Paul Henderson"/>
    <s v="NovaHealth Chicago Medical Center"/>
    <s v="Female"/>
    <n v="28"/>
    <x v="0"/>
    <n v="1"/>
    <x v="0"/>
    <x v="0"/>
    <n v="4377.79"/>
    <n v="3094.05"/>
    <n v="3.7"/>
    <x v="0"/>
    <x v="0"/>
  </r>
  <r>
    <s v="NHM-2025-102097"/>
    <s v="July"/>
    <x v="8"/>
    <n v="7"/>
    <d v="2024-07-25T00:00:00"/>
    <x v="0"/>
    <s v="Rachel Price"/>
    <s v="NovaHealth River Valley Hospital"/>
    <s v="Male"/>
    <n v="12"/>
    <x v="2"/>
    <n v="3"/>
    <x v="6"/>
    <x v="6"/>
    <n v="1925.22"/>
    <n v="1423.81"/>
    <n v="2.2999999999999998"/>
    <x v="1"/>
    <x v="2"/>
  </r>
  <r>
    <s v="NHM-2023-101462"/>
    <s v="October"/>
    <x v="5"/>
    <n v="10"/>
    <d v="2024-10-10T00:00:00"/>
    <x v="0"/>
    <s v="Jordan Long"/>
    <s v="NovaHealth Lakeside Medical Center"/>
    <s v="Male"/>
    <n v="78"/>
    <x v="0"/>
    <n v="2"/>
    <x v="7"/>
    <x v="7"/>
    <n v="9879.65"/>
    <n v="7695.73"/>
    <n v="23.4"/>
    <x v="1"/>
    <x v="1"/>
  </r>
  <r>
    <s v="NHM-2024-102311"/>
    <s v="June"/>
    <x v="11"/>
    <n v="6"/>
    <d v="2024-06-07T00:00:00"/>
    <x v="0"/>
    <s v="Scott Ross"/>
    <s v="NovaHealth Midtown Medical Center"/>
    <s v="Female"/>
    <n v="77"/>
    <x v="0"/>
    <n v="3"/>
    <x v="0"/>
    <x v="0"/>
    <n v="11005.44"/>
    <n v="6403.96"/>
    <n v="2.6"/>
    <x v="1"/>
    <x v="1"/>
  </r>
  <r>
    <s v="NHM-2025-101590"/>
    <s v="January"/>
    <x v="3"/>
    <n v="1"/>
    <d v="2025-01-22T00:00:00"/>
    <x v="1"/>
    <s v="Kyle Davis"/>
    <s v="NovaHealth Metro General Hospital"/>
    <s v="Female"/>
    <n v="68"/>
    <x v="2"/>
    <n v="4"/>
    <x v="0"/>
    <x v="0"/>
    <n v="6881.44"/>
    <n v="4263.28"/>
    <n v="8.1999999999999993"/>
    <x v="2"/>
    <x v="1"/>
  </r>
  <r>
    <s v="NHM-2025-100427"/>
    <s v="December"/>
    <x v="6"/>
    <n v="12"/>
    <d v="2023-12-13T00:00:00"/>
    <x v="3"/>
    <s v="Joan Flores"/>
    <s v="NovaHealth Midtown Medical Center"/>
    <s v="Female"/>
    <n v="46"/>
    <x v="0"/>
    <n v="1"/>
    <x v="1"/>
    <x v="1"/>
    <n v="9077.08"/>
    <n v="5834.93"/>
    <n v="3.2"/>
    <x v="0"/>
    <x v="0"/>
  </r>
  <r>
    <s v="NHM-2023-100450"/>
    <s v="March"/>
    <x v="1"/>
    <n v="3"/>
    <d v="2024-03-26T00:00:00"/>
    <x v="0"/>
    <s v="Samantha Cole"/>
    <s v="NovaHealth River Valley Hospital"/>
    <s v="Female"/>
    <n v="0"/>
    <x v="2"/>
    <n v="1"/>
    <x v="6"/>
    <x v="6"/>
    <n v="1328.24"/>
    <n v="893.92"/>
    <n v="0.5"/>
    <x v="0"/>
    <x v="2"/>
  </r>
  <r>
    <s v="NHM-2025-100669"/>
    <s v="July"/>
    <x v="8"/>
    <n v="7"/>
    <d v="2026-07-20T00:00:00"/>
    <x v="2"/>
    <s v="Anna Brooks"/>
    <s v="NovaHealth Greenfield Clinic"/>
    <s v="Male"/>
    <n v="21"/>
    <x v="0"/>
    <n v="1"/>
    <x v="0"/>
    <x v="0"/>
    <n v="7916.8"/>
    <n v="5599.36"/>
    <n v="7.2"/>
    <x v="0"/>
    <x v="0"/>
  </r>
  <r>
    <s v="NHM-2026-101936"/>
    <s v="May"/>
    <x v="9"/>
    <n v="5"/>
    <d v="2024-05-10T00:00:00"/>
    <x v="0"/>
    <s v="Daniel Bailey"/>
    <s v="NovaHealth Northside Hospital"/>
    <s v="Female"/>
    <n v="68"/>
    <x v="2"/>
    <n v="3"/>
    <x v="4"/>
    <x v="4"/>
    <n v="19797.240000000002"/>
    <n v="14594.39"/>
    <n v="17.8"/>
    <x v="1"/>
    <x v="1"/>
  </r>
  <r>
    <s v="NHM-2023-101859"/>
    <s v="April"/>
    <x v="0"/>
    <n v="4"/>
    <d v="2025-04-03T00:00:00"/>
    <x v="1"/>
    <s v="Patrick Dixon"/>
    <s v="NovaHealth Chicago Medical Center"/>
    <s v="Male"/>
    <n v="22"/>
    <x v="2"/>
    <n v="2"/>
    <x v="7"/>
    <x v="7"/>
    <n v="9104.6200000000008"/>
    <n v="7102.71"/>
    <n v="22.9"/>
    <x v="1"/>
    <x v="0"/>
  </r>
  <r>
    <s v="NHM-2025-101971"/>
    <s v="February"/>
    <x v="2"/>
    <n v="2"/>
    <d v="2024-02-16T00:00:00"/>
    <x v="0"/>
    <s v="Jean Sullivan"/>
    <s v="NovaHealth Lakeshore Regional Center"/>
    <s v="Male"/>
    <n v="4"/>
    <x v="0"/>
    <n v="1"/>
    <x v="6"/>
    <x v="6"/>
    <n v="2434.13"/>
    <n v="1442.2"/>
    <n v="3.8"/>
    <x v="0"/>
    <x v="2"/>
  </r>
  <r>
    <s v="NHM-2025-100488"/>
    <s v="July"/>
    <x v="8"/>
    <n v="7"/>
    <d v="2024-07-22T00:00:00"/>
    <x v="0"/>
    <s v="Pamela Jenkins"/>
    <s v="NovaHealth Greenfield Clinic"/>
    <s v="Female"/>
    <n v="85"/>
    <x v="0"/>
    <n v="2"/>
    <x v="3"/>
    <x v="3"/>
    <n v="6209.16"/>
    <n v="3863.59"/>
    <n v="9.5"/>
    <x v="1"/>
    <x v="1"/>
  </r>
  <r>
    <s v="NHM-2024-101247"/>
    <s v="July"/>
    <x v="8"/>
    <n v="7"/>
    <d v="2026-07-15T00:00:00"/>
    <x v="2"/>
    <s v="Willie Crawford"/>
    <s v="NovaHealth Northside Hospital"/>
    <s v="Female"/>
    <n v="61"/>
    <x v="2"/>
    <n v="4"/>
    <x v="4"/>
    <x v="4"/>
    <n v="15898.22"/>
    <n v="10274.06"/>
    <n v="12.4"/>
    <x v="2"/>
    <x v="0"/>
  </r>
  <r>
    <s v="NHM-2026-102432"/>
    <s v="June"/>
    <x v="11"/>
    <n v="6"/>
    <d v="2024-06-25T00:00:00"/>
    <x v="0"/>
    <s v="Nancy Gonzalez"/>
    <s v="NovaHealth Metro General Hospital"/>
    <s v="Male"/>
    <n v="53"/>
    <x v="0"/>
    <n v="2"/>
    <x v="0"/>
    <x v="0"/>
    <n v="12194.08"/>
    <n v="8246.0300000000007"/>
    <n v="9.5"/>
    <x v="1"/>
    <x v="0"/>
  </r>
  <r>
    <s v="NHM-2024-101952"/>
    <s v="February"/>
    <x v="2"/>
    <n v="2"/>
    <d v="2026-02-09T00:00:00"/>
    <x v="2"/>
    <s v="Jasmine Webb"/>
    <s v="NovaHealth Northside Hospital"/>
    <s v="Male"/>
    <n v="73"/>
    <x v="0"/>
    <n v="3"/>
    <x v="0"/>
    <x v="0"/>
    <n v="10889.08"/>
    <n v="7695.96"/>
    <n v="9.1999999999999993"/>
    <x v="1"/>
    <x v="1"/>
  </r>
  <r>
    <s v="NHM-2026-101140"/>
    <s v="November"/>
    <x v="4"/>
    <n v="11"/>
    <d v="2024-11-25T00:00:00"/>
    <x v="0"/>
    <s v="Gloria Gibson"/>
    <s v="NovaHealth Lakeside Medical Center"/>
    <s v="Female"/>
    <n v="27"/>
    <x v="1"/>
    <n v="5"/>
    <x v="5"/>
    <x v="5"/>
    <n v="20046.38"/>
    <n v="14689.06"/>
    <n v="6.9"/>
    <x v="2"/>
    <x v="0"/>
  </r>
  <r>
    <s v="NHM-2025-102077"/>
    <s v="March"/>
    <x v="1"/>
    <n v="3"/>
    <d v="2026-03-09T00:00:00"/>
    <x v="2"/>
    <s v="Roger Reyes"/>
    <s v="NovaHealth River Valley Hospital"/>
    <s v="Female"/>
    <n v="54"/>
    <x v="0"/>
    <n v="1"/>
    <x v="1"/>
    <x v="1"/>
    <n v="7403.13"/>
    <n v="5692.78"/>
    <n v="8.3000000000000007"/>
    <x v="0"/>
    <x v="0"/>
  </r>
  <r>
    <s v="NHM-2026-101024"/>
    <s v="August"/>
    <x v="10"/>
    <n v="8"/>
    <d v="2025-08-13T00:00:00"/>
    <x v="1"/>
    <s v="Megan Russell"/>
    <s v="NovaHealth Metro General Hospital"/>
    <s v="Male"/>
    <n v="81"/>
    <x v="0"/>
    <n v="5"/>
    <x v="7"/>
    <x v="7"/>
    <n v="7762.27"/>
    <n v="4597.32"/>
    <n v="11.9"/>
    <x v="2"/>
    <x v="1"/>
  </r>
  <r>
    <s v="NHM-2024-100697"/>
    <s v="November"/>
    <x v="4"/>
    <n v="11"/>
    <d v="2025-11-17T00:00:00"/>
    <x v="1"/>
    <s v="Ryan Evans"/>
    <s v="NovaHealth Northside Hospital"/>
    <s v="Female"/>
    <n v="58"/>
    <x v="1"/>
    <n v="4"/>
    <x v="4"/>
    <x v="4"/>
    <n v="15384.24"/>
    <n v="9501.99"/>
    <n v="14.7"/>
    <x v="2"/>
    <x v="0"/>
  </r>
  <r>
    <s v="NHM-2025-101144"/>
    <s v="June"/>
    <x v="11"/>
    <n v="6"/>
    <d v="2026-06-22T00:00:00"/>
    <x v="2"/>
    <s v="Joshua Barnes"/>
    <s v="NovaHealth Greenfield Clinic"/>
    <s v="Female"/>
    <n v="72"/>
    <x v="0"/>
    <n v="3"/>
    <x v="1"/>
    <x v="1"/>
    <n v="15374.21"/>
    <n v="9904.2900000000009"/>
    <n v="8.1"/>
    <x v="1"/>
    <x v="1"/>
  </r>
  <r>
    <s v="NHM-2024-101072"/>
    <s v="October"/>
    <x v="5"/>
    <n v="10"/>
    <d v="2025-10-02T00:00:00"/>
    <x v="1"/>
    <s v="Hannah Martinez"/>
    <s v="NovaHealth Northside Hospital"/>
    <s v="Female"/>
    <n v="82"/>
    <x v="2"/>
    <n v="5"/>
    <x v="5"/>
    <x v="5"/>
    <n v="19225.47"/>
    <n v="12963.46"/>
    <n v="10.3"/>
    <x v="2"/>
    <x v="1"/>
  </r>
  <r>
    <s v="NHM-2024-101018"/>
    <s v="December"/>
    <x v="6"/>
    <n v="12"/>
    <d v="2024-12-23T00:00:00"/>
    <x v="0"/>
    <s v="Adam Hughes"/>
    <s v="NovaHealth Lakeshore Regional Center"/>
    <s v="Male"/>
    <n v="36"/>
    <x v="2"/>
    <n v="4"/>
    <x v="5"/>
    <x v="5"/>
    <n v="21959.65"/>
    <n v="15436.55"/>
    <n v="8.1"/>
    <x v="2"/>
    <x v="0"/>
  </r>
  <r>
    <s v="NHM-2024-101295"/>
    <s v="October"/>
    <x v="5"/>
    <n v="10"/>
    <d v="2025-10-27T00:00:00"/>
    <x v="1"/>
    <s v="Nancy Ramos"/>
    <s v="NovaHealth Northside Hospital"/>
    <s v="Female"/>
    <n v="52"/>
    <x v="0"/>
    <n v="2"/>
    <x v="3"/>
    <x v="3"/>
    <n v="8851.94"/>
    <n v="6529.92"/>
    <n v="8.5"/>
    <x v="1"/>
    <x v="0"/>
  </r>
  <r>
    <s v="NHM-2023-100452"/>
    <s v="February"/>
    <x v="2"/>
    <n v="2"/>
    <d v="2024-02-12T00:00:00"/>
    <x v="0"/>
    <s v="Kenneth Morris"/>
    <s v="NovaHealth Chicago Medical Center"/>
    <s v="Male"/>
    <n v="54"/>
    <x v="0"/>
    <n v="1"/>
    <x v="3"/>
    <x v="3"/>
    <n v="7505.53"/>
    <n v="5745.8"/>
    <n v="5.2"/>
    <x v="0"/>
    <x v="0"/>
  </r>
  <r>
    <s v="NHM-2026-100675"/>
    <s v="June"/>
    <x v="11"/>
    <n v="6"/>
    <d v="2025-06-11T00:00:00"/>
    <x v="1"/>
    <s v="Doris Lewis"/>
    <s v="NovaHealth Northside Hospital"/>
    <s v="Male"/>
    <n v="42"/>
    <x v="0"/>
    <n v="2"/>
    <x v="2"/>
    <x v="2"/>
    <n v="5213.25"/>
    <n v="3089.28"/>
    <n v="8.1999999999999993"/>
    <x v="1"/>
    <x v="0"/>
  </r>
  <r>
    <s v="NHM-2025-101237"/>
    <s v="March"/>
    <x v="1"/>
    <n v="3"/>
    <d v="2024-03-18T00:00:00"/>
    <x v="0"/>
    <s v="Jacqueline Ward"/>
    <s v="NovaHealth Northside Hospital"/>
    <s v="Male"/>
    <n v="57"/>
    <x v="0"/>
    <n v="1"/>
    <x v="7"/>
    <x v="7"/>
    <n v="6047.15"/>
    <n v="3812.76"/>
    <n v="15.5"/>
    <x v="0"/>
    <x v="0"/>
  </r>
  <r>
    <s v="NHM-2025-100818"/>
    <s v="July"/>
    <x v="8"/>
    <n v="7"/>
    <d v="2025-07-15T00:00:00"/>
    <x v="1"/>
    <s v="Diane Reyes"/>
    <s v="NovaHealth Metro General Hospital"/>
    <s v="Female"/>
    <n v="69"/>
    <x v="0"/>
    <n v="2"/>
    <x v="2"/>
    <x v="2"/>
    <n v="4706.22"/>
    <n v="3079.18"/>
    <n v="8.4"/>
    <x v="1"/>
    <x v="1"/>
  </r>
  <r>
    <s v="NHM-2025-100926"/>
    <s v="June"/>
    <x v="11"/>
    <n v="6"/>
    <d v="2024-06-23T00:00:00"/>
    <x v="0"/>
    <s v="Katherine Gonzalez"/>
    <s v="NovaHealth Chicago Medical Center"/>
    <s v="Male"/>
    <n v="86"/>
    <x v="1"/>
    <n v="4"/>
    <x v="4"/>
    <x v="4"/>
    <n v="22228.89"/>
    <n v="15002.16"/>
    <n v="13.6"/>
    <x v="2"/>
    <x v="1"/>
  </r>
  <r>
    <s v="NHM-2023-102359"/>
    <s v="April"/>
    <x v="0"/>
    <n v="4"/>
    <d v="2025-04-07T00:00:00"/>
    <x v="1"/>
    <s v="Victoria James"/>
    <s v="NovaHealth Lakeside Medical Center"/>
    <s v="Female"/>
    <n v="4"/>
    <x v="0"/>
    <n v="1"/>
    <x v="6"/>
    <x v="6"/>
    <n v="1666.64"/>
    <n v="1205.8499999999999"/>
    <n v="4.9000000000000004"/>
    <x v="0"/>
    <x v="2"/>
  </r>
  <r>
    <s v="NHM-2025-100099"/>
    <s v="April"/>
    <x v="0"/>
    <n v="4"/>
    <d v="2026-04-22T00:00:00"/>
    <x v="2"/>
    <s v="Megan Graham"/>
    <s v="NovaHealth River Valley Hospital"/>
    <s v="Female"/>
    <n v="6"/>
    <x v="0"/>
    <n v="1"/>
    <x v="6"/>
    <x v="6"/>
    <n v="1406.11"/>
    <n v="1064.8599999999999"/>
    <n v="4.8"/>
    <x v="0"/>
    <x v="2"/>
  </r>
  <r>
    <s v="NHM-2025-100447"/>
    <s v="April"/>
    <x v="0"/>
    <n v="4"/>
    <d v="2026-04-15T00:00:00"/>
    <x v="2"/>
    <s v="Charles Sullivan"/>
    <s v="NovaHealth Chicago Medical Center"/>
    <s v="Female"/>
    <n v="77"/>
    <x v="0"/>
    <n v="2"/>
    <x v="3"/>
    <x v="3"/>
    <n v="5642.28"/>
    <n v="4324.13"/>
    <n v="4.5"/>
    <x v="1"/>
    <x v="1"/>
  </r>
  <r>
    <s v="NHM-2023-102299"/>
    <s v="March"/>
    <x v="1"/>
    <n v="3"/>
    <d v="2026-03-04T00:00:00"/>
    <x v="2"/>
    <s v="Charles Gibson"/>
    <s v="NovaHealth Chicago Medical Center"/>
    <s v="Female"/>
    <n v="11"/>
    <x v="2"/>
    <n v="5"/>
    <x v="6"/>
    <x v="6"/>
    <n v="2150.29"/>
    <n v="1260.77"/>
    <n v="1.7"/>
    <x v="2"/>
    <x v="2"/>
  </r>
  <r>
    <s v="NHM-2023-100024"/>
    <s v="September"/>
    <x v="7"/>
    <n v="9"/>
    <d v="2023-09-08T00:00:00"/>
    <x v="3"/>
    <s v="Jeremy Richardson"/>
    <s v="NovaHealth Chicago Medical Center"/>
    <s v="Female"/>
    <n v="81"/>
    <x v="2"/>
    <n v="3"/>
    <x v="0"/>
    <x v="0"/>
    <n v="12568.38"/>
    <n v="7737.91"/>
    <n v="8.9"/>
    <x v="1"/>
    <x v="1"/>
  </r>
  <r>
    <s v="NHM-2026-102408"/>
    <s v="February"/>
    <x v="2"/>
    <n v="2"/>
    <d v="2024-02-07T00:00:00"/>
    <x v="0"/>
    <s v="Jose Harris"/>
    <s v="NovaHealth Chicago Medical Center"/>
    <s v="Male"/>
    <n v="56"/>
    <x v="2"/>
    <n v="4"/>
    <x v="1"/>
    <x v="1"/>
    <n v="15469.42"/>
    <n v="9947.6299999999992"/>
    <n v="5.9"/>
    <x v="2"/>
    <x v="0"/>
  </r>
  <r>
    <s v="NHM-2024-101907"/>
    <s v="October"/>
    <x v="5"/>
    <n v="10"/>
    <d v="2023-10-06T00:00:00"/>
    <x v="3"/>
    <s v="Andrew Peterson"/>
    <s v="NovaHealth Chicago Medical Center"/>
    <s v="Male"/>
    <n v="35"/>
    <x v="0"/>
    <n v="1"/>
    <x v="0"/>
    <x v="0"/>
    <n v="7375.97"/>
    <n v="4980.3"/>
    <n v="4.8"/>
    <x v="0"/>
    <x v="0"/>
  </r>
  <r>
    <s v="NHM-2026-102018"/>
    <s v="February"/>
    <x v="2"/>
    <n v="2"/>
    <d v="2025-02-03T00:00:00"/>
    <x v="1"/>
    <s v="Joyce Graham"/>
    <s v="NovaHealth Metro General Hospital"/>
    <s v="Male"/>
    <n v="89"/>
    <x v="2"/>
    <n v="5"/>
    <x v="4"/>
    <x v="4"/>
    <n v="21006.82"/>
    <n v="14779.97"/>
    <n v="9.4"/>
    <x v="2"/>
    <x v="1"/>
  </r>
  <r>
    <s v="NHM-2023-102090"/>
    <s v="November"/>
    <x v="4"/>
    <n v="11"/>
    <d v="2024-11-12T00:00:00"/>
    <x v="0"/>
    <s v="Scott Gutierrez"/>
    <s v="NovaHealth Chicago Medical Center"/>
    <s v="Male"/>
    <n v="76"/>
    <x v="2"/>
    <n v="4"/>
    <x v="4"/>
    <x v="4"/>
    <n v="22099.89"/>
    <n v="16219.32"/>
    <n v="10.8"/>
    <x v="2"/>
    <x v="1"/>
  </r>
  <r>
    <s v="NHM-2025-101664"/>
    <s v="January"/>
    <x v="3"/>
    <n v="1"/>
    <d v="2026-01-11T00:00:00"/>
    <x v="2"/>
    <s v="Gregory Nelson"/>
    <s v="NovaHealth Chicago Medical Center"/>
    <s v="Female"/>
    <n v="36"/>
    <x v="2"/>
    <n v="1"/>
    <x v="0"/>
    <x v="0"/>
    <n v="7078.4"/>
    <n v="5422.78"/>
    <n v="5.4"/>
    <x v="0"/>
    <x v="0"/>
  </r>
  <r>
    <s v="NHM-2023-101921"/>
    <s v="April"/>
    <x v="0"/>
    <n v="4"/>
    <d v="2025-04-10T00:00:00"/>
    <x v="1"/>
    <s v="Evelyn Ramirez"/>
    <s v="NovaHealth Lakeside Medical Center"/>
    <s v="Female"/>
    <n v="85"/>
    <x v="2"/>
    <n v="1"/>
    <x v="1"/>
    <x v="1"/>
    <n v="4792.1899999999996"/>
    <n v="2841.07"/>
    <n v="7.7"/>
    <x v="0"/>
    <x v="1"/>
  </r>
  <r>
    <s v="NHM-2023-100044"/>
    <s v="December"/>
    <x v="6"/>
    <n v="12"/>
    <d v="2024-12-27T00:00:00"/>
    <x v="0"/>
    <s v="Catherine Butler"/>
    <s v="NovaHealth Lakeshore Regional Center"/>
    <s v="Male"/>
    <n v="31"/>
    <x v="2"/>
    <n v="4"/>
    <x v="5"/>
    <x v="5"/>
    <n v="11874.89"/>
    <n v="7282.88"/>
    <n v="4.9000000000000004"/>
    <x v="2"/>
    <x v="0"/>
  </r>
  <r>
    <s v="NHM-2023-101291"/>
    <s v="May"/>
    <x v="9"/>
    <n v="5"/>
    <d v="2025-05-06T00:00:00"/>
    <x v="1"/>
    <s v="Samuel Patterson"/>
    <s v="NovaHealth Metro General Hospital"/>
    <s v="Male"/>
    <n v="53"/>
    <x v="0"/>
    <n v="2"/>
    <x v="2"/>
    <x v="2"/>
    <n v="4505.5200000000004"/>
    <n v="2919.53"/>
    <n v="4.5"/>
    <x v="1"/>
    <x v="0"/>
  </r>
  <r>
    <s v="NHM-2023-100530"/>
    <s v="May"/>
    <x v="9"/>
    <n v="5"/>
    <d v="2024-05-04T00:00:00"/>
    <x v="0"/>
    <s v="Julie Flores"/>
    <s v="NovaHealth River Valley Hospital"/>
    <s v="Male"/>
    <n v="90"/>
    <x v="2"/>
    <n v="4"/>
    <x v="4"/>
    <x v="4"/>
    <n v="13426.3"/>
    <n v="9103.6200000000008"/>
    <n v="13.5"/>
    <x v="2"/>
    <x v="1"/>
  </r>
  <r>
    <s v="NHM-2023-101611"/>
    <s v="March"/>
    <x v="1"/>
    <n v="3"/>
    <d v="2026-03-22T00:00:00"/>
    <x v="2"/>
    <s v="Kenneth Bailey"/>
    <s v="NovaHealth Metro General Hospital"/>
    <s v="Male"/>
    <n v="26"/>
    <x v="2"/>
    <n v="1"/>
    <x v="7"/>
    <x v="7"/>
    <n v="4057.33"/>
    <n v="2965.73"/>
    <n v="15.7"/>
    <x v="0"/>
    <x v="0"/>
  </r>
  <r>
    <s v="NHM-2026-101117"/>
    <s v="June"/>
    <x v="11"/>
    <n v="6"/>
    <d v="2026-06-17T00:00:00"/>
    <x v="2"/>
    <s v="Sarah Cruz"/>
    <s v="NovaHealth Northside Hospital"/>
    <s v="Female"/>
    <n v="3"/>
    <x v="0"/>
    <n v="1"/>
    <x v="6"/>
    <x v="6"/>
    <n v="1953.75"/>
    <n v="1430.24"/>
    <n v="0.5"/>
    <x v="0"/>
    <x v="2"/>
  </r>
  <r>
    <s v="NHM-2024-101232"/>
    <s v="April"/>
    <x v="0"/>
    <n v="4"/>
    <d v="2025-04-16T00:00:00"/>
    <x v="1"/>
    <s v="Margaret Wright"/>
    <s v="NovaHealth Chicago Medical Center"/>
    <s v="Female"/>
    <n v="8"/>
    <x v="0"/>
    <n v="3"/>
    <x v="6"/>
    <x v="6"/>
    <n v="2759.6"/>
    <n v="2111.6999999999998"/>
    <n v="1.8"/>
    <x v="1"/>
    <x v="2"/>
  </r>
  <r>
    <s v="NHM-2026-101927"/>
    <s v="January"/>
    <x v="3"/>
    <n v="1"/>
    <d v="2026-01-24T00:00:00"/>
    <x v="2"/>
    <s v="Julia Cooper"/>
    <s v="NovaHealth Northside Hospital"/>
    <s v="Male"/>
    <n v="59"/>
    <x v="0"/>
    <n v="1"/>
    <x v="2"/>
    <x v="2"/>
    <n v="1413.85"/>
    <n v="885.63"/>
    <n v="8.1999999999999993"/>
    <x v="0"/>
    <x v="0"/>
  </r>
  <r>
    <s v="NHM-2026-101192"/>
    <s v="August"/>
    <x v="10"/>
    <n v="8"/>
    <d v="2025-08-20T00:00:00"/>
    <x v="1"/>
    <s v="Carol Wilson"/>
    <s v="NovaHealth Northside Hospital"/>
    <s v="Female"/>
    <n v="62"/>
    <x v="0"/>
    <n v="1"/>
    <x v="1"/>
    <x v="1"/>
    <n v="8611.76"/>
    <n v="5301.17"/>
    <n v="6"/>
    <x v="0"/>
    <x v="0"/>
  </r>
  <r>
    <s v="NHM-2023-101062"/>
    <s v="January"/>
    <x v="3"/>
    <n v="1"/>
    <d v="2025-01-02T00:00:00"/>
    <x v="1"/>
    <s v="Scott Ellis"/>
    <s v="NovaHealth Chicago Medical Center"/>
    <s v="Female"/>
    <n v="51"/>
    <x v="2"/>
    <n v="3"/>
    <x v="7"/>
    <x v="7"/>
    <n v="9005.75"/>
    <n v="5864.48"/>
    <n v="12.6"/>
    <x v="1"/>
    <x v="0"/>
  </r>
  <r>
    <s v="NHM-2025-100550"/>
    <s v="December"/>
    <x v="6"/>
    <n v="12"/>
    <d v="2025-12-29T00:00:00"/>
    <x v="1"/>
    <s v="Scott Ward"/>
    <s v="NovaHealth Lakeside Medical Center"/>
    <s v="Female"/>
    <n v="75"/>
    <x v="2"/>
    <n v="4"/>
    <x v="4"/>
    <x v="4"/>
    <n v="13182.38"/>
    <n v="8942.59"/>
    <n v="13.8"/>
    <x v="2"/>
    <x v="1"/>
  </r>
  <r>
    <s v="NHM-2023-101396"/>
    <s v="February"/>
    <x v="2"/>
    <n v="2"/>
    <d v="2024-02-20T00:00:00"/>
    <x v="0"/>
    <s v="Bryan Kennedy"/>
    <s v="NovaHealth Lakeside Medical Center"/>
    <s v="Male"/>
    <n v="89"/>
    <x v="0"/>
    <n v="1"/>
    <x v="3"/>
    <x v="3"/>
    <n v="8639.2000000000007"/>
    <n v="6105.84"/>
    <n v="7.3"/>
    <x v="0"/>
    <x v="1"/>
  </r>
  <r>
    <s v="NHM-2025-101944"/>
    <s v="September"/>
    <x v="7"/>
    <n v="9"/>
    <d v="2025-09-05T00:00:00"/>
    <x v="1"/>
    <s v="Cheryl Butler"/>
    <s v="NovaHealth Metro General Hospital"/>
    <s v="Male"/>
    <n v="58"/>
    <x v="0"/>
    <n v="1"/>
    <x v="2"/>
    <x v="2"/>
    <n v="4408.0600000000004"/>
    <n v="3281.88"/>
    <n v="8"/>
    <x v="0"/>
    <x v="0"/>
  </r>
  <r>
    <s v="NHM-2026-101278"/>
    <s v="July"/>
    <x v="8"/>
    <n v="7"/>
    <d v="2026-07-03T00:00:00"/>
    <x v="2"/>
    <s v="Fiona Flores"/>
    <s v="NovaHealth Midtown Medical Center"/>
    <s v="Male"/>
    <n v="11"/>
    <x v="2"/>
    <n v="4"/>
    <x v="6"/>
    <x v="6"/>
    <n v="1973.22"/>
    <n v="1535.65"/>
    <n v="4.5"/>
    <x v="2"/>
    <x v="2"/>
  </r>
  <r>
    <s v="NHM-2025-102292"/>
    <s v="July"/>
    <x v="8"/>
    <n v="7"/>
    <d v="2026-07-03T00:00:00"/>
    <x v="2"/>
    <s v="Patrick Powell"/>
    <s v="NovaHealth Northside Hospital"/>
    <s v="Male"/>
    <n v="18"/>
    <x v="0"/>
    <n v="1"/>
    <x v="7"/>
    <x v="7"/>
    <n v="2914.56"/>
    <n v="1845.64"/>
    <n v="19.399999999999999"/>
    <x v="0"/>
    <x v="2"/>
  </r>
  <r>
    <s v="NHM-2026-101114"/>
    <s v="October"/>
    <x v="5"/>
    <n v="10"/>
    <d v="2023-10-09T00:00:00"/>
    <x v="3"/>
    <s v="Bruce Garcia"/>
    <s v="NovaHealth Chicago Medical Center"/>
    <s v="Female"/>
    <n v="46"/>
    <x v="0"/>
    <n v="2"/>
    <x v="3"/>
    <x v="3"/>
    <n v="4868.3900000000003"/>
    <n v="3016.92"/>
    <n v="5.9"/>
    <x v="1"/>
    <x v="0"/>
  </r>
  <r>
    <s v="NHM-2023-100734"/>
    <s v="November"/>
    <x v="4"/>
    <n v="11"/>
    <d v="2025-11-05T00:00:00"/>
    <x v="1"/>
    <s v="Denise Hall"/>
    <s v="NovaHealth Greenfield Clinic"/>
    <s v="Female"/>
    <n v="69"/>
    <x v="0"/>
    <n v="3"/>
    <x v="0"/>
    <x v="0"/>
    <n v="9151.39"/>
    <n v="5940.09"/>
    <n v="10.4"/>
    <x v="1"/>
    <x v="1"/>
  </r>
  <r>
    <s v="NHM-2025-100187"/>
    <s v="April"/>
    <x v="0"/>
    <n v="4"/>
    <d v="2026-04-17T00:00:00"/>
    <x v="2"/>
    <s v="Anthony Baker"/>
    <s v="NovaHealth Lakeside Medical Center"/>
    <s v="Male"/>
    <n v="84"/>
    <x v="2"/>
    <n v="4"/>
    <x v="4"/>
    <x v="4"/>
    <n v="11200.35"/>
    <n v="7576.23"/>
    <n v="9"/>
    <x v="2"/>
    <x v="1"/>
  </r>
  <r>
    <s v="NHM-2023-100884"/>
    <s v="October"/>
    <x v="5"/>
    <n v="10"/>
    <d v="2025-10-01T00:00:00"/>
    <x v="1"/>
    <s v="Gary Ortiz"/>
    <s v="NovaHealth Lakeshore Regional Center"/>
    <s v="Male"/>
    <n v="70"/>
    <x v="0"/>
    <n v="3"/>
    <x v="4"/>
    <x v="4"/>
    <n v="18813.419999999998"/>
    <n v="13275.79"/>
    <n v="13.3"/>
    <x v="1"/>
    <x v="1"/>
  </r>
  <r>
    <s v="NHM-2026-101179"/>
    <s v="January"/>
    <x v="3"/>
    <n v="1"/>
    <d v="2025-01-29T00:00:00"/>
    <x v="1"/>
    <s v="Rachel Marshall"/>
    <s v="NovaHealth Midtown Medical Center"/>
    <s v="Female"/>
    <n v="84"/>
    <x v="0"/>
    <n v="2"/>
    <x v="3"/>
    <x v="3"/>
    <n v="9018.2900000000009"/>
    <n v="6658.55"/>
    <n v="9.4"/>
    <x v="1"/>
    <x v="1"/>
  </r>
  <r>
    <s v="NHM-2025-101790"/>
    <s v="March"/>
    <x v="1"/>
    <n v="3"/>
    <d v="2024-03-28T00:00:00"/>
    <x v="0"/>
    <s v="Megan Anderson"/>
    <s v="NovaHealth Lakeside Medical Center"/>
    <s v="Female"/>
    <n v="86"/>
    <x v="1"/>
    <n v="4"/>
    <x v="4"/>
    <x v="4"/>
    <n v="13939.37"/>
    <n v="10681.12"/>
    <n v="10.9"/>
    <x v="2"/>
    <x v="1"/>
  </r>
  <r>
    <s v="NHM-2025-101989"/>
    <s v="July"/>
    <x v="8"/>
    <n v="7"/>
    <d v="2025-07-09T00:00:00"/>
    <x v="1"/>
    <s v="Andrew Scott"/>
    <s v="NovaHealth Northside Hospital"/>
    <s v="Male"/>
    <n v="28"/>
    <x v="0"/>
    <n v="3"/>
    <x v="2"/>
    <x v="2"/>
    <n v="2497.25"/>
    <n v="1523.61"/>
    <n v="9.4"/>
    <x v="1"/>
    <x v="0"/>
  </r>
  <r>
    <s v="NHM-2024-101332"/>
    <s v="May"/>
    <x v="9"/>
    <n v="5"/>
    <d v="2024-05-28T00:00:00"/>
    <x v="0"/>
    <s v="Kevin Henderson"/>
    <s v="NovaHealth Oakridge Community Hospital"/>
    <s v="Female"/>
    <n v="77"/>
    <x v="0"/>
    <n v="1"/>
    <x v="0"/>
    <x v="0"/>
    <n v="5375.2"/>
    <n v="3346.07"/>
    <n v="8.4"/>
    <x v="0"/>
    <x v="1"/>
  </r>
  <r>
    <s v="NHM-2023-100276"/>
    <s v="November"/>
    <x v="4"/>
    <n v="11"/>
    <d v="2023-11-27T00:00:00"/>
    <x v="3"/>
    <s v="Jeremy Thompson"/>
    <s v="NovaHealth Chicago Medical Center"/>
    <s v="Male"/>
    <n v="89"/>
    <x v="1"/>
    <n v="5"/>
    <x v="4"/>
    <x v="4"/>
    <n v="13534.43"/>
    <n v="8744.44"/>
    <n v="10.3"/>
    <x v="2"/>
    <x v="1"/>
  </r>
  <r>
    <s v="NHM-2023-100257"/>
    <s v="August"/>
    <x v="10"/>
    <n v="8"/>
    <d v="2025-08-19T00:00:00"/>
    <x v="1"/>
    <s v="Arthur Diaz"/>
    <s v="NovaHealth Midtown Medical Center"/>
    <s v="Male"/>
    <n v="63"/>
    <x v="0"/>
    <n v="1"/>
    <x v="0"/>
    <x v="0"/>
    <n v="5864.9"/>
    <n v="3997.48"/>
    <n v="8.5"/>
    <x v="0"/>
    <x v="0"/>
  </r>
  <r>
    <s v="NHM-2026-101984"/>
    <s v="July"/>
    <x v="8"/>
    <n v="7"/>
    <d v="2025-07-22T00:00:00"/>
    <x v="1"/>
    <s v="Brandon Ortiz"/>
    <s v="NovaHealth Metro General Hospital"/>
    <s v="Male"/>
    <n v="64"/>
    <x v="0"/>
    <n v="1"/>
    <x v="7"/>
    <x v="7"/>
    <n v="6222.87"/>
    <n v="4437.6099999999997"/>
    <n v="10.199999999999999"/>
    <x v="0"/>
    <x v="0"/>
  </r>
  <r>
    <s v="NHM-2023-101520"/>
    <s v="August"/>
    <x v="10"/>
    <n v="8"/>
    <d v="2024-08-21T00:00:00"/>
    <x v="0"/>
    <s v="Ralph Patel"/>
    <s v="NovaHealth Greenfield Clinic"/>
    <s v="Female"/>
    <n v="26"/>
    <x v="2"/>
    <n v="5"/>
    <x v="5"/>
    <x v="5"/>
    <n v="17826.11"/>
    <n v="13062.66"/>
    <n v="6.2"/>
    <x v="2"/>
    <x v="0"/>
  </r>
  <r>
    <s v="NHM-2025-100862"/>
    <s v="April"/>
    <x v="0"/>
    <n v="4"/>
    <d v="2026-04-06T00:00:00"/>
    <x v="2"/>
    <s v="Steven Washington"/>
    <s v="NovaHealth Oakridge Community Hospital"/>
    <s v="Female"/>
    <n v="62"/>
    <x v="2"/>
    <n v="3"/>
    <x v="0"/>
    <x v="0"/>
    <n v="13154.82"/>
    <n v="10064.06"/>
    <n v="8.3000000000000007"/>
    <x v="1"/>
    <x v="0"/>
  </r>
  <r>
    <s v="NHM-2024-101399"/>
    <s v="May"/>
    <x v="9"/>
    <n v="5"/>
    <d v="2026-05-05T00:00:00"/>
    <x v="2"/>
    <s v="Kevin Harris"/>
    <s v="NovaHealth Chicago Medical Center"/>
    <s v="Female"/>
    <n v="3"/>
    <x v="0"/>
    <n v="1"/>
    <x v="6"/>
    <x v="6"/>
    <n v="1886.55"/>
    <n v="1140.5999999999999"/>
    <n v="5.8"/>
    <x v="0"/>
    <x v="2"/>
  </r>
  <r>
    <s v="NHM-2026-101156"/>
    <s v="September"/>
    <x v="7"/>
    <n v="9"/>
    <d v="2024-09-05T00:00:00"/>
    <x v="0"/>
    <s v="Rachel Bell"/>
    <s v="NovaHealth River Valley Hospital"/>
    <s v="Female"/>
    <n v="60"/>
    <x v="2"/>
    <n v="5"/>
    <x v="5"/>
    <x v="5"/>
    <n v="16574.8"/>
    <n v="10133.83"/>
    <n v="2.9"/>
    <x v="2"/>
    <x v="0"/>
  </r>
  <r>
    <s v="NHM-2026-100208"/>
    <s v="May"/>
    <x v="9"/>
    <n v="5"/>
    <d v="2024-05-31T00:00:00"/>
    <x v="0"/>
    <s v="Olivia Rogers"/>
    <s v="NovaHealth Lakeshore Regional Center"/>
    <s v="Male"/>
    <n v="61"/>
    <x v="0"/>
    <n v="2"/>
    <x v="2"/>
    <x v="2"/>
    <n v="2828.45"/>
    <n v="1857.41"/>
    <n v="5.9"/>
    <x v="1"/>
    <x v="0"/>
  </r>
  <r>
    <s v="NHM-2023-100562"/>
    <s v="January"/>
    <x v="3"/>
    <n v="1"/>
    <d v="2024-01-05T00:00:00"/>
    <x v="0"/>
    <s v="Roger Mcdonald"/>
    <s v="NovaHealth Chicago Medical Center"/>
    <s v="Female"/>
    <n v="51"/>
    <x v="1"/>
    <n v="1"/>
    <x v="2"/>
    <x v="2"/>
    <n v="2098.02"/>
    <n v="1445.67"/>
    <n v="5"/>
    <x v="0"/>
    <x v="0"/>
  </r>
  <r>
    <s v="NHM-2026-102274"/>
    <s v="March"/>
    <x v="1"/>
    <n v="3"/>
    <d v="2026-03-23T00:00:00"/>
    <x v="2"/>
    <s v="Jordan Jenkins"/>
    <s v="NovaHealth Lakeshore Regional Center"/>
    <s v="Female"/>
    <n v="86"/>
    <x v="2"/>
    <n v="5"/>
    <x v="4"/>
    <x v="4"/>
    <n v="15776.25"/>
    <n v="11129.77"/>
    <n v="10.8"/>
    <x v="2"/>
    <x v="1"/>
  </r>
  <r>
    <s v="NHM-2024-101978"/>
    <s v="November"/>
    <x v="4"/>
    <n v="11"/>
    <d v="2023-11-22T00:00:00"/>
    <x v="3"/>
    <s v="Albert Gutierrez"/>
    <s v="NovaHealth Lakeshore Regional Center"/>
    <s v="Female"/>
    <n v="78"/>
    <x v="0"/>
    <n v="1"/>
    <x v="2"/>
    <x v="2"/>
    <n v="3964.23"/>
    <n v="2952.29"/>
    <n v="7.3"/>
    <x v="0"/>
    <x v="1"/>
  </r>
  <r>
    <s v="NHM-2024-102263"/>
    <s v="June"/>
    <x v="11"/>
    <n v="6"/>
    <d v="2025-06-05T00:00:00"/>
    <x v="1"/>
    <s v="Jasmine Freeman"/>
    <s v="NovaHealth Northside Hospital"/>
    <s v="Female"/>
    <n v="27"/>
    <x v="0"/>
    <n v="1"/>
    <x v="2"/>
    <x v="2"/>
    <n v="1274.1199999999999"/>
    <n v="1021.93"/>
    <n v="6.7"/>
    <x v="0"/>
    <x v="0"/>
  </r>
  <r>
    <s v="NHM-2025-102112"/>
    <s v="April"/>
    <x v="0"/>
    <n v="4"/>
    <d v="2026-04-24T00:00:00"/>
    <x v="2"/>
    <s v="Ashley Brooks"/>
    <s v="NovaHealth Northside Hospital"/>
    <s v="Female"/>
    <n v="80"/>
    <x v="0"/>
    <n v="3"/>
    <x v="7"/>
    <x v="7"/>
    <n v="6627.12"/>
    <n v="3843.73"/>
    <m/>
    <x v="1"/>
    <x v="1"/>
  </r>
  <r>
    <s v="NHM-2023-101983"/>
    <s v="January"/>
    <x v="3"/>
    <n v="1"/>
    <d v="2025-01-28T00:00:00"/>
    <x v="1"/>
    <s v="Doris Reyes"/>
    <s v="NovaHealth Northside Hospital"/>
    <s v="Female"/>
    <n v="26"/>
    <x v="0"/>
    <n v="2"/>
    <x v="1"/>
    <x v="1"/>
    <n v="6492.51"/>
    <n v="3979.63"/>
    <n v="2.4"/>
    <x v="1"/>
    <x v="0"/>
  </r>
  <r>
    <s v="NHM-2023-101302"/>
    <s v="September"/>
    <x v="7"/>
    <n v="9"/>
    <d v="2024-09-23T00:00:00"/>
    <x v="0"/>
    <s v="Christine Ramos"/>
    <s v="NovaHealth Chicago Medical Center"/>
    <s v="Female"/>
    <n v="8"/>
    <x v="0"/>
    <n v="1"/>
    <x v="6"/>
    <x v="6"/>
    <n v="793.71"/>
    <n v="512.77"/>
    <n v="0.6"/>
    <x v="0"/>
    <x v="2"/>
  </r>
  <r>
    <s v="NHM-2026-101708"/>
    <s v="December"/>
    <x v="6"/>
    <n v="12"/>
    <d v="2023-12-04T00:00:00"/>
    <x v="3"/>
    <s v="Danielle Clark"/>
    <s v="NovaHealth Lakeshore Regional Center"/>
    <s v="Female"/>
    <n v="18"/>
    <x v="0"/>
    <n v="1"/>
    <x v="1"/>
    <x v="1"/>
    <n v="7054.04"/>
    <n v="4811.01"/>
    <n v="10.6"/>
    <x v="0"/>
    <x v="2"/>
  </r>
  <r>
    <s v="NHM-2024-100151"/>
    <s v="July"/>
    <x v="8"/>
    <n v="7"/>
    <d v="2025-07-08T00:00:00"/>
    <x v="1"/>
    <s v="Betty Ross"/>
    <s v="NovaHealth Chicago Medical Center"/>
    <s v="Male"/>
    <n v="69"/>
    <x v="2"/>
    <n v="4"/>
    <x v="4"/>
    <x v="4"/>
    <n v="16043.54"/>
    <n v="11369.68"/>
    <n v="17.399999999999999"/>
    <x v="2"/>
    <x v="1"/>
  </r>
  <r>
    <s v="NHM-2026-101535"/>
    <s v="March"/>
    <x v="1"/>
    <n v="3"/>
    <d v="2025-03-10T00:00:00"/>
    <x v="1"/>
    <s v="Laura Powell"/>
    <s v="NovaHealth Midtown Medical Center"/>
    <s v="Female"/>
    <n v="13"/>
    <x v="2"/>
    <n v="4"/>
    <x v="6"/>
    <x v="6"/>
    <n v="1026.6400000000001"/>
    <n v="786.25"/>
    <n v="4.5999999999999996"/>
    <x v="2"/>
    <x v="2"/>
  </r>
  <r>
    <s v="NHM-2026-100688"/>
    <s v="May"/>
    <x v="9"/>
    <n v="5"/>
    <d v="2024-05-09T00:00:00"/>
    <x v="0"/>
    <s v="Lauren Green"/>
    <s v="NovaHealth Metro General Hospital"/>
    <s v="Male"/>
    <n v="88"/>
    <x v="0"/>
    <n v="5"/>
    <x v="5"/>
    <x v="5"/>
    <n v="19266.91"/>
    <n v="14693.25"/>
    <n v="6.3"/>
    <x v="2"/>
    <x v="1"/>
  </r>
  <r>
    <s v="NHM-2026-100487"/>
    <s v="November"/>
    <x v="4"/>
    <n v="11"/>
    <d v="2025-11-25T00:00:00"/>
    <x v="1"/>
    <s v="Billy Hall"/>
    <s v="NovaHealth Chicago Medical Center"/>
    <s v="Male"/>
    <n v="14"/>
    <x v="0"/>
    <n v="1"/>
    <x v="6"/>
    <x v="6"/>
    <n v="2118.39"/>
    <n v="1258.27"/>
    <n v="3.7"/>
    <x v="0"/>
    <x v="2"/>
  </r>
  <r>
    <s v="NHM-2023-101155"/>
    <s v="October"/>
    <x v="5"/>
    <n v="10"/>
    <d v="2025-10-28T00:00:00"/>
    <x v="1"/>
    <s v="Peter Scott"/>
    <s v="NovaHealth Lakeside Medical Center"/>
    <s v="Male"/>
    <n v="19"/>
    <x v="0"/>
    <n v="1"/>
    <x v="0"/>
    <x v="0"/>
    <n v="7453.9"/>
    <n v="4586.88"/>
    <n v="5"/>
    <x v="0"/>
    <x v="0"/>
  </r>
  <r>
    <s v="NHM-2024-101361"/>
    <s v="July"/>
    <x v="8"/>
    <n v="7"/>
    <d v="2025-07-23T00:00:00"/>
    <x v="1"/>
    <s v="Jennifer White"/>
    <s v="NovaHealth Midtown Medical Center"/>
    <s v="Female"/>
    <n v="68"/>
    <x v="0"/>
    <n v="1"/>
    <x v="1"/>
    <x v="1"/>
    <n v="9443.31"/>
    <n v="6086.92"/>
    <n v="5.4"/>
    <x v="0"/>
    <x v="1"/>
  </r>
  <r>
    <s v="NHM-2024-101898"/>
    <s v="June"/>
    <x v="11"/>
    <n v="6"/>
    <d v="2026-06-12T00:00:00"/>
    <x v="2"/>
    <s v="Elizabeth Ortiz"/>
    <s v="NovaHealth Metro General Hospital"/>
    <s v="Female"/>
    <n v="83"/>
    <x v="2"/>
    <n v="5"/>
    <x v="4"/>
    <x v="4"/>
    <n v="22730.560000000001"/>
    <n v="15298.28"/>
    <n v="8.6"/>
    <x v="2"/>
    <x v="1"/>
  </r>
  <r>
    <s v="NHM-2026-101186"/>
    <s v="September"/>
    <x v="7"/>
    <n v="9"/>
    <d v="2025-09-19T00:00:00"/>
    <x v="1"/>
    <s v="Nathan Ford"/>
    <s v="NovaHealth Metro General Hospital"/>
    <s v="Male"/>
    <n v="84"/>
    <x v="0"/>
    <n v="3"/>
    <x v="0"/>
    <x v="0"/>
    <n v="9180.2900000000009"/>
    <n v="6522.2"/>
    <n v="12"/>
    <x v="1"/>
    <x v="1"/>
  </r>
  <r>
    <s v="NHM-2025-101695"/>
    <s v="February"/>
    <x v="2"/>
    <n v="2"/>
    <d v="2025-02-25T00:00:00"/>
    <x v="1"/>
    <s v="Helen Warren"/>
    <s v="NovaHealth Greenfield Clinic"/>
    <s v="Male"/>
    <n v="46"/>
    <x v="2"/>
    <n v="3"/>
    <x v="7"/>
    <x v="7"/>
    <n v="9328.8799999999992"/>
    <n v="6898.08"/>
    <n v="11"/>
    <x v="1"/>
    <x v="0"/>
  </r>
  <r>
    <s v="NHM-2023-102197"/>
    <s v="February"/>
    <x v="2"/>
    <n v="2"/>
    <d v="2024-02-14T00:00:00"/>
    <x v="0"/>
    <s v="Walter Brooks"/>
    <s v="NovaHealth Chicago Medical Center"/>
    <s v="Female"/>
    <n v="78"/>
    <x v="2"/>
    <n v="3"/>
    <x v="7"/>
    <x v="7"/>
    <n v="4365.29"/>
    <n v="3402.42"/>
    <n v="10.6"/>
    <x v="1"/>
    <x v="1"/>
  </r>
  <r>
    <s v="NHM-2024-102450"/>
    <s v="January"/>
    <x v="3"/>
    <n v="1"/>
    <d v="2026-01-14T00:00:00"/>
    <x v="2"/>
    <s v="Christina Thomas"/>
    <s v="NovaHealth Chicago Medical Center"/>
    <s v="Male"/>
    <n v="77"/>
    <x v="0"/>
    <n v="1"/>
    <x v="7"/>
    <x v="7"/>
    <n v="3079.77"/>
    <n v="1883.07"/>
    <n v="12.1"/>
    <x v="0"/>
    <x v="1"/>
  </r>
  <r>
    <s v="NHM-2023-102485"/>
    <s v="February"/>
    <x v="2"/>
    <n v="2"/>
    <d v="2024-02-06T00:00:00"/>
    <x v="0"/>
    <s v="Stephen Reyes"/>
    <s v="NovaHealth Chicago Medical Center"/>
    <s v="Male"/>
    <n v="82"/>
    <x v="2"/>
    <n v="3"/>
    <x v="4"/>
    <x v="4"/>
    <n v="9225.86"/>
    <n v="5750.97"/>
    <n v="15.4"/>
    <x v="1"/>
    <x v="1"/>
  </r>
  <r>
    <s v="NHM-2024-100969"/>
    <s v="January"/>
    <x v="3"/>
    <n v="1"/>
    <d v="2026-01-26T00:00:00"/>
    <x v="2"/>
    <s v="Laura Moore"/>
    <s v="NovaHealth Midtown Medical Center"/>
    <s v="Male"/>
    <n v="43"/>
    <x v="0"/>
    <n v="1"/>
    <x v="0"/>
    <x v="0"/>
    <n v="4717.63"/>
    <n v="3019.28"/>
    <m/>
    <x v="0"/>
    <x v="0"/>
  </r>
  <r>
    <s v="NHM-2023-100512"/>
    <s v="June"/>
    <x v="11"/>
    <n v="6"/>
    <d v="2025-06-16T00:00:00"/>
    <x v="1"/>
    <s v="Sara Jenkins"/>
    <s v="NovaHealth Northside Hospital"/>
    <s v="Male"/>
    <n v="54"/>
    <x v="0"/>
    <n v="2"/>
    <x v="0"/>
    <x v="0"/>
    <n v="8305.94"/>
    <n v="5640.98"/>
    <n v="9.5"/>
    <x v="1"/>
    <x v="0"/>
  </r>
  <r>
    <s v="NHM-2025-101500"/>
    <s v="March"/>
    <x v="1"/>
    <n v="3"/>
    <d v="2024-03-26T00:00:00"/>
    <x v="0"/>
    <s v="Ronald Stewart"/>
    <s v="NovaHealth Greenfield Clinic"/>
    <s v="Male"/>
    <n v="4"/>
    <x v="0"/>
    <n v="2"/>
    <x v="6"/>
    <x v="6"/>
    <n v="2672.9"/>
    <n v="1875.03"/>
    <n v="0.5"/>
    <x v="1"/>
    <x v="2"/>
  </r>
  <r>
    <s v="NHM-2025-100834"/>
    <s v="February"/>
    <x v="2"/>
    <n v="2"/>
    <d v="2024-02-08T00:00:00"/>
    <x v="0"/>
    <s v="Frank Bell"/>
    <s v="NovaHealth Metro General Hospital"/>
    <s v="Female"/>
    <n v="61"/>
    <x v="0"/>
    <n v="1"/>
    <x v="0"/>
    <x v="0"/>
    <n v="8186.24"/>
    <n v="6047.16"/>
    <n v="8.9"/>
    <x v="0"/>
    <x v="0"/>
  </r>
  <r>
    <s v="NHM-2025-101356"/>
    <s v="June"/>
    <x v="11"/>
    <n v="6"/>
    <d v="2025-06-30T00:00:00"/>
    <x v="1"/>
    <s v="Susan Moore"/>
    <s v="NovaHealth Midtown Medical Center"/>
    <s v="Male"/>
    <n v="69"/>
    <x v="0"/>
    <n v="1"/>
    <x v="1"/>
    <x v="1"/>
    <n v="10462.66"/>
    <n v="8034.02"/>
    <n v="10.3"/>
    <x v="0"/>
    <x v="1"/>
  </r>
  <r>
    <s v="NHM-2023-101517"/>
    <s v="April"/>
    <x v="0"/>
    <n v="4"/>
    <d v="2025-04-25T00:00:00"/>
    <x v="1"/>
    <s v="Jonathan Wallace"/>
    <s v="NovaHealth Greenfield Clinic"/>
    <s v="Male"/>
    <n v="2"/>
    <x v="0"/>
    <n v="1"/>
    <x v="6"/>
    <x v="6"/>
    <n v="1833.04"/>
    <n v="1090.3599999999999"/>
    <n v="3.4"/>
    <x v="0"/>
    <x v="2"/>
  </r>
  <r>
    <s v="NHM-2026-101802"/>
    <s v="February"/>
    <x v="2"/>
    <n v="2"/>
    <d v="2026-02-23T00:00:00"/>
    <x v="2"/>
    <s v="Daniel Wallace"/>
    <s v="NovaHealth Lakeshore Regional Center"/>
    <s v="Male"/>
    <n v="9"/>
    <x v="2"/>
    <n v="3"/>
    <x v="6"/>
    <x v="6"/>
    <n v="1269.44"/>
    <n v="811.96"/>
    <n v="4.7"/>
    <x v="1"/>
    <x v="2"/>
  </r>
  <r>
    <s v="NHM-2026-100346"/>
    <s v="August"/>
    <x v="10"/>
    <n v="8"/>
    <d v="2025-08-20T00:00:00"/>
    <x v="1"/>
    <s v="Jean Brown"/>
    <s v="NovaHealth Metro General Hospital"/>
    <s v="Female"/>
    <n v="61"/>
    <x v="1"/>
    <n v="4"/>
    <x v="4"/>
    <x v="4"/>
    <n v="12085.14"/>
    <n v="7836.89"/>
    <n v="12.8"/>
    <x v="2"/>
    <x v="0"/>
  </r>
  <r>
    <s v="NHM-2025-100936"/>
    <s v="February"/>
    <x v="2"/>
    <n v="2"/>
    <d v="2026-02-04T00:00:00"/>
    <x v="2"/>
    <s v="Jeffrey Thompson"/>
    <s v="NovaHealth River Valley Hospital"/>
    <s v="Female"/>
    <n v="63"/>
    <x v="0"/>
    <n v="1"/>
    <x v="7"/>
    <x v="7"/>
    <n v="5008.55"/>
    <n v="3450.13"/>
    <n v="11.8"/>
    <x v="0"/>
    <x v="0"/>
  </r>
  <r>
    <s v="NHM-2024-101503"/>
    <s v="March"/>
    <x v="1"/>
    <n v="3"/>
    <d v="2025-03-13T00:00:00"/>
    <x v="1"/>
    <s v="Evelyn Stewart"/>
    <s v="NovaHealth Midtown Medical Center"/>
    <s v="Female"/>
    <n v="79"/>
    <x v="0"/>
    <n v="2"/>
    <x v="0"/>
    <x v="0"/>
    <n v="8903.06"/>
    <n v="6267.34"/>
    <n v="4.4000000000000004"/>
    <x v="1"/>
    <x v="1"/>
  </r>
  <r>
    <s v="NHM-2026-101650"/>
    <s v="December"/>
    <x v="6"/>
    <n v="12"/>
    <d v="2023-12-24T00:00:00"/>
    <x v="3"/>
    <s v="Christine Wright"/>
    <s v="NovaHealth Chicago Medical Center"/>
    <s v="Male"/>
    <n v="75"/>
    <x v="1"/>
    <n v="2"/>
    <x v="2"/>
    <x v="2"/>
    <n v="1633.84"/>
    <n v="1243.9000000000001"/>
    <n v="6.4"/>
    <x v="1"/>
    <x v="1"/>
  </r>
  <r>
    <s v="NHM-2025-101739"/>
    <s v="February"/>
    <x v="2"/>
    <n v="2"/>
    <d v="2026-02-11T00:00:00"/>
    <x v="2"/>
    <s v="Aaron Roberts"/>
    <s v="NovaHealth Lakeside Medical Center"/>
    <s v="Male"/>
    <n v="39"/>
    <x v="0"/>
    <n v="3"/>
    <x v="0"/>
    <x v="0"/>
    <n v="8531.69"/>
    <n v="6535.28"/>
    <n v="6.4"/>
    <x v="1"/>
    <x v="0"/>
  </r>
  <r>
    <s v="NHM-2026-102493"/>
    <s v="November"/>
    <x v="4"/>
    <n v="11"/>
    <d v="2023-11-08T00:00:00"/>
    <x v="3"/>
    <s v="Richard Smith"/>
    <s v="NovaHealth Northside Hospital"/>
    <s v="Male"/>
    <n v="56"/>
    <x v="1"/>
    <n v="4"/>
    <x v="4"/>
    <x v="4"/>
    <n v="17011.68"/>
    <n v="10000.370000000001"/>
    <n v="16.7"/>
    <x v="2"/>
    <x v="0"/>
  </r>
  <r>
    <s v="NHM-2025-101599"/>
    <s v="May"/>
    <x v="9"/>
    <n v="5"/>
    <d v="2024-05-13T00:00:00"/>
    <x v="0"/>
    <s v="Daniel Perry"/>
    <s v="NovaHealth Greenfield Clinic"/>
    <s v="Female"/>
    <n v="79"/>
    <x v="0"/>
    <n v="2"/>
    <x v="7"/>
    <x v="7"/>
    <n v="8843.1"/>
    <n v="5560.69"/>
    <n v="20.8"/>
    <x v="1"/>
    <x v="1"/>
  </r>
  <r>
    <s v="NHM-2026-100576"/>
    <s v="September"/>
    <x v="7"/>
    <n v="9"/>
    <d v="2025-09-17T00:00:00"/>
    <x v="1"/>
    <s v="Willie Garcia"/>
    <s v="NovaHealth Northside Hospital"/>
    <s v="Female"/>
    <n v="19"/>
    <x v="0"/>
    <n v="1"/>
    <x v="0"/>
    <x v="0"/>
    <n v="4928.83"/>
    <n v="3231.25"/>
    <n v="9.6"/>
    <x v="0"/>
    <x v="0"/>
  </r>
  <r>
    <s v="NHM-2026-101400"/>
    <s v="September"/>
    <x v="7"/>
    <n v="9"/>
    <d v="2025-09-08T00:00:00"/>
    <x v="1"/>
    <s v="Jessica Rivera"/>
    <s v="NovaHealth Lakeshore Regional Center"/>
    <s v="Male"/>
    <n v="83"/>
    <x v="0"/>
    <n v="2"/>
    <x v="3"/>
    <x v="3"/>
    <n v="5801.7"/>
    <n v="3907.94"/>
    <n v="2.6"/>
    <x v="1"/>
    <x v="1"/>
  </r>
  <r>
    <s v="NHM-2025-101455"/>
    <s v="October"/>
    <x v="5"/>
    <n v="10"/>
    <d v="2025-10-21T00:00:00"/>
    <x v="1"/>
    <s v="Samuel Flores"/>
    <s v="NovaHealth Midtown Medical Center"/>
    <s v="Male"/>
    <n v="94"/>
    <x v="0"/>
    <n v="3"/>
    <x v="4"/>
    <x v="4"/>
    <n v="16616.75"/>
    <n v="11766.12"/>
    <n v="16.8"/>
    <x v="1"/>
    <x v="1"/>
  </r>
  <r>
    <s v="NHM-2023-102499"/>
    <s v="November"/>
    <x v="4"/>
    <n v="11"/>
    <d v="2023-11-03T00:00:00"/>
    <x v="3"/>
    <s v="Sara Myers"/>
    <s v="NovaHealth Oakridge Community Hospital"/>
    <s v="Female"/>
    <n v="67"/>
    <x v="0"/>
    <n v="3"/>
    <x v="1"/>
    <x v="1"/>
    <n v="10585.55"/>
    <n v="7773.05"/>
    <n v="5.7"/>
    <x v="1"/>
    <x v="1"/>
  </r>
  <r>
    <s v="NHM-2024-102180"/>
    <s v="July"/>
    <x v="8"/>
    <n v="7"/>
    <d v="2024-07-08T00:00:00"/>
    <x v="0"/>
    <s v="Lisa Wallace"/>
    <s v="NovaHealth Lakeshore Regional Center"/>
    <s v="Male"/>
    <n v="65"/>
    <x v="0"/>
    <n v="2"/>
    <x v="1"/>
    <x v="1"/>
    <n v="7963.99"/>
    <n v="6105.43"/>
    <n v="6.6"/>
    <x v="1"/>
    <x v="1"/>
  </r>
  <r>
    <s v="NHM-2026-101947"/>
    <s v="February"/>
    <x v="2"/>
    <n v="2"/>
    <d v="2024-02-02T00:00:00"/>
    <x v="0"/>
    <s v="Jeremy Barnes"/>
    <s v="NovaHealth Metro General Hospital"/>
    <s v="Male"/>
    <n v="92"/>
    <x v="0"/>
    <n v="1"/>
    <x v="3"/>
    <x v="3"/>
    <n v="8041.91"/>
    <n v="4752.3100000000004"/>
    <n v="11"/>
    <x v="0"/>
    <x v="1"/>
  </r>
  <r>
    <s v="NHM-2023-101058"/>
    <s v="June"/>
    <x v="11"/>
    <n v="6"/>
    <d v="2024-06-05T00:00:00"/>
    <x v="0"/>
    <s v="Barbara Hall"/>
    <s v="NovaHealth Oakridge Community Hospital"/>
    <s v="Male"/>
    <n v="4"/>
    <x v="1"/>
    <n v="3"/>
    <x v="6"/>
    <x v="6"/>
    <n v="1154.6600000000001"/>
    <n v="713.94"/>
    <n v="1.2"/>
    <x v="1"/>
    <x v="2"/>
  </r>
  <r>
    <s v="NHM-2026-100791"/>
    <s v="September"/>
    <x v="7"/>
    <n v="9"/>
    <d v="2025-09-18T00:00:00"/>
    <x v="1"/>
    <s v="Laura Wallace"/>
    <s v="NovaHealth Oakridge Community Hospital"/>
    <s v="Male"/>
    <n v="48"/>
    <x v="0"/>
    <n v="3"/>
    <x v="0"/>
    <x v="0"/>
    <n v="11480.73"/>
    <n v="7410.87"/>
    <n v="7.9"/>
    <x v="1"/>
    <x v="0"/>
  </r>
  <r>
    <s v="NHM-2023-102141"/>
    <s v="November"/>
    <x v="4"/>
    <n v="11"/>
    <d v="2025-11-21T00:00:00"/>
    <x v="1"/>
    <s v="Joseph Walker"/>
    <s v="NovaHealth Northside Hospital"/>
    <s v="Female"/>
    <n v="21"/>
    <x v="2"/>
    <n v="1"/>
    <x v="7"/>
    <x v="7"/>
    <n v="2728.63"/>
    <n v="1912.98"/>
    <n v="10.6"/>
    <x v="0"/>
    <x v="0"/>
  </r>
  <r>
    <s v="NHM-2025-101171"/>
    <s v="June"/>
    <x v="11"/>
    <n v="6"/>
    <d v="2025-06-02T00:00:00"/>
    <x v="1"/>
    <s v="Rachel Martinez"/>
    <s v="NovaHealth Lakeside Medical Center"/>
    <s v="Female"/>
    <n v="56"/>
    <x v="0"/>
    <n v="1"/>
    <x v="1"/>
    <x v="1"/>
    <n v="5214.95"/>
    <n v="3722.46"/>
    <n v="9"/>
    <x v="0"/>
    <x v="0"/>
  </r>
  <r>
    <s v="NHM-2024-100570"/>
    <s v="March"/>
    <x v="1"/>
    <n v="3"/>
    <d v="2025-03-21T00:00:00"/>
    <x v="1"/>
    <s v="Helen Ward"/>
    <s v="NovaHealth Greenfield Clinic"/>
    <s v="Male"/>
    <n v="92"/>
    <x v="1"/>
    <n v="5"/>
    <x v="4"/>
    <x v="4"/>
    <n v="19058.099999999999"/>
    <n v="14032.41"/>
    <n v="15"/>
    <x v="2"/>
    <x v="1"/>
  </r>
  <r>
    <s v="NHM-2023-101033"/>
    <s v="January"/>
    <x v="3"/>
    <n v="1"/>
    <d v="2025-01-21T00:00:00"/>
    <x v="1"/>
    <s v="Kyle Smith"/>
    <s v="NovaHealth Chicago Medical Center"/>
    <s v="Female"/>
    <n v="47"/>
    <x v="2"/>
    <n v="3"/>
    <x v="2"/>
    <x v="2"/>
    <n v="5326.98"/>
    <n v="4118.1000000000004"/>
    <n v="8.6999999999999993"/>
    <x v="1"/>
    <x v="0"/>
  </r>
  <r>
    <s v="NHM-2026-101123"/>
    <s v="April"/>
    <x v="0"/>
    <n v="4"/>
    <d v="2024-04-17T00:00:00"/>
    <x v="0"/>
    <s v="Matthew Myers"/>
    <s v="NovaHealth Northside Hospital"/>
    <s v="Female"/>
    <n v="55"/>
    <x v="2"/>
    <n v="1"/>
    <x v="0"/>
    <x v="0"/>
    <n v="7135.91"/>
    <n v="4226.83"/>
    <n v="11"/>
    <x v="0"/>
    <x v="0"/>
  </r>
  <r>
    <s v="NHM-2024-102182"/>
    <s v="June"/>
    <x v="11"/>
    <n v="6"/>
    <d v="2026-06-16T00:00:00"/>
    <x v="2"/>
    <s v="Lauren Hamilton"/>
    <s v="NovaHealth River Valley Hospital"/>
    <s v="Male"/>
    <n v="24"/>
    <x v="1"/>
    <n v="3"/>
    <x v="2"/>
    <x v="2"/>
    <n v="3563.84"/>
    <n v="2223.54"/>
    <n v="6.2"/>
    <x v="1"/>
    <x v="0"/>
  </r>
  <r>
    <s v="NHM-2024-101141"/>
    <s v="October"/>
    <x v="5"/>
    <n v="10"/>
    <d v="2025-10-29T00:00:00"/>
    <x v="1"/>
    <s v="Melissa Sanders"/>
    <s v="NovaHealth Chicago Medical Center"/>
    <s v="Male"/>
    <n v="62"/>
    <x v="2"/>
    <n v="5"/>
    <x v="4"/>
    <x v="4"/>
    <n v="24150.99"/>
    <n v="15530.23"/>
    <n v="9.1999999999999993"/>
    <x v="2"/>
    <x v="0"/>
  </r>
  <r>
    <s v="NHM-2023-100291"/>
    <s v="April"/>
    <x v="0"/>
    <n v="4"/>
    <d v="2024-04-26T00:00:00"/>
    <x v="0"/>
    <s v="Charles Bryant"/>
    <s v="NovaHealth Lakeshore Regional Center"/>
    <s v="Female"/>
    <n v="63"/>
    <x v="0"/>
    <n v="1"/>
    <x v="3"/>
    <x v="3"/>
    <n v="6844.59"/>
    <n v="4677.08"/>
    <n v="11.4"/>
    <x v="0"/>
    <x v="0"/>
  </r>
  <r>
    <s v="NHM-2023-100411"/>
    <s v="February"/>
    <x v="2"/>
    <n v="2"/>
    <d v="2026-02-27T00:00:00"/>
    <x v="2"/>
    <s v="Carl Collins"/>
    <s v="NovaHealth Lakeside Medical Center"/>
    <s v="Female"/>
    <n v="77"/>
    <x v="1"/>
    <n v="5"/>
    <x v="1"/>
    <x v="1"/>
    <n v="18287.52"/>
    <n v="12893.26"/>
    <n v="11.5"/>
    <x v="2"/>
    <x v="1"/>
  </r>
  <r>
    <s v="NHM-2026-101098"/>
    <s v="April"/>
    <x v="0"/>
    <n v="4"/>
    <d v="2025-04-04T00:00:00"/>
    <x v="1"/>
    <s v="Dennis Harris"/>
    <s v="NovaHealth Chicago Medical Center"/>
    <s v="Male"/>
    <n v="50"/>
    <x v="0"/>
    <n v="1"/>
    <x v="3"/>
    <x v="3"/>
    <n v="8480.89"/>
    <n v="6245.45"/>
    <n v="6.8"/>
    <x v="0"/>
    <x v="0"/>
  </r>
  <r>
    <s v="NHM-2023-100314"/>
    <s v="March"/>
    <x v="1"/>
    <n v="3"/>
    <d v="2026-03-11T00:00:00"/>
    <x v="2"/>
    <s v="Christian Russell"/>
    <s v="NovaHealth Northside Hospital"/>
    <s v="Female"/>
    <n v="53"/>
    <x v="0"/>
    <n v="2"/>
    <x v="3"/>
    <x v="3"/>
    <n v="8350.68"/>
    <n v="6376.12"/>
    <n v="3.7"/>
    <x v="1"/>
    <x v="0"/>
  </r>
  <r>
    <s v="NHM-2024-100514"/>
    <s v="August"/>
    <x v="10"/>
    <n v="8"/>
    <d v="2024-08-16T00:00:00"/>
    <x v="0"/>
    <s v="Brenda Morris"/>
    <s v="NovaHealth Metro General Hospital"/>
    <s v="Male"/>
    <n v="53"/>
    <x v="0"/>
    <n v="5"/>
    <x v="0"/>
    <x v="0"/>
    <n v="13933.62"/>
    <n v="8123.1"/>
    <n v="5.2"/>
    <x v="2"/>
    <x v="0"/>
  </r>
  <r>
    <s v="NHM-2023-102320"/>
    <s v="February"/>
    <x v="2"/>
    <n v="2"/>
    <d v="2026-02-25T00:00:00"/>
    <x v="2"/>
    <s v="Ryan Chavez"/>
    <s v="NovaHealth Greenfield Clinic"/>
    <s v="Female"/>
    <n v="24"/>
    <x v="0"/>
    <n v="2"/>
    <x v="1"/>
    <x v="1"/>
    <n v="9477.41"/>
    <n v="5830.02"/>
    <n v="6.1"/>
    <x v="1"/>
    <x v="0"/>
  </r>
  <r>
    <s v="NHM-2026-101075"/>
    <s v="June"/>
    <x v="11"/>
    <n v="6"/>
    <d v="2025-06-13T00:00:00"/>
    <x v="1"/>
    <s v="Ashley Murphy"/>
    <s v="NovaHealth Midtown Medical Center"/>
    <s v="Female"/>
    <n v="25"/>
    <x v="0"/>
    <n v="1"/>
    <x v="1"/>
    <x v="1"/>
    <n v="5916.07"/>
    <n v="3831.08"/>
    <n v="5.6"/>
    <x v="0"/>
    <x v="0"/>
  </r>
  <r>
    <s v="NHM-2025-101329"/>
    <s v="April"/>
    <x v="0"/>
    <n v="4"/>
    <d v="2025-04-14T00:00:00"/>
    <x v="1"/>
    <s v="Vincent Barnes"/>
    <s v="NovaHealth Northside Hospital"/>
    <s v="Male"/>
    <n v="77"/>
    <x v="0"/>
    <n v="3"/>
    <x v="5"/>
    <x v="5"/>
    <n v="11221.04"/>
    <n v="7571.7"/>
    <n v="6.7"/>
    <x v="1"/>
    <x v="1"/>
  </r>
  <r>
    <s v="NHM-2024-100898"/>
    <s v="August"/>
    <x v="10"/>
    <n v="8"/>
    <d v="2024-08-19T00:00:00"/>
    <x v="0"/>
    <s v="Gabriel Foster"/>
    <s v="NovaHealth Oakridge Community Hospital"/>
    <s v="Male"/>
    <n v="0"/>
    <x v="0"/>
    <n v="1"/>
    <x v="6"/>
    <x v="6"/>
    <n v="1599.01"/>
    <n v="1147.31"/>
    <n v="3.5"/>
    <x v="0"/>
    <x v="2"/>
  </r>
  <r>
    <s v="NHM-2026-102202"/>
    <s v="May"/>
    <x v="9"/>
    <n v="5"/>
    <d v="2024-05-03T00:00:00"/>
    <x v="0"/>
    <s v="Vincent Gibson"/>
    <s v="NovaHealth Chicago Medical Center"/>
    <s v="Female"/>
    <n v="87"/>
    <x v="0"/>
    <n v="1"/>
    <x v="3"/>
    <x v="3"/>
    <n v="8488.32"/>
    <n v="6260.47"/>
    <n v="8"/>
    <x v="0"/>
    <x v="1"/>
  </r>
  <r>
    <s v="NHM-2024-100565"/>
    <s v="December"/>
    <x v="6"/>
    <n v="12"/>
    <d v="2024-12-25T00:00:00"/>
    <x v="0"/>
    <s v="Jean Hayes"/>
    <s v="NovaHealth Northside Hospital"/>
    <s v="Female"/>
    <n v="40"/>
    <x v="0"/>
    <n v="2"/>
    <x v="1"/>
    <x v="1"/>
    <n v="8691.25"/>
    <n v="6674.95"/>
    <n v="8.6999999999999993"/>
    <x v="1"/>
    <x v="0"/>
  </r>
  <r>
    <s v="NHM-2026-102084"/>
    <s v="June"/>
    <x v="11"/>
    <n v="6"/>
    <d v="2026-06-05T00:00:00"/>
    <x v="2"/>
    <s v="Eric Jackson"/>
    <s v="NovaHealth Chicago Medical Center"/>
    <s v="Female"/>
    <n v="38"/>
    <x v="0"/>
    <n v="3"/>
    <x v="7"/>
    <x v="7"/>
    <n v="4169.92"/>
    <n v="2506.5500000000002"/>
    <n v="11"/>
    <x v="1"/>
    <x v="0"/>
  </r>
  <r>
    <s v="NHM-2024-102418"/>
    <s v="September"/>
    <x v="7"/>
    <n v="9"/>
    <d v="2025-09-22T00:00:00"/>
    <x v="1"/>
    <s v="Carol Patel"/>
    <s v="NovaHealth Lakeshore Regional Center"/>
    <s v="Male"/>
    <n v="16"/>
    <x v="2"/>
    <n v="1"/>
    <x v="6"/>
    <x v="6"/>
    <n v="1097.6500000000001"/>
    <n v="715.97"/>
    <n v="5.8"/>
    <x v="0"/>
    <x v="2"/>
  </r>
  <r>
    <s v="NHM-2023-101767"/>
    <s v="May"/>
    <x v="9"/>
    <n v="5"/>
    <d v="2024-05-20T00:00:00"/>
    <x v="0"/>
    <s v="Kimberly Ellis"/>
    <s v="NovaHealth Lakeside Medical Center"/>
    <s v="Male"/>
    <n v="57"/>
    <x v="0"/>
    <n v="2"/>
    <x v="0"/>
    <x v="0"/>
    <n v="5627.19"/>
    <n v="3645.4"/>
    <n v="5.5"/>
    <x v="1"/>
    <x v="0"/>
  </r>
  <r>
    <s v="NHM-2026-102195"/>
    <s v="February"/>
    <x v="2"/>
    <n v="2"/>
    <d v="2024-02-21T00:00:00"/>
    <x v="0"/>
    <s v="Robert Wells"/>
    <s v="NovaHealth Metro General Hospital"/>
    <s v="Female"/>
    <n v="9"/>
    <x v="0"/>
    <n v="1"/>
    <x v="6"/>
    <x v="6"/>
    <n v="1385.13"/>
    <n v="975.24"/>
    <n v="5.9"/>
    <x v="0"/>
    <x v="2"/>
  </r>
  <r>
    <s v="NHM-2026-101988"/>
    <s v="January"/>
    <x v="3"/>
    <n v="1"/>
    <d v="2024-01-10T00:00:00"/>
    <x v="0"/>
    <s v="Cynthia Reed"/>
    <s v="NovaHealth Lakeside Medical Center"/>
    <s v="Female"/>
    <n v="51"/>
    <x v="0"/>
    <n v="2"/>
    <x v="2"/>
    <x v="2"/>
    <n v="3513.83"/>
    <n v="2510.88"/>
    <n v="6.4"/>
    <x v="1"/>
    <x v="0"/>
  </r>
  <r>
    <s v="NHM-2025-101878"/>
    <s v="May"/>
    <x v="9"/>
    <n v="5"/>
    <d v="2025-05-23T00:00:00"/>
    <x v="1"/>
    <s v="Theresa Graham"/>
    <s v="NovaHealth Greenfield Clinic"/>
    <s v="Female"/>
    <n v="63"/>
    <x v="2"/>
    <n v="3"/>
    <x v="2"/>
    <x v="2"/>
    <n v="4852.38"/>
    <n v="3622.24"/>
    <n v="10"/>
    <x v="1"/>
    <x v="0"/>
  </r>
  <r>
    <s v="NHM-2024-101493"/>
    <s v="November"/>
    <x v="4"/>
    <n v="11"/>
    <d v="2025-11-21T00:00:00"/>
    <x v="1"/>
    <s v="Douglas Martin"/>
    <s v="NovaHealth Chicago Medical Center"/>
    <s v="Female"/>
    <n v="86"/>
    <x v="1"/>
    <n v="2"/>
    <x v="3"/>
    <x v="3"/>
    <n v="6461.51"/>
    <n v="4930.75"/>
    <n v="2.5"/>
    <x v="1"/>
    <x v="1"/>
  </r>
  <r>
    <s v="NHM-2025-100654"/>
    <s v="May"/>
    <x v="9"/>
    <n v="5"/>
    <d v="2026-05-05T00:00:00"/>
    <x v="2"/>
    <s v="Sara Lewis"/>
    <s v="NovaHealth Lakeside Medical Center"/>
    <s v="Male"/>
    <n v="43"/>
    <x v="2"/>
    <n v="4"/>
    <x v="0"/>
    <x v="0"/>
    <n v="10931.95"/>
    <n v="6388.53"/>
    <n v="6"/>
    <x v="2"/>
    <x v="0"/>
  </r>
  <r>
    <s v="NHM-2024-102478"/>
    <s v="December"/>
    <x v="6"/>
    <n v="12"/>
    <d v="2025-12-17T00:00:00"/>
    <x v="1"/>
    <s v="Nicholas Russell"/>
    <s v="NovaHealth Greenfield Clinic"/>
    <s v="Male"/>
    <n v="22"/>
    <x v="0"/>
    <n v="1"/>
    <x v="1"/>
    <x v="1"/>
    <n v="5696.86"/>
    <n v="3551.88"/>
    <n v="9.6"/>
    <x v="0"/>
    <x v="0"/>
  </r>
  <r>
    <s v="NHM-2024-101121"/>
    <s v="January"/>
    <x v="3"/>
    <n v="1"/>
    <d v="2024-01-27T00:00:00"/>
    <x v="0"/>
    <s v="Marilyn Johnson"/>
    <s v="NovaHealth River Valley Hospital"/>
    <s v="Male"/>
    <n v="49"/>
    <x v="0"/>
    <n v="1"/>
    <x v="3"/>
    <x v="3"/>
    <n v="7314.3"/>
    <n v="4750.75"/>
    <n v="8.6999999999999993"/>
    <x v="0"/>
    <x v="0"/>
  </r>
  <r>
    <s v="NHM-2024-100532"/>
    <s v="August"/>
    <x v="10"/>
    <n v="8"/>
    <d v="2025-08-03T00:00:00"/>
    <x v="1"/>
    <s v="Nathan Hughes"/>
    <s v="NovaHealth Chicago Medical Center"/>
    <s v="Female"/>
    <n v="71"/>
    <x v="2"/>
    <n v="3"/>
    <x v="5"/>
    <x v="5"/>
    <n v="13100.79"/>
    <n v="8851.93"/>
    <n v="9.3000000000000007"/>
    <x v="1"/>
    <x v="1"/>
  </r>
  <r>
    <s v="NHM-2025-102088"/>
    <s v="September"/>
    <x v="7"/>
    <n v="9"/>
    <d v="2024-09-04T00:00:00"/>
    <x v="0"/>
    <s v="Andrew Bennett"/>
    <s v="NovaHealth Lakeside Medical Center"/>
    <s v="Male"/>
    <n v="13"/>
    <x v="0"/>
    <n v="1"/>
    <x v="6"/>
    <x v="6"/>
    <n v="688.1"/>
    <n v="523.27"/>
    <n v="5.2"/>
    <x v="0"/>
    <x v="2"/>
  </r>
  <r>
    <s v="NHM-2024-100730"/>
    <s v="December"/>
    <x v="6"/>
    <n v="12"/>
    <d v="2023-12-20T00:00:00"/>
    <x v="3"/>
    <s v="Jordan Collins"/>
    <s v="NovaHealth Midtown Medical Center"/>
    <s v="Male"/>
    <n v="24"/>
    <x v="0"/>
    <n v="1"/>
    <x v="2"/>
    <x v="2"/>
    <n v="1546.5"/>
    <n v="1128.94"/>
    <m/>
    <x v="0"/>
    <x v="0"/>
  </r>
  <r>
    <s v="NHM-2026-100863"/>
    <s v="May"/>
    <x v="9"/>
    <n v="5"/>
    <d v="2024-05-09T00:00:00"/>
    <x v="0"/>
    <s v="Julia Wright"/>
    <s v="NovaHealth Greenfield Clinic"/>
    <s v="Male"/>
    <n v="17"/>
    <x v="0"/>
    <n v="2"/>
    <x v="6"/>
    <x v="6"/>
    <n v="2344.69"/>
    <n v="1824.36"/>
    <n v="5.3"/>
    <x v="1"/>
    <x v="2"/>
  </r>
  <r>
    <s v="NHM-2023-101693"/>
    <s v="July"/>
    <x v="8"/>
    <n v="7"/>
    <d v="2024-07-25T00:00:00"/>
    <x v="0"/>
    <s v="Linda Perry"/>
    <s v="NovaHealth Lakeside Medical Center"/>
    <s v="Male"/>
    <n v="78"/>
    <x v="0"/>
    <n v="4"/>
    <x v="0"/>
    <x v="0"/>
    <n v="8239.5"/>
    <n v="4857.3100000000004"/>
    <n v="9.8000000000000007"/>
    <x v="2"/>
    <x v="1"/>
  </r>
  <r>
    <s v="NHM-2026-100500"/>
    <s v="June"/>
    <x v="11"/>
    <n v="6"/>
    <d v="2025-06-19T00:00:00"/>
    <x v="1"/>
    <s v="Cynthia Sullivan"/>
    <s v="NovaHealth Greenfield Clinic"/>
    <s v="Female"/>
    <n v="26"/>
    <x v="0"/>
    <n v="3"/>
    <x v="7"/>
    <x v="7"/>
    <n v="3920.94"/>
    <n v="2490.9699999999998"/>
    <n v="12.4"/>
    <x v="1"/>
    <x v="0"/>
  </r>
  <r>
    <s v="NHM-2023-100677"/>
    <s v="December"/>
    <x v="6"/>
    <n v="12"/>
    <d v="2024-12-02T00:00:00"/>
    <x v="0"/>
    <s v="Jessica Hughes"/>
    <s v="NovaHealth Northside Hospital"/>
    <s v="Male"/>
    <n v="42"/>
    <x v="0"/>
    <n v="1"/>
    <x v="7"/>
    <x v="7"/>
    <n v="2523.2600000000002"/>
    <n v="1744.49"/>
    <n v="16.2"/>
    <x v="0"/>
    <x v="0"/>
  </r>
  <r>
    <s v="NHM-2023-102157"/>
    <s v="August"/>
    <x v="10"/>
    <n v="8"/>
    <d v="2025-08-06T00:00:00"/>
    <x v="1"/>
    <s v="Kathleen Lewis"/>
    <s v="NovaHealth Lakeshore Regional Center"/>
    <s v="Male"/>
    <n v="78"/>
    <x v="0"/>
    <n v="3"/>
    <x v="3"/>
    <x v="3"/>
    <n v="9518.69"/>
    <n v="6422.32"/>
    <n v="5.6"/>
    <x v="1"/>
    <x v="1"/>
  </r>
  <r>
    <s v="NHM-2026-100480"/>
    <s v="April"/>
    <x v="0"/>
    <n v="4"/>
    <d v="2025-04-01T00:00:00"/>
    <x v="1"/>
    <s v="Rebecca Owens"/>
    <s v="NovaHealth Metro General Hospital"/>
    <s v="Female"/>
    <n v="34"/>
    <x v="0"/>
    <n v="2"/>
    <x v="1"/>
    <x v="1"/>
    <n v="13282.02"/>
    <n v="9334.2099999999991"/>
    <n v="4.5999999999999996"/>
    <x v="1"/>
    <x v="0"/>
  </r>
  <r>
    <s v="NHM-2023-100349"/>
    <s v="February"/>
    <x v="2"/>
    <n v="2"/>
    <d v="2024-02-06T00:00:00"/>
    <x v="0"/>
    <s v="Albert Gonzales"/>
    <s v="NovaHealth Lakeside Medical Center"/>
    <s v="Female"/>
    <n v="50"/>
    <x v="0"/>
    <n v="1"/>
    <x v="1"/>
    <x v="1"/>
    <n v="6575.76"/>
    <n v="4800.3"/>
    <m/>
    <x v="0"/>
    <x v="0"/>
  </r>
  <r>
    <s v="NHM-2025-102199"/>
    <s v="January"/>
    <x v="3"/>
    <n v="1"/>
    <d v="2025-01-23T00:00:00"/>
    <x v="1"/>
    <s v="Jessica Hughes"/>
    <s v="NovaHealth Chicago Medical Center"/>
    <s v="Male"/>
    <n v="56"/>
    <x v="0"/>
    <n v="2"/>
    <x v="1"/>
    <x v="1"/>
    <n v="6733.17"/>
    <n v="5210.01"/>
    <n v="11.6"/>
    <x v="1"/>
    <x v="0"/>
  </r>
  <r>
    <s v="NHM-2026-100307"/>
    <s v="October"/>
    <x v="5"/>
    <n v="10"/>
    <d v="2024-10-04T00:00:00"/>
    <x v="0"/>
    <s v="Stephanie Evans"/>
    <s v="NovaHealth Northside Hospital"/>
    <s v="Female"/>
    <n v="78"/>
    <x v="2"/>
    <n v="3"/>
    <x v="7"/>
    <x v="7"/>
    <n v="11022.57"/>
    <n v="6563.49"/>
    <n v="21.3"/>
    <x v="1"/>
    <x v="1"/>
  </r>
  <r>
    <s v="NHM-2025-100316"/>
    <s v="March"/>
    <x v="1"/>
    <n v="3"/>
    <d v="2025-03-13T00:00:00"/>
    <x v="1"/>
    <s v="Kenneth Brown"/>
    <s v="NovaHealth Lakeside Medical Center"/>
    <s v="Female"/>
    <n v="44"/>
    <x v="0"/>
    <n v="2"/>
    <x v="7"/>
    <x v="7"/>
    <n v="10785.74"/>
    <n v="6693.7"/>
    <n v="14.3"/>
    <x v="1"/>
    <x v="0"/>
  </r>
  <r>
    <s v="NHM-2024-100885"/>
    <s v="March"/>
    <x v="1"/>
    <n v="3"/>
    <d v="2024-03-07T00:00:00"/>
    <x v="0"/>
    <s v="Valerie Adams"/>
    <s v="NovaHealth Metro General Hospital"/>
    <s v="Female"/>
    <n v="81"/>
    <x v="0"/>
    <n v="1"/>
    <x v="3"/>
    <x v="3"/>
    <n v="5707.22"/>
    <n v="3722.22"/>
    <n v="8.6999999999999993"/>
    <x v="0"/>
    <x v="1"/>
  </r>
  <r>
    <s v="NHM-2024-101993"/>
    <s v="June"/>
    <x v="11"/>
    <n v="6"/>
    <d v="2026-06-23T00:00:00"/>
    <x v="2"/>
    <s v="Matthew Dixon"/>
    <s v="NovaHealth Midtown Medical Center"/>
    <s v="Male"/>
    <n v="47"/>
    <x v="0"/>
    <n v="2"/>
    <x v="7"/>
    <x v="7"/>
    <n v="3304.36"/>
    <n v="2390.7199999999998"/>
    <n v="22.1"/>
    <x v="1"/>
    <x v="0"/>
  </r>
  <r>
    <s v="NHM-2026-100255"/>
    <s v="August"/>
    <x v="10"/>
    <n v="8"/>
    <d v="2024-08-08T00:00:00"/>
    <x v="0"/>
    <s v="Kyle Kennedy"/>
    <s v="NovaHealth River Valley Hospital"/>
    <s v="Male"/>
    <n v="26"/>
    <x v="0"/>
    <n v="2"/>
    <x v="0"/>
    <x v="0"/>
    <n v="9461.23"/>
    <n v="6695.66"/>
    <n v="9.1"/>
    <x v="1"/>
    <x v="0"/>
  </r>
  <r>
    <s v="NHM-2024-102117"/>
    <s v="July"/>
    <x v="8"/>
    <n v="7"/>
    <d v="2024-07-09T00:00:00"/>
    <x v="0"/>
    <s v="Patricia Cox"/>
    <s v="NovaHealth Lakeshore Regional Center"/>
    <s v="Female"/>
    <n v="25"/>
    <x v="2"/>
    <n v="3"/>
    <x v="0"/>
    <x v="0"/>
    <n v="14192.72"/>
    <n v="10436.69"/>
    <n v="9.5"/>
    <x v="1"/>
    <x v="0"/>
  </r>
  <r>
    <s v="NHM-2026-101039"/>
    <s v="August"/>
    <x v="10"/>
    <n v="8"/>
    <d v="2024-08-13T00:00:00"/>
    <x v="0"/>
    <s v="Juan Cooper"/>
    <s v="NovaHealth Midtown Medical Center"/>
    <s v="Male"/>
    <n v="1"/>
    <x v="0"/>
    <n v="2"/>
    <x v="6"/>
    <x v="6"/>
    <n v="2262.98"/>
    <n v="1763.06"/>
    <n v="5.4"/>
    <x v="1"/>
    <x v="2"/>
  </r>
  <r>
    <s v="NHM-2025-102380"/>
    <s v="November"/>
    <x v="4"/>
    <n v="11"/>
    <d v="2023-11-21T00:00:00"/>
    <x v="3"/>
    <s v="Walter Mason"/>
    <s v="NovaHealth Metro General Hospital"/>
    <s v="Male"/>
    <n v="80"/>
    <x v="0"/>
    <n v="3"/>
    <x v="0"/>
    <x v="0"/>
    <n v="12765.29"/>
    <n v="7439.07"/>
    <n v="4.4000000000000004"/>
    <x v="1"/>
    <x v="1"/>
  </r>
  <r>
    <s v="NHM-2025-101550"/>
    <s v="October"/>
    <x v="5"/>
    <n v="10"/>
    <d v="2023-10-26T00:00:00"/>
    <x v="3"/>
    <s v="Marilyn Boyd"/>
    <s v="NovaHealth Greenfield Clinic"/>
    <s v="Male"/>
    <n v="68"/>
    <x v="2"/>
    <n v="4"/>
    <x v="4"/>
    <x v="4"/>
    <n v="21497.01"/>
    <n v="13181.18"/>
    <n v="8.5"/>
    <x v="2"/>
    <x v="1"/>
  </r>
  <r>
    <s v="NHM-2023-100165"/>
    <s v="February"/>
    <x v="2"/>
    <n v="2"/>
    <d v="2024-02-11T00:00:00"/>
    <x v="0"/>
    <s v="Kathleen Warren"/>
    <s v="NovaHealth Midtown Medical Center"/>
    <s v="Male"/>
    <n v="64"/>
    <x v="0"/>
    <n v="2"/>
    <x v="3"/>
    <x v="3"/>
    <n v="10055.56"/>
    <n v="6517.16"/>
    <n v="10.199999999999999"/>
    <x v="1"/>
    <x v="0"/>
  </r>
  <r>
    <s v="NHM-2026-100064"/>
    <s v="February"/>
    <x v="2"/>
    <n v="2"/>
    <d v="2025-02-21T00:00:00"/>
    <x v="1"/>
    <s v="Arthur Coleman"/>
    <s v="NovaHealth Greenfield Clinic"/>
    <s v="Female"/>
    <n v="63"/>
    <x v="2"/>
    <n v="4"/>
    <x v="4"/>
    <x v="4"/>
    <n v="19473.36"/>
    <n v="13123.15"/>
    <n v="9.5"/>
    <x v="2"/>
    <x v="0"/>
  </r>
  <r>
    <s v="NHM-2025-101242"/>
    <s v="December"/>
    <x v="6"/>
    <n v="12"/>
    <d v="2025-12-29T00:00:00"/>
    <x v="1"/>
    <s v="Julia Hicks"/>
    <s v="NovaHealth Northside Hospital"/>
    <s v="Female"/>
    <n v="84"/>
    <x v="0"/>
    <n v="4"/>
    <x v="5"/>
    <x v="5"/>
    <n v="12984.9"/>
    <n v="9170.23"/>
    <n v="10.1"/>
    <x v="2"/>
    <x v="1"/>
  </r>
  <r>
    <s v="NHM-2023-101950"/>
    <s v="October"/>
    <x v="5"/>
    <n v="10"/>
    <d v="2023-10-30T00:00:00"/>
    <x v="3"/>
    <s v="Angela Coleman"/>
    <s v="NovaHealth River Valley Hospital"/>
    <s v="Male"/>
    <n v="0"/>
    <x v="0"/>
    <n v="1"/>
    <x v="6"/>
    <x v="6"/>
    <n v="990.58"/>
    <n v="725.52"/>
    <n v="0.3"/>
    <x v="0"/>
    <x v="2"/>
  </r>
  <r>
    <s v="NHM-2023-100167"/>
    <s v="May"/>
    <x v="9"/>
    <n v="5"/>
    <d v="2025-05-08T00:00:00"/>
    <x v="1"/>
    <s v="Jacqueline Watson"/>
    <s v="NovaHealth Chicago Medical Center"/>
    <s v="Female"/>
    <n v="89"/>
    <x v="2"/>
    <n v="4"/>
    <x v="4"/>
    <x v="4"/>
    <n v="14762.65"/>
    <n v="11347.61"/>
    <n v="16"/>
    <x v="2"/>
    <x v="1"/>
  </r>
  <r>
    <s v="NHM-2025-100477"/>
    <s v="May"/>
    <x v="9"/>
    <n v="5"/>
    <d v="2026-05-14T00:00:00"/>
    <x v="2"/>
    <s v="Betty Morales"/>
    <s v="NovaHealth Midtown Medical Center"/>
    <s v="Female"/>
    <n v="26"/>
    <x v="2"/>
    <n v="1"/>
    <x v="0"/>
    <x v="0"/>
    <n v="7037.29"/>
    <n v="4133.63"/>
    <n v="6.5"/>
    <x v="0"/>
    <x v="0"/>
  </r>
  <r>
    <s v="NHM-2026-100977"/>
    <s v="January"/>
    <x v="3"/>
    <n v="1"/>
    <d v="2024-01-25T00:00:00"/>
    <x v="0"/>
    <s v="Brenda Rodriguez"/>
    <s v="NovaHealth Chicago Medical Center"/>
    <s v="Female"/>
    <n v="25"/>
    <x v="0"/>
    <n v="1"/>
    <x v="0"/>
    <x v="0"/>
    <n v="7436.06"/>
    <n v="4611.2"/>
    <n v="9.4"/>
    <x v="0"/>
    <x v="0"/>
  </r>
  <r>
    <s v="NHM-2024-101577"/>
    <s v="December"/>
    <x v="6"/>
    <n v="12"/>
    <d v="2023-12-29T00:00:00"/>
    <x v="3"/>
    <s v="Kimberly Kennedy"/>
    <s v="NovaHealth Midtown Medical Center"/>
    <s v="Male"/>
    <n v="81"/>
    <x v="0"/>
    <n v="3"/>
    <x v="2"/>
    <x v="2"/>
    <n v="2241.58"/>
    <n v="1513.81"/>
    <n v="9.9"/>
    <x v="1"/>
    <x v="1"/>
  </r>
  <r>
    <s v="NHM-2024-101287"/>
    <s v="July"/>
    <x v="8"/>
    <n v="7"/>
    <d v="2024-07-17T00:00:00"/>
    <x v="0"/>
    <s v="Roy Turner"/>
    <s v="NovaHealth Oakridge Community Hospital"/>
    <s v="Female"/>
    <n v="42"/>
    <x v="1"/>
    <n v="3"/>
    <x v="5"/>
    <x v="5"/>
    <n v="19636.04"/>
    <n v="13178.55"/>
    <n v="2.8"/>
    <x v="1"/>
    <x v="0"/>
  </r>
  <r>
    <s v="NHM-2026-102411"/>
    <s v="April"/>
    <x v="0"/>
    <n v="4"/>
    <d v="2026-04-06T00:00:00"/>
    <x v="2"/>
    <s v="John Peterson"/>
    <s v="NovaHealth Greenfield Clinic"/>
    <s v="Female"/>
    <n v="77"/>
    <x v="0"/>
    <n v="1"/>
    <x v="1"/>
    <x v="1"/>
    <n v="10696.23"/>
    <n v="7522.56"/>
    <n v="4.4000000000000004"/>
    <x v="0"/>
    <x v="1"/>
  </r>
  <r>
    <s v="NHM-2024-101435"/>
    <s v="June"/>
    <x v="11"/>
    <n v="6"/>
    <d v="2024-06-18T00:00:00"/>
    <x v="0"/>
    <s v="Arthur Garcia"/>
    <s v="NovaHealth Chicago Medical Center"/>
    <s v="Female"/>
    <n v="95"/>
    <x v="0"/>
    <n v="2"/>
    <x v="3"/>
    <x v="3"/>
    <n v="7754.3"/>
    <n v="5745.44"/>
    <n v="10.6"/>
    <x v="1"/>
    <x v="1"/>
  </r>
  <r>
    <s v="NHM-2025-100667"/>
    <s v="May"/>
    <x v="9"/>
    <n v="5"/>
    <d v="2025-05-30T00:00:00"/>
    <x v="1"/>
    <s v="Peter Mendoza"/>
    <s v="NovaHealth Chicago Medical Center"/>
    <s v="Male"/>
    <n v="21"/>
    <x v="0"/>
    <n v="1"/>
    <x v="0"/>
    <x v="0"/>
    <n v="6208.32"/>
    <n v="4765.5200000000004"/>
    <n v="5.9"/>
    <x v="0"/>
    <x v="0"/>
  </r>
  <r>
    <s v="NHM-2023-101817"/>
    <s v="June"/>
    <x v="11"/>
    <n v="6"/>
    <d v="2025-06-12T00:00:00"/>
    <x v="1"/>
    <s v="Jacqueline Kelly"/>
    <s v="NovaHealth Greenfield Clinic"/>
    <s v="Male"/>
    <n v="61"/>
    <x v="0"/>
    <n v="1"/>
    <x v="3"/>
    <x v="3"/>
    <n v="7359.78"/>
    <n v="4292.67"/>
    <n v="3"/>
    <x v="0"/>
    <x v="0"/>
  </r>
  <r>
    <s v="NHM-2025-101801"/>
    <s v="August"/>
    <x v="10"/>
    <n v="8"/>
    <d v="2025-08-05T00:00:00"/>
    <x v="1"/>
    <s v="Judy Jordan"/>
    <s v="NovaHealth River Valley Hospital"/>
    <s v="Female"/>
    <n v="64"/>
    <x v="0"/>
    <n v="2"/>
    <x v="3"/>
    <x v="3"/>
    <n v="9685.64"/>
    <n v="5969.84"/>
    <n v="7.7"/>
    <x v="1"/>
    <x v="0"/>
  </r>
  <r>
    <s v="NHM-2024-101056"/>
    <s v="November"/>
    <x v="4"/>
    <n v="11"/>
    <d v="2025-11-22T00:00:00"/>
    <x v="1"/>
    <s v="Richard Richardson"/>
    <s v="NovaHealth Lakeshore Regional Center"/>
    <s v="Male"/>
    <n v="74"/>
    <x v="0"/>
    <n v="5"/>
    <x v="7"/>
    <x v="7"/>
    <n v="13362.99"/>
    <n v="8641.91"/>
    <n v="11.2"/>
    <x v="2"/>
    <x v="1"/>
  </r>
  <r>
    <s v="NHM-2024-102349"/>
    <s v="September"/>
    <x v="7"/>
    <n v="9"/>
    <d v="2025-09-25T00:00:00"/>
    <x v="1"/>
    <s v="Kathryn Morales"/>
    <s v="NovaHealth Lakeshore Regional Center"/>
    <s v="Female"/>
    <n v="75"/>
    <x v="2"/>
    <n v="5"/>
    <x v="5"/>
    <x v="5"/>
    <n v="22738.6"/>
    <n v="15272.46"/>
    <n v="4.7"/>
    <x v="2"/>
    <x v="1"/>
  </r>
  <r>
    <s v="NHM-2024-100417"/>
    <s v="June"/>
    <x v="11"/>
    <n v="6"/>
    <d v="2025-06-12T00:00:00"/>
    <x v="1"/>
    <s v="Megan Mitchell"/>
    <s v="NovaHealth Metro General Hospital"/>
    <s v="Female"/>
    <n v="60"/>
    <x v="1"/>
    <n v="4"/>
    <x v="5"/>
    <x v="5"/>
    <n v="15595.02"/>
    <n v="10964.51"/>
    <n v="6"/>
    <x v="2"/>
    <x v="0"/>
  </r>
  <r>
    <s v="NHM-2026-100253"/>
    <s v="February"/>
    <x v="2"/>
    <n v="2"/>
    <d v="2025-02-26T00:00:00"/>
    <x v="1"/>
    <s v="Edward Mitchell"/>
    <s v="NovaHealth Midtown Medical Center"/>
    <s v="Female"/>
    <n v="80"/>
    <x v="1"/>
    <n v="3"/>
    <x v="0"/>
    <x v="0"/>
    <n v="5976.01"/>
    <n v="4410.49"/>
    <n v="6"/>
    <x v="1"/>
    <x v="1"/>
  </r>
  <r>
    <s v="NHM-2025-102102"/>
    <s v="March"/>
    <x v="1"/>
    <n v="3"/>
    <d v="2026-03-06T00:00:00"/>
    <x v="2"/>
    <s v="Ashley Mason"/>
    <s v="NovaHealth Chicago Medical Center"/>
    <s v="Female"/>
    <n v="34"/>
    <x v="2"/>
    <n v="4"/>
    <x v="5"/>
    <x v="5"/>
    <n v="16119.86"/>
    <n v="12273.49"/>
    <n v="2.8"/>
    <x v="2"/>
    <x v="0"/>
  </r>
  <r>
    <s v="NHM-2026-100413"/>
    <s v="January"/>
    <x v="3"/>
    <n v="1"/>
    <d v="2025-01-17T00:00:00"/>
    <x v="1"/>
    <s v="Kyle Harris"/>
    <s v="NovaHealth Northside Hospital"/>
    <s v="Male"/>
    <n v="38"/>
    <x v="0"/>
    <n v="2"/>
    <x v="2"/>
    <x v="2"/>
    <n v="5105.67"/>
    <n v="3031.69"/>
    <n v="8.8000000000000007"/>
    <x v="1"/>
    <x v="0"/>
  </r>
  <r>
    <s v="NHM-2024-100909"/>
    <s v="June"/>
    <x v="11"/>
    <n v="6"/>
    <d v="2024-06-12T00:00:00"/>
    <x v="0"/>
    <s v="Judith Edwards"/>
    <s v="NovaHealth Midtown Medical Center"/>
    <s v="Female"/>
    <n v="76"/>
    <x v="2"/>
    <n v="3"/>
    <x v="3"/>
    <x v="3"/>
    <n v="5530.35"/>
    <n v="3419.11"/>
    <n v="5.7"/>
    <x v="1"/>
    <x v="1"/>
  </r>
  <r>
    <s v="NHM-2024-101318"/>
    <s v="March"/>
    <x v="1"/>
    <n v="3"/>
    <d v="2024-03-14T00:00:00"/>
    <x v="0"/>
    <s v="Ruth Nelson"/>
    <s v="NovaHealth Greenfield Clinic"/>
    <s v="Male"/>
    <n v="4"/>
    <x v="0"/>
    <n v="1"/>
    <x v="6"/>
    <x v="6"/>
    <n v="1907.04"/>
    <n v="1246.1099999999999"/>
    <n v="3.2"/>
    <x v="0"/>
    <x v="2"/>
  </r>
  <r>
    <s v="NHM-2025-101990"/>
    <s v="October"/>
    <x v="5"/>
    <n v="10"/>
    <d v="2025-10-23T00:00:00"/>
    <x v="1"/>
    <s v="Maria Jenkins"/>
    <s v="NovaHealth Greenfield Clinic"/>
    <s v="Male"/>
    <n v="21"/>
    <x v="0"/>
    <n v="1"/>
    <x v="2"/>
    <x v="2"/>
    <n v="2800.94"/>
    <n v="1939.03"/>
    <n v="7.8"/>
    <x v="0"/>
    <x v="0"/>
  </r>
  <r>
    <s v="NHM-2023-101407"/>
    <s v="January"/>
    <x v="3"/>
    <n v="1"/>
    <d v="2026-01-01T00:00:00"/>
    <x v="2"/>
    <s v="Deborah Howard"/>
    <s v="NovaHealth Chicago Medical Center"/>
    <s v="Female"/>
    <n v="72"/>
    <x v="0"/>
    <n v="3"/>
    <x v="0"/>
    <x v="0"/>
    <n v="9502.2999999999993"/>
    <n v="6694.81"/>
    <n v="5.4"/>
    <x v="1"/>
    <x v="1"/>
  </r>
  <r>
    <s v="NHM-2024-101514"/>
    <s v="May"/>
    <x v="9"/>
    <n v="5"/>
    <d v="2025-05-30T00:00:00"/>
    <x v="1"/>
    <s v="Andrew Wood"/>
    <s v="NovaHealth Greenfield Clinic"/>
    <s v="Female"/>
    <n v="55"/>
    <x v="0"/>
    <n v="2"/>
    <x v="7"/>
    <x v="7"/>
    <n v="3084.83"/>
    <n v="2335.13"/>
    <n v="10.4"/>
    <x v="1"/>
    <x v="0"/>
  </r>
  <r>
    <s v="NHM-2023-100551"/>
    <s v="September"/>
    <x v="7"/>
    <n v="9"/>
    <d v="2024-09-20T00:00:00"/>
    <x v="0"/>
    <s v="Anna Simmons"/>
    <s v="NovaHealth Northside Hospital"/>
    <s v="Female"/>
    <n v="85"/>
    <x v="2"/>
    <n v="5"/>
    <x v="5"/>
    <x v="5"/>
    <n v="12988.45"/>
    <n v="9902.42"/>
    <n v="3.9"/>
    <x v="2"/>
    <x v="1"/>
  </r>
  <r>
    <s v="NHM-2025-100290"/>
    <s v="May"/>
    <x v="9"/>
    <n v="5"/>
    <d v="2025-05-21T00:00:00"/>
    <x v="1"/>
    <s v="Sarah Nguyen"/>
    <s v="NovaHealth Northside Hospital"/>
    <s v="Female"/>
    <n v="80"/>
    <x v="1"/>
    <n v="4"/>
    <x v="4"/>
    <x v="4"/>
    <n v="18609.009999999998"/>
    <n v="10924.43"/>
    <n v="16.399999999999999"/>
    <x v="2"/>
    <x v="1"/>
  </r>
  <r>
    <s v="NHM-2025-102098"/>
    <s v="June"/>
    <x v="11"/>
    <n v="6"/>
    <d v="2026-06-12T00:00:00"/>
    <x v="2"/>
    <s v="Martha Myers"/>
    <s v="NovaHealth Lakeside Medical Center"/>
    <s v="Male"/>
    <n v="50"/>
    <x v="0"/>
    <n v="1"/>
    <x v="3"/>
    <x v="3"/>
    <n v="8454.82"/>
    <n v="5250.24"/>
    <n v="11.6"/>
    <x v="0"/>
    <x v="0"/>
  </r>
  <r>
    <s v="NHM-2025-102319"/>
    <s v="October"/>
    <x v="5"/>
    <n v="10"/>
    <d v="2023-10-15T00:00:00"/>
    <x v="3"/>
    <s v="Dylan Freeman"/>
    <s v="NovaHealth River Valley Hospital"/>
    <s v="Female"/>
    <n v="33"/>
    <x v="0"/>
    <n v="5"/>
    <x v="5"/>
    <x v="5"/>
    <n v="24906.13"/>
    <n v="16034.32"/>
    <n v="11.8"/>
    <x v="2"/>
    <x v="0"/>
  </r>
  <r>
    <s v="NHM-2026-102376"/>
    <s v="November"/>
    <x v="4"/>
    <n v="11"/>
    <d v="2025-11-11T00:00:00"/>
    <x v="1"/>
    <s v="Jesse Ruiz"/>
    <s v="NovaHealth Greenfield Clinic"/>
    <s v="Female"/>
    <n v="74"/>
    <x v="1"/>
    <n v="4"/>
    <x v="0"/>
    <x v="0"/>
    <n v="14903.97"/>
    <n v="10080.06"/>
    <n v="11.8"/>
    <x v="2"/>
    <x v="1"/>
  </r>
  <r>
    <s v="NHM-2023-100034"/>
    <s v="June"/>
    <x v="11"/>
    <n v="6"/>
    <d v="2026-06-29T00:00:00"/>
    <x v="2"/>
    <s v="Scott Rivera"/>
    <s v="NovaHealth Greenfield Clinic"/>
    <s v="Male"/>
    <n v="41"/>
    <x v="0"/>
    <n v="2"/>
    <x v="7"/>
    <x v="7"/>
    <n v="7873.85"/>
    <n v="5698.89"/>
    <n v="23.4"/>
    <x v="1"/>
    <x v="0"/>
  </r>
  <r>
    <s v="NHM-2025-100141"/>
    <s v="November"/>
    <x v="4"/>
    <n v="11"/>
    <d v="2024-11-11T00:00:00"/>
    <x v="0"/>
    <s v="Gloria Richardson"/>
    <s v="NovaHealth Midtown Medical Center"/>
    <s v="Male"/>
    <n v="95"/>
    <x v="2"/>
    <n v="5"/>
    <x v="3"/>
    <x v="3"/>
    <n v="9288.31"/>
    <n v="6814.07"/>
    <n v="4.2"/>
    <x v="2"/>
    <x v="1"/>
  </r>
  <r>
    <s v="NHM-2024-100519"/>
    <s v="August"/>
    <x v="10"/>
    <n v="8"/>
    <d v="2025-08-20T00:00:00"/>
    <x v="1"/>
    <s v="Eric Flores"/>
    <s v="NovaHealth Greenfield Clinic"/>
    <s v="Male"/>
    <n v="33"/>
    <x v="0"/>
    <n v="2"/>
    <x v="1"/>
    <x v="1"/>
    <n v="9368.7000000000007"/>
    <n v="7152.21"/>
    <n v="4"/>
    <x v="1"/>
    <x v="0"/>
  </r>
  <r>
    <s v="NHM-2024-101108"/>
    <s v="December"/>
    <x v="6"/>
    <n v="12"/>
    <d v="2023-12-06T00:00:00"/>
    <x v="3"/>
    <s v="Valerie Gomez"/>
    <s v="NovaHealth Chicago Medical Center"/>
    <s v="Male"/>
    <n v="49"/>
    <x v="0"/>
    <n v="1"/>
    <x v="0"/>
    <x v="0"/>
    <n v="6551.25"/>
    <n v="3871.72"/>
    <n v="9"/>
    <x v="0"/>
    <x v="0"/>
  </r>
  <r>
    <s v="NHM-2023-101349"/>
    <s v="September"/>
    <x v="7"/>
    <n v="9"/>
    <d v="2023-09-14T00:00:00"/>
    <x v="3"/>
    <s v="Harold Tucker"/>
    <s v="NovaHealth Metro General Hospital"/>
    <s v="Female"/>
    <n v="43"/>
    <x v="0"/>
    <n v="3"/>
    <x v="1"/>
    <x v="1"/>
    <n v="7045.65"/>
    <n v="4297.8500000000004"/>
    <m/>
    <x v="1"/>
    <x v="0"/>
  </r>
  <r>
    <s v="NHM-2025-100988"/>
    <s v="April"/>
    <x v="0"/>
    <n v="4"/>
    <d v="2024-04-05T00:00:00"/>
    <x v="0"/>
    <s v="Joshua Patel"/>
    <s v="NovaHealth Chicago Medical Center"/>
    <s v="Male"/>
    <n v="45"/>
    <x v="1"/>
    <n v="1"/>
    <x v="2"/>
    <x v="2"/>
    <n v="2419.36"/>
    <n v="1608.39"/>
    <n v="7.5"/>
    <x v="0"/>
    <x v="0"/>
  </r>
  <r>
    <s v="NHM-2023-101205"/>
    <s v="January"/>
    <x v="3"/>
    <n v="1"/>
    <d v="2026-01-27T00:00:00"/>
    <x v="2"/>
    <s v="Joan Hicks"/>
    <s v="NovaHealth Northside Hospital"/>
    <s v="Male"/>
    <n v="49"/>
    <x v="1"/>
    <n v="3"/>
    <x v="5"/>
    <x v="5"/>
    <n v="13481.38"/>
    <n v="9090.92"/>
    <n v="7.3"/>
    <x v="1"/>
    <x v="0"/>
  </r>
  <r>
    <s v="NHM-2025-101524"/>
    <s v="May"/>
    <x v="9"/>
    <n v="5"/>
    <d v="2024-05-29T00:00:00"/>
    <x v="0"/>
    <s v="Patrick Kennedy"/>
    <s v="NovaHealth Greenfield Clinic"/>
    <s v="Female"/>
    <n v="94"/>
    <x v="0"/>
    <n v="2"/>
    <x v="3"/>
    <x v="3"/>
    <n v="5773.77"/>
    <n v="4084.84"/>
    <n v="5.4"/>
    <x v="1"/>
    <x v="1"/>
  </r>
  <r>
    <s v="NHM-2026-100079"/>
    <s v="February"/>
    <x v="2"/>
    <n v="2"/>
    <d v="2025-02-20T00:00:00"/>
    <x v="1"/>
    <s v="Matthew Henderson"/>
    <s v="NovaHealth Metro General Hospital"/>
    <s v="Female"/>
    <n v="40"/>
    <x v="2"/>
    <n v="3"/>
    <x v="0"/>
    <x v="0"/>
    <n v="5836.8"/>
    <n v="4288.0600000000004"/>
    <n v="3.4"/>
    <x v="1"/>
    <x v="0"/>
  </r>
  <r>
    <s v="NHM-2025-100472"/>
    <s v="September"/>
    <x v="7"/>
    <n v="9"/>
    <d v="2025-09-16T00:00:00"/>
    <x v="1"/>
    <s v="Elijah Russell"/>
    <s v="NovaHealth Midtown Medical Center"/>
    <s v="Male"/>
    <n v="44"/>
    <x v="0"/>
    <n v="1"/>
    <x v="0"/>
    <x v="0"/>
    <n v="7951.28"/>
    <n v="6137.37"/>
    <n v="11.8"/>
    <x v="0"/>
    <x v="0"/>
  </r>
  <r>
    <s v="NHM-2023-100259"/>
    <s v="December"/>
    <x v="6"/>
    <n v="12"/>
    <d v="2025-12-01T00:00:00"/>
    <x v="1"/>
    <s v="Jean Ortiz"/>
    <s v="NovaHealth Chicago Medical Center"/>
    <s v="Male"/>
    <n v="52"/>
    <x v="0"/>
    <n v="1"/>
    <x v="3"/>
    <x v="3"/>
    <n v="6500.87"/>
    <n v="3848.1"/>
    <n v="9.6999999999999993"/>
    <x v="0"/>
    <x v="0"/>
  </r>
  <r>
    <s v="NHM-2025-101507"/>
    <s v="September"/>
    <x v="7"/>
    <n v="9"/>
    <d v="2025-09-16T00:00:00"/>
    <x v="1"/>
    <s v="Dorothy Brooks"/>
    <s v="NovaHealth Lakeshore Regional Center"/>
    <s v="Male"/>
    <n v="25"/>
    <x v="0"/>
    <n v="2"/>
    <x v="2"/>
    <x v="2"/>
    <n v="3631.42"/>
    <n v="2283.9699999999998"/>
    <n v="8.6"/>
    <x v="1"/>
    <x v="0"/>
  </r>
  <r>
    <s v="NHM-2025-102278"/>
    <s v="November"/>
    <x v="4"/>
    <n v="11"/>
    <d v="2023-11-29T00:00:00"/>
    <x v="3"/>
    <s v="Grace Price"/>
    <s v="NovaHealth Metro General Hospital"/>
    <s v="Female"/>
    <n v="61"/>
    <x v="1"/>
    <n v="3"/>
    <x v="1"/>
    <x v="1"/>
    <n v="8018.19"/>
    <n v="5179.6400000000003"/>
    <n v="6"/>
    <x v="1"/>
    <x v="0"/>
  </r>
  <r>
    <s v="NHM-2026-102078"/>
    <s v="November"/>
    <x v="4"/>
    <n v="11"/>
    <d v="2025-11-26T00:00:00"/>
    <x v="1"/>
    <s v="Juan Kim"/>
    <s v="NovaHealth Lakeside Medical Center"/>
    <s v="Male"/>
    <n v="42"/>
    <x v="0"/>
    <n v="2"/>
    <x v="7"/>
    <x v="7"/>
    <n v="5761.37"/>
    <n v="4002.52"/>
    <n v="17.8"/>
    <x v="1"/>
    <x v="0"/>
  </r>
  <r>
    <s v="NHM-2024-102186"/>
    <s v="December"/>
    <x v="6"/>
    <n v="12"/>
    <d v="2023-12-11T00:00:00"/>
    <x v="3"/>
    <s v="Kevin Smith"/>
    <s v="NovaHealth Northside Hospital"/>
    <s v="Male"/>
    <n v="57"/>
    <x v="1"/>
    <n v="5"/>
    <x v="4"/>
    <x v="4"/>
    <n v="18205.560000000001"/>
    <n v="12877.49"/>
    <n v="16.7"/>
    <x v="2"/>
    <x v="0"/>
  </r>
  <r>
    <s v="NHM-2024-102351"/>
    <s v="September"/>
    <x v="7"/>
    <n v="9"/>
    <d v="2024-09-30T00:00:00"/>
    <x v="0"/>
    <s v="Hannah Long"/>
    <s v="NovaHealth Chicago Medical Center"/>
    <s v="Male"/>
    <n v="11"/>
    <x v="0"/>
    <n v="1"/>
    <x v="6"/>
    <x v="6"/>
    <n v="1000.06"/>
    <n v="743.64"/>
    <n v="1.7"/>
    <x v="0"/>
    <x v="2"/>
  </r>
  <r>
    <s v="NHM-2026-101868"/>
    <s v="September"/>
    <x v="7"/>
    <n v="9"/>
    <d v="2025-09-09T00:00:00"/>
    <x v="1"/>
    <s v="Alice West"/>
    <s v="NovaHealth Greenfield Clinic"/>
    <s v="Male"/>
    <n v="24"/>
    <x v="0"/>
    <n v="2"/>
    <x v="0"/>
    <x v="0"/>
    <n v="5072.82"/>
    <n v="3938.54"/>
    <n v="10.4"/>
    <x v="1"/>
    <x v="0"/>
  </r>
  <r>
    <s v="NHM-2025-100103"/>
    <s v="April"/>
    <x v="0"/>
    <n v="4"/>
    <d v="2025-04-11T00:00:00"/>
    <x v="1"/>
    <s v="Judith Ramos"/>
    <s v="NovaHealth Northside Hospital"/>
    <s v="Male"/>
    <n v="37"/>
    <x v="2"/>
    <n v="4"/>
    <x v="5"/>
    <x v="5"/>
    <n v="14652.26"/>
    <n v="8583.11"/>
    <n v="10.6"/>
    <x v="2"/>
    <x v="0"/>
  </r>
  <r>
    <s v="NHM-2024-100014"/>
    <s v="January"/>
    <x v="3"/>
    <n v="1"/>
    <d v="2024-01-26T00:00:00"/>
    <x v="0"/>
    <s v="Mark Long"/>
    <s v="NovaHealth Lakeshore Regional Center"/>
    <s v="Female"/>
    <n v="73"/>
    <x v="2"/>
    <n v="4"/>
    <x v="7"/>
    <x v="7"/>
    <n v="7260.59"/>
    <n v="4595.3599999999997"/>
    <n v="20.8"/>
    <x v="2"/>
    <x v="1"/>
  </r>
  <r>
    <s v="NHM-2023-100686"/>
    <s v="October"/>
    <x v="5"/>
    <n v="10"/>
    <d v="2025-10-28T00:00:00"/>
    <x v="1"/>
    <s v="John Lee"/>
    <s v="NovaHealth Greenfield Clinic"/>
    <s v="Male"/>
    <n v="81"/>
    <x v="2"/>
    <n v="3"/>
    <x v="7"/>
    <x v="7"/>
    <n v="11850.66"/>
    <n v="7712.42"/>
    <n v="16"/>
    <x v="1"/>
    <x v="1"/>
  </r>
  <r>
    <s v="NHM-2023-100924"/>
    <s v="June"/>
    <x v="11"/>
    <n v="6"/>
    <d v="2026-06-26T00:00:00"/>
    <x v="2"/>
    <s v="Sean Flores"/>
    <s v="NovaHealth Greenfield Clinic"/>
    <s v="Male"/>
    <n v="48"/>
    <x v="0"/>
    <n v="2"/>
    <x v="1"/>
    <x v="1"/>
    <n v="6933.06"/>
    <n v="4661.95"/>
    <n v="2.1"/>
    <x v="1"/>
    <x v="0"/>
  </r>
  <r>
    <s v="NHM-2025-100176"/>
    <s v="April"/>
    <x v="0"/>
    <n v="4"/>
    <d v="2024-04-28T00:00:00"/>
    <x v="0"/>
    <s v="Christine Cole"/>
    <s v="NovaHealth Northside Hospital"/>
    <s v="Female"/>
    <n v="79"/>
    <x v="0"/>
    <n v="3"/>
    <x v="3"/>
    <x v="3"/>
    <n v="4865.3900000000003"/>
    <n v="3432.17"/>
    <n v="3.3"/>
    <x v="1"/>
    <x v="1"/>
  </r>
  <r>
    <s v="NHM-2026-100148"/>
    <s v="March"/>
    <x v="1"/>
    <n v="3"/>
    <d v="2024-03-14T00:00:00"/>
    <x v="0"/>
    <s v="Elizabeth Morgan"/>
    <s v="NovaHealth Chicago Medical Center"/>
    <s v="Female"/>
    <n v="88"/>
    <x v="2"/>
    <n v="4"/>
    <x v="4"/>
    <x v="4"/>
    <n v="19764.03"/>
    <n v="14506.94"/>
    <n v="9.9"/>
    <x v="2"/>
    <x v="1"/>
  </r>
  <r>
    <s v="NHM-2023-102143"/>
    <s v="November"/>
    <x v="4"/>
    <n v="11"/>
    <d v="2025-11-12T00:00:00"/>
    <x v="1"/>
    <s v="Ryan Dixon"/>
    <s v="NovaHealth Greenfield Clinic"/>
    <s v="Male"/>
    <n v="76"/>
    <x v="2"/>
    <n v="4"/>
    <x v="4"/>
    <x v="4"/>
    <n v="13774.28"/>
    <n v="10610.85"/>
    <n v="17.8"/>
    <x v="2"/>
    <x v="1"/>
  </r>
  <r>
    <s v="NHM-2026-102099"/>
    <s v="October"/>
    <x v="5"/>
    <n v="10"/>
    <d v="2025-10-01T00:00:00"/>
    <x v="1"/>
    <s v="Ann Moore"/>
    <s v="NovaHealth River Valley Hospital"/>
    <s v="Female"/>
    <n v="59"/>
    <x v="2"/>
    <n v="4"/>
    <x v="4"/>
    <x v="4"/>
    <n v="20595.009999999998"/>
    <n v="12020.31"/>
    <n v="9.4"/>
    <x v="2"/>
    <x v="0"/>
  </r>
  <r>
    <s v="NHM-2023-101838"/>
    <s v="July"/>
    <x v="8"/>
    <n v="7"/>
    <d v="2025-07-23T00:00:00"/>
    <x v="1"/>
    <s v="Lauren Hunter"/>
    <s v="NovaHealth Greenfield Clinic"/>
    <s v="Female"/>
    <n v="45"/>
    <x v="0"/>
    <n v="1"/>
    <x v="7"/>
    <x v="7"/>
    <n v="3700.76"/>
    <n v="2340.66"/>
    <n v="10.4"/>
    <x v="0"/>
    <x v="0"/>
  </r>
  <r>
    <s v="NHM-2026-100369"/>
    <s v="September"/>
    <x v="7"/>
    <n v="9"/>
    <d v="2025-09-15T00:00:00"/>
    <x v="1"/>
    <s v="Alan Baker"/>
    <s v="NovaHealth Midtown Medical Center"/>
    <s v="Female"/>
    <n v="36"/>
    <x v="0"/>
    <n v="3"/>
    <x v="0"/>
    <x v="0"/>
    <n v="9819.91"/>
    <n v="6329.54"/>
    <n v="5.6"/>
    <x v="1"/>
    <x v="0"/>
  </r>
  <r>
    <s v="NHM-2025-101022"/>
    <s v="June"/>
    <x v="11"/>
    <n v="6"/>
    <d v="2024-06-19T00:00:00"/>
    <x v="0"/>
    <s v="Gary Hall"/>
    <s v="NovaHealth Northside Hospital"/>
    <s v="Female"/>
    <n v="33"/>
    <x v="0"/>
    <n v="3"/>
    <x v="0"/>
    <x v="0"/>
    <n v="11889.49"/>
    <n v="8055.56"/>
    <n v="11.2"/>
    <x v="1"/>
    <x v="0"/>
  </r>
  <r>
    <s v="NHM-2026-101099"/>
    <s v="October"/>
    <x v="5"/>
    <n v="10"/>
    <d v="2024-10-09T00:00:00"/>
    <x v="0"/>
    <s v="Grace Bryant"/>
    <s v="NovaHealth River Valley Hospital"/>
    <s v="Female"/>
    <n v="82"/>
    <x v="1"/>
    <n v="3"/>
    <x v="7"/>
    <x v="7"/>
    <n v="9659.9500000000007"/>
    <n v="6853.16"/>
    <n v="11.4"/>
    <x v="1"/>
    <x v="1"/>
  </r>
  <r>
    <s v="NHM-2023-101845"/>
    <s v="July"/>
    <x v="8"/>
    <n v="7"/>
    <d v="2026-07-06T00:00:00"/>
    <x v="2"/>
    <s v="Carol Turner"/>
    <s v="NovaHealth Lakeshore Regional Center"/>
    <s v="Male"/>
    <n v="91"/>
    <x v="2"/>
    <n v="3"/>
    <x v="3"/>
    <x v="3"/>
    <n v="9783.24"/>
    <n v="7196.97"/>
    <n v="6.9"/>
    <x v="1"/>
    <x v="1"/>
  </r>
  <r>
    <s v="NHM-2025-101084"/>
    <s v="November"/>
    <x v="4"/>
    <n v="11"/>
    <d v="2025-11-28T00:00:00"/>
    <x v="1"/>
    <s v="Barbara Russell"/>
    <s v="NovaHealth River Valley Hospital"/>
    <s v="Male"/>
    <n v="13"/>
    <x v="0"/>
    <n v="1"/>
    <x v="6"/>
    <x v="6"/>
    <n v="2148.46"/>
    <n v="1645.63"/>
    <n v="1.6"/>
    <x v="0"/>
    <x v="2"/>
  </r>
  <r>
    <s v="NHM-2026-101614"/>
    <s v="June"/>
    <x v="11"/>
    <n v="6"/>
    <d v="2026-06-18T00:00:00"/>
    <x v="2"/>
    <s v="Austin Myers"/>
    <s v="NovaHealth Chicago Medical Center"/>
    <s v="Female"/>
    <n v="75"/>
    <x v="0"/>
    <n v="1"/>
    <x v="3"/>
    <x v="3"/>
    <n v="5772.9"/>
    <n v="3366.68"/>
    <n v="2.2999999999999998"/>
    <x v="0"/>
    <x v="1"/>
  </r>
  <r>
    <s v="NHM-2023-100795"/>
    <s v="November"/>
    <x v="4"/>
    <n v="11"/>
    <d v="2023-11-19T00:00:00"/>
    <x v="3"/>
    <s v="Joan Hayes"/>
    <s v="NovaHealth Chicago Medical Center"/>
    <s v="Male"/>
    <n v="93"/>
    <x v="1"/>
    <n v="2"/>
    <x v="3"/>
    <x v="3"/>
    <n v="9040.56"/>
    <n v="5554.74"/>
    <n v="5"/>
    <x v="1"/>
    <x v="1"/>
  </r>
  <r>
    <s v="NHM-2023-101894"/>
    <s v="June"/>
    <x v="11"/>
    <n v="6"/>
    <d v="2024-06-04T00:00:00"/>
    <x v="0"/>
    <s v="Albert Bennett"/>
    <s v="NovaHealth Greenfield Clinic"/>
    <s v="Male"/>
    <n v="30"/>
    <x v="0"/>
    <n v="1"/>
    <x v="7"/>
    <x v="7"/>
    <n v="7556.99"/>
    <n v="5013.2700000000004"/>
    <n v="22.1"/>
    <x v="0"/>
    <x v="0"/>
  </r>
  <r>
    <s v="NHM-2024-101031"/>
    <s v="July"/>
    <x v="8"/>
    <n v="7"/>
    <d v="2025-07-11T00:00:00"/>
    <x v="1"/>
    <s v="Jean Young"/>
    <s v="NovaHealth Lakeshore Regional Center"/>
    <s v="Female"/>
    <n v="58"/>
    <x v="0"/>
    <n v="2"/>
    <x v="1"/>
    <x v="1"/>
    <n v="9422.65"/>
    <n v="6330.78"/>
    <n v="2.2000000000000002"/>
    <x v="1"/>
    <x v="0"/>
  </r>
  <r>
    <s v="NHM-2024-101436"/>
    <s v="July"/>
    <x v="8"/>
    <n v="7"/>
    <d v="2026-07-19T00:00:00"/>
    <x v="2"/>
    <s v="Matthew Thomas"/>
    <s v="NovaHealth River Valley Hospital"/>
    <s v="Female"/>
    <n v="65"/>
    <x v="0"/>
    <n v="1"/>
    <x v="1"/>
    <x v="1"/>
    <n v="9282.5"/>
    <n v="6565.75"/>
    <n v="8.5"/>
    <x v="0"/>
    <x v="1"/>
  </r>
  <r>
    <s v="NHM-2026-100056"/>
    <s v="June"/>
    <x v="11"/>
    <n v="6"/>
    <d v="2025-06-11T00:00:00"/>
    <x v="1"/>
    <s v="Daniel Hughes"/>
    <s v="NovaHealth Lakeshore Regional Center"/>
    <s v="Female"/>
    <n v="29"/>
    <x v="0"/>
    <n v="1"/>
    <x v="2"/>
    <x v="2"/>
    <n v="4355"/>
    <n v="3235.15"/>
    <n v="7"/>
    <x v="0"/>
    <x v="0"/>
  </r>
  <r>
    <s v="NHM-2024-102217"/>
    <s v="July"/>
    <x v="8"/>
    <n v="7"/>
    <d v="2024-07-26T00:00:00"/>
    <x v="0"/>
    <s v="Thomas James"/>
    <s v="NovaHealth Greenfield Clinic"/>
    <s v="Male"/>
    <n v="83"/>
    <x v="0"/>
    <n v="2"/>
    <x v="2"/>
    <x v="2"/>
    <n v="5156.7299999999996"/>
    <n v="3987.11"/>
    <n v="8.5"/>
    <x v="1"/>
    <x v="1"/>
  </r>
  <r>
    <s v="NHM-2023-102369"/>
    <s v="November"/>
    <x v="4"/>
    <n v="11"/>
    <d v="2025-11-10T00:00:00"/>
    <x v="1"/>
    <s v="Kyle Morgan"/>
    <s v="NovaHealth Greenfield Clinic"/>
    <s v="Female"/>
    <n v="76"/>
    <x v="2"/>
    <n v="4"/>
    <x v="5"/>
    <x v="5"/>
    <n v="21771.279999999999"/>
    <n v="12672.14"/>
    <n v="5.6"/>
    <x v="2"/>
    <x v="1"/>
  </r>
  <r>
    <s v="NHM-2026-101850"/>
    <s v="May"/>
    <x v="9"/>
    <n v="5"/>
    <d v="2025-05-02T00:00:00"/>
    <x v="1"/>
    <s v="Maria Owens"/>
    <s v="NovaHealth Chicago Medical Center"/>
    <s v="Male"/>
    <n v="19"/>
    <x v="0"/>
    <n v="3"/>
    <x v="1"/>
    <x v="1"/>
    <n v="15209.18"/>
    <n v="9327.2000000000007"/>
    <n v="6.2"/>
    <x v="1"/>
    <x v="0"/>
  </r>
  <r>
    <s v="NHM-2023-101889"/>
    <s v="July"/>
    <x v="8"/>
    <n v="7"/>
    <d v="2025-07-17T00:00:00"/>
    <x v="1"/>
    <s v="William Mitchell"/>
    <s v="NovaHealth Metro General Hospital"/>
    <s v="Female"/>
    <n v="77"/>
    <x v="1"/>
    <n v="4"/>
    <x v="4"/>
    <x v="4"/>
    <n v="19795.09"/>
    <n v="12799.26"/>
    <n v="16.3"/>
    <x v="2"/>
    <x v="1"/>
  </r>
  <r>
    <s v="NHM-2023-100806"/>
    <s v="July"/>
    <x v="8"/>
    <n v="7"/>
    <d v="2026-07-02T00:00:00"/>
    <x v="2"/>
    <s v="Victoria Alvarez"/>
    <s v="NovaHealth Greenfield Clinic"/>
    <s v="Female"/>
    <n v="83"/>
    <x v="2"/>
    <n v="4"/>
    <x v="4"/>
    <x v="4"/>
    <n v="17762.2"/>
    <n v="11997.47"/>
    <n v="12.1"/>
    <x v="2"/>
    <x v="1"/>
  </r>
  <r>
    <s v="NHM-2024-100473"/>
    <s v="July"/>
    <x v="8"/>
    <n v="7"/>
    <d v="2026-07-07T00:00:00"/>
    <x v="2"/>
    <s v="Janet Nguyen"/>
    <s v="NovaHealth Northside Hospital"/>
    <s v="Female"/>
    <n v="60"/>
    <x v="0"/>
    <n v="3"/>
    <x v="3"/>
    <x v="3"/>
    <n v="8534.2099999999991"/>
    <n v="6061.15"/>
    <n v="10.9"/>
    <x v="1"/>
    <x v="0"/>
  </r>
  <r>
    <s v="NHM-2026-100089"/>
    <s v="May"/>
    <x v="9"/>
    <n v="5"/>
    <d v="2026-05-28T00:00:00"/>
    <x v="2"/>
    <s v="Jesse Ellis"/>
    <s v="NovaHealth Chicago Medical Center"/>
    <s v="Male"/>
    <n v="79"/>
    <x v="2"/>
    <n v="3"/>
    <x v="4"/>
    <x v="4"/>
    <n v="15922.82"/>
    <n v="11702.06"/>
    <n v="9.8000000000000007"/>
    <x v="1"/>
    <x v="1"/>
  </r>
  <r>
    <s v="NHM-2024-101506"/>
    <s v="October"/>
    <x v="5"/>
    <n v="10"/>
    <d v="2023-10-02T00:00:00"/>
    <x v="3"/>
    <s v="Evelyn Flores"/>
    <s v="NovaHealth Chicago Medical Center"/>
    <s v="Female"/>
    <n v="57"/>
    <x v="1"/>
    <n v="1"/>
    <x v="2"/>
    <x v="2"/>
    <n v="3691.98"/>
    <n v="2854.7"/>
    <n v="6.1"/>
    <x v="0"/>
    <x v="0"/>
  </r>
  <r>
    <s v="NHM-2023-100529"/>
    <s v="April"/>
    <x v="0"/>
    <n v="4"/>
    <d v="2024-04-09T00:00:00"/>
    <x v="0"/>
    <s v="Christopher Coleman"/>
    <s v="NovaHealth River Valley Hospital"/>
    <s v="Female"/>
    <n v="69"/>
    <x v="2"/>
    <n v="3"/>
    <x v="2"/>
    <x v="2"/>
    <n v="2765.37"/>
    <n v="1675.91"/>
    <n v="9"/>
    <x v="1"/>
    <x v="1"/>
  </r>
  <r>
    <s v="NHM-2026-100243"/>
    <s v="December"/>
    <x v="6"/>
    <n v="12"/>
    <d v="2025-12-29T00:00:00"/>
    <x v="1"/>
    <s v="Roger Simmons"/>
    <s v="NovaHealth Midtown Medical Center"/>
    <s v="Female"/>
    <n v="75"/>
    <x v="0"/>
    <n v="1"/>
    <x v="0"/>
    <x v="0"/>
    <n v="7829.93"/>
    <n v="4816.26"/>
    <n v="5"/>
    <x v="0"/>
    <x v="1"/>
  </r>
  <r>
    <s v="NHM-2025-101819"/>
    <s v="May"/>
    <x v="9"/>
    <n v="5"/>
    <d v="2025-05-20T00:00:00"/>
    <x v="1"/>
    <s v="Danielle Green"/>
    <s v="NovaHealth Chicago Medical Center"/>
    <s v="Female"/>
    <n v="87"/>
    <x v="2"/>
    <n v="4"/>
    <x v="5"/>
    <x v="5"/>
    <n v="20219.12"/>
    <n v="13017.84"/>
    <n v="9.6999999999999993"/>
    <x v="2"/>
    <x v="1"/>
  </r>
  <r>
    <s v="NHM-2026-101013"/>
    <s v="May"/>
    <x v="9"/>
    <n v="5"/>
    <d v="2026-05-08T00:00:00"/>
    <x v="2"/>
    <s v="Adam Campbell"/>
    <s v="NovaHealth River Valley Hospital"/>
    <s v="Female"/>
    <n v="50"/>
    <x v="2"/>
    <n v="2"/>
    <x v="7"/>
    <x v="7"/>
    <n v="4283.45"/>
    <n v="3012.31"/>
    <n v="17.8"/>
    <x v="1"/>
    <x v="0"/>
  </r>
  <r>
    <s v="NHM-2023-101804"/>
    <s v="August"/>
    <x v="10"/>
    <n v="8"/>
    <d v="2024-08-12T00:00:00"/>
    <x v="0"/>
    <s v="Anthony Jenkins"/>
    <s v="NovaHealth Chicago Medical Center"/>
    <s v="Male"/>
    <n v="85"/>
    <x v="0"/>
    <n v="1"/>
    <x v="1"/>
    <x v="1"/>
    <n v="4587.8599999999997"/>
    <n v="3246.7"/>
    <n v="4.4000000000000004"/>
    <x v="0"/>
    <x v="1"/>
  </r>
  <r>
    <s v="NHM-2024-101492"/>
    <s v="October"/>
    <x v="5"/>
    <n v="10"/>
    <d v="2025-10-15T00:00:00"/>
    <x v="1"/>
    <s v="Gregory Scott"/>
    <s v="NovaHealth Lakeside Medical Center"/>
    <s v="Male"/>
    <n v="2"/>
    <x v="0"/>
    <n v="2"/>
    <x v="6"/>
    <x v="6"/>
    <n v="1089.26"/>
    <n v="804.76"/>
    <n v="1.2"/>
    <x v="1"/>
    <x v="2"/>
  </r>
  <r>
    <s v="NHM-2026-100911"/>
    <s v="June"/>
    <x v="11"/>
    <n v="6"/>
    <d v="2024-06-26T00:00:00"/>
    <x v="0"/>
    <s v="Rachel Alvarez"/>
    <s v="NovaHealth River Valley Hospital"/>
    <s v="Female"/>
    <n v="77"/>
    <x v="0"/>
    <n v="1"/>
    <x v="1"/>
    <x v="1"/>
    <n v="7155.76"/>
    <n v="5523.98"/>
    <n v="10.7"/>
    <x v="0"/>
    <x v="1"/>
  </r>
  <r>
    <s v="NHM-2024-100964"/>
    <s v="January"/>
    <x v="3"/>
    <n v="1"/>
    <d v="2025-01-06T00:00:00"/>
    <x v="1"/>
    <s v="Steven Mitchell"/>
    <s v="NovaHealth Chicago Medical Center"/>
    <s v="Female"/>
    <n v="49"/>
    <x v="2"/>
    <n v="4"/>
    <x v="3"/>
    <x v="3"/>
    <n v="10882.4"/>
    <n v="6364.59"/>
    <n v="6.6"/>
    <x v="2"/>
    <x v="0"/>
  </r>
  <r>
    <s v="NHM-2024-101019"/>
    <s v="November"/>
    <x v="4"/>
    <n v="11"/>
    <d v="2023-11-01T00:00:00"/>
    <x v="3"/>
    <s v="Robert Hunter"/>
    <s v="NovaHealth Lakeside Medical Center"/>
    <s v="Male"/>
    <n v="10"/>
    <x v="1"/>
    <n v="1"/>
    <x v="6"/>
    <x v="6"/>
    <n v="1193.51"/>
    <n v="743.24"/>
    <n v="1.9"/>
    <x v="0"/>
    <x v="2"/>
  </r>
  <r>
    <s v="NHM-2025-101137"/>
    <s v="April"/>
    <x v="0"/>
    <n v="4"/>
    <d v="2024-04-10T00:00:00"/>
    <x v="0"/>
    <s v="Marilyn Brooks"/>
    <s v="NovaHealth Chicago Medical Center"/>
    <s v="Male"/>
    <n v="46"/>
    <x v="0"/>
    <n v="1"/>
    <x v="7"/>
    <x v="7"/>
    <n v="2982.3"/>
    <n v="1995.07"/>
    <n v="10.8"/>
    <x v="0"/>
    <x v="0"/>
  </r>
  <r>
    <s v="NHM-2025-100041"/>
    <s v="September"/>
    <x v="7"/>
    <n v="9"/>
    <d v="2024-09-22T00:00:00"/>
    <x v="0"/>
    <s v="Amy Wells"/>
    <s v="NovaHealth Chicago Medical Center"/>
    <s v="Female"/>
    <n v="27"/>
    <x v="2"/>
    <n v="4"/>
    <x v="5"/>
    <x v="5"/>
    <n v="19859.63"/>
    <n v="13384.35"/>
    <n v="9.8000000000000007"/>
    <x v="2"/>
    <x v="0"/>
  </r>
  <r>
    <s v="NHM-2025-101851"/>
    <s v="December"/>
    <x v="6"/>
    <n v="12"/>
    <d v="2025-12-16T00:00:00"/>
    <x v="1"/>
    <s v="Barbara Long"/>
    <s v="NovaHealth Northside Hospital"/>
    <s v="Female"/>
    <n v="50"/>
    <x v="0"/>
    <n v="2"/>
    <x v="1"/>
    <x v="1"/>
    <n v="13132.56"/>
    <n v="9235.99"/>
    <n v="5.4"/>
    <x v="1"/>
    <x v="0"/>
  </r>
  <r>
    <s v="NHM-2023-102415"/>
    <s v="April"/>
    <x v="0"/>
    <n v="4"/>
    <d v="2026-04-20T00:00:00"/>
    <x v="2"/>
    <s v="Gerald Hicks"/>
    <s v="NovaHealth Chicago Medical Center"/>
    <s v="Female"/>
    <n v="74"/>
    <x v="0"/>
    <n v="3"/>
    <x v="3"/>
    <x v="3"/>
    <n v="6258.46"/>
    <n v="4586.28"/>
    <n v="2.2000000000000002"/>
    <x v="1"/>
    <x v="1"/>
  </r>
  <r>
    <s v="NHM-2025-101729"/>
    <s v="January"/>
    <x v="3"/>
    <n v="1"/>
    <d v="2024-01-03T00:00:00"/>
    <x v="0"/>
    <s v="Robert Henderson"/>
    <s v="NovaHealth Lakeside Medical Center"/>
    <s v="Male"/>
    <n v="12"/>
    <x v="1"/>
    <n v="2"/>
    <x v="6"/>
    <x v="6"/>
    <n v="835.58"/>
    <n v="649.44000000000005"/>
    <n v="1.8"/>
    <x v="1"/>
    <x v="2"/>
  </r>
  <r>
    <s v="NHM-2026-100826"/>
    <s v="June"/>
    <x v="11"/>
    <n v="6"/>
    <d v="2024-06-06T00:00:00"/>
    <x v="0"/>
    <s v="Ruth Wallace"/>
    <s v="NovaHealth Chicago Medical Center"/>
    <s v="Male"/>
    <n v="67"/>
    <x v="0"/>
    <n v="4"/>
    <x v="4"/>
    <x v="4"/>
    <n v="13744.1"/>
    <n v="8083.58"/>
    <n v="14"/>
    <x v="2"/>
    <x v="1"/>
  </r>
  <r>
    <s v="NHM-2023-102264"/>
    <s v="May"/>
    <x v="9"/>
    <n v="5"/>
    <d v="2026-05-04T00:00:00"/>
    <x v="2"/>
    <s v="Rachel Gibson"/>
    <s v="NovaHealth River Valley Hospital"/>
    <s v="Female"/>
    <n v="93"/>
    <x v="0"/>
    <n v="3"/>
    <x v="3"/>
    <x v="3"/>
    <n v="6940.56"/>
    <n v="4316.1400000000003"/>
    <n v="10.3"/>
    <x v="1"/>
    <x v="1"/>
  </r>
  <r>
    <s v="NHM-2026-100904"/>
    <s v="October"/>
    <x v="5"/>
    <n v="10"/>
    <d v="2025-10-08T00:00:00"/>
    <x v="1"/>
    <s v="Douglas Alvarez"/>
    <s v="NovaHealth Northside Hospital"/>
    <s v="Female"/>
    <n v="81"/>
    <x v="0"/>
    <n v="4"/>
    <x v="0"/>
    <x v="0"/>
    <n v="14945.85"/>
    <n v="9634.94"/>
    <n v="8.6999999999999993"/>
    <x v="2"/>
    <x v="1"/>
  </r>
  <r>
    <s v="NHM-2026-100712"/>
    <s v="March"/>
    <x v="1"/>
    <n v="3"/>
    <d v="2026-03-27T00:00:00"/>
    <x v="2"/>
    <s v="Deborah Ortiz"/>
    <s v="NovaHealth Lakeside Medical Center"/>
    <s v="Male"/>
    <n v="81"/>
    <x v="0"/>
    <n v="3"/>
    <x v="0"/>
    <x v="0"/>
    <n v="7839.81"/>
    <n v="5330.27"/>
    <n v="9.6999999999999993"/>
    <x v="1"/>
    <x v="1"/>
  </r>
  <r>
    <s v="NHM-2024-101553"/>
    <s v="July"/>
    <x v="8"/>
    <n v="7"/>
    <d v="2025-07-30T00:00:00"/>
    <x v="1"/>
    <s v="James Taylor"/>
    <s v="NovaHealth Greenfield Clinic"/>
    <s v="Female"/>
    <n v="43"/>
    <x v="0"/>
    <n v="2"/>
    <x v="7"/>
    <x v="7"/>
    <n v="9393.25"/>
    <n v="6666.47"/>
    <n v="11.4"/>
    <x v="1"/>
    <x v="0"/>
  </r>
  <r>
    <s v="NHM-2024-100785"/>
    <s v="February"/>
    <x v="2"/>
    <n v="2"/>
    <d v="2025-02-20T00:00:00"/>
    <x v="1"/>
    <s v="Maria Lee"/>
    <s v="NovaHealth Northside Hospital"/>
    <s v="Female"/>
    <n v="26"/>
    <x v="0"/>
    <n v="2"/>
    <x v="0"/>
    <x v="0"/>
    <n v="6488.44"/>
    <n v="4829.3599999999997"/>
    <n v="11.6"/>
    <x v="1"/>
    <x v="0"/>
  </r>
  <r>
    <s v="NHM-2024-102333"/>
    <s v="January"/>
    <x v="3"/>
    <n v="1"/>
    <d v="2025-01-14T00:00:00"/>
    <x v="1"/>
    <s v="Diane Sullivan"/>
    <s v="NovaHealth Chicago Medical Center"/>
    <s v="Male"/>
    <n v="79"/>
    <x v="1"/>
    <n v="4"/>
    <x v="5"/>
    <x v="5"/>
    <n v="13185.56"/>
    <n v="10060.23"/>
    <n v="4.9000000000000004"/>
    <x v="2"/>
    <x v="1"/>
  </r>
  <r>
    <s v="NHM-2024-102125"/>
    <s v="April"/>
    <x v="0"/>
    <n v="4"/>
    <d v="2025-04-29T00:00:00"/>
    <x v="1"/>
    <s v="Lauren Alexander"/>
    <s v="NovaHealth Greenfield Clinic"/>
    <s v="Male"/>
    <n v="7"/>
    <x v="0"/>
    <n v="3"/>
    <x v="6"/>
    <x v="6"/>
    <n v="2393.02"/>
    <n v="1403.15"/>
    <n v="1.9"/>
    <x v="1"/>
    <x v="2"/>
  </r>
  <r>
    <s v="NHM-2026-100849"/>
    <s v="April"/>
    <x v="0"/>
    <n v="4"/>
    <d v="2025-04-11T00:00:00"/>
    <x v="1"/>
    <s v="Melissa Martinez"/>
    <s v="NovaHealth River Valley Hospital"/>
    <s v="Female"/>
    <n v="83"/>
    <x v="2"/>
    <n v="3"/>
    <x v="7"/>
    <x v="7"/>
    <n v="4992.91"/>
    <n v="3213.68"/>
    <n v="21"/>
    <x v="1"/>
    <x v="1"/>
  </r>
  <r>
    <s v="NHM-2026-101169"/>
    <s v="May"/>
    <x v="9"/>
    <n v="5"/>
    <d v="2026-05-26T00:00:00"/>
    <x v="2"/>
    <s v="Eugene Wright"/>
    <s v="NovaHealth Chicago Medical Center"/>
    <s v="Male"/>
    <n v="27"/>
    <x v="2"/>
    <n v="3"/>
    <x v="0"/>
    <x v="0"/>
    <n v="6925.59"/>
    <n v="4465.9799999999996"/>
    <n v="4.2"/>
    <x v="1"/>
    <x v="0"/>
  </r>
  <r>
    <s v="NHM-2026-102298"/>
    <s v="March"/>
    <x v="1"/>
    <n v="3"/>
    <d v="2025-03-11T00:00:00"/>
    <x v="1"/>
    <s v="Peter Rodriguez"/>
    <s v="NovaHealth Greenfield Clinic"/>
    <s v="Male"/>
    <n v="82"/>
    <x v="0"/>
    <n v="5"/>
    <x v="5"/>
    <x v="5"/>
    <n v="18703.38"/>
    <n v="12615.26"/>
    <n v="10.5"/>
    <x v="2"/>
    <x v="1"/>
  </r>
  <r>
    <s v="NHM-2025-101006"/>
    <s v="April"/>
    <x v="0"/>
    <n v="4"/>
    <d v="2025-04-09T00:00:00"/>
    <x v="1"/>
    <s v="Rachel Fisher"/>
    <s v="NovaHealth Greenfield Clinic"/>
    <s v="Male"/>
    <n v="24"/>
    <x v="0"/>
    <n v="1"/>
    <x v="2"/>
    <x v="2"/>
    <n v="4799.97"/>
    <n v="3427.18"/>
    <n v="8.4"/>
    <x v="0"/>
    <x v="0"/>
  </r>
  <r>
    <s v="NHM-2024-102075"/>
    <s v="October"/>
    <x v="5"/>
    <n v="10"/>
    <d v="2025-10-14T00:00:00"/>
    <x v="1"/>
    <s v="Joe Perry"/>
    <s v="NovaHealth Lakeside Medical Center"/>
    <s v="Female"/>
    <n v="19"/>
    <x v="2"/>
    <n v="3"/>
    <x v="1"/>
    <x v="1"/>
    <n v="6624.98"/>
    <n v="4877.04"/>
    <n v="5.0999999999999996"/>
    <x v="1"/>
    <x v="0"/>
  </r>
  <r>
    <s v="NHM-2023-100506"/>
    <s v="November"/>
    <x v="4"/>
    <n v="11"/>
    <d v="2025-11-14T00:00:00"/>
    <x v="1"/>
    <s v="Ruth Jenkins"/>
    <s v="NovaHealth Chicago Medical Center"/>
    <s v="Male"/>
    <n v="24"/>
    <x v="0"/>
    <n v="1"/>
    <x v="1"/>
    <x v="1"/>
    <n v="10561.64"/>
    <n v="8082.05"/>
    <n v="6.9"/>
    <x v="0"/>
    <x v="0"/>
  </r>
  <r>
    <s v="NHM-2024-101880"/>
    <s v="August"/>
    <x v="10"/>
    <n v="8"/>
    <d v="2025-08-04T00:00:00"/>
    <x v="1"/>
    <s v="Marilyn Jenkins"/>
    <s v="NovaHealth Lakeside Medical Center"/>
    <s v="Female"/>
    <n v="63"/>
    <x v="2"/>
    <n v="2"/>
    <x v="2"/>
    <x v="2"/>
    <n v="5013.4399999999996"/>
    <n v="2977.4"/>
    <n v="8.6999999999999993"/>
    <x v="1"/>
    <x v="0"/>
  </r>
  <r>
    <s v="NHM-2024-102123"/>
    <s v="April"/>
    <x v="0"/>
    <n v="4"/>
    <d v="2025-04-09T00:00:00"/>
    <x v="1"/>
    <s v="James Long"/>
    <s v="NovaHealth Oakridge Community Hospital"/>
    <s v="Male"/>
    <n v="47"/>
    <x v="0"/>
    <n v="2"/>
    <x v="2"/>
    <x v="2"/>
    <n v="3835.61"/>
    <n v="2413.3200000000002"/>
    <n v="9.1999999999999993"/>
    <x v="1"/>
    <x v="0"/>
  </r>
  <r>
    <s v="NHM-2025-102314"/>
    <s v="February"/>
    <x v="2"/>
    <n v="2"/>
    <d v="2024-02-06T00:00:00"/>
    <x v="0"/>
    <s v="Megan Flores"/>
    <s v="NovaHealth Northside Hospital"/>
    <s v="Female"/>
    <n v="83"/>
    <x v="2"/>
    <n v="4"/>
    <x v="7"/>
    <x v="7"/>
    <n v="4513.32"/>
    <n v="3045.32"/>
    <n v="19.600000000000001"/>
    <x v="2"/>
    <x v="1"/>
  </r>
  <r>
    <s v="NHM-2026-100143"/>
    <s v="August"/>
    <x v="10"/>
    <n v="8"/>
    <d v="2025-08-07T00:00:00"/>
    <x v="1"/>
    <s v="Jacob Bryant"/>
    <s v="NovaHealth River Valley Hospital"/>
    <s v="Female"/>
    <n v="80"/>
    <x v="0"/>
    <n v="3"/>
    <x v="4"/>
    <x v="4"/>
    <n v="19719.61"/>
    <n v="13299.34"/>
    <n v="10.9"/>
    <x v="1"/>
    <x v="1"/>
  </r>
  <r>
    <s v="NHM-2025-101346"/>
    <s v="February"/>
    <x v="2"/>
    <n v="2"/>
    <d v="2026-02-19T00:00:00"/>
    <x v="2"/>
    <s v="Valerie Jordan"/>
    <s v="NovaHealth Metro General Hospital"/>
    <s v="Female"/>
    <n v="92"/>
    <x v="0"/>
    <n v="3"/>
    <x v="3"/>
    <x v="3"/>
    <n v="5124.32"/>
    <n v="3636.62"/>
    <n v="6.2"/>
    <x v="1"/>
    <x v="1"/>
  </r>
  <r>
    <s v="NHM-2026-101298"/>
    <s v="February"/>
    <x v="2"/>
    <n v="2"/>
    <d v="2025-02-04T00:00:00"/>
    <x v="1"/>
    <s v="Judy Long"/>
    <s v="NovaHealth Chicago Medical Center"/>
    <s v="Male"/>
    <n v="7"/>
    <x v="0"/>
    <n v="3"/>
    <x v="6"/>
    <x v="6"/>
    <n v="1312.9"/>
    <n v="963.22"/>
    <n v="0.6"/>
    <x v="1"/>
    <x v="2"/>
  </r>
  <r>
    <s v="NHM-2023-101986"/>
    <s v="May"/>
    <x v="9"/>
    <n v="5"/>
    <d v="2026-05-06T00:00:00"/>
    <x v="2"/>
    <s v="Judith Ortiz"/>
    <s v="NovaHealth Midtown Medical Center"/>
    <s v="Male"/>
    <n v="20"/>
    <x v="0"/>
    <n v="1"/>
    <x v="0"/>
    <x v="0"/>
    <n v="4746.3999999999996"/>
    <n v="3656.06"/>
    <n v="6.1"/>
    <x v="0"/>
    <x v="0"/>
  </r>
  <r>
    <s v="NHM-2024-101697"/>
    <s v="March"/>
    <x v="1"/>
    <n v="3"/>
    <d v="2025-03-06T00:00:00"/>
    <x v="1"/>
    <s v="Margaret Morales"/>
    <s v="NovaHealth Northside Hospital"/>
    <s v="Female"/>
    <n v="58"/>
    <x v="2"/>
    <n v="5"/>
    <x v="4"/>
    <x v="4"/>
    <n v="17822.939999999999"/>
    <n v="10447.709999999999"/>
    <n v="13.8"/>
    <x v="2"/>
    <x v="0"/>
  </r>
  <r>
    <s v="NHM-2026-100288"/>
    <s v="March"/>
    <x v="1"/>
    <n v="3"/>
    <d v="2025-03-07T00:00:00"/>
    <x v="1"/>
    <s v="Paul Walker"/>
    <s v="NovaHealth Chicago Medical Center"/>
    <s v="Female"/>
    <n v="79"/>
    <x v="0"/>
    <n v="2"/>
    <x v="0"/>
    <x v="0"/>
    <n v="12082.02"/>
    <n v="7449.23"/>
    <n v="9.9"/>
    <x v="1"/>
    <x v="1"/>
  </r>
  <r>
    <s v="NHM-2024-100740"/>
    <s v="June"/>
    <x v="11"/>
    <n v="6"/>
    <d v="2024-06-05T00:00:00"/>
    <x v="0"/>
    <s v="Elijah Griffin"/>
    <s v="NovaHealth Midtown Medical Center"/>
    <s v="Male"/>
    <n v="81"/>
    <x v="1"/>
    <n v="5"/>
    <x v="3"/>
    <x v="3"/>
    <n v="10308.209999999999"/>
    <n v="6666.05"/>
    <n v="8.6"/>
    <x v="2"/>
    <x v="1"/>
  </r>
  <r>
    <s v="NHM-2025-102010"/>
    <s v="April"/>
    <x v="0"/>
    <n v="4"/>
    <d v="2024-04-08T00:00:00"/>
    <x v="0"/>
    <s v="Roger Simmons"/>
    <s v="NovaHealth Metro General Hospital"/>
    <s v="Male"/>
    <n v="74"/>
    <x v="1"/>
    <n v="5"/>
    <x v="4"/>
    <x v="4"/>
    <n v="17908.39"/>
    <n v="12097.82"/>
    <n v="12.4"/>
    <x v="2"/>
    <x v="1"/>
  </r>
  <r>
    <s v="NHM-2023-100537"/>
    <s v="December"/>
    <x v="6"/>
    <n v="12"/>
    <d v="2024-12-31T00:00:00"/>
    <x v="0"/>
    <s v="Sharon Mason"/>
    <s v="NovaHealth Lakeside Medical Center"/>
    <s v="Female"/>
    <n v="68"/>
    <x v="2"/>
    <n v="5"/>
    <x v="4"/>
    <x v="4"/>
    <n v="22282.37"/>
    <n v="15712.86"/>
    <n v="14.4"/>
    <x v="2"/>
    <x v="1"/>
  </r>
  <r>
    <s v="NHM-2023-101369"/>
    <s v="January"/>
    <x v="3"/>
    <n v="1"/>
    <d v="2025-01-06T00:00:00"/>
    <x v="1"/>
    <s v="Kathryn Kim"/>
    <s v="NovaHealth River Valley Hospital"/>
    <s v="Female"/>
    <n v="72"/>
    <x v="1"/>
    <n v="5"/>
    <x v="3"/>
    <x v="3"/>
    <n v="7870.29"/>
    <n v="5782.11"/>
    <n v="4.5999999999999996"/>
    <x v="2"/>
    <x v="1"/>
  </r>
  <r>
    <s v="NHM-2024-101470"/>
    <s v="December"/>
    <x v="6"/>
    <n v="12"/>
    <d v="2024-12-03T00:00:00"/>
    <x v="0"/>
    <s v="Patrick Dixon"/>
    <s v="NovaHealth Lakeside Medical Center"/>
    <s v="Female"/>
    <n v="39"/>
    <x v="1"/>
    <n v="4"/>
    <x v="5"/>
    <x v="5"/>
    <n v="19270.060000000001"/>
    <n v="14719.65"/>
    <n v="9.3000000000000007"/>
    <x v="2"/>
    <x v="0"/>
  </r>
  <r>
    <s v="NHM-2024-102246"/>
    <s v="December"/>
    <x v="6"/>
    <n v="12"/>
    <d v="2024-12-17T00:00:00"/>
    <x v="0"/>
    <s v="Thomas Gutierrez"/>
    <s v="NovaHealth Oakridge Community Hospital"/>
    <s v="Male"/>
    <n v="26"/>
    <x v="0"/>
    <n v="1"/>
    <x v="7"/>
    <x v="7"/>
    <n v="7790.8"/>
    <n v="4699.46"/>
    <n v="22.6"/>
    <x v="0"/>
    <x v="0"/>
  </r>
  <r>
    <s v="NHM-2026-101106"/>
    <s v="December"/>
    <x v="6"/>
    <n v="12"/>
    <d v="2023-12-14T00:00:00"/>
    <x v="3"/>
    <s v="Daniel Woods"/>
    <s v="NovaHealth Midtown Medical Center"/>
    <s v="Female"/>
    <n v="24"/>
    <x v="0"/>
    <n v="2"/>
    <x v="2"/>
    <x v="2"/>
    <n v="3631.2"/>
    <n v="2294.23"/>
    <n v="9.9"/>
    <x v="1"/>
    <x v="0"/>
  </r>
  <r>
    <s v="NHM-2025-102417"/>
    <s v="March"/>
    <x v="1"/>
    <n v="3"/>
    <d v="2024-03-21T00:00:00"/>
    <x v="0"/>
    <s v="Bryan Butler"/>
    <s v="NovaHealth Chicago Medical Center"/>
    <s v="Female"/>
    <n v="56"/>
    <x v="2"/>
    <n v="3"/>
    <x v="0"/>
    <x v="0"/>
    <n v="7446.38"/>
    <n v="4852.88"/>
    <n v="10.9"/>
    <x v="1"/>
    <x v="0"/>
  </r>
  <r>
    <s v="NHM-2026-100358"/>
    <s v="December"/>
    <x v="6"/>
    <n v="12"/>
    <d v="2025-12-22T00:00:00"/>
    <x v="1"/>
    <s v="Kathleen Smith"/>
    <s v="NovaHealth Lakeside Medical Center"/>
    <s v="Male"/>
    <n v="0"/>
    <x v="0"/>
    <n v="1"/>
    <x v="6"/>
    <x v="6"/>
    <n v="561.22"/>
    <n v="408.02"/>
    <n v="4"/>
    <x v="0"/>
    <x v="2"/>
  </r>
  <r>
    <s v="NHM-2026-101183"/>
    <s v="March"/>
    <x v="1"/>
    <n v="3"/>
    <d v="2024-03-21T00:00:00"/>
    <x v="0"/>
    <s v="Emma Mitchell"/>
    <s v="NovaHealth Lakeside Medical Center"/>
    <s v="Male"/>
    <n v="41"/>
    <x v="2"/>
    <n v="1"/>
    <x v="7"/>
    <x v="7"/>
    <n v="8073.45"/>
    <n v="5733.02"/>
    <n v="10.199999999999999"/>
    <x v="0"/>
    <x v="0"/>
  </r>
  <r>
    <s v="NHM-2024-101485"/>
    <s v="June"/>
    <x v="11"/>
    <n v="6"/>
    <d v="2024-06-05T00:00:00"/>
    <x v="0"/>
    <s v="Scott Hamilton"/>
    <s v="NovaHealth Lakeside Medical Center"/>
    <s v="Male"/>
    <n v="13"/>
    <x v="2"/>
    <n v="3"/>
    <x v="6"/>
    <x v="6"/>
    <n v="1029.77"/>
    <n v="770.13"/>
    <n v="2.2999999999999998"/>
    <x v="1"/>
    <x v="2"/>
  </r>
  <r>
    <s v="NHM-2024-101449"/>
    <s v="September"/>
    <x v="7"/>
    <n v="9"/>
    <d v="2023-09-08T00:00:00"/>
    <x v="3"/>
    <s v="Jonathan Jenkins"/>
    <s v="NovaHealth Chicago Medical Center"/>
    <s v="Female"/>
    <n v="62"/>
    <x v="2"/>
    <n v="5"/>
    <x v="4"/>
    <x v="4"/>
    <n v="21825.82"/>
    <n v="16712.419999999998"/>
    <n v="15.6"/>
    <x v="2"/>
    <x v="0"/>
  </r>
  <r>
    <s v="NHM-2024-100777"/>
    <s v="July"/>
    <x v="8"/>
    <n v="7"/>
    <d v="2024-07-17T00:00:00"/>
    <x v="0"/>
    <s v="Debra Foster"/>
    <s v="NovaHealth Midtown Medical Center"/>
    <s v="Female"/>
    <n v="37"/>
    <x v="1"/>
    <n v="1"/>
    <x v="1"/>
    <x v="1"/>
    <n v="9081.93"/>
    <n v="5301.12"/>
    <n v="4.2"/>
    <x v="0"/>
    <x v="0"/>
  </r>
  <r>
    <s v="NHM-2024-100164"/>
    <s v="December"/>
    <x v="6"/>
    <n v="12"/>
    <d v="2025-12-09T00:00:00"/>
    <x v="1"/>
    <s v="Ralph Ramos"/>
    <s v="NovaHealth Chicago Medical Center"/>
    <s v="Female"/>
    <n v="81"/>
    <x v="1"/>
    <n v="4"/>
    <x v="4"/>
    <x v="4"/>
    <n v="10094.11"/>
    <n v="6254.21"/>
    <n v="12.1"/>
    <x v="2"/>
    <x v="1"/>
  </r>
  <r>
    <s v="NHM-2025-101276"/>
    <s v="April"/>
    <x v="0"/>
    <n v="4"/>
    <d v="2026-04-29T00:00:00"/>
    <x v="2"/>
    <s v="Arthur Gonzales"/>
    <s v="NovaHealth Chicago Medical Center"/>
    <s v="Male"/>
    <n v="6"/>
    <x v="0"/>
    <n v="3"/>
    <x v="6"/>
    <x v="6"/>
    <n v="800.48"/>
    <n v="559.51"/>
    <n v="5.9"/>
    <x v="1"/>
    <x v="2"/>
  </r>
  <r>
    <s v="NHM-2024-101274"/>
    <s v="April"/>
    <x v="0"/>
    <n v="4"/>
    <d v="2025-04-08T00:00:00"/>
    <x v="1"/>
    <s v="Joshua Sanchez"/>
    <s v="NovaHealth Lakeside Medical Center"/>
    <s v="Female"/>
    <n v="63"/>
    <x v="2"/>
    <n v="3"/>
    <x v="1"/>
    <x v="1"/>
    <n v="11185.06"/>
    <n v="7542.79"/>
    <n v="6.1"/>
    <x v="1"/>
    <x v="0"/>
  </r>
  <r>
    <s v="NHM-2026-101223"/>
    <s v="June"/>
    <x v="11"/>
    <n v="6"/>
    <d v="2025-06-16T00:00:00"/>
    <x v="1"/>
    <s v="Michelle Cooper"/>
    <s v="NovaHealth River Valley Hospital"/>
    <s v="Female"/>
    <n v="64"/>
    <x v="2"/>
    <n v="4"/>
    <x v="4"/>
    <x v="4"/>
    <n v="12686.59"/>
    <n v="8957.41"/>
    <n v="9.6"/>
    <x v="2"/>
    <x v="0"/>
  </r>
  <r>
    <s v="NHM-2026-100213"/>
    <s v="April"/>
    <x v="0"/>
    <n v="4"/>
    <d v="2025-04-04T00:00:00"/>
    <x v="1"/>
    <s v="Christine Diaz"/>
    <s v="NovaHealth Chicago Medical Center"/>
    <s v="Male"/>
    <n v="54"/>
    <x v="2"/>
    <n v="1"/>
    <x v="1"/>
    <x v="1"/>
    <n v="10619.25"/>
    <n v="7836.85"/>
    <n v="10.6"/>
    <x v="0"/>
    <x v="0"/>
  </r>
  <r>
    <s v="NHM-2025-100050"/>
    <s v="December"/>
    <x v="6"/>
    <n v="12"/>
    <d v="2023-12-28T00:00:00"/>
    <x v="3"/>
    <s v="Virginia Simmons"/>
    <s v="NovaHealth Chicago Medical Center"/>
    <s v="Male"/>
    <n v="45"/>
    <x v="2"/>
    <n v="5"/>
    <x v="1"/>
    <x v="1"/>
    <n v="19523.66"/>
    <n v="14871.58"/>
    <n v="4.2"/>
    <x v="2"/>
    <x v="0"/>
  </r>
  <r>
    <s v="NHM-2025-101339"/>
    <s v="February"/>
    <x v="2"/>
    <n v="2"/>
    <d v="2024-02-28T00:00:00"/>
    <x v="0"/>
    <s v="Brenda Alvarez"/>
    <s v="NovaHealth Northside Hospital"/>
    <s v="Female"/>
    <n v="27"/>
    <x v="2"/>
    <n v="3"/>
    <x v="1"/>
    <x v="1"/>
    <n v="14270.5"/>
    <n v="8316.89"/>
    <n v="5"/>
    <x v="1"/>
    <x v="0"/>
  </r>
  <r>
    <s v="NHM-2023-100508"/>
    <s v="December"/>
    <x v="6"/>
    <n v="12"/>
    <d v="2024-12-16T00:00:00"/>
    <x v="0"/>
    <s v="Christina Rivera"/>
    <s v="NovaHealth Northside Hospital"/>
    <s v="Male"/>
    <n v="45"/>
    <x v="0"/>
    <n v="1"/>
    <x v="2"/>
    <x v="2"/>
    <n v="4591.05"/>
    <n v="2867.74"/>
    <n v="8.4"/>
    <x v="0"/>
    <x v="0"/>
  </r>
  <r>
    <s v="NHM-2025-101618"/>
    <s v="November"/>
    <x v="4"/>
    <n v="11"/>
    <d v="2023-11-13T00:00:00"/>
    <x v="3"/>
    <s v="Jessica Gonzales"/>
    <s v="NovaHealth River Valley Hospital"/>
    <s v="Female"/>
    <n v="32"/>
    <x v="2"/>
    <n v="3"/>
    <x v="0"/>
    <x v="0"/>
    <n v="7725.5"/>
    <n v="4982.72"/>
    <n v="4.8"/>
    <x v="1"/>
    <x v="0"/>
  </r>
  <r>
    <s v="NHM-2025-100238"/>
    <s v="August"/>
    <x v="10"/>
    <n v="8"/>
    <d v="2024-08-21T00:00:00"/>
    <x v="0"/>
    <s v="Matthew Diaz"/>
    <s v="NovaHealth Chicago Medical Center"/>
    <s v="Female"/>
    <n v="73"/>
    <x v="1"/>
    <n v="5"/>
    <x v="5"/>
    <x v="5"/>
    <n v="13688.29"/>
    <n v="9215.9500000000007"/>
    <n v="5.6"/>
    <x v="2"/>
    <x v="1"/>
  </r>
  <r>
    <s v="NHM-2026-101686"/>
    <s v="December"/>
    <x v="6"/>
    <n v="12"/>
    <d v="2025-12-31T00:00:00"/>
    <x v="1"/>
    <s v="Adam Graham"/>
    <s v="NovaHealth Greenfield Clinic"/>
    <s v="Female"/>
    <n v="74"/>
    <x v="1"/>
    <n v="4"/>
    <x v="4"/>
    <x v="4"/>
    <n v="19646.7"/>
    <n v="13871.09"/>
    <n v="14.8"/>
    <x v="2"/>
    <x v="1"/>
  </r>
  <r>
    <s v="NHM-2026-102356"/>
    <s v="August"/>
    <x v="10"/>
    <n v="8"/>
    <d v="2024-08-23T00:00:00"/>
    <x v="0"/>
    <s v="Danielle Castillo"/>
    <s v="NovaHealth Oakridge Community Hospital"/>
    <s v="Female"/>
    <n v="47"/>
    <x v="2"/>
    <n v="4"/>
    <x v="5"/>
    <x v="5"/>
    <n v="19686.91"/>
    <n v="14442.64"/>
    <n v="8.9"/>
    <x v="2"/>
    <x v="0"/>
  </r>
  <r>
    <s v="NHM-2025-102009"/>
    <s v="November"/>
    <x v="4"/>
    <n v="11"/>
    <d v="2025-11-19T00:00:00"/>
    <x v="1"/>
    <s v="Thomas Edwards"/>
    <s v="NovaHealth Lakeside Medical Center"/>
    <s v="Female"/>
    <n v="68"/>
    <x v="0"/>
    <n v="2"/>
    <x v="7"/>
    <x v="7"/>
    <n v="7729.21"/>
    <n v="6031"/>
    <n v="19.600000000000001"/>
    <x v="1"/>
    <x v="1"/>
  </r>
  <r>
    <s v="NHM-2023-101378"/>
    <s v="June"/>
    <x v="11"/>
    <n v="6"/>
    <d v="2026-06-08T00:00:00"/>
    <x v="2"/>
    <s v="Shirley Myers"/>
    <s v="NovaHealth Lakeside Medical Center"/>
    <s v="Male"/>
    <n v="66"/>
    <x v="2"/>
    <n v="5"/>
    <x v="4"/>
    <x v="4"/>
    <n v="22790.21"/>
    <n v="13355.92"/>
    <n v="17.2"/>
    <x v="2"/>
    <x v="1"/>
  </r>
  <r>
    <s v="NHM-2024-101026"/>
    <s v="September"/>
    <x v="7"/>
    <n v="9"/>
    <d v="2024-09-13T00:00:00"/>
    <x v="0"/>
    <s v="Janice Walker"/>
    <s v="NovaHealth Lakeshore Regional Center"/>
    <s v="Female"/>
    <n v="17"/>
    <x v="0"/>
    <n v="2"/>
    <x v="6"/>
    <x v="6"/>
    <n v="670.29"/>
    <n v="434.48"/>
    <n v="3.2"/>
    <x v="1"/>
    <x v="2"/>
  </r>
  <r>
    <s v="NHM-2023-101395"/>
    <s v="April"/>
    <x v="0"/>
    <n v="4"/>
    <d v="2024-04-04T00:00:00"/>
    <x v="0"/>
    <s v="Lisa Alvarez"/>
    <s v="NovaHealth Chicago Medical Center"/>
    <s v="Female"/>
    <n v="75"/>
    <x v="2"/>
    <n v="5"/>
    <x v="4"/>
    <x v="4"/>
    <n v="15461.17"/>
    <n v="9982.35"/>
    <n v="10.9"/>
    <x v="2"/>
    <x v="1"/>
  </r>
  <r>
    <s v="NHM-2024-100094"/>
    <s v="July"/>
    <x v="8"/>
    <n v="7"/>
    <d v="2025-07-15T00:00:00"/>
    <x v="1"/>
    <s v="Raymond Ruiz"/>
    <s v="NovaHealth Northside Hospital"/>
    <s v="Female"/>
    <n v="61"/>
    <x v="0"/>
    <n v="1"/>
    <x v="7"/>
    <x v="7"/>
    <n v="4029.45"/>
    <n v="2883.73"/>
    <n v="23"/>
    <x v="0"/>
    <x v="0"/>
  </r>
  <r>
    <s v="NHM-2026-100973"/>
    <s v="April"/>
    <x v="0"/>
    <n v="4"/>
    <d v="2025-04-02T00:00:00"/>
    <x v="1"/>
    <s v="Sharon Butler"/>
    <s v="NovaHealth Chicago Medical Center"/>
    <s v="Male"/>
    <n v="15"/>
    <x v="2"/>
    <n v="3"/>
    <x v="6"/>
    <x v="6"/>
    <n v="1419.56"/>
    <n v="1036.8900000000001"/>
    <n v="5.4"/>
    <x v="1"/>
    <x v="2"/>
  </r>
  <r>
    <s v="NHM-2024-100007"/>
    <s v="March"/>
    <x v="1"/>
    <n v="3"/>
    <d v="2026-03-16T00:00:00"/>
    <x v="2"/>
    <s v="Dylan King"/>
    <s v="NovaHealth Chicago Medical Center"/>
    <s v="Female"/>
    <n v="58"/>
    <x v="1"/>
    <n v="5"/>
    <x v="4"/>
    <x v="4"/>
    <n v="24521.55"/>
    <n v="17967.13"/>
    <n v="8.3000000000000007"/>
    <x v="2"/>
    <x v="0"/>
  </r>
  <r>
    <s v="NHM-2024-101953"/>
    <s v="June"/>
    <x v="11"/>
    <n v="6"/>
    <d v="2026-06-05T00:00:00"/>
    <x v="2"/>
    <s v="Christopher Patterson"/>
    <s v="NovaHealth Lakeshore Regional Center"/>
    <s v="Male"/>
    <n v="25"/>
    <x v="2"/>
    <n v="5"/>
    <x v="5"/>
    <x v="5"/>
    <n v="21368.55"/>
    <n v="16327.3"/>
    <n v="10.9"/>
    <x v="2"/>
    <x v="0"/>
  </r>
  <r>
    <s v="NHM-2023-100350"/>
    <s v="May"/>
    <x v="9"/>
    <n v="5"/>
    <d v="2024-05-29T00:00:00"/>
    <x v="0"/>
    <s v="Elijah Powell"/>
    <s v="NovaHealth Midtown Medical Center"/>
    <s v="Male"/>
    <n v="65"/>
    <x v="1"/>
    <n v="1"/>
    <x v="1"/>
    <x v="1"/>
    <n v="7336.65"/>
    <n v="4304.0600000000004"/>
    <n v="6.1"/>
    <x v="0"/>
    <x v="1"/>
  </r>
  <r>
    <s v="NHM-2024-101299"/>
    <s v="June"/>
    <x v="11"/>
    <n v="6"/>
    <d v="2026-06-26T00:00:00"/>
    <x v="2"/>
    <s v="Eric Nguyen"/>
    <s v="NovaHealth Midtown Medical Center"/>
    <s v="Female"/>
    <n v="75"/>
    <x v="0"/>
    <n v="3"/>
    <x v="1"/>
    <x v="1"/>
    <n v="14837.52"/>
    <n v="9115.69"/>
    <n v="8.1"/>
    <x v="1"/>
    <x v="1"/>
  </r>
  <r>
    <s v="NHM-2023-100453"/>
    <s v="April"/>
    <x v="0"/>
    <n v="4"/>
    <d v="2026-04-13T00:00:00"/>
    <x v="2"/>
    <s v="Maria West"/>
    <s v="NovaHealth Lakeshore Regional Center"/>
    <s v="Male"/>
    <n v="51"/>
    <x v="0"/>
    <n v="1"/>
    <x v="1"/>
    <x v="1"/>
    <n v="10432.64"/>
    <n v="6725.69"/>
    <n v="6.1"/>
    <x v="0"/>
    <x v="0"/>
  </r>
  <r>
    <s v="NHM-2023-101046"/>
    <s v="April"/>
    <x v="0"/>
    <n v="4"/>
    <d v="2024-04-15T00:00:00"/>
    <x v="0"/>
    <s v="Maria Henry"/>
    <s v="NovaHealth Lakeside Medical Center"/>
    <s v="Female"/>
    <n v="50"/>
    <x v="0"/>
    <n v="1"/>
    <x v="2"/>
    <x v="2"/>
    <n v="3483.91"/>
    <n v="2371.8200000000002"/>
    <n v="4.7"/>
    <x v="0"/>
    <x v="0"/>
  </r>
  <r>
    <s v="NHM-2023-100072"/>
    <s v="March"/>
    <x v="1"/>
    <n v="3"/>
    <d v="2026-03-25T00:00:00"/>
    <x v="2"/>
    <s v="Martha Foster"/>
    <s v="NovaHealth River Valley Hospital"/>
    <s v="Male"/>
    <n v="5"/>
    <x v="0"/>
    <n v="1"/>
    <x v="6"/>
    <x v="6"/>
    <n v="1374.1"/>
    <n v="982.67"/>
    <n v="2.6"/>
    <x v="0"/>
    <x v="2"/>
  </r>
  <r>
    <s v="NHM-2024-101021"/>
    <s v="February"/>
    <x v="2"/>
    <n v="2"/>
    <d v="2025-02-05T00:00:00"/>
    <x v="1"/>
    <s v="Doris Flores"/>
    <s v="NovaHealth Greenfield Clinic"/>
    <s v="Male"/>
    <n v="59"/>
    <x v="2"/>
    <n v="5"/>
    <x v="7"/>
    <x v="7"/>
    <n v="12522.24"/>
    <n v="9222.0400000000009"/>
    <n v="10.1"/>
    <x v="2"/>
    <x v="0"/>
  </r>
  <r>
    <s v="NHM-2025-101464"/>
    <s v="September"/>
    <x v="7"/>
    <n v="9"/>
    <d v="2024-09-13T00:00:00"/>
    <x v="0"/>
    <s v="Diane Hughes"/>
    <s v="NovaHealth Greenfield Clinic"/>
    <s v="Female"/>
    <n v="10"/>
    <x v="0"/>
    <n v="2"/>
    <x v="6"/>
    <x v="6"/>
    <n v="1312.31"/>
    <n v="1002.96"/>
    <n v="0.7"/>
    <x v="1"/>
    <x v="2"/>
  </r>
  <r>
    <s v="NHM-2026-101372"/>
    <s v="September"/>
    <x v="7"/>
    <n v="9"/>
    <d v="2023-09-26T00:00:00"/>
    <x v="3"/>
    <s v="Margaret Mendoza"/>
    <s v="NovaHealth Chicago Medical Center"/>
    <s v="Female"/>
    <n v="69"/>
    <x v="2"/>
    <n v="4"/>
    <x v="4"/>
    <x v="4"/>
    <n v="15788.78"/>
    <n v="9288.69"/>
    <n v="16.399999999999999"/>
    <x v="2"/>
    <x v="1"/>
  </r>
  <r>
    <s v="NHM-2025-102167"/>
    <s v="September"/>
    <x v="7"/>
    <n v="9"/>
    <d v="2024-09-27T00:00:00"/>
    <x v="0"/>
    <s v="Gary Castillo"/>
    <s v="NovaHealth Greenfield Clinic"/>
    <s v="Male"/>
    <n v="41"/>
    <x v="2"/>
    <n v="4"/>
    <x v="7"/>
    <x v="7"/>
    <n v="4452.8999999999996"/>
    <n v="2816.27"/>
    <n v="12.5"/>
    <x v="2"/>
    <x v="0"/>
  </r>
  <r>
    <s v="NHM-2025-100564"/>
    <s v="August"/>
    <x v="10"/>
    <n v="8"/>
    <d v="2024-08-22T00:00:00"/>
    <x v="0"/>
    <s v="Noah Rivera"/>
    <s v="NovaHealth Greenfield Clinic"/>
    <s v="Male"/>
    <n v="18"/>
    <x v="0"/>
    <n v="2"/>
    <x v="1"/>
    <x v="1"/>
    <n v="12466.12"/>
    <n v="8000.72"/>
    <n v="2.8"/>
    <x v="1"/>
    <x v="2"/>
  </r>
  <r>
    <s v="NHM-2026-101778"/>
    <s v="November"/>
    <x v="4"/>
    <n v="11"/>
    <d v="2025-11-26T00:00:00"/>
    <x v="1"/>
    <s v="Gregory Miller"/>
    <s v="NovaHealth River Valley Hospital"/>
    <s v="Female"/>
    <n v="67"/>
    <x v="2"/>
    <n v="4"/>
    <x v="0"/>
    <x v="0"/>
    <n v="10057.92"/>
    <n v="6756.41"/>
    <n v="2.2000000000000002"/>
    <x v="2"/>
    <x v="1"/>
  </r>
  <r>
    <s v="NHM-2026-100461"/>
    <s v="March"/>
    <x v="1"/>
    <n v="3"/>
    <d v="2024-03-11T00:00:00"/>
    <x v="0"/>
    <s v="Melissa Bailey"/>
    <s v="NovaHealth Greenfield Clinic"/>
    <s v="Male"/>
    <n v="47"/>
    <x v="2"/>
    <n v="1"/>
    <x v="3"/>
    <x v="3"/>
    <n v="6577.38"/>
    <n v="4623.37"/>
    <n v="2.4"/>
    <x v="0"/>
    <x v="0"/>
  </r>
  <r>
    <s v="NHM-2026-100918"/>
    <s v="September"/>
    <x v="7"/>
    <n v="9"/>
    <d v="2024-09-10T00:00:00"/>
    <x v="0"/>
    <s v="Kyle Wilson"/>
    <s v="NovaHealth Midtown Medical Center"/>
    <s v="Male"/>
    <n v="78"/>
    <x v="0"/>
    <n v="1"/>
    <x v="0"/>
    <x v="0"/>
    <n v="9008.76"/>
    <n v="6593.99"/>
    <n v="2.2000000000000002"/>
    <x v="0"/>
    <x v="1"/>
  </r>
  <r>
    <s v="NHM-2026-101359"/>
    <s v="June"/>
    <x v="11"/>
    <n v="6"/>
    <d v="2024-06-11T00:00:00"/>
    <x v="0"/>
    <s v="Willie Gomez"/>
    <s v="NovaHealth River Valley Hospital"/>
    <s v="Female"/>
    <n v="42"/>
    <x v="2"/>
    <n v="5"/>
    <x v="5"/>
    <x v="5"/>
    <n v="12990.5"/>
    <n v="9955.98"/>
    <n v="10.4"/>
    <x v="2"/>
    <x v="0"/>
  </r>
  <r>
    <s v="NHM-2025-100609"/>
    <s v="January"/>
    <x v="3"/>
    <n v="1"/>
    <d v="2025-01-18T00:00:00"/>
    <x v="1"/>
    <s v="Jack Butler"/>
    <s v="NovaHealth Northside Hospital"/>
    <s v="Male"/>
    <n v="56"/>
    <x v="0"/>
    <n v="4"/>
    <x v="2"/>
    <x v="2"/>
    <n v="6373.72"/>
    <n v="3765.56"/>
    <n v="8.6"/>
    <x v="2"/>
    <x v="0"/>
  </r>
  <r>
    <s v="NHM-2026-100437"/>
    <s v="October"/>
    <x v="5"/>
    <n v="10"/>
    <d v="2025-10-22T00:00:00"/>
    <x v="1"/>
    <s v="Sarah Kennedy"/>
    <s v="NovaHealth Chicago Medical Center"/>
    <s v="Male"/>
    <n v="85"/>
    <x v="0"/>
    <n v="5"/>
    <x v="1"/>
    <x v="1"/>
    <n v="7839.93"/>
    <n v="4866.3599999999997"/>
    <n v="10.5"/>
    <x v="2"/>
    <x v="1"/>
  </r>
  <r>
    <s v="NHM-2023-100423"/>
    <s v="December"/>
    <x v="6"/>
    <n v="12"/>
    <d v="2024-12-23T00:00:00"/>
    <x v="0"/>
    <s v="Patrick Brooks"/>
    <s v="NovaHealth Greenfield Clinic"/>
    <s v="Male"/>
    <n v="73"/>
    <x v="0"/>
    <n v="2"/>
    <x v="0"/>
    <x v="0"/>
    <n v="9622.41"/>
    <n v="6247.14"/>
    <n v="11.1"/>
    <x v="1"/>
    <x v="1"/>
  </r>
  <r>
    <s v="NHM-2024-100671"/>
    <s v="July"/>
    <x v="8"/>
    <n v="7"/>
    <d v="2025-07-04T00:00:00"/>
    <x v="1"/>
    <s v="Jonathan Powell"/>
    <s v="NovaHealth River Valley Hospital"/>
    <s v="Male"/>
    <n v="30"/>
    <x v="0"/>
    <n v="1"/>
    <x v="1"/>
    <x v="1"/>
    <n v="11379.96"/>
    <n v="7676.57"/>
    <n v="6.5"/>
    <x v="0"/>
    <x v="0"/>
  </r>
  <r>
    <s v="NHM-2024-100320"/>
    <s v="May"/>
    <x v="9"/>
    <n v="5"/>
    <d v="2025-05-08T00:00:00"/>
    <x v="1"/>
    <s v="Justin Roberts"/>
    <s v="NovaHealth Lakeside Medical Center"/>
    <s v="Male"/>
    <n v="70"/>
    <x v="0"/>
    <n v="2"/>
    <x v="0"/>
    <x v="0"/>
    <n v="11541.57"/>
    <n v="8103.1"/>
    <n v="3"/>
    <x v="1"/>
    <x v="1"/>
  </r>
  <r>
    <s v="NHM-2023-102103"/>
    <s v="September"/>
    <x v="7"/>
    <n v="9"/>
    <d v="2023-09-21T00:00:00"/>
    <x v="3"/>
    <s v="Carol Collins"/>
    <s v="NovaHealth River Valley Hospital"/>
    <s v="Male"/>
    <n v="29"/>
    <x v="0"/>
    <n v="1"/>
    <x v="1"/>
    <x v="1"/>
    <n v="6795.2"/>
    <n v="5000.5"/>
    <n v="5"/>
    <x v="0"/>
    <x v="0"/>
  </r>
  <r>
    <s v="NHM-2024-101829"/>
    <s v="February"/>
    <x v="2"/>
    <n v="2"/>
    <d v="2025-02-14T00:00:00"/>
    <x v="1"/>
    <s v="Emily Miller"/>
    <s v="NovaHealth Lakeshore Regional Center"/>
    <s v="Male"/>
    <n v="81"/>
    <x v="1"/>
    <n v="4"/>
    <x v="5"/>
    <x v="5"/>
    <n v="18744.169999999998"/>
    <n v="14285.57"/>
    <n v="5"/>
    <x v="2"/>
    <x v="1"/>
  </r>
  <r>
    <s v="NHM-2023-101567"/>
    <s v="September"/>
    <x v="7"/>
    <n v="9"/>
    <d v="2025-09-03T00:00:00"/>
    <x v="1"/>
    <s v="Adam Price"/>
    <s v="NovaHealth Northside Hospital"/>
    <s v="Male"/>
    <n v="62"/>
    <x v="0"/>
    <n v="4"/>
    <x v="5"/>
    <x v="5"/>
    <n v="16784.009999999998"/>
    <n v="9805.93"/>
    <n v="8.9"/>
    <x v="2"/>
    <x v="0"/>
  </r>
  <r>
    <s v="NHM-2025-101939"/>
    <s v="December"/>
    <x v="6"/>
    <n v="12"/>
    <d v="2024-12-24T00:00:00"/>
    <x v="0"/>
    <s v="Angela Cox"/>
    <s v="NovaHealth River Valley Hospital"/>
    <s v="Male"/>
    <n v="57"/>
    <x v="1"/>
    <n v="4"/>
    <x v="5"/>
    <x v="5"/>
    <n v="11531.59"/>
    <n v="7112.67"/>
    <n v="9.8000000000000007"/>
    <x v="2"/>
    <x v="0"/>
  </r>
  <r>
    <s v="NHM-2024-101212"/>
    <s v="January"/>
    <x v="3"/>
    <n v="1"/>
    <d v="2024-01-03T00:00:00"/>
    <x v="0"/>
    <s v="Andrew Campbell"/>
    <s v="NovaHealth Lakeside Medical Center"/>
    <s v="Male"/>
    <n v="54"/>
    <x v="0"/>
    <n v="2"/>
    <x v="2"/>
    <x v="2"/>
    <n v="4171.57"/>
    <n v="2719.4"/>
    <n v="6.2"/>
    <x v="1"/>
    <x v="0"/>
  </r>
  <r>
    <s v="NHM-2023-100387"/>
    <s v="June"/>
    <x v="11"/>
    <n v="6"/>
    <d v="2026-06-23T00:00:00"/>
    <x v="2"/>
    <s v="Janice Coleman"/>
    <s v="NovaHealth Metro General Hospital"/>
    <s v="Female"/>
    <n v="84"/>
    <x v="2"/>
    <n v="4"/>
    <x v="5"/>
    <x v="5"/>
    <n v="12619.96"/>
    <n v="8538.57"/>
    <n v="10.4"/>
    <x v="2"/>
    <x v="1"/>
  </r>
  <r>
    <s v="NHM-2023-100828"/>
    <s v="May"/>
    <x v="9"/>
    <n v="5"/>
    <d v="2025-05-26T00:00:00"/>
    <x v="1"/>
    <s v="Amy Ford"/>
    <s v="NovaHealth River Valley Hospital"/>
    <s v="Female"/>
    <n v="85"/>
    <x v="0"/>
    <n v="2"/>
    <x v="3"/>
    <x v="3"/>
    <n v="10324.59"/>
    <n v="7293.61"/>
    <n v="8.3000000000000007"/>
    <x v="1"/>
    <x v="1"/>
  </r>
  <r>
    <s v="NHM-2025-101610"/>
    <s v="April"/>
    <x v="0"/>
    <n v="4"/>
    <d v="2024-04-25T00:00:00"/>
    <x v="0"/>
    <s v="Joyce Freeman"/>
    <s v="NovaHealth Northside Hospital"/>
    <s v="Male"/>
    <n v="40"/>
    <x v="0"/>
    <n v="2"/>
    <x v="0"/>
    <x v="0"/>
    <n v="5765.58"/>
    <n v="4226.47"/>
    <n v="2.2000000000000002"/>
    <x v="1"/>
    <x v="0"/>
  </r>
  <r>
    <s v="NHM-2025-101177"/>
    <s v="April"/>
    <x v="0"/>
    <n v="4"/>
    <d v="2025-04-24T00:00:00"/>
    <x v="1"/>
    <s v="Nancy Gonzales"/>
    <s v="NovaHealth Metro General Hospital"/>
    <s v="Female"/>
    <n v="78"/>
    <x v="2"/>
    <n v="4"/>
    <x v="5"/>
    <x v="5"/>
    <n v="20757.080000000002"/>
    <n v="15833.78"/>
    <n v="7.3"/>
    <x v="2"/>
    <x v="1"/>
  </r>
  <r>
    <s v="NHM-2026-100994"/>
    <s v="September"/>
    <x v="7"/>
    <n v="9"/>
    <d v="2025-09-19T00:00:00"/>
    <x v="1"/>
    <s v="Andrew Murray"/>
    <s v="NovaHealth Greenfield Clinic"/>
    <s v="Male"/>
    <n v="76"/>
    <x v="2"/>
    <n v="5"/>
    <x v="7"/>
    <x v="7"/>
    <n v="13957.53"/>
    <n v="8201.77"/>
    <n v="13.3"/>
    <x v="2"/>
    <x v="1"/>
  </r>
  <r>
    <s v="NHM-2026-101816"/>
    <s v="May"/>
    <x v="9"/>
    <n v="5"/>
    <d v="2024-05-28T00:00:00"/>
    <x v="0"/>
    <s v="Douglas Young"/>
    <s v="NovaHealth Metro General Hospital"/>
    <s v="Male"/>
    <n v="63"/>
    <x v="2"/>
    <n v="2"/>
    <x v="1"/>
    <x v="1"/>
    <n v="11363.46"/>
    <n v="6953.31"/>
    <n v="2.7"/>
    <x v="1"/>
    <x v="0"/>
  </r>
  <r>
    <s v="NHM-2023-102132"/>
    <s v="May"/>
    <x v="9"/>
    <n v="5"/>
    <d v="2026-05-04T00:00:00"/>
    <x v="2"/>
    <s v="Christopher Young"/>
    <s v="NovaHealth Lakeside Medical Center"/>
    <s v="Male"/>
    <n v="82"/>
    <x v="0"/>
    <n v="3"/>
    <x v="2"/>
    <x v="2"/>
    <n v="2617.0300000000002"/>
    <n v="1739.7"/>
    <n v="8.1"/>
    <x v="1"/>
    <x v="1"/>
  </r>
  <r>
    <s v="NHM-2025-100303"/>
    <s v="October"/>
    <x v="5"/>
    <n v="10"/>
    <d v="2025-10-02T00:00:00"/>
    <x v="1"/>
    <s v="Jacqueline Alvarez"/>
    <s v="NovaHealth Greenfield Clinic"/>
    <s v="Female"/>
    <n v="57"/>
    <x v="0"/>
    <n v="2"/>
    <x v="1"/>
    <x v="1"/>
    <n v="11800.79"/>
    <n v="7951.33"/>
    <n v="5.6"/>
    <x v="1"/>
    <x v="0"/>
  </r>
  <r>
    <s v="NHM-2023-101479"/>
    <s v="November"/>
    <x v="4"/>
    <n v="11"/>
    <d v="2024-11-18T00:00:00"/>
    <x v="0"/>
    <s v="Kimberly Adams"/>
    <s v="NovaHealth Midtown Medical Center"/>
    <s v="Male"/>
    <n v="29"/>
    <x v="0"/>
    <n v="2"/>
    <x v="2"/>
    <x v="2"/>
    <n v="2759.62"/>
    <n v="1974.93"/>
    <n v="5.4"/>
    <x v="1"/>
    <x v="0"/>
  </r>
  <r>
    <s v="NHM-2023-100445"/>
    <s v="January"/>
    <x v="3"/>
    <n v="1"/>
    <d v="2025-01-16T00:00:00"/>
    <x v="1"/>
    <s v="Dennis Hernandez"/>
    <s v="NovaHealth Northside Hospital"/>
    <s v="Female"/>
    <n v="43"/>
    <x v="2"/>
    <n v="4"/>
    <x v="5"/>
    <x v="5"/>
    <n v="14731.77"/>
    <n v="10782.19"/>
    <n v="3.5"/>
    <x v="2"/>
    <x v="0"/>
  </r>
  <r>
    <s v="NHM-2023-101901"/>
    <s v="February"/>
    <x v="2"/>
    <n v="2"/>
    <d v="2024-02-12T00:00:00"/>
    <x v="0"/>
    <s v="Arthur Washington"/>
    <s v="NovaHealth Chicago Medical Center"/>
    <s v="Male"/>
    <n v="2"/>
    <x v="0"/>
    <n v="1"/>
    <x v="6"/>
    <x v="6"/>
    <n v="733.31"/>
    <n v="603.72"/>
    <n v="5.8"/>
    <x v="0"/>
    <x v="2"/>
  </r>
  <r>
    <s v="NHM-2024-100074"/>
    <s v="September"/>
    <x v="7"/>
    <n v="9"/>
    <d v="2025-09-07T00:00:00"/>
    <x v="1"/>
    <s v="Christina Rivera"/>
    <s v="NovaHealth Lakeshore Regional Center"/>
    <s v="Female"/>
    <n v="30"/>
    <x v="1"/>
    <n v="5"/>
    <x v="5"/>
    <x v="5"/>
    <n v="22051.85"/>
    <n v="12861.27"/>
    <n v="8.9"/>
    <x v="2"/>
    <x v="0"/>
  </r>
  <r>
    <s v="NHM-2026-100505"/>
    <s v="April"/>
    <x v="0"/>
    <n v="4"/>
    <d v="2024-04-14T00:00:00"/>
    <x v="0"/>
    <s v="Mark Foster"/>
    <s v="NovaHealth Metro General Hospital"/>
    <s v="Female"/>
    <n v="76"/>
    <x v="1"/>
    <n v="2"/>
    <x v="7"/>
    <x v="7"/>
    <n v="5618.28"/>
    <n v="3606.35"/>
    <n v="22.4"/>
    <x v="1"/>
    <x v="1"/>
  </r>
  <r>
    <s v="NHM-2026-102357"/>
    <s v="June"/>
    <x v="11"/>
    <n v="6"/>
    <d v="2026-06-29T00:00:00"/>
    <x v="2"/>
    <s v="Carol Thompson"/>
    <s v="NovaHealth Chicago Medical Center"/>
    <s v="Female"/>
    <n v="53"/>
    <x v="2"/>
    <n v="1"/>
    <x v="2"/>
    <x v="2"/>
    <n v="4221.16"/>
    <n v="2762.34"/>
    <n v="7.6"/>
    <x v="0"/>
    <x v="0"/>
  </r>
  <r>
    <s v="NHM-2024-101363"/>
    <s v="October"/>
    <x v="5"/>
    <n v="10"/>
    <d v="2024-10-16T00:00:00"/>
    <x v="0"/>
    <s v="Austin Owens"/>
    <s v="NovaHealth Lakeside Medical Center"/>
    <s v="Male"/>
    <n v="77"/>
    <x v="0"/>
    <n v="3"/>
    <x v="7"/>
    <x v="7"/>
    <n v="6085.76"/>
    <n v="4240.66"/>
    <n v="20.399999999999999"/>
    <x v="1"/>
    <x v="1"/>
  </r>
  <r>
    <s v="NHM-2026-101229"/>
    <s v="February"/>
    <x v="2"/>
    <n v="2"/>
    <d v="2026-02-18T00:00:00"/>
    <x v="2"/>
    <s v="Nancy Mitchell"/>
    <s v="NovaHealth River Valley Hospital"/>
    <s v="Male"/>
    <n v="5"/>
    <x v="0"/>
    <n v="2"/>
    <x v="6"/>
    <x v="6"/>
    <n v="2718.32"/>
    <n v="1926.02"/>
    <n v="2.9"/>
    <x v="1"/>
    <x v="2"/>
  </r>
  <r>
    <s v="NHM-2026-102317"/>
    <s v="April"/>
    <x v="0"/>
    <n v="4"/>
    <d v="2024-04-23T00:00:00"/>
    <x v="0"/>
    <s v="Christian Russell"/>
    <s v="NovaHealth Chicago Medical Center"/>
    <s v="Female"/>
    <n v="56"/>
    <x v="0"/>
    <n v="3"/>
    <x v="4"/>
    <x v="4"/>
    <n v="11154.07"/>
    <n v="8230.4699999999993"/>
    <n v="11"/>
    <x v="1"/>
    <x v="0"/>
  </r>
  <r>
    <s v="NHM-2024-102477"/>
    <s v="October"/>
    <x v="5"/>
    <n v="10"/>
    <d v="2024-10-22T00:00:00"/>
    <x v="0"/>
    <s v="Joseph Powell"/>
    <s v="NovaHealth Chicago Medical Center"/>
    <s v="Male"/>
    <n v="37"/>
    <x v="2"/>
    <n v="4"/>
    <x v="5"/>
    <x v="5"/>
    <n v="20666.689999999999"/>
    <n v="15761.08"/>
    <n v="6.8"/>
    <x v="2"/>
    <x v="0"/>
  </r>
  <r>
    <s v="NHM-2023-100501"/>
    <s v="May"/>
    <x v="9"/>
    <n v="5"/>
    <d v="2026-05-26T00:00:00"/>
    <x v="2"/>
    <s v="Helen Morales"/>
    <s v="NovaHealth Northside Hospital"/>
    <s v="Female"/>
    <n v="79"/>
    <x v="0"/>
    <n v="3"/>
    <x v="1"/>
    <x v="1"/>
    <n v="11694.33"/>
    <n v="6808.31"/>
    <n v="3.2"/>
    <x v="1"/>
    <x v="1"/>
  </r>
  <r>
    <s v="NHM-2025-100032"/>
    <s v="February"/>
    <x v="2"/>
    <n v="2"/>
    <d v="2026-02-26T00:00:00"/>
    <x v="2"/>
    <s v="Ann Hall"/>
    <s v="NovaHealth Oakridge Community Hospital"/>
    <s v="Female"/>
    <n v="93"/>
    <x v="2"/>
    <n v="5"/>
    <x v="4"/>
    <x v="4"/>
    <n v="14619.02"/>
    <n v="9050.4"/>
    <n v="16.600000000000001"/>
    <x v="2"/>
    <x v="1"/>
  </r>
  <r>
    <s v="NHM-2023-100786"/>
    <s v="December"/>
    <x v="6"/>
    <n v="12"/>
    <d v="2023-12-20T00:00:00"/>
    <x v="3"/>
    <s v="Mark Hernandez"/>
    <s v="NovaHealth Lakeshore Regional Center"/>
    <s v="Male"/>
    <n v="23"/>
    <x v="0"/>
    <n v="1"/>
    <x v="7"/>
    <x v="7"/>
    <n v="5322.75"/>
    <n v="3566.56"/>
    <n v="20"/>
    <x v="0"/>
    <x v="0"/>
  </r>
  <r>
    <s v="NHM-2024-100464"/>
    <s v="March"/>
    <x v="1"/>
    <n v="3"/>
    <d v="2026-03-14T00:00:00"/>
    <x v="2"/>
    <s v="Anthony Walker"/>
    <s v="NovaHealth Oakridge Community Hospital"/>
    <s v="Female"/>
    <n v="66"/>
    <x v="1"/>
    <n v="4"/>
    <x v="5"/>
    <x v="5"/>
    <n v="11412.24"/>
    <n v="7700.6"/>
    <n v="6.8"/>
    <x v="2"/>
    <x v="1"/>
  </r>
  <r>
    <s v="NHM-2025-101320"/>
    <s v="December"/>
    <x v="6"/>
    <n v="12"/>
    <d v="2025-12-26T00:00:00"/>
    <x v="1"/>
    <s v="Kenneth Miller"/>
    <s v="NovaHealth Lakeside Medical Center"/>
    <s v="Female"/>
    <n v="78"/>
    <x v="2"/>
    <n v="2"/>
    <x v="1"/>
    <x v="1"/>
    <n v="6744.55"/>
    <n v="4740.38"/>
    <n v="2.4"/>
    <x v="1"/>
    <x v="1"/>
  </r>
  <r>
    <s v="NHM-2025-101706"/>
    <s v="April"/>
    <x v="0"/>
    <n v="4"/>
    <d v="2026-04-01T00:00:00"/>
    <x v="2"/>
    <s v="Madison Wright"/>
    <s v="NovaHealth Chicago Medical Center"/>
    <s v="Male"/>
    <n v="49"/>
    <x v="2"/>
    <n v="3"/>
    <x v="0"/>
    <x v="0"/>
    <n v="7815.63"/>
    <n v="5752.61"/>
    <n v="5.9"/>
    <x v="1"/>
    <x v="0"/>
  </r>
  <r>
    <s v="NHM-2025-100082"/>
    <s v="May"/>
    <x v="9"/>
    <n v="5"/>
    <d v="2025-05-21T00:00:00"/>
    <x v="1"/>
    <s v="Gregory Harris"/>
    <s v="NovaHealth Metro General Hospital"/>
    <s v="Female"/>
    <n v="50"/>
    <x v="1"/>
    <n v="4"/>
    <x v="5"/>
    <x v="5"/>
    <n v="12747.28"/>
    <n v="9775.1299999999992"/>
    <n v="10.9"/>
    <x v="2"/>
    <x v="0"/>
  </r>
  <r>
    <s v="NHM-2025-101543"/>
    <s v="October"/>
    <x v="5"/>
    <n v="10"/>
    <d v="2023-10-12T00:00:00"/>
    <x v="3"/>
    <s v="Hannah Ramirez"/>
    <s v="NovaHealth Lakeside Medical Center"/>
    <s v="Female"/>
    <n v="53"/>
    <x v="1"/>
    <n v="3"/>
    <x v="1"/>
    <x v="1"/>
    <n v="9744.99"/>
    <n v="5675.29"/>
    <n v="2.9"/>
    <x v="1"/>
    <x v="0"/>
  </r>
  <r>
    <s v="NHM-2023-101196"/>
    <s v="September"/>
    <x v="7"/>
    <n v="9"/>
    <d v="2023-09-04T00:00:00"/>
    <x v="3"/>
    <s v="Judith Russell"/>
    <s v="NovaHealth Chicago Medical Center"/>
    <s v="Male"/>
    <n v="58"/>
    <x v="0"/>
    <n v="1"/>
    <x v="7"/>
    <x v="7"/>
    <n v="8859.43"/>
    <n v="5583.45"/>
    <n v="22.4"/>
    <x v="0"/>
    <x v="0"/>
  </r>
  <r>
    <s v="NHM-2023-101490"/>
    <s v="November"/>
    <x v="4"/>
    <n v="11"/>
    <d v="2023-11-29T00:00:00"/>
    <x v="3"/>
    <s v="Marilyn Cooper"/>
    <s v="NovaHealth Greenfield Clinic"/>
    <s v="Female"/>
    <n v="63"/>
    <x v="2"/>
    <n v="2"/>
    <x v="2"/>
    <x v="2"/>
    <n v="5526.57"/>
    <n v="3608.2"/>
    <n v="8.9"/>
    <x v="1"/>
    <x v="0"/>
  </r>
  <r>
    <s v="NHM-2025-100227"/>
    <s v="January"/>
    <x v="3"/>
    <n v="1"/>
    <d v="2026-01-12T00:00:00"/>
    <x v="2"/>
    <s v="Ashley Diaz"/>
    <s v="NovaHealth Chicago Medical Center"/>
    <s v="Female"/>
    <n v="52"/>
    <x v="0"/>
    <n v="1"/>
    <x v="3"/>
    <x v="3"/>
    <n v="5776.44"/>
    <n v="3902.21"/>
    <n v="4"/>
    <x v="0"/>
    <x v="0"/>
  </r>
  <r>
    <s v="NHM-2026-100856"/>
    <s v="January"/>
    <x v="3"/>
    <n v="1"/>
    <d v="2024-01-17T00:00:00"/>
    <x v="0"/>
    <s v="Scott Sanders"/>
    <s v="NovaHealth Chicago Medical Center"/>
    <s v="Female"/>
    <n v="36"/>
    <x v="0"/>
    <n v="3"/>
    <x v="1"/>
    <x v="1"/>
    <n v="8995.25"/>
    <n v="6316.67"/>
    <n v="2.5"/>
    <x v="1"/>
    <x v="0"/>
  </r>
  <r>
    <s v="NHM-2026-101271"/>
    <s v="April"/>
    <x v="0"/>
    <n v="4"/>
    <d v="2026-04-21T00:00:00"/>
    <x v="2"/>
    <s v="Daniel Evans"/>
    <s v="NovaHealth Greenfield Clinic"/>
    <s v="Female"/>
    <n v="81"/>
    <x v="1"/>
    <n v="4"/>
    <x v="3"/>
    <x v="3"/>
    <n v="12777.64"/>
    <n v="9412.48"/>
    <n v="10.6"/>
    <x v="2"/>
    <x v="1"/>
  </r>
  <r>
    <s v="NHM-2026-100938"/>
    <s v="November"/>
    <x v="4"/>
    <n v="11"/>
    <d v="2023-11-01T00:00:00"/>
    <x v="3"/>
    <s v="Brian Wilson"/>
    <s v="NovaHealth Chicago Medical Center"/>
    <s v="Male"/>
    <n v="23"/>
    <x v="0"/>
    <n v="2"/>
    <x v="2"/>
    <x v="2"/>
    <n v="3390.91"/>
    <n v="2612.29"/>
    <n v="4.4000000000000004"/>
    <x v="1"/>
    <x v="0"/>
  </r>
  <r>
    <s v="NHM-2024-100027"/>
    <s v="April"/>
    <x v="0"/>
    <n v="4"/>
    <d v="2025-04-07T00:00:00"/>
    <x v="1"/>
    <s v="Jessica Russell"/>
    <s v="NovaHealth Chicago Medical Center"/>
    <s v="Female"/>
    <n v="60"/>
    <x v="0"/>
    <n v="2"/>
    <x v="2"/>
    <x v="2"/>
    <n v="4954.25"/>
    <n v="2946.26"/>
    <n v="9.1"/>
    <x v="1"/>
    <x v="0"/>
  </r>
  <r>
    <s v="NHM-2024-100868"/>
    <s v="January"/>
    <x v="3"/>
    <n v="1"/>
    <d v="2026-01-05T00:00:00"/>
    <x v="2"/>
    <s v="Lisa Morris"/>
    <s v="NovaHealth Lakeside Medical Center"/>
    <s v="Female"/>
    <n v="73"/>
    <x v="2"/>
    <n v="5"/>
    <x v="7"/>
    <x v="7"/>
    <n v="10440.08"/>
    <n v="6458.85"/>
    <n v="11.3"/>
    <x v="2"/>
    <x v="1"/>
  </r>
  <r>
    <s v="NHM-2024-101892"/>
    <s v="October"/>
    <x v="5"/>
    <n v="10"/>
    <d v="2025-10-03T00:00:00"/>
    <x v="1"/>
    <s v="Juan Henry"/>
    <s v="NovaHealth Metro General Hospital"/>
    <s v="Male"/>
    <n v="72"/>
    <x v="2"/>
    <n v="1"/>
    <x v="7"/>
    <x v="7"/>
    <n v="5159.04"/>
    <n v="3404.19"/>
    <n v="12.8"/>
    <x v="0"/>
    <x v="1"/>
  </r>
  <r>
    <s v="NHM-2025-102045"/>
    <s v="October"/>
    <x v="5"/>
    <n v="10"/>
    <d v="2025-10-20T00:00:00"/>
    <x v="1"/>
    <s v="Adam Torres"/>
    <s v="NovaHealth Chicago Medical Center"/>
    <s v="Female"/>
    <n v="74"/>
    <x v="0"/>
    <n v="2"/>
    <x v="2"/>
    <x v="2"/>
    <n v="4566.1099999999997"/>
    <n v="3092.89"/>
    <n v="4.2"/>
    <x v="1"/>
    <x v="1"/>
  </r>
  <r>
    <s v="NHM-2026-102377"/>
    <s v="March"/>
    <x v="1"/>
    <n v="3"/>
    <d v="2026-03-04T00:00:00"/>
    <x v="2"/>
    <s v="Aaron Bailey"/>
    <s v="NovaHealth Greenfield Clinic"/>
    <s v="Female"/>
    <n v="53"/>
    <x v="0"/>
    <n v="1"/>
    <x v="1"/>
    <x v="1"/>
    <n v="5137.84"/>
    <n v="3668.49"/>
    <n v="9"/>
    <x v="0"/>
    <x v="0"/>
  </r>
  <r>
    <s v="NHM-2026-102421"/>
    <s v="October"/>
    <x v="5"/>
    <n v="10"/>
    <d v="2025-10-10T00:00:00"/>
    <x v="1"/>
    <s v="Andrea Hall"/>
    <s v="NovaHealth Lakeshore Regional Center"/>
    <s v="Female"/>
    <n v="1"/>
    <x v="0"/>
    <n v="1"/>
    <x v="6"/>
    <x v="6"/>
    <n v="2278.9499999999998"/>
    <n v="1696.43"/>
    <n v="4.0999999999999996"/>
    <x v="0"/>
    <x v="2"/>
  </r>
  <r>
    <s v="NHM-2024-100175"/>
    <s v="October"/>
    <x v="5"/>
    <n v="10"/>
    <d v="2025-10-06T00:00:00"/>
    <x v="1"/>
    <s v="Raymond Murphy"/>
    <s v="NovaHealth Chicago Medical Center"/>
    <s v="Male"/>
    <n v="61"/>
    <x v="2"/>
    <n v="1"/>
    <x v="2"/>
    <x v="2"/>
    <n v="1872.49"/>
    <n v="1477.49"/>
    <n v="6.8"/>
    <x v="0"/>
    <x v="0"/>
  </r>
  <r>
    <s v="NHM-2024-100261"/>
    <s v="February"/>
    <x v="2"/>
    <n v="2"/>
    <d v="2024-02-09T00:00:00"/>
    <x v="0"/>
    <s v="Billy Long"/>
    <s v="NovaHealth River Valley Hospital"/>
    <s v="Female"/>
    <n v="1"/>
    <x v="0"/>
    <n v="2"/>
    <x v="6"/>
    <x v="6"/>
    <n v="1721.28"/>
    <n v="1035.1400000000001"/>
    <n v="4.5999999999999996"/>
    <x v="1"/>
    <x v="2"/>
  </r>
  <r>
    <s v="NHM-2023-102138"/>
    <s v="May"/>
    <x v="9"/>
    <n v="5"/>
    <d v="2024-05-27T00:00:00"/>
    <x v="0"/>
    <s v="Raymond Reynolds"/>
    <s v="NovaHealth Chicago Medical Center"/>
    <s v="Female"/>
    <n v="58"/>
    <x v="0"/>
    <n v="2"/>
    <x v="0"/>
    <x v="0"/>
    <n v="10150.01"/>
    <n v="6285.91"/>
    <n v="11.8"/>
    <x v="1"/>
    <x v="0"/>
  </r>
  <r>
    <s v="NHM-2023-100055"/>
    <s v="August"/>
    <x v="10"/>
    <n v="8"/>
    <d v="2025-08-10T00:00:00"/>
    <x v="1"/>
    <s v="Roger Crawford"/>
    <s v="NovaHealth Northside Hospital"/>
    <s v="Female"/>
    <n v="76"/>
    <x v="2"/>
    <n v="3"/>
    <x v="2"/>
    <x v="2"/>
    <n v="2148.4299999999998"/>
    <n v="1448.6"/>
    <n v="9.1999999999999993"/>
    <x v="1"/>
    <x v="1"/>
  </r>
  <r>
    <s v="NHM-2025-102498"/>
    <s v="November"/>
    <x v="4"/>
    <n v="11"/>
    <d v="2025-11-10T00:00:00"/>
    <x v="1"/>
    <s v="Daniel Mcdonald"/>
    <s v="NovaHealth Chicago Medical Center"/>
    <s v="Male"/>
    <n v="20"/>
    <x v="1"/>
    <n v="2"/>
    <x v="7"/>
    <x v="7"/>
    <n v="3954.87"/>
    <n v="2838.56"/>
    <n v="23.6"/>
    <x v="1"/>
    <x v="0"/>
  </r>
  <r>
    <s v="NHM-2026-102497"/>
    <s v="May"/>
    <x v="9"/>
    <n v="5"/>
    <d v="2024-05-15T00:00:00"/>
    <x v="0"/>
    <s v="Nicholas Rivera"/>
    <s v="NovaHealth Northside Hospital"/>
    <s v="Male"/>
    <n v="35"/>
    <x v="0"/>
    <n v="1"/>
    <x v="2"/>
    <x v="2"/>
    <n v="1708.36"/>
    <n v="1253.45"/>
    <n v="7.2"/>
    <x v="0"/>
    <x v="0"/>
  </r>
  <r>
    <s v="NHM-2025-100545"/>
    <s v="November"/>
    <x v="4"/>
    <n v="11"/>
    <d v="2024-11-27T00:00:00"/>
    <x v="0"/>
    <s v="Virginia Fisher"/>
    <s v="NovaHealth Greenfield Clinic"/>
    <s v="Female"/>
    <n v="32"/>
    <x v="1"/>
    <n v="5"/>
    <x v="5"/>
    <x v="5"/>
    <n v="12688"/>
    <n v="9335.0400000000009"/>
    <n v="9.1"/>
    <x v="2"/>
    <x v="0"/>
  </r>
  <r>
    <s v="NHM-2026-101843"/>
    <s v="September"/>
    <x v="7"/>
    <n v="9"/>
    <d v="2023-09-05T00:00:00"/>
    <x v="3"/>
    <s v="Willie Williams"/>
    <s v="NovaHealth Chicago Medical Center"/>
    <s v="Male"/>
    <n v="51"/>
    <x v="0"/>
    <n v="1"/>
    <x v="7"/>
    <x v="7"/>
    <n v="4792.33"/>
    <n v="3828.57"/>
    <n v="23.3"/>
    <x v="0"/>
    <x v="0"/>
  </r>
  <r>
    <s v="NHM-2024-102124"/>
    <s v="April"/>
    <x v="0"/>
    <n v="4"/>
    <d v="2026-04-03T00:00:00"/>
    <x v="2"/>
    <s v="Raymond Stevens"/>
    <s v="NovaHealth Northside Hospital"/>
    <s v="Female"/>
    <n v="41"/>
    <x v="0"/>
    <n v="2"/>
    <x v="1"/>
    <x v="1"/>
    <n v="10522.35"/>
    <n v="6180.56"/>
    <n v="9.6999999999999993"/>
    <x v="1"/>
    <x v="0"/>
  </r>
  <r>
    <s v="NHM-2024-102252"/>
    <s v="January"/>
    <x v="3"/>
    <n v="1"/>
    <d v="2026-01-13T00:00:00"/>
    <x v="2"/>
    <s v="Victoria Ortiz"/>
    <s v="NovaHealth Northside Hospital"/>
    <s v="Female"/>
    <n v="76"/>
    <x v="0"/>
    <n v="2"/>
    <x v="1"/>
    <x v="1"/>
    <n v="5938.77"/>
    <n v="3665.85"/>
    <n v="5.4"/>
    <x v="1"/>
    <x v="1"/>
  </r>
  <r>
    <s v="NHM-2023-101322"/>
    <s v="October"/>
    <x v="5"/>
    <n v="10"/>
    <d v="2025-10-13T00:00:00"/>
    <x v="1"/>
    <s v="Jasmine Smith"/>
    <s v="NovaHealth River Valley Hospital"/>
    <s v="Male"/>
    <n v="28"/>
    <x v="1"/>
    <n v="4"/>
    <x v="5"/>
    <x v="5"/>
    <n v="16526.77"/>
    <n v="10641.93"/>
    <n v="8.1"/>
    <x v="2"/>
    <x v="0"/>
  </r>
  <r>
    <s v="NHM-2026-101367"/>
    <s v="December"/>
    <x v="6"/>
    <n v="12"/>
    <d v="2024-12-11T00:00:00"/>
    <x v="0"/>
    <s v="Jennifer Mcdonald"/>
    <s v="NovaHealth Chicago Medical Center"/>
    <s v="Male"/>
    <n v="54"/>
    <x v="0"/>
    <n v="1"/>
    <x v="3"/>
    <x v="3"/>
    <n v="4213.6099999999997"/>
    <n v="2878.32"/>
    <n v="6.9"/>
    <x v="0"/>
    <x v="0"/>
  </r>
  <r>
    <s v="NHM-2023-101009"/>
    <s v="January"/>
    <x v="3"/>
    <n v="1"/>
    <d v="2025-01-16T00:00:00"/>
    <x v="1"/>
    <s v="Brian Brooks"/>
    <s v="NovaHealth Midtown Medical Center"/>
    <s v="Female"/>
    <n v="3"/>
    <x v="0"/>
    <n v="2"/>
    <x v="6"/>
    <x v="6"/>
    <n v="1451.78"/>
    <n v="1051.45"/>
    <n v="4.4000000000000004"/>
    <x v="1"/>
    <x v="2"/>
  </r>
  <r>
    <s v="NHM-2025-101863"/>
    <s v="April"/>
    <x v="0"/>
    <n v="4"/>
    <d v="2024-04-16T00:00:00"/>
    <x v="0"/>
    <s v="Jeffrey Powell"/>
    <s v="NovaHealth Northside Hospital"/>
    <s v="Female"/>
    <n v="61"/>
    <x v="2"/>
    <n v="4"/>
    <x v="4"/>
    <x v="4"/>
    <n v="12834.59"/>
    <n v="9505.25"/>
    <n v="17"/>
    <x v="2"/>
    <x v="0"/>
  </r>
  <r>
    <s v="NHM-2025-100951"/>
    <s v="November"/>
    <x v="4"/>
    <n v="11"/>
    <d v="2023-11-02T00:00:00"/>
    <x v="3"/>
    <s v="Dorothy Jones"/>
    <s v="NovaHealth Lakeside Medical Center"/>
    <s v="Male"/>
    <n v="43"/>
    <x v="2"/>
    <n v="2"/>
    <x v="1"/>
    <x v="1"/>
    <n v="10742.18"/>
    <n v="8182.46"/>
    <n v="2.2999999999999998"/>
    <x v="1"/>
    <x v="0"/>
  </r>
  <r>
    <s v="NHM-2025-101890"/>
    <s v="January"/>
    <x v="3"/>
    <n v="1"/>
    <d v="2024-01-13T00:00:00"/>
    <x v="0"/>
    <s v="Fiona Cooper"/>
    <s v="NovaHealth River Valley Hospital"/>
    <s v="Male"/>
    <n v="7"/>
    <x v="0"/>
    <n v="2"/>
    <x v="6"/>
    <x v="6"/>
    <n v="2756.04"/>
    <n v="1609.7"/>
    <n v="1.4"/>
    <x v="1"/>
    <x v="2"/>
  </r>
  <r>
    <s v="NHM-2024-100201"/>
    <s v="December"/>
    <x v="6"/>
    <n v="12"/>
    <d v="2023-12-06T00:00:00"/>
    <x v="3"/>
    <s v="Jeffrey Davis"/>
    <s v="NovaHealth Lakeshore Regional Center"/>
    <s v="Male"/>
    <n v="56"/>
    <x v="2"/>
    <n v="5"/>
    <x v="5"/>
    <x v="5"/>
    <n v="18911.669999999998"/>
    <n v="11564.92"/>
    <n v="3.6"/>
    <x v="2"/>
    <x v="0"/>
  </r>
  <r>
    <s v="NHM-2025-101389"/>
    <s v="November"/>
    <x v="4"/>
    <n v="11"/>
    <d v="2024-11-15T00:00:00"/>
    <x v="0"/>
    <s v="Charles Thompson"/>
    <s v="NovaHealth Chicago Medical Center"/>
    <s v="Male"/>
    <n v="28"/>
    <x v="0"/>
    <n v="2"/>
    <x v="1"/>
    <x v="1"/>
    <n v="11808.76"/>
    <n v="7636.81"/>
    <n v="9.9"/>
    <x v="1"/>
    <x v="0"/>
  </r>
  <r>
    <s v="NHM-2025-100815"/>
    <s v="December"/>
    <x v="6"/>
    <n v="12"/>
    <d v="2023-12-22T00:00:00"/>
    <x v="3"/>
    <s v="Anna Thompson"/>
    <s v="NovaHealth River Valley Hospital"/>
    <s v="Female"/>
    <n v="70"/>
    <x v="0"/>
    <n v="2"/>
    <x v="7"/>
    <x v="7"/>
    <n v="3658.23"/>
    <n v="2586.21"/>
    <n v="16.899999999999999"/>
    <x v="1"/>
    <x v="1"/>
  </r>
  <r>
    <s v="NHM-2026-101857"/>
    <s v="June"/>
    <x v="11"/>
    <n v="6"/>
    <d v="2024-06-10T00:00:00"/>
    <x v="0"/>
    <s v="Albert Stevens"/>
    <s v="NovaHealth Chicago Medical Center"/>
    <s v="Female"/>
    <n v="34"/>
    <x v="2"/>
    <n v="3"/>
    <x v="2"/>
    <x v="2"/>
    <n v="2614.66"/>
    <n v="1903.86"/>
    <n v="9.1999999999999993"/>
    <x v="1"/>
    <x v="0"/>
  </r>
  <r>
    <s v="NHM-2024-100279"/>
    <s v="June"/>
    <x v="11"/>
    <n v="6"/>
    <d v="2026-06-25T00:00:00"/>
    <x v="2"/>
    <s v="Frank Turner"/>
    <s v="NovaHealth Chicago Medical Center"/>
    <s v="Male"/>
    <n v="29"/>
    <x v="0"/>
    <n v="2"/>
    <x v="7"/>
    <x v="7"/>
    <n v="9356.11"/>
    <n v="6913.16"/>
    <n v="10.4"/>
    <x v="1"/>
    <x v="0"/>
  </r>
  <r>
    <s v="NHM-2024-100760"/>
    <s v="June"/>
    <x v="11"/>
    <n v="6"/>
    <d v="2025-06-12T00:00:00"/>
    <x v="1"/>
    <s v="Mary Martinez"/>
    <s v="NovaHealth Chicago Medical Center"/>
    <s v="Male"/>
    <n v="34"/>
    <x v="1"/>
    <n v="3"/>
    <x v="7"/>
    <x v="7"/>
    <n v="7965.27"/>
    <n v="6135.21"/>
    <n v="10.199999999999999"/>
    <x v="1"/>
    <x v="0"/>
  </r>
  <r>
    <s v="NHM-2026-100538"/>
    <s v="June"/>
    <x v="11"/>
    <n v="6"/>
    <d v="2024-06-17T00:00:00"/>
    <x v="0"/>
    <s v="Angela Nelson"/>
    <s v="NovaHealth Midtown Medical Center"/>
    <s v="Female"/>
    <n v="41"/>
    <x v="2"/>
    <n v="3"/>
    <x v="1"/>
    <x v="1"/>
    <n v="8047.5"/>
    <n v="4747.55"/>
    <n v="10"/>
    <x v="1"/>
    <x v="0"/>
  </r>
  <r>
    <s v="NHM-2026-101558"/>
    <s v="March"/>
    <x v="1"/>
    <n v="3"/>
    <d v="2025-03-14T00:00:00"/>
    <x v="1"/>
    <s v="Logan Smith"/>
    <s v="NovaHealth Midtown Medical Center"/>
    <s v="Female"/>
    <n v="55"/>
    <x v="2"/>
    <n v="4"/>
    <x v="4"/>
    <x v="4"/>
    <n v="20798.849999999999"/>
    <n v="12752.9"/>
    <n v="8.1999999999999993"/>
    <x v="2"/>
    <x v="0"/>
  </r>
  <r>
    <s v="NHM-2023-101937"/>
    <s v="August"/>
    <x v="10"/>
    <n v="8"/>
    <d v="2024-08-21T00:00:00"/>
    <x v="0"/>
    <s v="Angela Cooper"/>
    <s v="NovaHealth Lakeside Medical Center"/>
    <s v="Female"/>
    <n v="87"/>
    <x v="1"/>
    <n v="4"/>
    <x v="4"/>
    <x v="4"/>
    <n v="11814.93"/>
    <n v="7653.56"/>
    <n v="11.5"/>
    <x v="2"/>
    <x v="1"/>
  </r>
  <r>
    <s v="NHM-2024-101135"/>
    <s v="January"/>
    <x v="3"/>
    <n v="1"/>
    <d v="2026-01-19T00:00:00"/>
    <x v="2"/>
    <s v="Vincent Thomas"/>
    <s v="NovaHealth Midtown Medical Center"/>
    <s v="Female"/>
    <n v="23"/>
    <x v="1"/>
    <n v="1"/>
    <x v="2"/>
    <x v="2"/>
    <n v="2859.83"/>
    <n v="1981.69"/>
    <n v="8.1999999999999993"/>
    <x v="0"/>
    <x v="0"/>
  </r>
  <r>
    <s v="NHM-2024-100599"/>
    <s v="June"/>
    <x v="11"/>
    <n v="6"/>
    <d v="2026-06-09T00:00:00"/>
    <x v="2"/>
    <s v="Alice Parker"/>
    <s v="NovaHealth Midtown Medical Center"/>
    <s v="Female"/>
    <n v="65"/>
    <x v="2"/>
    <n v="4"/>
    <x v="7"/>
    <x v="7"/>
    <n v="11469.44"/>
    <n v="8205.41"/>
    <n v="22.1"/>
    <x v="2"/>
    <x v="1"/>
  </r>
  <r>
    <s v="NHM-2026-102092"/>
    <s v="October"/>
    <x v="5"/>
    <n v="10"/>
    <d v="2025-10-17T00:00:00"/>
    <x v="1"/>
    <s v="Timothy Owens"/>
    <s v="NovaHealth Midtown Medical Center"/>
    <s v="Male"/>
    <n v="46"/>
    <x v="0"/>
    <n v="2"/>
    <x v="7"/>
    <x v="7"/>
    <n v="9611.2900000000009"/>
    <n v="7116.24"/>
    <n v="12.5"/>
    <x v="1"/>
    <x v="0"/>
  </r>
  <r>
    <s v="NHM-2026-101461"/>
    <s v="June"/>
    <x v="11"/>
    <n v="6"/>
    <d v="2025-06-11T00:00:00"/>
    <x v="1"/>
    <s v="George Long"/>
    <s v="NovaHealth Northside Hospital"/>
    <s v="Female"/>
    <n v="69"/>
    <x v="0"/>
    <n v="3"/>
    <x v="7"/>
    <x v="7"/>
    <n v="12244.46"/>
    <n v="9438.59"/>
    <n v="16.600000000000001"/>
    <x v="1"/>
    <x v="1"/>
  </r>
  <r>
    <s v="NHM-2025-101985"/>
    <s v="April"/>
    <x v="0"/>
    <n v="4"/>
    <d v="2026-04-24T00:00:00"/>
    <x v="2"/>
    <s v="Brandon Ruiz"/>
    <s v="NovaHealth River Valley Hospital"/>
    <s v="Female"/>
    <n v="78"/>
    <x v="0"/>
    <n v="3"/>
    <x v="3"/>
    <x v="3"/>
    <n v="9186.17"/>
    <n v="5407.98"/>
    <n v="10"/>
    <x v="1"/>
    <x v="1"/>
  </r>
  <r>
    <s v="NHM-2023-101876"/>
    <s v="January"/>
    <x v="3"/>
    <n v="1"/>
    <d v="2025-01-03T00:00:00"/>
    <x v="1"/>
    <s v="Beverly Mcdonald"/>
    <s v="NovaHealth Lakeside Medical Center"/>
    <s v="Male"/>
    <n v="21"/>
    <x v="0"/>
    <n v="1"/>
    <x v="0"/>
    <x v="0"/>
    <n v="9309.69"/>
    <n v="5748.51"/>
    <n v="8.6999999999999993"/>
    <x v="0"/>
    <x v="0"/>
  </r>
  <r>
    <s v="NHM-2026-102427"/>
    <s v="December"/>
    <x v="6"/>
    <n v="12"/>
    <d v="2024-12-02T00:00:00"/>
    <x v="0"/>
    <s v="Angela Morris"/>
    <s v="NovaHealth Lakeside Medical Center"/>
    <s v="Male"/>
    <n v="79"/>
    <x v="1"/>
    <n v="4"/>
    <x v="0"/>
    <x v="0"/>
    <n v="7752.24"/>
    <n v="4987.03"/>
    <n v="3.2"/>
    <x v="2"/>
    <x v="1"/>
  </r>
  <r>
    <s v="NHM-2024-102402"/>
    <s v="May"/>
    <x v="9"/>
    <n v="5"/>
    <d v="2025-05-05T00:00:00"/>
    <x v="1"/>
    <s v="Margaret Collins"/>
    <s v="NovaHealth Chicago Medical Center"/>
    <s v="Female"/>
    <n v="58"/>
    <x v="0"/>
    <n v="2"/>
    <x v="7"/>
    <x v="7"/>
    <n v="9289.59"/>
    <n v="6372.03"/>
    <n v="18.5"/>
    <x v="1"/>
    <x v="0"/>
  </r>
  <r>
    <s v="NHM-2023-100117"/>
    <s v="June"/>
    <x v="11"/>
    <n v="6"/>
    <d v="2024-06-19T00:00:00"/>
    <x v="0"/>
    <s v="Debra Rodriguez"/>
    <s v="NovaHealth River Valley Hospital"/>
    <s v="Female"/>
    <n v="11"/>
    <x v="2"/>
    <n v="2"/>
    <x v="6"/>
    <x v="6"/>
    <n v="904.7"/>
    <n v="651.69000000000005"/>
    <n v="2.2999999999999998"/>
    <x v="1"/>
    <x v="2"/>
  </r>
  <r>
    <s v="NHM-2023-101251"/>
    <s v="April"/>
    <x v="0"/>
    <n v="4"/>
    <d v="2026-04-03T00:00:00"/>
    <x v="2"/>
    <s v="Pamela Price"/>
    <s v="NovaHealth Metro General Hospital"/>
    <s v="Female"/>
    <n v="93"/>
    <x v="2"/>
    <n v="3"/>
    <x v="4"/>
    <x v="4"/>
    <n v="13689.29"/>
    <n v="10089.98"/>
    <n v="12.1"/>
    <x v="1"/>
    <x v="1"/>
  </r>
  <r>
    <s v="NHM-2023-101660"/>
    <s v="December"/>
    <x v="6"/>
    <n v="12"/>
    <d v="2023-12-25T00:00:00"/>
    <x v="3"/>
    <s v="Linda Williams"/>
    <s v="NovaHealth Chicago Medical Center"/>
    <s v="Male"/>
    <n v="69"/>
    <x v="2"/>
    <n v="3"/>
    <x v="4"/>
    <x v="4"/>
    <n v="14529.47"/>
    <n v="11176.8"/>
    <n v="16.8"/>
    <x v="1"/>
    <x v="1"/>
  </r>
  <r>
    <s v="NHM-2024-102105"/>
    <s v="May"/>
    <x v="9"/>
    <n v="5"/>
    <d v="2024-05-29T00:00:00"/>
    <x v="0"/>
    <s v="Vincent Patterson"/>
    <s v="NovaHealth Oakridge Community Hospital"/>
    <s v="Male"/>
    <n v="27"/>
    <x v="0"/>
    <n v="2"/>
    <x v="7"/>
    <x v="7"/>
    <n v="4281.55"/>
    <n v="2588.1"/>
    <n v="13.1"/>
    <x v="1"/>
    <x v="0"/>
  </r>
  <r>
    <s v="NHM-2025-102211"/>
    <s v="October"/>
    <x v="5"/>
    <n v="10"/>
    <d v="2024-10-18T00:00:00"/>
    <x v="0"/>
    <s v="Nicole Thompson"/>
    <s v="NovaHealth Lakeshore Regional Center"/>
    <s v="Male"/>
    <n v="29"/>
    <x v="0"/>
    <n v="3"/>
    <x v="2"/>
    <x v="2"/>
    <n v="3756.87"/>
    <n v="2361.29"/>
    <n v="8.6999999999999993"/>
    <x v="1"/>
    <x v="0"/>
  </r>
  <r>
    <s v="NHM-2023-100541"/>
    <s v="March"/>
    <x v="1"/>
    <n v="3"/>
    <d v="2024-03-05T00:00:00"/>
    <x v="0"/>
    <s v="Judy Walker"/>
    <s v="NovaHealth Chicago Medical Center"/>
    <s v="Male"/>
    <n v="28"/>
    <x v="2"/>
    <n v="4"/>
    <x v="0"/>
    <x v="0"/>
    <n v="15024.33"/>
    <n v="9686.77"/>
    <n v="8.9"/>
    <x v="2"/>
    <x v="0"/>
  </r>
  <r>
    <s v="NHM-2023-100153"/>
    <s v="September"/>
    <x v="7"/>
    <n v="9"/>
    <d v="2024-09-22T00:00:00"/>
    <x v="0"/>
    <s v="Sean Ortiz"/>
    <s v="NovaHealth Midtown Medical Center"/>
    <s v="Female"/>
    <n v="94"/>
    <x v="2"/>
    <n v="4"/>
    <x v="4"/>
    <x v="4"/>
    <n v="19936.45"/>
    <n v="13423.82"/>
    <n v="8.3000000000000007"/>
    <x v="2"/>
    <x v="1"/>
  </r>
  <r>
    <s v="NHM-2023-101016"/>
    <s v="October"/>
    <x v="5"/>
    <n v="10"/>
    <d v="2025-10-09T00:00:00"/>
    <x v="1"/>
    <s v="Grace Cruz"/>
    <s v="NovaHealth Lakeside Medical Center"/>
    <s v="Male"/>
    <n v="58"/>
    <x v="0"/>
    <n v="3"/>
    <x v="4"/>
    <x v="4"/>
    <n v="18197.57"/>
    <n v="12835.1"/>
    <n v="12.1"/>
    <x v="1"/>
    <x v="0"/>
  </r>
  <r>
    <s v="NHM-2024-100166"/>
    <s v="November"/>
    <x v="4"/>
    <n v="11"/>
    <d v="2023-11-17T00:00:00"/>
    <x v="3"/>
    <s v="Alexander Sanders"/>
    <s v="NovaHealth Chicago Medical Center"/>
    <s v="Female"/>
    <n v="38"/>
    <x v="0"/>
    <n v="1"/>
    <x v="7"/>
    <x v="7"/>
    <n v="7391.81"/>
    <n v="5519.22"/>
    <n v="15.4"/>
    <x v="0"/>
    <x v="0"/>
  </r>
  <r>
    <s v="NHM-2023-101615"/>
    <s v="January"/>
    <x v="3"/>
    <n v="1"/>
    <d v="2024-01-25T00:00:00"/>
    <x v="0"/>
    <s v="Kenneth Wilson"/>
    <s v="NovaHealth Lakeside Medical Center"/>
    <s v="Male"/>
    <n v="73"/>
    <x v="0"/>
    <n v="3"/>
    <x v="7"/>
    <x v="7"/>
    <n v="8158.77"/>
    <n v="6353.47"/>
    <n v="19.100000000000001"/>
    <x v="1"/>
    <x v="1"/>
  </r>
  <r>
    <s v="NHM-2025-102007"/>
    <s v="September"/>
    <x v="7"/>
    <n v="9"/>
    <d v="2024-09-17T00:00:00"/>
    <x v="0"/>
    <s v="Matthew Mendoza"/>
    <s v="NovaHealth Lakeside Medical Center"/>
    <s v="Male"/>
    <n v="84"/>
    <x v="0"/>
    <n v="2"/>
    <x v="7"/>
    <x v="7"/>
    <n v="10222.700000000001"/>
    <n v="6096.37"/>
    <n v="20.9"/>
    <x v="1"/>
    <x v="1"/>
  </r>
  <r>
    <s v="NHM-2024-102443"/>
    <s v="November"/>
    <x v="4"/>
    <n v="11"/>
    <d v="2024-11-15T00:00:00"/>
    <x v="0"/>
    <s v="Jeffrey Ortiz"/>
    <s v="NovaHealth Midtown Medical Center"/>
    <s v="Male"/>
    <n v="76"/>
    <x v="2"/>
    <n v="4"/>
    <x v="4"/>
    <x v="4"/>
    <n v="21408.85"/>
    <n v="13152.2"/>
    <n v="11.6"/>
    <x v="2"/>
    <x v="1"/>
  </r>
  <r>
    <s v="NHM-2026-101896"/>
    <s v="May"/>
    <x v="9"/>
    <n v="5"/>
    <d v="2026-05-06T00:00:00"/>
    <x v="2"/>
    <s v="Jordan Garcia"/>
    <s v="NovaHealth Chicago Medical Center"/>
    <s v="Male"/>
    <n v="52"/>
    <x v="2"/>
    <n v="1"/>
    <x v="0"/>
    <x v="0"/>
    <n v="6089.71"/>
    <n v="3972.61"/>
    <n v="9.4"/>
    <x v="0"/>
    <x v="0"/>
  </r>
  <r>
    <s v="NHM-2026-100744"/>
    <s v="October"/>
    <x v="5"/>
    <n v="10"/>
    <d v="2024-10-29T00:00:00"/>
    <x v="0"/>
    <s v="Andrea Harrison"/>
    <s v="NovaHealth River Valley Hospital"/>
    <s v="Female"/>
    <n v="31"/>
    <x v="0"/>
    <n v="1"/>
    <x v="2"/>
    <x v="2"/>
    <n v="3482.49"/>
    <n v="2393.27"/>
    <n v="7.5"/>
    <x v="0"/>
    <x v="0"/>
  </r>
  <r>
    <s v="NHM-2025-100471"/>
    <s v="July"/>
    <x v="8"/>
    <n v="7"/>
    <d v="2025-07-10T00:00:00"/>
    <x v="1"/>
    <s v="William Cox"/>
    <s v="NovaHealth Northside Hospital"/>
    <s v="Female"/>
    <n v="32"/>
    <x v="0"/>
    <n v="1"/>
    <x v="0"/>
    <x v="0"/>
    <n v="8005.09"/>
    <n v="5636.36"/>
    <n v="4.0999999999999996"/>
    <x v="0"/>
    <x v="0"/>
  </r>
  <r>
    <s v="NHM-2026-100914"/>
    <s v="September"/>
    <x v="7"/>
    <n v="9"/>
    <d v="2023-09-29T00:00:00"/>
    <x v="3"/>
    <s v="Carolyn Powell"/>
    <s v="NovaHealth Northside Hospital"/>
    <s v="Female"/>
    <n v="78"/>
    <x v="2"/>
    <n v="5"/>
    <x v="4"/>
    <x v="4"/>
    <n v="21262.69"/>
    <n v="15589.76"/>
    <n v="8.5"/>
    <x v="2"/>
    <x v="1"/>
  </r>
  <r>
    <s v="NHM-2023-101544"/>
    <s v="November"/>
    <x v="4"/>
    <n v="11"/>
    <d v="2024-11-04T00:00:00"/>
    <x v="0"/>
    <s v="Charles West"/>
    <s v="NovaHealth Lakeside Medical Center"/>
    <s v="Female"/>
    <n v="94"/>
    <x v="0"/>
    <n v="2"/>
    <x v="3"/>
    <x v="3"/>
    <n v="10027.84"/>
    <n v="7675.56"/>
    <n v="6.8"/>
    <x v="1"/>
    <x v="1"/>
  </r>
  <r>
    <s v="NHM-2024-100765"/>
    <s v="April"/>
    <x v="0"/>
    <n v="4"/>
    <d v="2024-04-25T00:00:00"/>
    <x v="0"/>
    <s v="Andrea Graham"/>
    <s v="NovaHealth Northside Hospital"/>
    <s v="Male"/>
    <n v="56"/>
    <x v="0"/>
    <n v="4"/>
    <x v="0"/>
    <x v="0"/>
    <n v="8090.45"/>
    <n v="4712.46"/>
    <n v="2.5"/>
    <x v="2"/>
    <x v="0"/>
  </r>
  <r>
    <s v="NHM-2025-100115"/>
    <s v="May"/>
    <x v="9"/>
    <n v="5"/>
    <d v="2026-05-05T00:00:00"/>
    <x v="2"/>
    <s v="Joyce Williams"/>
    <s v="NovaHealth River Valley Hospital"/>
    <s v="Male"/>
    <n v="76"/>
    <x v="0"/>
    <n v="1"/>
    <x v="3"/>
    <x v="3"/>
    <n v="6117.84"/>
    <n v="3753.48"/>
    <n v="2.7"/>
    <x v="0"/>
    <x v="1"/>
  </r>
  <r>
    <s v="NHM-2026-101600"/>
    <s v="January"/>
    <x v="3"/>
    <n v="1"/>
    <d v="2025-01-06T00:00:00"/>
    <x v="1"/>
    <s v="Pamela Roberts"/>
    <s v="NovaHealth Midtown Medical Center"/>
    <s v="Female"/>
    <n v="91"/>
    <x v="2"/>
    <n v="4"/>
    <x v="4"/>
    <x v="4"/>
    <n v="18324.25"/>
    <n v="11816.32"/>
    <n v="11.1"/>
    <x v="2"/>
    <x v="1"/>
  </r>
  <r>
    <s v="NHM-2025-101118"/>
    <s v="December"/>
    <x v="6"/>
    <n v="12"/>
    <d v="2024-12-31T00:00:00"/>
    <x v="0"/>
    <s v="Jessica Murphy"/>
    <s v="NovaHealth Lakeside Medical Center"/>
    <s v="Male"/>
    <n v="86"/>
    <x v="2"/>
    <n v="4"/>
    <x v="5"/>
    <x v="5"/>
    <n v="17391.259999999998"/>
    <n v="11686.54"/>
    <n v="4.3"/>
    <x v="2"/>
    <x v="1"/>
  </r>
  <r>
    <s v="NHM-2026-100242"/>
    <s v="June"/>
    <x v="11"/>
    <n v="6"/>
    <d v="2025-06-17T00:00:00"/>
    <x v="1"/>
    <s v="Angela Hernandez"/>
    <s v="NovaHealth Midtown Medical Center"/>
    <s v="Female"/>
    <n v="80"/>
    <x v="2"/>
    <n v="4"/>
    <x v="5"/>
    <x v="5"/>
    <n v="11419.62"/>
    <n v="8040.93"/>
    <n v="5.9"/>
    <x v="2"/>
    <x v="1"/>
  </r>
  <r>
    <s v="NHM-2023-100778"/>
    <s v="September"/>
    <x v="7"/>
    <n v="9"/>
    <d v="2025-09-02T00:00:00"/>
    <x v="1"/>
    <s v="Beverly Graham"/>
    <s v="NovaHealth Chicago Medical Center"/>
    <s v="Male"/>
    <n v="59"/>
    <x v="2"/>
    <n v="4"/>
    <x v="1"/>
    <x v="1"/>
    <n v="11072.95"/>
    <n v="8108.85"/>
    <n v="3.2"/>
    <x v="2"/>
    <x v="0"/>
  </r>
  <r>
    <s v="NHM-2023-101557"/>
    <s v="May"/>
    <x v="9"/>
    <n v="5"/>
    <d v="2025-05-21T00:00:00"/>
    <x v="1"/>
    <s v="Austin Hamilton"/>
    <s v="NovaHealth Lakeshore Regional Center"/>
    <s v="Male"/>
    <n v="72"/>
    <x v="0"/>
    <n v="2"/>
    <x v="3"/>
    <x v="3"/>
    <n v="9089.8700000000008"/>
    <n v="6934.7"/>
    <n v="3.3"/>
    <x v="1"/>
    <x v="1"/>
  </r>
  <r>
    <s v="NHM-2023-101078"/>
    <s v="February"/>
    <x v="2"/>
    <n v="2"/>
    <d v="2025-02-14T00:00:00"/>
    <x v="1"/>
    <s v="Daniel Nguyen"/>
    <s v="NovaHealth Oakridge Community Hospital"/>
    <s v="Male"/>
    <n v="42"/>
    <x v="2"/>
    <n v="3"/>
    <x v="1"/>
    <x v="1"/>
    <n v="8057.24"/>
    <n v="4728.3999999999996"/>
    <n v="6.9"/>
    <x v="1"/>
    <x v="0"/>
  </r>
  <r>
    <s v="NHM-2025-100006"/>
    <s v="September"/>
    <x v="7"/>
    <n v="9"/>
    <d v="2025-09-03T00:00:00"/>
    <x v="1"/>
    <s v="Henry Gonzales"/>
    <s v="NovaHealth Midtown Medical Center"/>
    <s v="Female"/>
    <n v="18"/>
    <x v="0"/>
    <n v="1"/>
    <x v="2"/>
    <x v="2"/>
    <n v="3970.3"/>
    <n v="2477.88"/>
    <n v="7"/>
    <x v="0"/>
    <x v="2"/>
  </r>
  <r>
    <s v="NHM-2025-100178"/>
    <s v="July"/>
    <x v="8"/>
    <n v="7"/>
    <d v="2026-07-14T00:00:00"/>
    <x v="2"/>
    <s v="Janet Stevens"/>
    <s v="NovaHealth Chicago Medical Center"/>
    <s v="Female"/>
    <n v="93"/>
    <x v="2"/>
    <n v="4"/>
    <x v="4"/>
    <x v="4"/>
    <n v="10529.6"/>
    <n v="6825.34"/>
    <n v="10.8"/>
    <x v="2"/>
    <x v="1"/>
  </r>
  <r>
    <s v="NHM-2026-102194"/>
    <s v="June"/>
    <x v="11"/>
    <n v="6"/>
    <d v="2026-06-12T00:00:00"/>
    <x v="2"/>
    <s v="Arthur Powell"/>
    <s v="NovaHealth Northside Hospital"/>
    <s v="Male"/>
    <n v="65"/>
    <x v="2"/>
    <n v="3"/>
    <x v="3"/>
    <x v="3"/>
    <n v="7081.54"/>
    <n v="4787.83"/>
    <n v="5.4"/>
    <x v="1"/>
    <x v="1"/>
  </r>
  <r>
    <s v="NHM-2023-102226"/>
    <s v="April"/>
    <x v="0"/>
    <n v="4"/>
    <d v="2026-04-09T00:00:00"/>
    <x v="2"/>
    <s v="William Gibson"/>
    <s v="NovaHealth Lakeside Medical Center"/>
    <s v="Female"/>
    <n v="82"/>
    <x v="2"/>
    <n v="3"/>
    <x v="7"/>
    <x v="7"/>
    <n v="10082.049999999999"/>
    <n v="7225.43"/>
    <n v="21"/>
    <x v="1"/>
    <x v="1"/>
  </r>
  <r>
    <s v="NHM-2025-100402"/>
    <s v="April"/>
    <x v="0"/>
    <n v="4"/>
    <d v="2026-04-16T00:00:00"/>
    <x v="2"/>
    <s v="Aaron Reynolds"/>
    <s v="NovaHealth Lakeside Medical Center"/>
    <s v="Male"/>
    <n v="11"/>
    <x v="1"/>
    <n v="4"/>
    <x v="6"/>
    <x v="6"/>
    <n v="2712.25"/>
    <n v="1994.34"/>
    <n v="1.8"/>
    <x v="2"/>
    <x v="2"/>
  </r>
  <r>
    <s v="NHM-2026-101844"/>
    <s v="September"/>
    <x v="7"/>
    <n v="9"/>
    <d v="2025-09-26T00:00:00"/>
    <x v="1"/>
    <s v="Angela Wood"/>
    <s v="NovaHealth Oakridge Community Hospital"/>
    <s v="Male"/>
    <n v="5"/>
    <x v="0"/>
    <n v="1"/>
    <x v="6"/>
    <x v="6"/>
    <n v="776.35"/>
    <n v="594.03"/>
    <n v="0.5"/>
    <x v="0"/>
    <x v="2"/>
  </r>
  <r>
    <s v="NHM-2025-101150"/>
    <s v="May"/>
    <x v="9"/>
    <n v="5"/>
    <d v="2025-05-30T00:00:00"/>
    <x v="1"/>
    <s v="Debra Collins"/>
    <s v="NovaHealth Lakeshore Regional Center"/>
    <s v="Female"/>
    <n v="60"/>
    <x v="2"/>
    <n v="1"/>
    <x v="7"/>
    <x v="7"/>
    <n v="3914.81"/>
    <n v="2383.39"/>
    <n v="14.1"/>
    <x v="0"/>
    <x v="0"/>
  </r>
  <r>
    <s v="NHM-2024-102453"/>
    <s v="December"/>
    <x v="6"/>
    <n v="12"/>
    <d v="2025-12-23T00:00:00"/>
    <x v="1"/>
    <s v="Anthony Lopez"/>
    <s v="NovaHealth Northside Hospital"/>
    <s v="Male"/>
    <n v="30"/>
    <x v="0"/>
    <n v="1"/>
    <x v="0"/>
    <x v="0"/>
    <n v="5612.4"/>
    <n v="3448.36"/>
    <n v="3.1"/>
    <x v="0"/>
    <x v="0"/>
  </r>
  <r>
    <s v="NHM-2024-101342"/>
    <s v="November"/>
    <x v="4"/>
    <n v="11"/>
    <d v="2023-11-30T00:00:00"/>
    <x v="3"/>
    <s v="Scott Fisher"/>
    <s v="NovaHealth Northside Hospital"/>
    <s v="Female"/>
    <n v="65"/>
    <x v="1"/>
    <n v="4"/>
    <x v="5"/>
    <x v="5"/>
    <n v="12173.03"/>
    <n v="7825.94"/>
    <n v="4.4000000000000004"/>
    <x v="2"/>
    <x v="1"/>
  </r>
  <r>
    <s v="NHM-2024-100262"/>
    <s v="December"/>
    <x v="6"/>
    <n v="12"/>
    <d v="2025-12-31T00:00:00"/>
    <x v="1"/>
    <s v="Gloria Parker"/>
    <s v="NovaHealth River Valley Hospital"/>
    <s v="Female"/>
    <n v="78"/>
    <x v="0"/>
    <n v="2"/>
    <x v="0"/>
    <x v="0"/>
    <n v="6445.29"/>
    <n v="4362.34"/>
    <n v="5.5"/>
    <x v="1"/>
    <x v="1"/>
  </r>
  <r>
    <s v="NHM-2026-101296"/>
    <s v="April"/>
    <x v="0"/>
    <n v="4"/>
    <d v="2025-04-24T00:00:00"/>
    <x v="1"/>
    <s v="Gerald Turner"/>
    <s v="NovaHealth Greenfield Clinic"/>
    <s v="Female"/>
    <n v="84"/>
    <x v="2"/>
    <n v="4"/>
    <x v="4"/>
    <x v="4"/>
    <n v="10220.469999999999"/>
    <n v="7221.53"/>
    <n v="8.4"/>
    <x v="2"/>
    <x v="1"/>
  </r>
  <r>
    <s v="NHM-2024-101468"/>
    <s v="December"/>
    <x v="6"/>
    <n v="12"/>
    <d v="2024-12-12T00:00:00"/>
    <x v="0"/>
    <s v="Gloria Roberts"/>
    <s v="NovaHealth Midtown Medical Center"/>
    <s v="Female"/>
    <n v="17"/>
    <x v="0"/>
    <n v="1"/>
    <x v="6"/>
    <x v="6"/>
    <n v="2230.75"/>
    <n v="1648.45"/>
    <n v="2.5"/>
    <x v="0"/>
    <x v="2"/>
  </r>
  <r>
    <s v="NHM-2023-100975"/>
    <s v="October"/>
    <x v="5"/>
    <n v="10"/>
    <d v="2025-10-14T00:00:00"/>
    <x v="1"/>
    <s v="Danielle Anderson"/>
    <s v="NovaHealth Midtown Medical Center"/>
    <s v="Female"/>
    <n v="38"/>
    <x v="0"/>
    <n v="3"/>
    <x v="1"/>
    <x v="1"/>
    <n v="7959.81"/>
    <n v="6068.66"/>
    <n v="2.4"/>
    <x v="1"/>
    <x v="0"/>
  </r>
  <r>
    <s v="NHM-2025-100534"/>
    <s v="January"/>
    <x v="3"/>
    <n v="1"/>
    <d v="2025-01-13T00:00:00"/>
    <x v="1"/>
    <s v="Jacob Simpson"/>
    <s v="NovaHealth Midtown Medical Center"/>
    <s v="Male"/>
    <n v="17"/>
    <x v="0"/>
    <n v="1"/>
    <x v="6"/>
    <x v="6"/>
    <n v="2236.5100000000002"/>
    <n v="1302.78"/>
    <n v="0.7"/>
    <x v="0"/>
    <x v="2"/>
  </r>
  <r>
    <s v="NHM-2026-100702"/>
    <s v="June"/>
    <x v="11"/>
    <n v="6"/>
    <d v="2026-06-16T00:00:00"/>
    <x v="2"/>
    <s v="Jonathan Robinson"/>
    <s v="NovaHealth Lakeshore Regional Center"/>
    <s v="Male"/>
    <n v="65"/>
    <x v="2"/>
    <n v="4"/>
    <x v="3"/>
    <x v="3"/>
    <n v="7307.76"/>
    <n v="4500.93"/>
    <n v="5.4"/>
    <x v="2"/>
    <x v="1"/>
  </r>
  <r>
    <s v="NHM-2023-102393"/>
    <s v="May"/>
    <x v="9"/>
    <n v="5"/>
    <d v="2026-05-25T00:00:00"/>
    <x v="2"/>
    <s v="Donald Allen"/>
    <s v="NovaHealth Greenfield Clinic"/>
    <s v="Male"/>
    <n v="50"/>
    <x v="2"/>
    <n v="2"/>
    <x v="3"/>
    <x v="3"/>
    <n v="10182.73"/>
    <n v="6588.95"/>
    <n v="9"/>
    <x v="1"/>
    <x v="0"/>
  </r>
  <r>
    <s v="NHM-2024-100899"/>
    <s v="May"/>
    <x v="9"/>
    <n v="5"/>
    <d v="2026-05-29T00:00:00"/>
    <x v="2"/>
    <s v="Danielle Butler"/>
    <s v="NovaHealth Midtown Medical Center"/>
    <s v="Male"/>
    <n v="75"/>
    <x v="0"/>
    <n v="1"/>
    <x v="0"/>
    <x v="0"/>
    <n v="5252.57"/>
    <n v="3603.22"/>
    <n v="10.5"/>
    <x v="0"/>
    <x v="1"/>
  </r>
  <r>
    <s v="NHM-2026-100607"/>
    <s v="August"/>
    <x v="10"/>
    <n v="8"/>
    <d v="2025-08-19T00:00:00"/>
    <x v="1"/>
    <s v="Elizabeth Jackson"/>
    <s v="NovaHealth Lakeside Medical Center"/>
    <s v="Female"/>
    <n v="80"/>
    <x v="2"/>
    <n v="5"/>
    <x v="5"/>
    <x v="5"/>
    <n v="24084.57"/>
    <n v="16953.599999999999"/>
    <n v="11.8"/>
    <x v="2"/>
    <x v="1"/>
  </r>
  <r>
    <s v="NHM-2024-100832"/>
    <s v="August"/>
    <x v="10"/>
    <n v="8"/>
    <d v="2024-08-09T00:00:00"/>
    <x v="0"/>
    <s v="Patrick Hamilton"/>
    <s v="NovaHealth Chicago Medical Center"/>
    <s v="Female"/>
    <n v="78"/>
    <x v="0"/>
    <n v="3"/>
    <x v="0"/>
    <x v="0"/>
    <n v="6167.64"/>
    <n v="4555.9799999999996"/>
    <n v="6.7"/>
    <x v="1"/>
    <x v="1"/>
  </r>
  <r>
    <s v="NHM-2025-100676"/>
    <s v="June"/>
    <x v="11"/>
    <n v="6"/>
    <d v="2024-06-10T00:00:00"/>
    <x v="0"/>
    <s v="Linda Perez"/>
    <s v="NovaHealth Northside Hospital"/>
    <s v="Male"/>
    <n v="72"/>
    <x v="0"/>
    <n v="3"/>
    <x v="3"/>
    <x v="3"/>
    <n v="4966.87"/>
    <n v="3802.02"/>
    <n v="3.4"/>
    <x v="1"/>
    <x v="1"/>
  </r>
  <r>
    <s v="NHM-2026-101556"/>
    <s v="May"/>
    <x v="9"/>
    <n v="5"/>
    <d v="2026-05-25T00:00:00"/>
    <x v="2"/>
    <s v="Joe Price"/>
    <s v="NovaHealth Lakeside Medical Center"/>
    <s v="Female"/>
    <n v="29"/>
    <x v="2"/>
    <n v="3"/>
    <x v="1"/>
    <x v="1"/>
    <n v="12979.8"/>
    <n v="7606.68"/>
    <n v="9.8000000000000007"/>
    <x v="1"/>
    <x v="0"/>
  </r>
  <r>
    <s v="NHM-2026-102302"/>
    <s v="December"/>
    <x v="6"/>
    <n v="12"/>
    <d v="2023-12-27T00:00:00"/>
    <x v="3"/>
    <s v="Melissa Rivera"/>
    <s v="NovaHealth Greenfield Clinic"/>
    <s v="Female"/>
    <n v="41"/>
    <x v="0"/>
    <n v="1"/>
    <x v="7"/>
    <x v="7"/>
    <n v="7636.92"/>
    <n v="4758.5200000000004"/>
    <n v="12.5"/>
    <x v="0"/>
    <x v="0"/>
  </r>
  <r>
    <s v="NHM-2025-100393"/>
    <s v="November"/>
    <x v="4"/>
    <n v="11"/>
    <d v="2023-11-06T00:00:00"/>
    <x v="3"/>
    <s v="Barbara Ruiz"/>
    <s v="NovaHealth Lakeside Medical Center"/>
    <s v="Female"/>
    <n v="73"/>
    <x v="2"/>
    <n v="4"/>
    <x v="5"/>
    <x v="5"/>
    <n v="11542.63"/>
    <n v="7461.68"/>
    <n v="9.3000000000000007"/>
    <x v="2"/>
    <x v="1"/>
  </r>
  <r>
    <s v="NHM-2024-100698"/>
    <s v="December"/>
    <x v="6"/>
    <n v="12"/>
    <d v="2023-12-06T00:00:00"/>
    <x v="3"/>
    <s v="Doris Adams"/>
    <s v="NovaHealth Greenfield Clinic"/>
    <s v="Female"/>
    <n v="8"/>
    <x v="0"/>
    <n v="1"/>
    <x v="6"/>
    <x v="6"/>
    <n v="720.06"/>
    <n v="523.24"/>
    <n v="5.0999999999999996"/>
    <x v="0"/>
    <x v="2"/>
  </r>
  <r>
    <s v="NHM-2024-101081"/>
    <s v="September"/>
    <x v="7"/>
    <n v="9"/>
    <d v="2023-09-11T00:00:00"/>
    <x v="3"/>
    <s v="Paul Gibson"/>
    <s v="NovaHealth River Valley Hospital"/>
    <s v="Female"/>
    <n v="68"/>
    <x v="0"/>
    <n v="3"/>
    <x v="1"/>
    <x v="1"/>
    <n v="8507.24"/>
    <n v="6035.87"/>
    <n v="10.1"/>
    <x v="1"/>
    <x v="1"/>
  </r>
  <r>
    <s v="NHM-2023-100483"/>
    <s v="December"/>
    <x v="6"/>
    <n v="12"/>
    <d v="2025-12-20T00:00:00"/>
    <x v="1"/>
    <s v="Gloria Morales"/>
    <s v="NovaHealth Greenfield Clinic"/>
    <s v="Female"/>
    <n v="12"/>
    <x v="2"/>
    <n v="3"/>
    <x v="6"/>
    <x v="6"/>
    <n v="1475.94"/>
    <n v="1114.24"/>
    <n v="4.5999999999999996"/>
    <x v="1"/>
    <x v="2"/>
  </r>
  <r>
    <s v="NHM-2024-101080"/>
    <s v="December"/>
    <x v="6"/>
    <n v="12"/>
    <d v="2024-12-14T00:00:00"/>
    <x v="0"/>
    <s v="Amy Ellis"/>
    <s v="NovaHealth Midtown Medical Center"/>
    <s v="Male"/>
    <n v="70"/>
    <x v="2"/>
    <n v="5"/>
    <x v="4"/>
    <x v="4"/>
    <n v="12434.21"/>
    <n v="9571.6"/>
    <n v="15.2"/>
    <x v="2"/>
    <x v="1"/>
  </r>
  <r>
    <s v="NHM-2026-100169"/>
    <s v="July"/>
    <x v="8"/>
    <n v="7"/>
    <d v="2024-07-03T00:00:00"/>
    <x v="0"/>
    <s v="Jasmine Scott"/>
    <s v="NovaHealth Lakeshore Regional Center"/>
    <s v="Female"/>
    <n v="29"/>
    <x v="0"/>
    <n v="1"/>
    <x v="2"/>
    <x v="2"/>
    <n v="2712.37"/>
    <n v="1645.17"/>
    <n v="9"/>
    <x v="0"/>
    <x v="0"/>
  </r>
  <r>
    <s v="NHM-2024-100621"/>
    <s v="March"/>
    <x v="1"/>
    <n v="3"/>
    <d v="2026-03-19T00:00:00"/>
    <x v="2"/>
    <s v="Christina Ramos"/>
    <s v="NovaHealth Lakeside Medical Center"/>
    <s v="Female"/>
    <n v="58"/>
    <x v="0"/>
    <n v="3"/>
    <x v="5"/>
    <x v="5"/>
    <n v="15790.7"/>
    <n v="9687.5300000000007"/>
    <n v="6.9"/>
    <x v="1"/>
    <x v="0"/>
  </r>
  <r>
    <s v="NHM-2025-100036"/>
    <s v="October"/>
    <x v="5"/>
    <n v="10"/>
    <d v="2025-10-01T00:00:00"/>
    <x v="1"/>
    <s v="Timothy White"/>
    <s v="NovaHealth Metro General Hospital"/>
    <s v="Male"/>
    <n v="52"/>
    <x v="1"/>
    <n v="4"/>
    <x v="5"/>
    <x v="5"/>
    <n v="21543.21"/>
    <n v="13840.45"/>
    <n v="6.6"/>
    <x v="2"/>
    <x v="0"/>
  </r>
  <r>
    <s v="NHM-2026-100019"/>
    <s v="May"/>
    <x v="9"/>
    <n v="5"/>
    <d v="2026-05-14T00:00:00"/>
    <x v="2"/>
    <s v="Joshua Crawford"/>
    <s v="NovaHealth Chicago Medical Center"/>
    <s v="Female"/>
    <n v="40"/>
    <x v="0"/>
    <n v="1"/>
    <x v="7"/>
    <x v="7"/>
    <n v="7397.76"/>
    <n v="5119.7"/>
    <n v="20.399999999999999"/>
    <x v="0"/>
    <x v="0"/>
  </r>
  <r>
    <s v="NHM-2023-100716"/>
    <s v="May"/>
    <x v="9"/>
    <n v="5"/>
    <d v="2026-05-24T00:00:00"/>
    <x v="2"/>
    <s v="Tyler Ortiz"/>
    <s v="NovaHealth Chicago Medical Center"/>
    <s v="Female"/>
    <n v="60"/>
    <x v="0"/>
    <n v="1"/>
    <x v="0"/>
    <x v="0"/>
    <n v="7711.33"/>
    <n v="5488.33"/>
    <n v="11.3"/>
    <x v="0"/>
    <x v="0"/>
  </r>
  <r>
    <s v="NHM-2023-101718"/>
    <s v="December"/>
    <x v="6"/>
    <n v="12"/>
    <d v="2025-12-18T00:00:00"/>
    <x v="1"/>
    <s v="Ashley Marshall"/>
    <s v="NovaHealth Lakeside Medical Center"/>
    <s v="Male"/>
    <n v="64"/>
    <x v="0"/>
    <n v="2"/>
    <x v="7"/>
    <x v="7"/>
    <n v="5228.3100000000004"/>
    <n v="3911.07"/>
    <n v="11.8"/>
    <x v="1"/>
    <x v="0"/>
  </r>
  <r>
    <s v="NHM-2025-102414"/>
    <s v="September"/>
    <x v="7"/>
    <n v="9"/>
    <d v="2023-09-22T00:00:00"/>
    <x v="3"/>
    <s v="Matthew Cole"/>
    <s v="NovaHealth Chicago Medical Center"/>
    <s v="Female"/>
    <n v="32"/>
    <x v="1"/>
    <n v="2"/>
    <x v="7"/>
    <x v="7"/>
    <n v="9713.84"/>
    <n v="7564.12"/>
    <n v="22.7"/>
    <x v="1"/>
    <x v="0"/>
  </r>
  <r>
    <s v="NHM-2026-101565"/>
    <s v="October"/>
    <x v="5"/>
    <n v="10"/>
    <d v="2023-10-02T00:00:00"/>
    <x v="3"/>
    <s v="Andrea Scott"/>
    <s v="NovaHealth Lakeshore Regional Center"/>
    <s v="Male"/>
    <n v="43"/>
    <x v="0"/>
    <n v="1"/>
    <x v="1"/>
    <x v="1"/>
    <n v="8024.92"/>
    <n v="4672.05"/>
    <n v="2.2000000000000002"/>
    <x v="0"/>
    <x v="0"/>
  </r>
  <r>
    <s v="NHM-2025-100163"/>
    <s v="March"/>
    <x v="1"/>
    <n v="3"/>
    <d v="2025-03-13T00:00:00"/>
    <x v="1"/>
    <s v="Kevin Flores"/>
    <s v="NovaHealth Chicago Medical Center"/>
    <s v="Female"/>
    <n v="48"/>
    <x v="0"/>
    <n v="3"/>
    <x v="7"/>
    <x v="7"/>
    <n v="6017.7"/>
    <n v="3798.8"/>
    <n v="16"/>
    <x v="1"/>
    <x v="0"/>
  </r>
  <r>
    <s v="NHM-2026-101871"/>
    <s v="April"/>
    <x v="0"/>
    <n v="4"/>
    <d v="2025-04-07T00:00:00"/>
    <x v="1"/>
    <s v="Keith Robinson"/>
    <s v="NovaHealth Northside Hospital"/>
    <s v="Female"/>
    <n v="35"/>
    <x v="0"/>
    <n v="1"/>
    <x v="0"/>
    <x v="0"/>
    <n v="5592.38"/>
    <n v="3627.12"/>
    <n v="6"/>
    <x v="0"/>
    <x v="0"/>
  </r>
  <r>
    <s v="NHM-2024-101076"/>
    <s v="October"/>
    <x v="5"/>
    <n v="10"/>
    <d v="2023-10-03T00:00:00"/>
    <x v="3"/>
    <s v="Virginia Henry"/>
    <s v="NovaHealth River Valley Hospital"/>
    <s v="Female"/>
    <n v="70"/>
    <x v="0"/>
    <n v="2"/>
    <x v="2"/>
    <x v="2"/>
    <n v="5617.82"/>
    <n v="3839.14"/>
    <n v="9.4"/>
    <x v="1"/>
    <x v="1"/>
  </r>
  <r>
    <s v="NHM-2025-100105"/>
    <s v="June"/>
    <x v="11"/>
    <n v="6"/>
    <d v="2026-06-22T00:00:00"/>
    <x v="2"/>
    <s v="Abigail Morgan"/>
    <s v="NovaHealth Lakeshore Regional Center"/>
    <s v="Male"/>
    <n v="68"/>
    <x v="2"/>
    <n v="5"/>
    <x v="4"/>
    <x v="4"/>
    <n v="22343.919999999998"/>
    <n v="15725.54"/>
    <n v="10.6"/>
    <x v="2"/>
    <x v="1"/>
  </r>
  <r>
    <s v="NHM-2023-102448"/>
    <s v="January"/>
    <x v="3"/>
    <n v="1"/>
    <d v="2026-01-26T00:00:00"/>
    <x v="2"/>
    <s v="Frank Lee"/>
    <s v="NovaHealth Lakeside Medical Center"/>
    <s v="Female"/>
    <n v="40"/>
    <x v="0"/>
    <n v="2"/>
    <x v="1"/>
    <x v="1"/>
    <n v="10718.86"/>
    <n v="7907.17"/>
    <n v="10.3"/>
    <x v="1"/>
    <x v="0"/>
  </r>
  <r>
    <s v="NHM-2024-100211"/>
    <s v="August"/>
    <x v="10"/>
    <n v="8"/>
    <d v="2024-08-30T00:00:00"/>
    <x v="0"/>
    <s v="Dylan Foster"/>
    <s v="NovaHealth River Valley Hospital"/>
    <s v="Male"/>
    <n v="32"/>
    <x v="1"/>
    <n v="2"/>
    <x v="7"/>
    <x v="7"/>
    <n v="5595.57"/>
    <n v="4408.63"/>
    <n v="19.5"/>
    <x v="1"/>
    <x v="0"/>
  </r>
  <r>
    <s v="NHM-2025-101526"/>
    <s v="April"/>
    <x v="0"/>
    <n v="4"/>
    <d v="2024-04-04T00:00:00"/>
    <x v="0"/>
    <s v="Sandra Morales"/>
    <s v="NovaHealth Metro General Hospital"/>
    <s v="Female"/>
    <n v="60"/>
    <x v="2"/>
    <n v="4"/>
    <x v="4"/>
    <x v="4"/>
    <n v="14886.71"/>
    <n v="8727.89"/>
    <n v="11.7"/>
    <x v="2"/>
    <x v="0"/>
  </r>
  <r>
    <s v="NHM-2026-101146"/>
    <s v="March"/>
    <x v="1"/>
    <n v="3"/>
    <d v="2024-03-13T00:00:00"/>
    <x v="0"/>
    <s v="Kathleen Alexander"/>
    <s v="NovaHealth Oakridge Community Hospital"/>
    <s v="Male"/>
    <n v="85"/>
    <x v="0"/>
    <n v="2"/>
    <x v="3"/>
    <x v="3"/>
    <n v="7896.61"/>
    <n v="4838.53"/>
    <n v="2.7"/>
    <x v="1"/>
    <x v="1"/>
  </r>
  <r>
    <s v="NHM-2025-101960"/>
    <s v="June"/>
    <x v="11"/>
    <n v="6"/>
    <d v="2024-06-28T00:00:00"/>
    <x v="0"/>
    <s v="Samantha Wood"/>
    <s v="NovaHealth Midtown Medical Center"/>
    <s v="Male"/>
    <n v="4"/>
    <x v="2"/>
    <n v="2"/>
    <x v="6"/>
    <x v="6"/>
    <n v="2654.26"/>
    <n v="1703.53"/>
    <n v="0.6"/>
    <x v="1"/>
    <x v="2"/>
  </r>
  <r>
    <s v="NHM-2024-101211"/>
    <s v="January"/>
    <x v="3"/>
    <n v="1"/>
    <d v="2025-01-03T00:00:00"/>
    <x v="1"/>
    <s v="Kimberly Chavez"/>
    <s v="NovaHealth Chicago Medical Center"/>
    <s v="Male"/>
    <n v="36"/>
    <x v="0"/>
    <n v="1"/>
    <x v="1"/>
    <x v="1"/>
    <n v="7238.71"/>
    <n v="4868.34"/>
    <n v="2.2999999999999998"/>
    <x v="0"/>
    <x v="0"/>
  </r>
  <r>
    <s v="NHM-2025-101362"/>
    <s v="September"/>
    <x v="7"/>
    <n v="9"/>
    <d v="2024-09-25T00:00:00"/>
    <x v="0"/>
    <s v="Jeffrey Peterson"/>
    <s v="NovaHealth Chicago Medical Center"/>
    <s v="Male"/>
    <n v="6"/>
    <x v="0"/>
    <n v="1"/>
    <x v="6"/>
    <x v="6"/>
    <n v="1455.29"/>
    <n v="1021.1"/>
    <n v="0.3"/>
    <x v="0"/>
    <x v="2"/>
  </r>
  <r>
    <s v="NHM-2024-100658"/>
    <s v="February"/>
    <x v="2"/>
    <n v="2"/>
    <d v="2025-02-26T00:00:00"/>
    <x v="1"/>
    <s v="Olivia Long"/>
    <s v="NovaHealth Northside Hospital"/>
    <s v="Male"/>
    <n v="58"/>
    <x v="0"/>
    <n v="2"/>
    <x v="7"/>
    <x v="7"/>
    <n v="6940.81"/>
    <n v="5257.19"/>
    <n v="23.8"/>
    <x v="1"/>
    <x v="0"/>
  </r>
  <r>
    <s v="NHM-2025-100705"/>
    <s v="November"/>
    <x v="4"/>
    <n v="11"/>
    <d v="2025-11-18T00:00:00"/>
    <x v="1"/>
    <s v="Adam Cooper"/>
    <s v="NovaHealth Northside Hospital"/>
    <s v="Male"/>
    <n v="10"/>
    <x v="0"/>
    <n v="1"/>
    <x v="6"/>
    <x v="6"/>
    <n v="1735.98"/>
    <n v="1354.54"/>
    <n v="4.4000000000000004"/>
    <x v="0"/>
    <x v="2"/>
  </r>
  <r>
    <s v="NHM-2024-100182"/>
    <s v="February"/>
    <x v="2"/>
    <n v="2"/>
    <d v="2024-02-06T00:00:00"/>
    <x v="0"/>
    <s v="Sara Nguyen"/>
    <s v="NovaHealth Northside Hospital"/>
    <s v="Male"/>
    <n v="85"/>
    <x v="1"/>
    <n v="3"/>
    <x v="3"/>
    <x v="3"/>
    <n v="5015.13"/>
    <n v="2955.98"/>
    <n v="5.9"/>
    <x v="1"/>
    <x v="1"/>
  </r>
  <r>
    <s v="NHM-2026-100321"/>
    <s v="October"/>
    <x v="5"/>
    <n v="10"/>
    <d v="2025-10-01T00:00:00"/>
    <x v="1"/>
    <s v="Jason Bennett"/>
    <s v="NovaHealth Chicago Medical Center"/>
    <s v="Female"/>
    <n v="38"/>
    <x v="1"/>
    <n v="3"/>
    <x v="5"/>
    <x v="5"/>
    <n v="19370.599999999999"/>
    <n v="11904.87"/>
    <n v="11.1"/>
    <x v="1"/>
    <x v="0"/>
  </r>
  <r>
    <s v="NHM-2026-100893"/>
    <s v="January"/>
    <x v="3"/>
    <n v="1"/>
    <d v="2025-01-08T00:00:00"/>
    <x v="1"/>
    <s v="Danielle Perez"/>
    <s v="NovaHealth Chicago Medical Center"/>
    <s v="Male"/>
    <n v="36"/>
    <x v="1"/>
    <n v="3"/>
    <x v="1"/>
    <x v="1"/>
    <n v="10685.88"/>
    <n v="6914.96"/>
    <n v="9.5"/>
    <x v="1"/>
    <x v="0"/>
  </r>
  <r>
    <s v="NHM-2024-100376"/>
    <s v="December"/>
    <x v="6"/>
    <n v="12"/>
    <d v="2024-12-03T00:00:00"/>
    <x v="0"/>
    <s v="Sandra Diaz"/>
    <s v="NovaHealth Lakeside Medical Center"/>
    <s v="Male"/>
    <n v="77"/>
    <x v="1"/>
    <n v="5"/>
    <x v="4"/>
    <x v="4"/>
    <n v="12121.51"/>
    <n v="8218.2099999999991"/>
    <n v="12.1"/>
    <x v="2"/>
    <x v="1"/>
  </r>
  <r>
    <s v="NHM-2025-102001"/>
    <s v="November"/>
    <x v="4"/>
    <n v="11"/>
    <d v="2023-11-01T00:00:00"/>
    <x v="3"/>
    <s v="Richard Hamilton"/>
    <s v="NovaHealth Lakeside Medical Center"/>
    <s v="Female"/>
    <n v="76"/>
    <x v="2"/>
    <n v="4"/>
    <x v="4"/>
    <x v="4"/>
    <n v="18191.830000000002"/>
    <n v="12806.28"/>
    <n v="9"/>
    <x v="2"/>
    <x v="1"/>
  </r>
  <r>
    <s v="NHM-2026-101657"/>
    <s v="March"/>
    <x v="1"/>
    <n v="3"/>
    <d v="2024-03-07T00:00:00"/>
    <x v="0"/>
    <s v="Jerry Stewart"/>
    <s v="NovaHealth Midtown Medical Center"/>
    <s v="Female"/>
    <n v="55"/>
    <x v="1"/>
    <n v="1"/>
    <x v="3"/>
    <x v="3"/>
    <n v="5383.3"/>
    <n v="3962.61"/>
    <n v="4.0999999999999996"/>
    <x v="0"/>
    <x v="0"/>
  </r>
  <r>
    <s v="NHM-2025-101176"/>
    <s v="April"/>
    <x v="0"/>
    <n v="4"/>
    <d v="2026-04-29T00:00:00"/>
    <x v="2"/>
    <s v="Nathan Wells"/>
    <s v="NovaHealth River Valley Hospital"/>
    <s v="Male"/>
    <n v="19"/>
    <x v="0"/>
    <n v="1"/>
    <x v="7"/>
    <x v="7"/>
    <n v="4076.46"/>
    <n v="3218.11"/>
    <n v="15"/>
    <x v="0"/>
    <x v="0"/>
  </r>
  <r>
    <s v="NHM-2023-102255"/>
    <s v="December"/>
    <x v="6"/>
    <n v="12"/>
    <d v="2023-12-21T00:00:00"/>
    <x v="3"/>
    <s v="Vincent Powell"/>
    <s v="NovaHealth River Valley Hospital"/>
    <s v="Male"/>
    <n v="44"/>
    <x v="0"/>
    <n v="1"/>
    <x v="0"/>
    <x v="0"/>
    <n v="7854.68"/>
    <n v="4638.1099999999997"/>
    <n v="10.3"/>
    <x v="0"/>
    <x v="0"/>
  </r>
  <r>
    <s v="NHM-2023-100636"/>
    <s v="February"/>
    <x v="2"/>
    <n v="2"/>
    <d v="2024-02-14T00:00:00"/>
    <x v="0"/>
    <s v="Kenneth Cooper"/>
    <s v="NovaHealth River Valley Hospital"/>
    <s v="Female"/>
    <n v="55"/>
    <x v="2"/>
    <n v="1"/>
    <x v="2"/>
    <x v="2"/>
    <n v="2760.38"/>
    <n v="1726.23"/>
    <n v="5.3"/>
    <x v="0"/>
    <x v="0"/>
  </r>
  <r>
    <s v="NHM-2024-101252"/>
    <s v="June"/>
    <x v="11"/>
    <n v="6"/>
    <d v="2026-06-17T00:00:00"/>
    <x v="2"/>
    <s v="Denise Richardson"/>
    <s v="NovaHealth Greenfield Clinic"/>
    <s v="Male"/>
    <n v="73"/>
    <x v="1"/>
    <n v="5"/>
    <x v="5"/>
    <x v="5"/>
    <n v="13081.02"/>
    <n v="8434.25"/>
    <n v="7.8"/>
    <x v="2"/>
    <x v="1"/>
  </r>
  <r>
    <s v="NHM-2026-101911"/>
    <s v="February"/>
    <x v="2"/>
    <n v="2"/>
    <d v="2026-02-02T00:00:00"/>
    <x v="2"/>
    <s v="Cynthia James"/>
    <s v="NovaHealth Oakridge Community Hospital"/>
    <s v="Male"/>
    <n v="80"/>
    <x v="0"/>
    <n v="5"/>
    <x v="7"/>
    <x v="7"/>
    <n v="15599.61"/>
    <n v="10544.54"/>
    <n v="11.6"/>
    <x v="2"/>
    <x v="1"/>
  </r>
  <r>
    <s v="NHM-2026-102152"/>
    <s v="July"/>
    <x v="8"/>
    <n v="7"/>
    <d v="2025-07-07T00:00:00"/>
    <x v="1"/>
    <s v="Lisa Adams"/>
    <s v="NovaHealth Northside Hospital"/>
    <s v="Male"/>
    <n v="25"/>
    <x v="0"/>
    <n v="2"/>
    <x v="0"/>
    <x v="0"/>
    <n v="9347.64"/>
    <n v="6628.95"/>
    <n v="10.7"/>
    <x v="1"/>
    <x v="0"/>
  </r>
  <r>
    <s v="NHM-2023-102315"/>
    <s v="March"/>
    <x v="1"/>
    <n v="3"/>
    <d v="2024-03-11T00:00:00"/>
    <x v="0"/>
    <s v="Charles Butler"/>
    <s v="NovaHealth Northside Hospital"/>
    <s v="Female"/>
    <n v="37"/>
    <x v="0"/>
    <n v="1"/>
    <x v="1"/>
    <x v="1"/>
    <n v="8378.16"/>
    <n v="6163.26"/>
    <n v="5.9"/>
    <x v="0"/>
    <x v="0"/>
  </r>
  <r>
    <s v="NHM-2023-102461"/>
    <s v="November"/>
    <x v="4"/>
    <n v="11"/>
    <d v="2023-11-24T00:00:00"/>
    <x v="3"/>
    <s v="Joshua Sullivan"/>
    <s v="NovaHealth Lakeside Medical Center"/>
    <s v="Male"/>
    <n v="44"/>
    <x v="1"/>
    <n v="4"/>
    <x v="1"/>
    <x v="1"/>
    <n v="12604.52"/>
    <n v="9653.84"/>
    <n v="9.3000000000000007"/>
    <x v="2"/>
    <x v="0"/>
  </r>
  <r>
    <s v="NHM-2026-101283"/>
    <s v="December"/>
    <x v="6"/>
    <n v="12"/>
    <d v="2024-12-11T00:00:00"/>
    <x v="0"/>
    <s v="Arthur Howard"/>
    <s v="NovaHealth Lakeside Medical Center"/>
    <s v="Male"/>
    <n v="49"/>
    <x v="2"/>
    <n v="4"/>
    <x v="2"/>
    <x v="2"/>
    <n v="5911.68"/>
    <n v="3479.97"/>
    <n v="6.4"/>
    <x v="2"/>
    <x v="0"/>
  </r>
  <r>
    <s v="NHM-2023-101290"/>
    <s v="April"/>
    <x v="0"/>
    <n v="4"/>
    <d v="2026-04-28T00:00:00"/>
    <x v="2"/>
    <s v="Carolyn Bryant"/>
    <s v="NovaHealth Lakeside Medical Center"/>
    <s v="Female"/>
    <n v="76"/>
    <x v="0"/>
    <n v="1"/>
    <x v="3"/>
    <x v="3"/>
    <n v="7164.96"/>
    <n v="4433.83"/>
    <n v="7.9"/>
    <x v="0"/>
    <x v="1"/>
  </r>
  <r>
    <s v="NHM-2024-100627"/>
    <s v="March"/>
    <x v="1"/>
    <n v="3"/>
    <d v="2025-03-06T00:00:00"/>
    <x v="1"/>
    <s v="Jordan Henderson"/>
    <s v="NovaHealth Lakeside Medical Center"/>
    <s v="Female"/>
    <n v="2"/>
    <x v="2"/>
    <n v="3"/>
    <x v="6"/>
    <x v="6"/>
    <n v="1313.77"/>
    <n v="877.61"/>
    <n v="4.5999999999999996"/>
    <x v="1"/>
    <x v="2"/>
  </r>
  <r>
    <s v="NHM-2026-100412"/>
    <s v="March"/>
    <x v="1"/>
    <n v="3"/>
    <d v="2025-03-25T00:00:00"/>
    <x v="1"/>
    <s v="Jessica Lewis"/>
    <s v="NovaHealth Chicago Medical Center"/>
    <s v="Female"/>
    <n v="31"/>
    <x v="0"/>
    <n v="1"/>
    <x v="1"/>
    <x v="1"/>
    <n v="5144.88"/>
    <n v="3488.67"/>
    <n v="5.2"/>
    <x v="0"/>
    <x v="0"/>
  </r>
  <r>
    <s v="NHM-2026-101130"/>
    <s v="June"/>
    <x v="11"/>
    <n v="6"/>
    <d v="2025-06-03T00:00:00"/>
    <x v="1"/>
    <s v="Carl Adams"/>
    <s v="NovaHealth Midtown Medical Center"/>
    <s v="Female"/>
    <n v="41"/>
    <x v="0"/>
    <n v="1"/>
    <x v="1"/>
    <x v="1"/>
    <n v="7706.12"/>
    <n v="5442.28"/>
    <n v="6"/>
    <x v="0"/>
    <x v="0"/>
  </r>
  <r>
    <s v="NHM-2025-100650"/>
    <s v="June"/>
    <x v="11"/>
    <n v="6"/>
    <d v="2024-06-19T00:00:00"/>
    <x v="0"/>
    <s v="Carl Cook"/>
    <s v="NovaHealth Chicago Medical Center"/>
    <s v="Female"/>
    <n v="6"/>
    <x v="1"/>
    <n v="4"/>
    <x v="6"/>
    <x v="6"/>
    <n v="2409.5"/>
    <n v="1774.13"/>
    <n v="1.9"/>
    <x v="2"/>
    <x v="2"/>
  </r>
  <r>
    <s v="NHM-2024-100309"/>
    <s v="November"/>
    <x v="4"/>
    <n v="11"/>
    <d v="2025-11-21T00:00:00"/>
    <x v="1"/>
    <s v="Lauren Tucker"/>
    <s v="NovaHealth Northside Hospital"/>
    <s v="Male"/>
    <n v="34"/>
    <x v="0"/>
    <n v="3"/>
    <x v="2"/>
    <x v="2"/>
    <n v="4171.8999999999996"/>
    <n v="3220.24"/>
    <n v="6.2"/>
    <x v="1"/>
    <x v="0"/>
  </r>
  <r>
    <s v="NHM-2025-102344"/>
    <s v="February"/>
    <x v="2"/>
    <n v="2"/>
    <d v="2024-02-02T00:00:00"/>
    <x v="0"/>
    <s v="Elizabeth Mitchell"/>
    <s v="NovaHealth Northside Hospital"/>
    <s v="Female"/>
    <n v="61"/>
    <x v="1"/>
    <n v="5"/>
    <x v="4"/>
    <x v="4"/>
    <n v="16320.94"/>
    <n v="9590.9500000000007"/>
    <n v="15.6"/>
    <x v="2"/>
    <x v="0"/>
  </r>
  <r>
    <s v="NHM-2024-100790"/>
    <s v="May"/>
    <x v="9"/>
    <n v="5"/>
    <d v="2025-05-02T00:00:00"/>
    <x v="1"/>
    <s v="Karen Ruiz"/>
    <s v="NovaHealth Metro General Hospital"/>
    <s v="Female"/>
    <n v="49"/>
    <x v="0"/>
    <n v="1"/>
    <x v="3"/>
    <x v="3"/>
    <n v="7064.28"/>
    <n v="4374.01"/>
    <n v="8.1"/>
    <x v="0"/>
    <x v="0"/>
  </r>
  <r>
    <s v="NHM-2024-101245"/>
    <s v="July"/>
    <x v="8"/>
    <n v="7"/>
    <d v="2024-07-26T00:00:00"/>
    <x v="0"/>
    <s v="Jack Harrison"/>
    <s v="NovaHealth River Valley Hospital"/>
    <s v="Male"/>
    <n v="70"/>
    <x v="0"/>
    <n v="3"/>
    <x v="4"/>
    <x v="4"/>
    <n v="9556.02"/>
    <n v="6187.85"/>
    <n v="9"/>
    <x v="1"/>
    <x v="1"/>
  </r>
  <r>
    <s v="NHM-2023-100284"/>
    <s v="January"/>
    <x v="3"/>
    <n v="1"/>
    <d v="2025-01-02T00:00:00"/>
    <x v="1"/>
    <s v="Joyce Green"/>
    <s v="NovaHealth Midtown Medical Center"/>
    <s v="Male"/>
    <n v="31"/>
    <x v="0"/>
    <n v="3"/>
    <x v="5"/>
    <x v="5"/>
    <n v="10207.92"/>
    <n v="6864.11"/>
    <n v="3.1"/>
    <x v="1"/>
    <x v="0"/>
  </r>
  <r>
    <s v="NHM-2025-101854"/>
    <s v="July"/>
    <x v="8"/>
    <n v="7"/>
    <d v="2025-07-08T00:00:00"/>
    <x v="1"/>
    <s v="Judith Bell"/>
    <s v="NovaHealth Chicago Medical Center"/>
    <s v="Male"/>
    <n v="68"/>
    <x v="0"/>
    <n v="4"/>
    <x v="4"/>
    <x v="4"/>
    <n v="14433.6"/>
    <n v="10197.120000000001"/>
    <n v="11.7"/>
    <x v="2"/>
    <x v="1"/>
  </r>
  <r>
    <s v="NHM-2025-101324"/>
    <s v="October"/>
    <x v="5"/>
    <n v="10"/>
    <d v="2025-10-23T00:00:00"/>
    <x v="1"/>
    <s v="Janice Reynolds"/>
    <s v="NovaHealth Lakeside Medical Center"/>
    <s v="Male"/>
    <n v="40"/>
    <x v="1"/>
    <n v="4"/>
    <x v="5"/>
    <x v="5"/>
    <n v="12661.91"/>
    <n v="9329.59"/>
    <n v="10.8"/>
    <x v="2"/>
    <x v="0"/>
  </r>
  <r>
    <s v="NHM-2025-100444"/>
    <s v="June"/>
    <x v="11"/>
    <n v="6"/>
    <d v="2024-06-10T00:00:00"/>
    <x v="0"/>
    <s v="Andrew Washington"/>
    <s v="NovaHealth Lakeshore Regional Center"/>
    <s v="Male"/>
    <n v="31"/>
    <x v="0"/>
    <n v="3"/>
    <x v="5"/>
    <x v="5"/>
    <n v="16518.09"/>
    <n v="12613.75"/>
    <n v="7.5"/>
    <x v="1"/>
    <x v="0"/>
  </r>
  <r>
    <s v="NHM-2025-101152"/>
    <s v="February"/>
    <x v="2"/>
    <n v="2"/>
    <d v="2024-02-05T00:00:00"/>
    <x v="0"/>
    <s v="Adam Ramos"/>
    <s v="NovaHealth Northside Hospital"/>
    <s v="Male"/>
    <n v="69"/>
    <x v="2"/>
    <n v="3"/>
    <x v="1"/>
    <x v="1"/>
    <n v="8528.68"/>
    <n v="5033.83"/>
    <n v="10.9"/>
    <x v="1"/>
    <x v="1"/>
  </r>
  <r>
    <s v="NHM-2023-100001"/>
    <s v="June"/>
    <x v="11"/>
    <n v="6"/>
    <d v="2026-06-19T00:00:00"/>
    <x v="2"/>
    <s v="Judy Clark"/>
    <s v="NovaHealth Midtown Medical Center"/>
    <s v="Female"/>
    <n v="55"/>
    <x v="2"/>
    <n v="3"/>
    <x v="5"/>
    <x v="5"/>
    <n v="12839.04"/>
    <n v="7848.61"/>
    <n v="2.1"/>
    <x v="1"/>
    <x v="0"/>
  </r>
  <r>
    <s v="NHM-2023-100245"/>
    <s v="August"/>
    <x v="10"/>
    <n v="8"/>
    <d v="2025-08-06T00:00:00"/>
    <x v="1"/>
    <s v="Anthony Coleman"/>
    <s v="NovaHealth Lakeside Medical Center"/>
    <s v="Male"/>
    <n v="54"/>
    <x v="0"/>
    <n v="2"/>
    <x v="1"/>
    <x v="1"/>
    <n v="9736.98"/>
    <n v="6231.67"/>
    <m/>
    <x v="1"/>
    <x v="0"/>
  </r>
  <r>
    <s v="NHM-2026-101877"/>
    <s v="December"/>
    <x v="6"/>
    <n v="12"/>
    <d v="2023-12-16T00:00:00"/>
    <x v="3"/>
    <s v="Jonathan Castillo"/>
    <s v="NovaHealth Chicago Medical Center"/>
    <s v="Female"/>
    <n v="75"/>
    <x v="0"/>
    <n v="3"/>
    <x v="4"/>
    <x v="4"/>
    <n v="14814.76"/>
    <n v="10057.89"/>
    <n v="16.5"/>
    <x v="1"/>
    <x v="1"/>
  </r>
  <r>
    <s v="NHM-2026-101012"/>
    <s v="December"/>
    <x v="6"/>
    <n v="12"/>
    <d v="2024-12-16T00:00:00"/>
    <x v="0"/>
    <s v="Amanda Jenkins"/>
    <s v="NovaHealth Northside Hospital"/>
    <s v="Male"/>
    <n v="72"/>
    <x v="0"/>
    <n v="5"/>
    <x v="5"/>
    <x v="5"/>
    <n v="24436.45"/>
    <n v="17134.310000000001"/>
    <n v="3.6"/>
    <x v="2"/>
    <x v="1"/>
  </r>
  <r>
    <s v="NHM-2023-101497"/>
    <s v="January"/>
    <x v="3"/>
    <n v="1"/>
    <d v="2024-01-31T00:00:00"/>
    <x v="0"/>
    <s v="Arthur Morgan"/>
    <s v="NovaHealth Chicago Medical Center"/>
    <s v="Female"/>
    <n v="20"/>
    <x v="1"/>
    <n v="4"/>
    <x v="2"/>
    <x v="2"/>
    <n v="3505.32"/>
    <n v="2594.08"/>
    <n v="4.4000000000000004"/>
    <x v="2"/>
    <x v="0"/>
  </r>
  <r>
    <s v="NHM-2025-100088"/>
    <s v="November"/>
    <x v="4"/>
    <n v="11"/>
    <d v="2025-11-18T00:00:00"/>
    <x v="1"/>
    <s v="Randy Wilson"/>
    <s v="NovaHealth Greenfield Clinic"/>
    <s v="Female"/>
    <n v="62"/>
    <x v="0"/>
    <n v="3"/>
    <x v="4"/>
    <x v="4"/>
    <n v="11888.59"/>
    <n v="9128.93"/>
    <n v="11.7"/>
    <x v="1"/>
    <x v="0"/>
  </r>
  <r>
    <s v="NHM-2023-100312"/>
    <s v="June"/>
    <x v="11"/>
    <n v="6"/>
    <d v="2025-06-27T00:00:00"/>
    <x v="1"/>
    <s v="Angela Reynolds"/>
    <s v="NovaHealth Chicago Medical Center"/>
    <s v="Female"/>
    <n v="40"/>
    <x v="0"/>
    <n v="1"/>
    <x v="1"/>
    <x v="1"/>
    <n v="8867.3700000000008"/>
    <n v="5217.47"/>
    <n v="9.3000000000000007"/>
    <x v="0"/>
    <x v="0"/>
  </r>
  <r>
    <s v="NHM-2026-101710"/>
    <s v="August"/>
    <x v="10"/>
    <n v="8"/>
    <d v="2025-08-26T00:00:00"/>
    <x v="1"/>
    <s v="Martha Gonzales"/>
    <s v="NovaHealth Metro General Hospital"/>
    <s v="Female"/>
    <n v="59"/>
    <x v="0"/>
    <n v="1"/>
    <x v="0"/>
    <x v="0"/>
    <n v="9793.9599999999991"/>
    <n v="6025.52"/>
    <n v="6.4"/>
    <x v="0"/>
    <x v="0"/>
  </r>
  <r>
    <s v="NHM-2025-100845"/>
    <s v="October"/>
    <x v="5"/>
    <n v="10"/>
    <d v="2025-10-15T00:00:00"/>
    <x v="1"/>
    <s v="Rebecca Lewis"/>
    <s v="NovaHealth Oakridge Community Hospital"/>
    <s v="Female"/>
    <n v="23"/>
    <x v="0"/>
    <n v="3"/>
    <x v="7"/>
    <x v="7"/>
    <n v="8813.67"/>
    <n v="5721.55"/>
    <n v="10.1"/>
    <x v="1"/>
    <x v="0"/>
  </r>
  <r>
    <s v="NHM-2024-101107"/>
    <s v="February"/>
    <x v="2"/>
    <n v="2"/>
    <d v="2024-02-20T00:00:00"/>
    <x v="0"/>
    <s v="Sarah Ramirez"/>
    <s v="NovaHealth Northside Hospital"/>
    <s v="Male"/>
    <n v="52"/>
    <x v="2"/>
    <n v="3"/>
    <x v="5"/>
    <x v="5"/>
    <n v="17680.759999999998"/>
    <n v="11894.91"/>
    <n v="6.1"/>
    <x v="1"/>
    <x v="0"/>
  </r>
  <r>
    <s v="NHM-2026-102089"/>
    <s v="April"/>
    <x v="0"/>
    <n v="4"/>
    <d v="2025-04-24T00:00:00"/>
    <x v="1"/>
    <s v="Carol Cruz"/>
    <s v="NovaHealth Northside Hospital"/>
    <s v="Female"/>
    <n v="50"/>
    <x v="0"/>
    <n v="2"/>
    <x v="1"/>
    <x v="1"/>
    <n v="7691.32"/>
    <n v="5431.92"/>
    <n v="6"/>
    <x v="1"/>
    <x v="0"/>
  </r>
  <r>
    <s v="NHM-2026-101814"/>
    <s v="January"/>
    <x v="3"/>
    <n v="1"/>
    <d v="2025-01-14T00:00:00"/>
    <x v="1"/>
    <s v="Jonathan Lee"/>
    <s v="NovaHealth Metro General Hospital"/>
    <s v="Male"/>
    <n v="11"/>
    <x v="1"/>
    <n v="3"/>
    <x v="6"/>
    <x v="6"/>
    <n v="1308.95"/>
    <n v="977.13"/>
    <n v="2.7"/>
    <x v="1"/>
    <x v="2"/>
  </r>
  <r>
    <s v="NHM-2024-102332"/>
    <s v="January"/>
    <x v="3"/>
    <n v="1"/>
    <d v="2024-01-26T00:00:00"/>
    <x v="0"/>
    <s v="Randy Harris"/>
    <s v="NovaHealth Greenfield Clinic"/>
    <s v="Male"/>
    <n v="41"/>
    <x v="0"/>
    <n v="1"/>
    <x v="1"/>
    <x v="1"/>
    <n v="10483.48"/>
    <n v="8029.84"/>
    <n v="7.8"/>
    <x v="0"/>
    <x v="0"/>
  </r>
  <r>
    <s v="NHM-2025-101070"/>
    <s v="February"/>
    <x v="2"/>
    <n v="2"/>
    <d v="2024-02-13T00:00:00"/>
    <x v="0"/>
    <s v="David Watson"/>
    <s v="NovaHealth Oakridge Community Hospital"/>
    <s v="Male"/>
    <n v="71"/>
    <x v="0"/>
    <n v="3"/>
    <x v="0"/>
    <x v="0"/>
    <n v="9773.81"/>
    <n v="5688.81"/>
    <n v="2.5"/>
    <x v="1"/>
    <x v="1"/>
  </r>
  <r>
    <s v="NHM-2024-101873"/>
    <s v="February"/>
    <x v="2"/>
    <n v="2"/>
    <d v="2025-02-27T00:00:00"/>
    <x v="1"/>
    <s v="Michelle Flores"/>
    <s v="NovaHealth Metro General Hospital"/>
    <s v="Female"/>
    <n v="48"/>
    <x v="0"/>
    <n v="1"/>
    <x v="3"/>
    <x v="3"/>
    <n v="8615.8799999999992"/>
    <n v="5287.69"/>
    <n v="4"/>
    <x v="0"/>
    <x v="0"/>
  </r>
  <r>
    <s v="NHM-2024-100604"/>
    <s v="July"/>
    <x v="8"/>
    <n v="7"/>
    <d v="2024-07-09T00:00:00"/>
    <x v="0"/>
    <s v="Anna Bryant"/>
    <s v="NovaHealth Chicago Medical Center"/>
    <s v="Male"/>
    <n v="45"/>
    <x v="0"/>
    <n v="1"/>
    <x v="7"/>
    <x v="7"/>
    <n v="3854.72"/>
    <n v="2644.62"/>
    <n v="22.2"/>
    <x v="0"/>
    <x v="0"/>
  </r>
  <r>
    <s v="NHM-2025-101235"/>
    <s v="October"/>
    <x v="5"/>
    <n v="10"/>
    <d v="2025-10-15T00:00:00"/>
    <x v="1"/>
    <s v="Frances Ortiz"/>
    <s v="NovaHealth Midtown Medical Center"/>
    <s v="Male"/>
    <n v="68"/>
    <x v="2"/>
    <n v="4"/>
    <x v="5"/>
    <x v="5"/>
    <n v="12996.74"/>
    <n v="8773.42"/>
    <n v="8.1999999999999993"/>
    <x v="2"/>
    <x v="1"/>
  </r>
  <r>
    <s v="NHM-2025-100158"/>
    <s v="July"/>
    <x v="8"/>
    <n v="7"/>
    <d v="2024-07-09T00:00:00"/>
    <x v="0"/>
    <s v="Anna Long"/>
    <s v="NovaHealth Greenfield Clinic"/>
    <s v="Male"/>
    <n v="21"/>
    <x v="0"/>
    <n v="1"/>
    <x v="1"/>
    <x v="1"/>
    <n v="5585.63"/>
    <n v="3947.54"/>
    <n v="4.7"/>
    <x v="0"/>
    <x v="0"/>
  </r>
  <r>
    <s v="NHM-2024-101265"/>
    <s v="November"/>
    <x v="4"/>
    <n v="11"/>
    <d v="2025-11-03T00:00:00"/>
    <x v="1"/>
    <s v="Bruce Griffin"/>
    <s v="NovaHealth Lakeshore Regional Center"/>
    <s v="Female"/>
    <n v="95"/>
    <x v="1"/>
    <n v="4"/>
    <x v="4"/>
    <x v="4"/>
    <n v="10729.19"/>
    <n v="7920.31"/>
    <n v="11"/>
    <x v="2"/>
    <x v="1"/>
  </r>
  <r>
    <s v="NHM-2024-101175"/>
    <s v="March"/>
    <x v="1"/>
    <n v="3"/>
    <d v="2024-03-03T00:00:00"/>
    <x v="0"/>
    <s v="Steven Jordan"/>
    <s v="NovaHealth River Valley Hospital"/>
    <s v="Female"/>
    <n v="76"/>
    <x v="0"/>
    <n v="3"/>
    <x v="4"/>
    <x v="4"/>
    <n v="13379.78"/>
    <n v="10292.629999999999"/>
    <n v="15.5"/>
    <x v="1"/>
    <x v="1"/>
  </r>
  <r>
    <s v="NHM-2025-100042"/>
    <s v="May"/>
    <x v="9"/>
    <n v="5"/>
    <d v="2025-05-21T00:00:00"/>
    <x v="1"/>
    <s v="Jonathan Coleman"/>
    <s v="NovaHealth Northside Hospital"/>
    <s v="Male"/>
    <n v="91"/>
    <x v="2"/>
    <n v="4"/>
    <x v="4"/>
    <x v="4"/>
    <n v="10981.19"/>
    <n v="6465.89"/>
    <n v="12.1"/>
    <x v="2"/>
    <x v="1"/>
  </r>
  <r>
    <s v="NHM-2025-100126"/>
    <s v="February"/>
    <x v="2"/>
    <n v="2"/>
    <d v="2026-02-24T00:00:00"/>
    <x v="2"/>
    <s v="Angela Reed"/>
    <s v="NovaHealth Northside Hospital"/>
    <s v="Female"/>
    <n v="42"/>
    <x v="0"/>
    <n v="2"/>
    <x v="0"/>
    <x v="0"/>
    <n v="9296.42"/>
    <n v="5730.02"/>
    <n v="7.4"/>
    <x v="1"/>
    <x v="0"/>
  </r>
  <r>
    <s v="NHM-2025-100577"/>
    <s v="September"/>
    <x v="7"/>
    <n v="9"/>
    <d v="2025-09-04T00:00:00"/>
    <x v="1"/>
    <s v="Shirley Owens"/>
    <s v="NovaHealth Lakeside Medical Center"/>
    <s v="Male"/>
    <n v="62"/>
    <x v="0"/>
    <n v="1"/>
    <x v="0"/>
    <x v="0"/>
    <n v="7134.54"/>
    <n v="4643.71"/>
    <n v="9.6999999999999993"/>
    <x v="0"/>
    <x v="0"/>
  </r>
  <r>
    <s v="NHM-2026-100142"/>
    <s v="March"/>
    <x v="1"/>
    <n v="3"/>
    <d v="2025-03-03T00:00:00"/>
    <x v="1"/>
    <s v="Kenneth Price"/>
    <s v="NovaHealth Chicago Medical Center"/>
    <s v="Male"/>
    <n v="65"/>
    <x v="1"/>
    <n v="1"/>
    <x v="3"/>
    <x v="3"/>
    <n v="6650.01"/>
    <n v="4509.1099999999997"/>
    <n v="6.7"/>
    <x v="0"/>
    <x v="1"/>
  </r>
  <r>
    <s v="NHM-2023-101236"/>
    <s v="March"/>
    <x v="1"/>
    <n v="3"/>
    <d v="2024-03-25T00:00:00"/>
    <x v="0"/>
    <s v="Sean Anderson"/>
    <s v="NovaHealth River Valley Hospital"/>
    <s v="Female"/>
    <n v="22"/>
    <x v="0"/>
    <n v="2"/>
    <x v="7"/>
    <x v="7"/>
    <n v="2967.71"/>
    <n v="2196.6"/>
    <n v="14.9"/>
    <x v="1"/>
    <x v="0"/>
  </r>
  <r>
    <s v="NHM-2026-102256"/>
    <s v="May"/>
    <x v="9"/>
    <n v="5"/>
    <d v="2024-05-26T00:00:00"/>
    <x v="0"/>
    <s v="Tyler Diaz"/>
    <s v="NovaHealth Greenfield Clinic"/>
    <s v="Male"/>
    <n v="56"/>
    <x v="0"/>
    <n v="3"/>
    <x v="4"/>
    <x v="4"/>
    <n v="19689.14"/>
    <n v="14438.67"/>
    <n v="8.1999999999999993"/>
    <x v="1"/>
    <x v="0"/>
  </r>
  <r>
    <s v="NHM-2023-102044"/>
    <s v="January"/>
    <x v="3"/>
    <n v="1"/>
    <d v="2026-01-27T00:00:00"/>
    <x v="2"/>
    <s v="Doris Chavez"/>
    <s v="NovaHealth Chicago Medical Center"/>
    <s v="Female"/>
    <n v="60"/>
    <x v="0"/>
    <n v="2"/>
    <x v="7"/>
    <x v="7"/>
    <n v="5699.71"/>
    <n v="4459.78"/>
    <n v="16"/>
    <x v="1"/>
    <x v="0"/>
  </r>
  <r>
    <s v="NHM-2025-100732"/>
    <s v="March"/>
    <x v="1"/>
    <n v="3"/>
    <d v="2026-03-05T00:00:00"/>
    <x v="2"/>
    <s v="Linda Lewis"/>
    <s v="NovaHealth Lakeshore Regional Center"/>
    <s v="Male"/>
    <n v="25"/>
    <x v="1"/>
    <n v="3"/>
    <x v="1"/>
    <x v="1"/>
    <n v="8100.93"/>
    <n v="4740.1400000000003"/>
    <n v="5.2"/>
    <x v="1"/>
    <x v="0"/>
  </r>
  <r>
    <s v="NHM-2024-101448"/>
    <s v="July"/>
    <x v="8"/>
    <n v="7"/>
    <d v="2026-07-13T00:00:00"/>
    <x v="2"/>
    <s v="Gabriel Morales"/>
    <s v="NovaHealth Metro General Hospital"/>
    <s v="Male"/>
    <n v="29"/>
    <x v="1"/>
    <n v="4"/>
    <x v="5"/>
    <x v="5"/>
    <n v="14601.88"/>
    <n v="8945.5499999999993"/>
    <n v="4.8"/>
    <x v="2"/>
    <x v="0"/>
  </r>
  <r>
    <s v="NHM-2023-102444"/>
    <s v="December"/>
    <x v="6"/>
    <n v="12"/>
    <d v="2025-12-11T00:00:00"/>
    <x v="1"/>
    <s v="Jesse Phillips"/>
    <s v="NovaHealth Chicago Medical Center"/>
    <s v="Male"/>
    <n v="86"/>
    <x v="2"/>
    <n v="5"/>
    <x v="4"/>
    <x v="4"/>
    <n v="23569.09"/>
    <n v="15214.62"/>
    <n v="16.3"/>
    <x v="2"/>
    <x v="1"/>
  </r>
  <r>
    <s v="NHM-2026-102270"/>
    <s v="March"/>
    <x v="1"/>
    <n v="3"/>
    <d v="2024-03-27T00:00:00"/>
    <x v="0"/>
    <s v="Kyle Ortiz"/>
    <s v="NovaHealth Metro General Hospital"/>
    <s v="Female"/>
    <n v="65"/>
    <x v="0"/>
    <n v="4"/>
    <x v="4"/>
    <x v="4"/>
    <n v="20682.37"/>
    <n v="13972.39"/>
    <n v="14.4"/>
    <x v="2"/>
    <x v="1"/>
  </r>
  <r>
    <s v="NHM-2026-100657"/>
    <s v="October"/>
    <x v="5"/>
    <n v="10"/>
    <d v="2023-10-21T00:00:00"/>
    <x v="3"/>
    <s v="Brian Miller"/>
    <s v="NovaHealth Midtown Medical Center"/>
    <s v="Female"/>
    <n v="61"/>
    <x v="0"/>
    <n v="4"/>
    <x v="4"/>
    <x v="4"/>
    <n v="15218.49"/>
    <n v="10746.54"/>
    <n v="11.7"/>
    <x v="2"/>
    <x v="0"/>
  </r>
  <r>
    <s v="NHM-2026-101648"/>
    <s v="March"/>
    <x v="1"/>
    <n v="3"/>
    <d v="2024-03-06T00:00:00"/>
    <x v="0"/>
    <s v="Patrick Hughes"/>
    <s v="NovaHealth Oakridge Community Hospital"/>
    <s v="Male"/>
    <n v="71"/>
    <x v="2"/>
    <n v="5"/>
    <x v="7"/>
    <x v="7"/>
    <n v="15002.84"/>
    <n v="11086.47"/>
    <n v="16.8"/>
    <x v="2"/>
    <x v="1"/>
  </r>
  <r>
    <s v="NHM-2024-100596"/>
    <s v="June"/>
    <x v="11"/>
    <n v="6"/>
    <d v="2025-06-23T00:00:00"/>
    <x v="1"/>
    <s v="Virginia Ramos"/>
    <s v="NovaHealth Lakeside Medical Center"/>
    <s v="Male"/>
    <n v="82"/>
    <x v="2"/>
    <n v="5"/>
    <x v="3"/>
    <x v="3"/>
    <n v="13647.99"/>
    <n v="10404.469999999999"/>
    <n v="4"/>
    <x v="2"/>
    <x v="1"/>
  </r>
  <r>
    <s v="NHM-2025-100003"/>
    <s v="October"/>
    <x v="5"/>
    <n v="10"/>
    <d v="2025-10-25T00:00:00"/>
    <x v="1"/>
    <s v="Andrea Graham"/>
    <s v="NovaHealth River Valley Hospital"/>
    <s v="Male"/>
    <n v="75"/>
    <x v="0"/>
    <n v="1"/>
    <x v="3"/>
    <x v="3"/>
    <n v="8003.03"/>
    <n v="4713.76"/>
    <n v="9"/>
    <x v="0"/>
    <x v="1"/>
  </r>
  <r>
    <s v="NHM-2026-101477"/>
    <s v="December"/>
    <x v="6"/>
    <n v="12"/>
    <d v="2025-12-23T00:00:00"/>
    <x v="1"/>
    <s v="Robert Cruz"/>
    <s v="NovaHealth Lakeshore Regional Center"/>
    <s v="Female"/>
    <n v="40"/>
    <x v="1"/>
    <n v="4"/>
    <x v="5"/>
    <x v="5"/>
    <n v="21575.66"/>
    <n v="13245.95"/>
    <n v="10.6"/>
    <x v="2"/>
    <x v="0"/>
  </r>
  <r>
    <s v="NHM-2025-100107"/>
    <s v="October"/>
    <x v="5"/>
    <n v="10"/>
    <d v="2025-10-31T00:00:00"/>
    <x v="1"/>
    <s v="Carolyn Clark"/>
    <s v="NovaHealth Greenfield Clinic"/>
    <s v="Male"/>
    <n v="10"/>
    <x v="2"/>
    <n v="1"/>
    <x v="6"/>
    <x v="6"/>
    <n v="1132.72"/>
    <n v="755.34"/>
    <n v="3.8"/>
    <x v="0"/>
    <x v="2"/>
  </r>
  <r>
    <s v="NHM-2023-100232"/>
    <s v="January"/>
    <x v="3"/>
    <n v="1"/>
    <d v="2025-01-07T00:00:00"/>
    <x v="1"/>
    <s v="Brian Young"/>
    <s v="NovaHealth Northside Hospital"/>
    <s v="Female"/>
    <n v="57"/>
    <x v="2"/>
    <n v="4"/>
    <x v="5"/>
    <x v="5"/>
    <n v="19086.62"/>
    <n v="12817.64"/>
    <n v="3.7"/>
    <x v="2"/>
    <x v="0"/>
  </r>
  <r>
    <s v="NHM-2025-100852"/>
    <s v="August"/>
    <x v="10"/>
    <n v="8"/>
    <d v="2024-08-10T00:00:00"/>
    <x v="0"/>
    <s v="Charles Brooks"/>
    <s v="NovaHealth River Valley Hospital"/>
    <s v="Female"/>
    <n v="37"/>
    <x v="2"/>
    <n v="5"/>
    <x v="0"/>
    <x v="0"/>
    <n v="17184.580000000002"/>
    <n v="12110.81"/>
    <n v="10.199999999999999"/>
    <x v="2"/>
    <x v="0"/>
  </r>
  <r>
    <s v="NHM-2025-100031"/>
    <s v="May"/>
    <x v="9"/>
    <n v="5"/>
    <d v="2025-05-06T00:00:00"/>
    <x v="1"/>
    <s v="Nicole Parker"/>
    <s v="NovaHealth Metro General Hospital"/>
    <s v="Female"/>
    <n v="36"/>
    <x v="0"/>
    <n v="5"/>
    <x v="5"/>
    <x v="5"/>
    <n v="20377.66"/>
    <n v="14944.49"/>
    <n v="8.6"/>
    <x v="2"/>
    <x v="0"/>
  </r>
  <r>
    <s v="NHM-2023-102426"/>
    <s v="February"/>
    <x v="2"/>
    <n v="2"/>
    <d v="2025-02-28T00:00:00"/>
    <x v="1"/>
    <s v="Henry Cole"/>
    <s v="NovaHealth Northside Hospital"/>
    <s v="Female"/>
    <n v="19"/>
    <x v="2"/>
    <n v="3"/>
    <x v="0"/>
    <x v="0"/>
    <n v="9553.61"/>
    <n v="7297.54"/>
    <n v="4.5999999999999996"/>
    <x v="1"/>
    <x v="0"/>
  </r>
  <r>
    <s v="NHM-2024-101607"/>
    <s v="June"/>
    <x v="11"/>
    <n v="6"/>
    <d v="2026-06-03T00:00:00"/>
    <x v="2"/>
    <s v="Terry Reed"/>
    <s v="NovaHealth Midtown Medical Center"/>
    <s v="Male"/>
    <n v="38"/>
    <x v="0"/>
    <n v="1"/>
    <x v="0"/>
    <x v="0"/>
    <n v="5050.91"/>
    <n v="2981.53"/>
    <n v="6.5"/>
    <x v="0"/>
    <x v="0"/>
  </r>
  <r>
    <s v="NHM-2026-100002"/>
    <s v="June"/>
    <x v="11"/>
    <n v="6"/>
    <d v="2024-06-22T00:00:00"/>
    <x v="0"/>
    <s v="Nicholas Price"/>
    <s v="NovaHealth Lakeside Medical Center"/>
    <s v="Female"/>
    <n v="82"/>
    <x v="1"/>
    <n v="4"/>
    <x v="4"/>
    <x v="4"/>
    <n v="17681.310000000001"/>
    <n v="10923.2"/>
    <n v="17.2"/>
    <x v="2"/>
    <x v="1"/>
  </r>
  <r>
    <s v="NHM-2023-101256"/>
    <s v="February"/>
    <x v="2"/>
    <n v="2"/>
    <d v="2026-02-04T00:00:00"/>
    <x v="2"/>
    <s v="Jacob Owens"/>
    <s v="NovaHealth River Valley Hospital"/>
    <s v="Female"/>
    <n v="3"/>
    <x v="0"/>
    <n v="1"/>
    <x v="6"/>
    <x v="6"/>
    <n v="1090.6099999999999"/>
    <n v="732.39"/>
    <n v="4.3"/>
    <x v="0"/>
    <x v="2"/>
  </r>
  <r>
    <s v="NHM-2024-100844"/>
    <s v="January"/>
    <x v="3"/>
    <n v="1"/>
    <d v="2025-01-15T00:00:00"/>
    <x v="1"/>
    <s v="Nicole Ford"/>
    <s v="NovaHealth Greenfield Clinic"/>
    <s v="Female"/>
    <n v="24"/>
    <x v="0"/>
    <n v="3"/>
    <x v="1"/>
    <x v="1"/>
    <n v="12741.63"/>
    <n v="8567.2900000000009"/>
    <n v="3.8"/>
    <x v="1"/>
    <x v="0"/>
  </r>
  <r>
    <s v="NHM-2026-102321"/>
    <s v="June"/>
    <x v="11"/>
    <n v="6"/>
    <d v="2026-06-09T00:00:00"/>
    <x v="2"/>
    <s v="Rebecca Jimenez"/>
    <s v="NovaHealth Chicago Medical Center"/>
    <s v="Male"/>
    <n v="24"/>
    <x v="1"/>
    <n v="2"/>
    <x v="1"/>
    <x v="1"/>
    <n v="8880.2800000000007"/>
    <n v="6304.2"/>
    <n v="11"/>
    <x v="1"/>
    <x v="0"/>
  </r>
  <r>
    <s v="NHM-2025-100390"/>
    <s v="October"/>
    <x v="5"/>
    <n v="10"/>
    <d v="2024-10-02T00:00:00"/>
    <x v="0"/>
    <s v="Elijah Warren"/>
    <s v="NovaHealth Midtown Medical Center"/>
    <s v="Female"/>
    <n v="69"/>
    <x v="0"/>
    <n v="1"/>
    <x v="3"/>
    <x v="3"/>
    <n v="5834.71"/>
    <n v="4332.1400000000003"/>
    <n v="9.1"/>
    <x v="0"/>
    <x v="1"/>
  </r>
  <r>
    <s v="NHM-2026-100979"/>
    <s v="March"/>
    <x v="1"/>
    <n v="3"/>
    <d v="2026-03-23T00:00:00"/>
    <x v="2"/>
    <s v="Emma Flores"/>
    <s v="NovaHealth Chicago Medical Center"/>
    <s v="Female"/>
    <n v="9"/>
    <x v="0"/>
    <n v="2"/>
    <x v="6"/>
    <x v="6"/>
    <n v="1949.85"/>
    <n v="1497.89"/>
    <n v="2"/>
    <x v="1"/>
    <x v="2"/>
  </r>
  <r>
    <s v="NHM-2025-102419"/>
    <s v="April"/>
    <x v="0"/>
    <n v="4"/>
    <d v="2024-04-04T00:00:00"/>
    <x v="0"/>
    <s v="Dennis Evans"/>
    <s v="NovaHealth Greenfield Clinic"/>
    <s v="Male"/>
    <n v="35"/>
    <x v="2"/>
    <n v="4"/>
    <x v="5"/>
    <x v="5"/>
    <n v="20583.34"/>
    <n v="11997.54"/>
    <n v="7.4"/>
    <x v="2"/>
    <x v="0"/>
  </r>
  <r>
    <s v="NHM-2025-101998"/>
    <s v="October"/>
    <x v="5"/>
    <n v="10"/>
    <d v="2025-10-15T00:00:00"/>
    <x v="1"/>
    <s v="Jack Brown"/>
    <s v="NovaHealth River Valley Hospital"/>
    <s v="Male"/>
    <n v="60"/>
    <x v="0"/>
    <n v="2"/>
    <x v="0"/>
    <x v="0"/>
    <n v="9258.08"/>
    <n v="5675.43"/>
    <n v="3.5"/>
    <x v="1"/>
    <x v="0"/>
  </r>
  <r>
    <s v="NHM-2023-102368"/>
    <s v="July"/>
    <x v="8"/>
    <n v="7"/>
    <d v="2025-07-03T00:00:00"/>
    <x v="1"/>
    <s v="James King"/>
    <s v="NovaHealth River Valley Hospital"/>
    <s v="Female"/>
    <n v="56"/>
    <x v="0"/>
    <n v="3"/>
    <x v="4"/>
    <x v="4"/>
    <n v="18154.28"/>
    <n v="11754.74"/>
    <n v="17"/>
    <x v="1"/>
    <x v="0"/>
  </r>
  <r>
    <s v="NHM-2026-101963"/>
    <s v="August"/>
    <x v="10"/>
    <n v="8"/>
    <d v="2024-08-26T00:00:00"/>
    <x v="0"/>
    <s v="Mark Turner"/>
    <s v="NovaHealth Northside Hospital"/>
    <s v="Male"/>
    <n v="82"/>
    <x v="2"/>
    <n v="4"/>
    <x v="4"/>
    <x v="4"/>
    <n v="11099.35"/>
    <n v="7525.36"/>
    <n v="11.1"/>
    <x v="2"/>
    <x v="1"/>
  </r>
  <r>
    <s v="NHM-2026-101701"/>
    <s v="November"/>
    <x v="4"/>
    <n v="11"/>
    <d v="2025-11-21T00:00:00"/>
    <x v="1"/>
    <s v="Evelyn Ortiz"/>
    <s v="NovaHealth Lakeshore Regional Center"/>
    <s v="Female"/>
    <n v="56"/>
    <x v="1"/>
    <n v="3"/>
    <x v="2"/>
    <x v="2"/>
    <n v="5904.17"/>
    <n v="4165.72"/>
    <n v="4.0999999999999996"/>
    <x v="1"/>
    <x v="0"/>
  </r>
  <r>
    <s v="NHM-2026-100606"/>
    <s v="June"/>
    <x v="11"/>
    <n v="6"/>
    <d v="2025-06-12T00:00:00"/>
    <x v="1"/>
    <s v="Eugene Walker"/>
    <s v="NovaHealth Greenfield Clinic"/>
    <s v="Female"/>
    <n v="30"/>
    <x v="0"/>
    <n v="2"/>
    <x v="7"/>
    <x v="7"/>
    <n v="8190.8"/>
    <n v="6064.88"/>
    <n v="10.7"/>
    <x v="1"/>
    <x v="0"/>
  </r>
  <r>
    <s v="NHM-2024-101798"/>
    <s v="April"/>
    <x v="0"/>
    <n v="4"/>
    <d v="2025-04-16T00:00:00"/>
    <x v="1"/>
    <s v="Thomas Jackson"/>
    <s v="NovaHealth Greenfield Clinic"/>
    <s v="Female"/>
    <n v="66"/>
    <x v="2"/>
    <n v="5"/>
    <x v="4"/>
    <x v="4"/>
    <n v="14366"/>
    <n v="11010.16"/>
    <n v="11.5"/>
    <x v="2"/>
    <x v="1"/>
  </r>
  <r>
    <s v="NHM-2025-102163"/>
    <s v="January"/>
    <x v="3"/>
    <n v="1"/>
    <d v="2025-01-06T00:00:00"/>
    <x v="1"/>
    <s v="Stephen Martinez"/>
    <s v="NovaHealth Midtown Medical Center"/>
    <s v="Male"/>
    <n v="37"/>
    <x v="0"/>
    <n v="2"/>
    <x v="2"/>
    <x v="2"/>
    <n v="3609.52"/>
    <n v="2135.12"/>
    <n v="5.2"/>
    <x v="1"/>
    <x v="0"/>
  </r>
  <r>
    <s v="NHM-2025-101170"/>
    <s v="June"/>
    <x v="11"/>
    <n v="6"/>
    <d v="2025-06-26T00:00:00"/>
    <x v="1"/>
    <s v="Madison Collins"/>
    <s v="NovaHealth Lakeside Medical Center"/>
    <s v="Female"/>
    <n v="49"/>
    <x v="0"/>
    <n v="1"/>
    <x v="2"/>
    <x v="2"/>
    <n v="4058.44"/>
    <n v="2539.65"/>
    <n v="8"/>
    <x v="0"/>
    <x v="0"/>
  </r>
  <r>
    <s v="NHM-2025-100510"/>
    <s v="October"/>
    <x v="5"/>
    <n v="10"/>
    <d v="2025-10-07T00:00:00"/>
    <x v="1"/>
    <s v="Jeremy Ruiz"/>
    <s v="NovaHealth River Valley Hospital"/>
    <s v="Male"/>
    <n v="73"/>
    <x v="0"/>
    <n v="2"/>
    <x v="3"/>
    <x v="3"/>
    <n v="4941.62"/>
    <n v="3189.04"/>
    <n v="3.3"/>
    <x v="1"/>
    <x v="1"/>
  </r>
  <r>
    <s v="NHM-2024-101191"/>
    <s v="March"/>
    <x v="1"/>
    <n v="3"/>
    <d v="2025-03-25T00:00:00"/>
    <x v="1"/>
    <s v="Judith Freeman"/>
    <s v="NovaHealth Lakeshore Regional Center"/>
    <s v="Male"/>
    <n v="60"/>
    <x v="0"/>
    <n v="1"/>
    <x v="2"/>
    <x v="2"/>
    <n v="4166.6899999999996"/>
    <n v="2839.68"/>
    <n v="6"/>
    <x v="0"/>
    <x v="0"/>
  </r>
  <r>
    <s v="NHM-2025-100293"/>
    <s v="November"/>
    <x v="4"/>
    <n v="11"/>
    <d v="2025-11-10T00:00:00"/>
    <x v="1"/>
    <s v="Arthur Ross"/>
    <s v="NovaHealth Lakeside Medical Center"/>
    <s v="Female"/>
    <n v="82"/>
    <x v="1"/>
    <n v="5"/>
    <x v="3"/>
    <x v="3"/>
    <n v="13249.34"/>
    <n v="9293.74"/>
    <n v="2.4"/>
    <x v="2"/>
    <x v="1"/>
  </r>
  <r>
    <s v="NHM-2023-100354"/>
    <s v="September"/>
    <x v="7"/>
    <n v="9"/>
    <d v="2025-09-14T00:00:00"/>
    <x v="1"/>
    <s v="Janice Carter"/>
    <s v="NovaHealth River Valley Hospital"/>
    <s v="Female"/>
    <n v="60"/>
    <x v="0"/>
    <n v="3"/>
    <x v="7"/>
    <x v="7"/>
    <n v="10620.07"/>
    <n v="7841.45"/>
    <n v="11.1"/>
    <x v="1"/>
    <x v="0"/>
  </r>
  <r>
    <s v="NHM-2025-101841"/>
    <s v="October"/>
    <x v="5"/>
    <n v="10"/>
    <d v="2024-10-11T00:00:00"/>
    <x v="0"/>
    <s v="Noah Thomas"/>
    <s v="NovaHealth Greenfield Clinic"/>
    <s v="Female"/>
    <n v="40"/>
    <x v="0"/>
    <n v="1"/>
    <x v="2"/>
    <x v="2"/>
    <n v="3224.98"/>
    <n v="2498.98"/>
    <n v="6"/>
    <x v="0"/>
    <x v="0"/>
  </r>
  <r>
    <s v="NHM-2024-100748"/>
    <s v="October"/>
    <x v="5"/>
    <n v="10"/>
    <d v="2023-10-23T00:00:00"/>
    <x v="3"/>
    <s v="Amanda Ramos"/>
    <s v="NovaHealth Northside Hospital"/>
    <s v="Male"/>
    <n v="19"/>
    <x v="0"/>
    <n v="1"/>
    <x v="7"/>
    <x v="7"/>
    <n v="4265.32"/>
    <n v="2611.4899999999998"/>
    <n v="17.2"/>
    <x v="0"/>
    <x v="0"/>
  </r>
  <r>
    <s v="NHM-2024-102447"/>
    <s v="March"/>
    <x v="1"/>
    <n v="3"/>
    <d v="2026-03-31T00:00:00"/>
    <x v="2"/>
    <s v="Albert Simmons"/>
    <s v="NovaHealth Greenfield Clinic"/>
    <s v="Female"/>
    <n v="58"/>
    <x v="2"/>
    <n v="1"/>
    <x v="2"/>
    <x v="2"/>
    <n v="4317.66"/>
    <n v="2667.37"/>
    <n v="4.2"/>
    <x v="0"/>
    <x v="0"/>
  </r>
  <r>
    <s v="NHM-2023-101083"/>
    <s v="October"/>
    <x v="5"/>
    <n v="10"/>
    <d v="2024-10-31T00:00:00"/>
    <x v="0"/>
    <s v="Nicholas Ruiz"/>
    <s v="NovaHealth Chicago Medical Center"/>
    <s v="Male"/>
    <n v="47"/>
    <x v="0"/>
    <n v="3"/>
    <x v="7"/>
    <x v="7"/>
    <n v="6244.92"/>
    <n v="4099.95"/>
    <n v="12.9"/>
    <x v="1"/>
    <x v="0"/>
  </r>
  <r>
    <s v="NHM-2023-102032"/>
    <s v="February"/>
    <x v="2"/>
    <n v="2"/>
    <d v="2026-02-11T00:00:00"/>
    <x v="2"/>
    <s v="John Diaz"/>
    <s v="NovaHealth Greenfield Clinic"/>
    <s v="Male"/>
    <n v="30"/>
    <x v="2"/>
    <n v="3"/>
    <x v="5"/>
    <x v="5"/>
    <n v="12815.12"/>
    <n v="8602.93"/>
    <n v="2.1"/>
    <x v="1"/>
    <x v="0"/>
  </r>
  <r>
    <s v="NHM-2023-102145"/>
    <s v="April"/>
    <x v="0"/>
    <n v="4"/>
    <d v="2025-04-16T00:00:00"/>
    <x v="1"/>
    <s v="Joyce Gonzales"/>
    <s v="NovaHealth Chicago Medical Center"/>
    <s v="Male"/>
    <n v="1"/>
    <x v="0"/>
    <n v="2"/>
    <x v="6"/>
    <x v="6"/>
    <n v="730.57"/>
    <n v="559.4"/>
    <n v="6"/>
    <x v="1"/>
    <x v="2"/>
  </r>
  <r>
    <s v="NHM-2023-101382"/>
    <s v="January"/>
    <x v="3"/>
    <n v="1"/>
    <d v="2024-01-17T00:00:00"/>
    <x v="0"/>
    <s v="Juan Miller"/>
    <s v="NovaHealth Lakeside Medical Center"/>
    <s v="Female"/>
    <n v="21"/>
    <x v="0"/>
    <n v="1"/>
    <x v="1"/>
    <x v="1"/>
    <n v="9829.14"/>
    <n v="7200.87"/>
    <n v="3.2"/>
    <x v="0"/>
    <x v="0"/>
  </r>
  <r>
    <s v="NHM-2026-101530"/>
    <s v="July"/>
    <x v="8"/>
    <n v="7"/>
    <d v="2024-07-09T00:00:00"/>
    <x v="0"/>
    <s v="Harold Moore"/>
    <s v="NovaHealth Northside Hospital"/>
    <s v="Male"/>
    <n v="30"/>
    <x v="0"/>
    <n v="3"/>
    <x v="7"/>
    <x v="7"/>
    <n v="4928.3900000000003"/>
    <n v="3894.38"/>
    <n v="18.600000000000001"/>
    <x v="1"/>
    <x v="0"/>
  </r>
  <r>
    <s v="NHM-2024-100784"/>
    <s v="May"/>
    <x v="9"/>
    <n v="5"/>
    <d v="2026-05-06T00:00:00"/>
    <x v="2"/>
    <s v="Danielle Kim"/>
    <s v="NovaHealth Chicago Medical Center"/>
    <s v="Male"/>
    <n v="13"/>
    <x v="0"/>
    <n v="4"/>
    <x v="6"/>
    <x v="6"/>
    <n v="1154.0999999999999"/>
    <n v="686.98"/>
    <n v="2.2000000000000002"/>
    <x v="2"/>
    <x v="2"/>
  </r>
  <r>
    <s v="NHM-2024-102323"/>
    <s v="November"/>
    <x v="4"/>
    <n v="11"/>
    <d v="2025-11-26T00:00:00"/>
    <x v="1"/>
    <s v="Olivia Gomez"/>
    <s v="NovaHealth Chicago Medical Center"/>
    <s v="Male"/>
    <n v="79"/>
    <x v="1"/>
    <n v="4"/>
    <x v="5"/>
    <x v="5"/>
    <n v="19256.38"/>
    <n v="11838.39"/>
    <n v="11.5"/>
    <x v="2"/>
    <x v="1"/>
  </r>
  <r>
    <s v="NHM-2023-100872"/>
    <s v="July"/>
    <x v="8"/>
    <n v="7"/>
    <d v="2026-07-01T00:00:00"/>
    <x v="2"/>
    <s v="Nathan Bailey"/>
    <s v="NovaHealth Chicago Medical Center"/>
    <s v="Male"/>
    <n v="50"/>
    <x v="0"/>
    <n v="3"/>
    <x v="0"/>
    <x v="0"/>
    <n v="7046.25"/>
    <n v="4576.8"/>
    <n v="8.4"/>
    <x v="1"/>
    <x v="0"/>
  </r>
  <r>
    <s v="NHM-2024-100047"/>
    <s v="January"/>
    <x v="3"/>
    <n v="1"/>
    <d v="2026-01-01T00:00:00"/>
    <x v="2"/>
    <s v="Beverly Chavez"/>
    <s v="NovaHealth Chicago Medical Center"/>
    <s v="Male"/>
    <n v="78"/>
    <x v="2"/>
    <n v="4"/>
    <x v="5"/>
    <x v="5"/>
    <n v="22410.49"/>
    <n v="15085.43"/>
    <n v="8.8000000000000007"/>
    <x v="2"/>
    <x v="1"/>
  </r>
  <r>
    <s v="NHM-2026-101643"/>
    <s v="September"/>
    <x v="7"/>
    <n v="9"/>
    <d v="2025-09-03T00:00:00"/>
    <x v="1"/>
    <s v="Justin Long"/>
    <s v="NovaHealth Chicago Medical Center"/>
    <s v="Female"/>
    <n v="38"/>
    <x v="0"/>
    <n v="1"/>
    <x v="0"/>
    <x v="0"/>
    <n v="7017.35"/>
    <n v="4937.74"/>
    <n v="3.2"/>
    <x v="0"/>
    <x v="0"/>
  </r>
  <r>
    <s v="NHM-2026-102116"/>
    <s v="February"/>
    <x v="2"/>
    <n v="2"/>
    <d v="2024-02-19T00:00:00"/>
    <x v="0"/>
    <s v="Frances Dixon"/>
    <s v="NovaHealth Midtown Medical Center"/>
    <s v="Male"/>
    <n v="7"/>
    <x v="0"/>
    <n v="1"/>
    <x v="6"/>
    <x v="6"/>
    <n v="2216.09"/>
    <n v="1641.75"/>
    <n v="3"/>
    <x v="0"/>
    <x v="2"/>
  </r>
  <r>
    <s v="NHM-2024-102232"/>
    <s v="April"/>
    <x v="0"/>
    <n v="4"/>
    <d v="2024-04-08T00:00:00"/>
    <x v="0"/>
    <s v="Margaret Jordan"/>
    <s v="NovaHealth Lakeshore Regional Center"/>
    <s v="Male"/>
    <n v="34"/>
    <x v="1"/>
    <n v="4"/>
    <x v="5"/>
    <x v="5"/>
    <n v="12804.74"/>
    <n v="9827.6"/>
    <n v="12"/>
    <x v="2"/>
    <x v="0"/>
  </r>
  <r>
    <s v="NHM-2025-100900"/>
    <s v="August"/>
    <x v="10"/>
    <n v="8"/>
    <d v="2025-08-25T00:00:00"/>
    <x v="1"/>
    <s v="Catherine Owens"/>
    <s v="NovaHealth Midtown Medical Center"/>
    <s v="Female"/>
    <n v="23"/>
    <x v="0"/>
    <n v="3"/>
    <x v="2"/>
    <x v="2"/>
    <n v="2164.61"/>
    <n v="1314.67"/>
    <n v="7.4"/>
    <x v="1"/>
    <x v="0"/>
  </r>
  <r>
    <s v="NHM-2024-100121"/>
    <s v="November"/>
    <x v="4"/>
    <n v="11"/>
    <d v="2023-11-27T00:00:00"/>
    <x v="3"/>
    <s v="Ronald Mendoza"/>
    <s v="NovaHealth Midtown Medical Center"/>
    <s v="Male"/>
    <n v="10"/>
    <x v="2"/>
    <n v="3"/>
    <x v="6"/>
    <x v="6"/>
    <n v="2746.42"/>
    <n v="1712.92"/>
    <n v="4.7"/>
    <x v="1"/>
    <x v="2"/>
  </r>
  <r>
    <s v="NHM-2026-100560"/>
    <s v="November"/>
    <x v="4"/>
    <n v="11"/>
    <d v="2025-11-24T00:00:00"/>
    <x v="1"/>
    <s v="Barbara Mendoza"/>
    <s v="NovaHealth River Valley Hospital"/>
    <s v="Male"/>
    <n v="55"/>
    <x v="0"/>
    <n v="1"/>
    <x v="0"/>
    <x v="0"/>
    <n v="7240.31"/>
    <n v="4724.2"/>
    <n v="11.3"/>
    <x v="0"/>
    <x v="0"/>
  </r>
  <r>
    <s v="NHM-2025-100629"/>
    <s v="July"/>
    <x v="8"/>
    <n v="7"/>
    <d v="2025-07-08T00:00:00"/>
    <x v="1"/>
    <s v="Judy Russell"/>
    <s v="NovaHealth Chicago Medical Center"/>
    <s v="Male"/>
    <n v="61"/>
    <x v="0"/>
    <n v="1"/>
    <x v="7"/>
    <x v="7"/>
    <n v="8894.51"/>
    <n v="6045.72"/>
    <n v="10.8"/>
    <x v="0"/>
    <x v="0"/>
  </r>
  <r>
    <s v="NHM-2023-102110"/>
    <s v="January"/>
    <x v="3"/>
    <n v="1"/>
    <d v="2026-01-26T00:00:00"/>
    <x v="2"/>
    <s v="Gabriel Nelson"/>
    <s v="NovaHealth Midtown Medical Center"/>
    <s v="Female"/>
    <n v="12"/>
    <x v="0"/>
    <n v="3"/>
    <x v="6"/>
    <x v="6"/>
    <n v="2348.94"/>
    <n v="1682.66"/>
    <n v="4.8"/>
    <x v="1"/>
    <x v="2"/>
  </r>
  <r>
    <s v="NHM-2025-101119"/>
    <s v="April"/>
    <x v="0"/>
    <n v="4"/>
    <d v="2024-04-01T00:00:00"/>
    <x v="0"/>
    <s v="Kevin Anderson"/>
    <s v="NovaHealth Chicago Medical Center"/>
    <s v="Female"/>
    <n v="59"/>
    <x v="0"/>
    <n v="1"/>
    <x v="0"/>
    <x v="0"/>
    <n v="4643.24"/>
    <n v="3427.17"/>
    <n v="4.7"/>
    <x v="0"/>
    <x v="0"/>
  </r>
  <r>
    <s v="NHM-2026-100814"/>
    <s v="September"/>
    <x v="7"/>
    <n v="9"/>
    <d v="2023-09-19T00:00:00"/>
    <x v="3"/>
    <s v="Ann Cruz"/>
    <s v="NovaHealth Metro General Hospital"/>
    <s v="Male"/>
    <n v="89"/>
    <x v="2"/>
    <n v="3"/>
    <x v="4"/>
    <x v="4"/>
    <n v="10619.88"/>
    <n v="8207.91"/>
    <n v="17.100000000000001"/>
    <x v="1"/>
    <x v="1"/>
  </r>
  <r>
    <s v="NHM-2024-100569"/>
    <s v="July"/>
    <x v="8"/>
    <n v="7"/>
    <d v="2026-07-09T00:00:00"/>
    <x v="2"/>
    <s v="Roger Cooper"/>
    <s v="NovaHealth Midtown Medical Center"/>
    <s v="Male"/>
    <n v="55"/>
    <x v="1"/>
    <n v="1"/>
    <x v="7"/>
    <x v="7"/>
    <n v="8538.33"/>
    <n v="5060.2299999999996"/>
    <n v="13.5"/>
    <x v="0"/>
    <x v="0"/>
  </r>
  <r>
    <s v="NHM-2026-100812"/>
    <s v="November"/>
    <x v="4"/>
    <n v="11"/>
    <d v="2025-11-07T00:00:00"/>
    <x v="1"/>
    <s v="Ashley Johnson"/>
    <s v="NovaHealth Greenfield Clinic"/>
    <s v="Female"/>
    <n v="82"/>
    <x v="2"/>
    <n v="3"/>
    <x v="2"/>
    <x v="2"/>
    <n v="4533.88"/>
    <n v="2797.67"/>
    <n v="4"/>
    <x v="1"/>
    <x v="1"/>
  </r>
  <r>
    <s v="NHM-2026-100608"/>
    <s v="April"/>
    <x v="0"/>
    <n v="4"/>
    <d v="2026-04-03T00:00:00"/>
    <x v="2"/>
    <s v="Andrea Murphy"/>
    <s v="NovaHealth Lakeside Medical Center"/>
    <s v="Female"/>
    <n v="18"/>
    <x v="1"/>
    <n v="1"/>
    <x v="7"/>
    <x v="7"/>
    <n v="5971.55"/>
    <n v="3939.39"/>
    <n v="14.7"/>
    <x v="0"/>
    <x v="2"/>
  </r>
  <r>
    <s v="NHM-2024-102358"/>
    <s v="June"/>
    <x v="11"/>
    <n v="6"/>
    <d v="2026-06-18T00:00:00"/>
    <x v="2"/>
    <s v="Jacqueline Sullivan"/>
    <s v="NovaHealth Lakeshore Regional Center"/>
    <s v="Female"/>
    <n v="11"/>
    <x v="0"/>
    <n v="2"/>
    <x v="6"/>
    <x v="6"/>
    <n v="1442.92"/>
    <n v="1005.16"/>
    <n v="4.8"/>
    <x v="1"/>
    <x v="2"/>
  </r>
  <r>
    <s v="NHM-2023-102109"/>
    <s v="July"/>
    <x v="8"/>
    <n v="7"/>
    <d v="2024-07-02T00:00:00"/>
    <x v="0"/>
    <s v="Doris Wood"/>
    <s v="NovaHealth Chicago Medical Center"/>
    <s v="Female"/>
    <n v="41"/>
    <x v="0"/>
    <n v="2"/>
    <x v="7"/>
    <x v="7"/>
    <n v="6995.65"/>
    <n v="4980.1499999999996"/>
    <n v="10.4"/>
    <x v="1"/>
    <x v="0"/>
  </r>
  <r>
    <s v="NHM-2024-102273"/>
    <s v="August"/>
    <x v="10"/>
    <n v="8"/>
    <d v="2025-08-04T00:00:00"/>
    <x v="1"/>
    <s v="Christine Hicks"/>
    <s v="NovaHealth Lakeshore Regional Center"/>
    <s v="Male"/>
    <n v="68"/>
    <x v="1"/>
    <n v="4"/>
    <x v="7"/>
    <x v="7"/>
    <n v="14082.4"/>
    <n v="10363.35"/>
    <n v="10.4"/>
    <x v="2"/>
    <x v="1"/>
  </r>
  <r>
    <s v="NHM-2025-100319"/>
    <s v="October"/>
    <x v="5"/>
    <n v="10"/>
    <d v="2023-10-18T00:00:00"/>
    <x v="3"/>
    <s v="Sharon Ford"/>
    <s v="NovaHealth Oakridge Community Hospital"/>
    <s v="Male"/>
    <n v="72"/>
    <x v="2"/>
    <n v="4"/>
    <x v="4"/>
    <x v="4"/>
    <n v="22066.880000000001"/>
    <n v="16873.23"/>
    <n v="12.8"/>
    <x v="2"/>
    <x v="1"/>
  </r>
  <r>
    <s v="NHM-2025-100588"/>
    <s v="May"/>
    <x v="9"/>
    <n v="5"/>
    <d v="2026-05-13T00:00:00"/>
    <x v="2"/>
    <s v="Eric Perry"/>
    <s v="NovaHealth Greenfield Clinic"/>
    <s v="Male"/>
    <n v="76"/>
    <x v="2"/>
    <n v="5"/>
    <x v="4"/>
    <x v="4"/>
    <n v="24358.29"/>
    <n v="14203.81"/>
    <n v="9.5"/>
    <x v="2"/>
    <x v="1"/>
  </r>
  <r>
    <s v="NHM-2025-102011"/>
    <s v="February"/>
    <x v="2"/>
    <n v="2"/>
    <d v="2024-02-20T00:00:00"/>
    <x v="0"/>
    <s v="John Murray"/>
    <s v="NovaHealth Northside Hospital"/>
    <s v="Male"/>
    <n v="17"/>
    <x v="0"/>
    <n v="1"/>
    <x v="6"/>
    <x v="6"/>
    <n v="821.29"/>
    <n v="517.79"/>
    <n v="2.1"/>
    <x v="0"/>
    <x v="2"/>
  </r>
  <r>
    <s v="NHM-2025-101523"/>
    <s v="April"/>
    <x v="0"/>
    <n v="4"/>
    <d v="2024-04-22T00:00:00"/>
    <x v="0"/>
    <s v="Ann Reed"/>
    <s v="NovaHealth Northside Hospital"/>
    <s v="Male"/>
    <n v="67"/>
    <x v="0"/>
    <n v="2"/>
    <x v="7"/>
    <x v="7"/>
    <n v="3592.56"/>
    <n v="2391.2399999999998"/>
    <n v="11.5"/>
    <x v="1"/>
    <x v="1"/>
  </r>
  <r>
    <s v="NHM-2023-101187"/>
    <s v="June"/>
    <x v="11"/>
    <n v="6"/>
    <d v="2024-06-14T00:00:00"/>
    <x v="0"/>
    <s v="John Jones"/>
    <s v="NovaHealth Metro General Hospital"/>
    <s v="Male"/>
    <n v="79"/>
    <x v="0"/>
    <n v="3"/>
    <x v="7"/>
    <x v="7"/>
    <n v="8354.5"/>
    <n v="5739.11"/>
    <n v="17.7"/>
    <x v="1"/>
    <x v="1"/>
  </r>
  <r>
    <s v="NHM-2024-101633"/>
    <s v="August"/>
    <x v="10"/>
    <n v="8"/>
    <d v="2025-08-11T00:00:00"/>
    <x v="1"/>
    <s v="Denise Russell"/>
    <s v="NovaHealth Chicago Medical Center"/>
    <s v="Male"/>
    <n v="92"/>
    <x v="2"/>
    <n v="3"/>
    <x v="4"/>
    <x v="4"/>
    <n v="15972.16"/>
    <n v="11267.71"/>
    <n v="10.9"/>
    <x v="1"/>
    <x v="1"/>
  </r>
  <r>
    <s v="NHM-2024-101414"/>
    <s v="May"/>
    <x v="9"/>
    <n v="5"/>
    <d v="2025-05-28T00:00:00"/>
    <x v="1"/>
    <s v="Denise Foster"/>
    <s v="NovaHealth Lakeside Medical Center"/>
    <s v="Female"/>
    <n v="68"/>
    <x v="2"/>
    <n v="3"/>
    <x v="1"/>
    <x v="1"/>
    <n v="8499.76"/>
    <n v="6257.62"/>
    <n v="6.6"/>
    <x v="1"/>
    <x v="1"/>
  </r>
  <r>
    <s v="NHM-2026-100383"/>
    <s v="July"/>
    <x v="8"/>
    <n v="7"/>
    <d v="2025-07-31T00:00:00"/>
    <x v="1"/>
    <s v="Bryan Wright"/>
    <s v="NovaHealth Greenfield Clinic"/>
    <s v="Male"/>
    <n v="59"/>
    <x v="2"/>
    <n v="4"/>
    <x v="5"/>
    <x v="5"/>
    <n v="20274.060000000001"/>
    <n v="15494.69"/>
    <n v="10.8"/>
    <x v="2"/>
    <x v="0"/>
  </r>
  <r>
    <s v="NHM-2026-100575"/>
    <s v="March"/>
    <x v="1"/>
    <n v="3"/>
    <d v="2026-03-18T00:00:00"/>
    <x v="2"/>
    <s v="Albert Martinez"/>
    <s v="NovaHealth Oakridge Community Hospital"/>
    <s v="Male"/>
    <n v="59"/>
    <x v="0"/>
    <n v="2"/>
    <x v="3"/>
    <x v="3"/>
    <n v="5793.69"/>
    <n v="3360.34"/>
    <m/>
    <x v="1"/>
    <x v="0"/>
  </r>
  <r>
    <s v="NHM-2023-100782"/>
    <s v="October"/>
    <x v="5"/>
    <n v="10"/>
    <d v="2024-10-25T00:00:00"/>
    <x v="0"/>
    <s v="Billy Gomez"/>
    <s v="NovaHealth Northside Hospital"/>
    <s v="Male"/>
    <n v="83"/>
    <x v="0"/>
    <n v="4"/>
    <x v="5"/>
    <x v="5"/>
    <n v="13016.79"/>
    <n v="8008.24"/>
    <n v="8.5"/>
    <x v="2"/>
    <x v="1"/>
  </r>
  <r>
    <s v="NHM-2025-101881"/>
    <s v="May"/>
    <x v="9"/>
    <n v="5"/>
    <d v="2026-05-14T00:00:00"/>
    <x v="2"/>
    <s v="George Garcia"/>
    <s v="NovaHealth River Valley Hospital"/>
    <s v="Female"/>
    <n v="33"/>
    <x v="0"/>
    <n v="1"/>
    <x v="1"/>
    <x v="1"/>
    <n v="7686.65"/>
    <n v="4995.46"/>
    <n v="9.5"/>
    <x v="0"/>
    <x v="0"/>
  </r>
  <r>
    <s v="NHM-2026-101428"/>
    <s v="August"/>
    <x v="10"/>
    <n v="8"/>
    <d v="2025-08-11T00:00:00"/>
    <x v="1"/>
    <s v="Janet Reyes"/>
    <s v="NovaHealth Northside Hospital"/>
    <s v="Female"/>
    <n v="39"/>
    <x v="0"/>
    <n v="1"/>
    <x v="1"/>
    <x v="1"/>
    <n v="8280.3700000000008"/>
    <n v="5605.45"/>
    <n v="7.2"/>
    <x v="0"/>
    <x v="0"/>
  </r>
  <r>
    <s v="NHM-2025-101954"/>
    <s v="April"/>
    <x v="0"/>
    <n v="4"/>
    <d v="2026-04-30T00:00:00"/>
    <x v="2"/>
    <s v="Cheryl Evans"/>
    <s v="NovaHealth Lakeshore Regional Center"/>
    <s v="Male"/>
    <n v="74"/>
    <x v="2"/>
    <n v="4"/>
    <x v="4"/>
    <x v="4"/>
    <n v="17676"/>
    <n v="12437.2"/>
    <n v="8"/>
    <x v="2"/>
    <x v="1"/>
  </r>
  <r>
    <s v="NHM-2025-101795"/>
    <s v="March"/>
    <x v="1"/>
    <n v="3"/>
    <d v="2024-03-15T00:00:00"/>
    <x v="0"/>
    <s v="Doris Brooks"/>
    <s v="NovaHealth Oakridge Community Hospital"/>
    <s v="Female"/>
    <n v="34"/>
    <x v="2"/>
    <n v="2"/>
    <x v="1"/>
    <x v="1"/>
    <n v="10793.34"/>
    <n v="7931.94"/>
    <n v="6.6"/>
    <x v="1"/>
    <x v="0"/>
  </r>
  <r>
    <s v="NHM-2024-100507"/>
    <s v="February"/>
    <x v="2"/>
    <n v="2"/>
    <d v="2026-02-11T00:00:00"/>
    <x v="2"/>
    <s v="Elizabeth Jones"/>
    <s v="NovaHealth Midtown Medical Center"/>
    <s v="Female"/>
    <n v="60"/>
    <x v="2"/>
    <n v="4"/>
    <x v="4"/>
    <x v="4"/>
    <n v="21912.39"/>
    <n v="16719.82"/>
    <n v="8.3000000000000007"/>
    <x v="2"/>
    <x v="0"/>
  </r>
  <r>
    <s v="NHM-2026-102265"/>
    <s v="March"/>
    <x v="1"/>
    <n v="3"/>
    <d v="2026-03-12T00:00:00"/>
    <x v="2"/>
    <s v="Brenda Nguyen"/>
    <s v="NovaHealth Greenfield Clinic"/>
    <s v="Female"/>
    <n v="84"/>
    <x v="2"/>
    <n v="4"/>
    <x v="5"/>
    <x v="5"/>
    <n v="19491.97"/>
    <n v="11376.54"/>
    <n v="8.9"/>
    <x v="2"/>
    <x v="1"/>
  </r>
  <r>
    <s v="NHM-2024-101640"/>
    <s v="June"/>
    <x v="11"/>
    <n v="6"/>
    <d v="2025-06-12T00:00:00"/>
    <x v="1"/>
    <s v="Heather Scott"/>
    <s v="NovaHealth Chicago Medical Center"/>
    <s v="Female"/>
    <n v="50"/>
    <x v="0"/>
    <n v="2"/>
    <x v="0"/>
    <x v="0"/>
    <n v="9662.81"/>
    <n v="5950.31"/>
    <n v="7"/>
    <x v="1"/>
    <x v="0"/>
  </r>
  <r>
    <s v="NHM-2025-100991"/>
    <s v="April"/>
    <x v="0"/>
    <n v="4"/>
    <d v="2024-04-20T00:00:00"/>
    <x v="0"/>
    <s v="Sharon Henry"/>
    <s v="NovaHealth River Valley Hospital"/>
    <s v="Male"/>
    <n v="45"/>
    <x v="2"/>
    <n v="4"/>
    <x v="3"/>
    <x v="3"/>
    <n v="11453.53"/>
    <n v="7347.06"/>
    <n v="2.1"/>
    <x v="2"/>
    <x v="0"/>
  </r>
  <r>
    <s v="NHM-2024-100638"/>
    <s v="July"/>
    <x v="8"/>
    <n v="7"/>
    <d v="2025-07-31T00:00:00"/>
    <x v="1"/>
    <s v="Douglas Cruz"/>
    <s v="NovaHealth Northside Hospital"/>
    <s v="Male"/>
    <n v="57"/>
    <x v="2"/>
    <n v="4"/>
    <x v="4"/>
    <x v="4"/>
    <n v="11287.13"/>
    <n v="7652.78"/>
    <n v="11.3"/>
    <x v="2"/>
    <x v="0"/>
  </r>
  <r>
    <s v="NHM-2025-100120"/>
    <s v="April"/>
    <x v="0"/>
    <n v="4"/>
    <d v="2024-04-08T00:00:00"/>
    <x v="0"/>
    <s v="Noah Gonzales"/>
    <s v="NovaHealth Lakeside Medical Center"/>
    <s v="Male"/>
    <n v="7"/>
    <x v="0"/>
    <n v="3"/>
    <x v="6"/>
    <x v="6"/>
    <n v="1850.81"/>
    <n v="1303.57"/>
    <n v="1"/>
    <x v="1"/>
    <x v="2"/>
  </r>
  <r>
    <s v="NHM-2025-101707"/>
    <s v="July"/>
    <x v="8"/>
    <n v="7"/>
    <d v="2024-07-30T00:00:00"/>
    <x v="0"/>
    <s v="Marilyn Gutierrez"/>
    <s v="NovaHealth Lakeshore Regional Center"/>
    <s v="Male"/>
    <n v="41"/>
    <x v="0"/>
    <n v="1"/>
    <x v="2"/>
    <x v="2"/>
    <n v="4380.55"/>
    <n v="3272.2"/>
    <n v="9.3000000000000007"/>
    <x v="0"/>
    <x v="0"/>
  </r>
  <r>
    <s v="NHM-2023-100147"/>
    <s v="January"/>
    <x v="3"/>
    <n v="1"/>
    <d v="2025-01-09T00:00:00"/>
    <x v="1"/>
    <s v="Stephanie Wright"/>
    <s v="NovaHealth Chicago Medical Center"/>
    <s v="Female"/>
    <n v="88"/>
    <x v="0"/>
    <n v="3"/>
    <x v="5"/>
    <x v="5"/>
    <n v="15062.19"/>
    <n v="11533.66"/>
    <n v="10.8"/>
    <x v="1"/>
    <x v="1"/>
  </r>
  <r>
    <s v="NHM-2023-101023"/>
    <s v="July"/>
    <x v="8"/>
    <n v="7"/>
    <d v="2026-07-20T00:00:00"/>
    <x v="2"/>
    <s v="Melissa Baker"/>
    <s v="NovaHealth Northside Hospital"/>
    <s v="Male"/>
    <n v="13"/>
    <x v="1"/>
    <n v="3"/>
    <x v="6"/>
    <x v="6"/>
    <n v="1734.93"/>
    <n v="1010.26"/>
    <n v="0.5"/>
    <x v="1"/>
    <x v="2"/>
  </r>
  <r>
    <s v="NHM-2026-101592"/>
    <s v="August"/>
    <x v="10"/>
    <n v="8"/>
    <d v="2024-08-20T00:00:00"/>
    <x v="0"/>
    <s v="Anthony Harrison"/>
    <s v="NovaHealth Chicago Medical Center"/>
    <s v="Male"/>
    <n v="27"/>
    <x v="0"/>
    <n v="1"/>
    <x v="2"/>
    <x v="2"/>
    <n v="1633.59"/>
    <n v="1042.0899999999999"/>
    <n v="5.7"/>
    <x v="0"/>
    <x v="0"/>
  </r>
  <r>
    <s v="NHM-2025-100228"/>
    <s v="September"/>
    <x v="7"/>
    <n v="9"/>
    <d v="2024-09-09T00:00:00"/>
    <x v="0"/>
    <s v="Beverly Patterson"/>
    <s v="NovaHealth Chicago Medical Center"/>
    <s v="Male"/>
    <n v="78"/>
    <x v="0"/>
    <n v="1"/>
    <x v="0"/>
    <x v="0"/>
    <n v="9980.6"/>
    <n v="6405.18"/>
    <n v="2.2000000000000002"/>
    <x v="0"/>
    <x v="1"/>
  </r>
  <r>
    <s v="NHM-2025-101416"/>
    <s v="September"/>
    <x v="7"/>
    <n v="9"/>
    <d v="2024-09-13T00:00:00"/>
    <x v="0"/>
    <s v="Janet Warren"/>
    <s v="NovaHealth Northside Hospital"/>
    <s v="Male"/>
    <n v="61"/>
    <x v="0"/>
    <n v="1"/>
    <x v="0"/>
    <x v="0"/>
    <n v="9235.43"/>
    <n v="6270.94"/>
    <n v="10.4"/>
    <x v="0"/>
    <x v="0"/>
  </r>
  <r>
    <s v="NHM-2023-101268"/>
    <s v="January"/>
    <x v="3"/>
    <n v="1"/>
    <d v="2026-01-30T00:00:00"/>
    <x v="2"/>
    <s v="Jason Marshall"/>
    <s v="NovaHealth Chicago Medical Center"/>
    <s v="Male"/>
    <n v="20"/>
    <x v="1"/>
    <n v="4"/>
    <x v="2"/>
    <x v="2"/>
    <n v="3591.67"/>
    <n v="2548.5700000000002"/>
    <n v="4.3"/>
    <x v="2"/>
    <x v="0"/>
  </r>
  <r>
    <s v="NHM-2024-101886"/>
    <s v="November"/>
    <x v="4"/>
    <n v="11"/>
    <d v="2025-11-16T00:00:00"/>
    <x v="1"/>
    <s v="Jordan Lopez"/>
    <s v="NovaHealth Greenfield Clinic"/>
    <s v="Male"/>
    <n v="30"/>
    <x v="1"/>
    <n v="5"/>
    <x v="5"/>
    <x v="5"/>
    <n v="23494.65"/>
    <n v="17219.89"/>
    <n v="8.6"/>
    <x v="2"/>
    <x v="0"/>
  </r>
  <r>
    <s v="NHM-2026-100005"/>
    <s v="January"/>
    <x v="3"/>
    <n v="1"/>
    <d v="2024-01-04T00:00:00"/>
    <x v="0"/>
    <s v="Stephanie Gutierrez"/>
    <s v="NovaHealth River Valley Hospital"/>
    <s v="Female"/>
    <n v="55"/>
    <x v="0"/>
    <n v="1"/>
    <x v="7"/>
    <x v="7"/>
    <n v="3159.11"/>
    <n v="2568.92"/>
    <n v="21"/>
    <x v="0"/>
    <x v="0"/>
  </r>
  <r>
    <s v="NHM-2026-100766"/>
    <s v="May"/>
    <x v="9"/>
    <n v="5"/>
    <d v="2026-05-27T00:00:00"/>
    <x v="2"/>
    <s v="Richard Griffin"/>
    <s v="NovaHealth Northside Hospital"/>
    <s v="Male"/>
    <n v="5"/>
    <x v="0"/>
    <n v="1"/>
    <x v="6"/>
    <x v="6"/>
    <n v="1822.68"/>
    <n v="1061.1500000000001"/>
    <n v="0.5"/>
    <x v="0"/>
    <x v="2"/>
  </r>
  <r>
    <s v="NHM-2026-100842"/>
    <s v="March"/>
    <x v="1"/>
    <n v="3"/>
    <d v="2026-03-23T00:00:00"/>
    <x v="2"/>
    <s v="Rachel Cruz"/>
    <s v="NovaHealth Chicago Medical Center"/>
    <s v="Female"/>
    <n v="53"/>
    <x v="2"/>
    <n v="2"/>
    <x v="0"/>
    <x v="0"/>
    <n v="5115.3999999999996"/>
    <n v="3195.59"/>
    <n v="9.4"/>
    <x v="1"/>
    <x v="0"/>
  </r>
  <r>
    <s v="NHM-2025-100726"/>
    <s v="August"/>
    <x v="10"/>
    <n v="8"/>
    <d v="2024-08-16T00:00:00"/>
    <x v="0"/>
    <s v="Carolyn Reed"/>
    <s v="NovaHealth Lakeshore Regional Center"/>
    <s v="Male"/>
    <n v="67"/>
    <x v="2"/>
    <n v="4"/>
    <x v="4"/>
    <x v="4"/>
    <n v="21221.31"/>
    <n v="13722.44"/>
    <n v="17.600000000000001"/>
    <x v="2"/>
    <x v="1"/>
  </r>
  <r>
    <s v="NHM-2023-101053"/>
    <s v="April"/>
    <x v="0"/>
    <n v="4"/>
    <d v="2025-04-29T00:00:00"/>
    <x v="1"/>
    <s v="Heather Roberts"/>
    <s v="NovaHealth Chicago Medical Center"/>
    <s v="Male"/>
    <n v="40"/>
    <x v="1"/>
    <n v="2"/>
    <x v="7"/>
    <x v="7"/>
    <n v="3824.34"/>
    <n v="2681.51"/>
    <n v="14.9"/>
    <x v="1"/>
    <x v="0"/>
  </r>
  <r>
    <s v="NHM-2023-102091"/>
    <s v="May"/>
    <x v="9"/>
    <n v="5"/>
    <d v="2025-05-31T00:00:00"/>
    <x v="1"/>
    <s v="Judith Fisher"/>
    <s v="NovaHealth Northside Hospital"/>
    <s v="Male"/>
    <n v="74"/>
    <x v="0"/>
    <n v="2"/>
    <x v="0"/>
    <x v="0"/>
    <n v="7225.74"/>
    <n v="5134.82"/>
    <n v="9.6"/>
    <x v="1"/>
    <x v="1"/>
  </r>
  <r>
    <s v="NHM-2025-100053"/>
    <s v="May"/>
    <x v="9"/>
    <n v="5"/>
    <d v="2025-05-15T00:00:00"/>
    <x v="1"/>
    <s v="Cheryl Price"/>
    <s v="NovaHealth Lakeside Medical Center"/>
    <s v="Female"/>
    <n v="69"/>
    <x v="0"/>
    <n v="3"/>
    <x v="3"/>
    <x v="3"/>
    <n v="10916.65"/>
    <n v="8029.95"/>
    <n v="7.6"/>
    <x v="1"/>
    <x v="1"/>
  </r>
  <r>
    <s v="NHM-2025-102334"/>
    <s v="April"/>
    <x v="0"/>
    <n v="4"/>
    <d v="2024-04-24T00:00:00"/>
    <x v="0"/>
    <s v="Logan Turner"/>
    <s v="NovaHealth Northside Hospital"/>
    <s v="Female"/>
    <n v="67"/>
    <x v="2"/>
    <n v="5"/>
    <x v="3"/>
    <x v="3"/>
    <n v="9509.0400000000009"/>
    <n v="7226.87"/>
    <m/>
    <x v="2"/>
    <x v="1"/>
  </r>
  <r>
    <s v="NHM-2025-100066"/>
    <s v="September"/>
    <x v="7"/>
    <n v="9"/>
    <d v="2024-09-06T00:00:00"/>
    <x v="0"/>
    <s v="Charles Edwards"/>
    <s v="NovaHealth River Valley Hospital"/>
    <s v="Male"/>
    <n v="50"/>
    <x v="0"/>
    <n v="2"/>
    <x v="1"/>
    <x v="1"/>
    <n v="10166.74"/>
    <n v="5927.91"/>
    <n v="3.9"/>
    <x v="1"/>
    <x v="0"/>
  </r>
  <r>
    <s v="NHM-2023-100536"/>
    <s v="October"/>
    <x v="5"/>
    <n v="10"/>
    <d v="2025-10-01T00:00:00"/>
    <x v="1"/>
    <s v="Stephanie Hamilton"/>
    <s v="NovaHealth Lakeside Medical Center"/>
    <s v="Male"/>
    <n v="1"/>
    <x v="1"/>
    <n v="4"/>
    <x v="6"/>
    <x v="6"/>
    <n v="1074.49"/>
    <n v="673.84"/>
    <n v="2.2999999999999998"/>
    <x v="2"/>
    <x v="2"/>
  </r>
  <r>
    <s v="NHM-2025-102338"/>
    <s v="June"/>
    <x v="11"/>
    <n v="6"/>
    <d v="2024-06-13T00:00:00"/>
    <x v="0"/>
    <s v="Roger King"/>
    <s v="NovaHealth Metro General Hospital"/>
    <s v="Male"/>
    <n v="73"/>
    <x v="1"/>
    <n v="3"/>
    <x v="0"/>
    <x v="0"/>
    <n v="13421.61"/>
    <n v="8659.43"/>
    <n v="8.6999999999999993"/>
    <x v="1"/>
    <x v="1"/>
  </r>
  <r>
    <s v="NHM-2024-100322"/>
    <s v="July"/>
    <x v="8"/>
    <n v="7"/>
    <d v="2026-07-10T00:00:00"/>
    <x v="2"/>
    <s v="Walter Green"/>
    <s v="NovaHealth Greenfield Clinic"/>
    <s v="Male"/>
    <n v="85"/>
    <x v="0"/>
    <n v="1"/>
    <x v="0"/>
    <x v="0"/>
    <n v="7904.52"/>
    <n v="5339.23"/>
    <n v="5.4"/>
    <x v="0"/>
    <x v="1"/>
  </r>
  <r>
    <s v="NHM-2026-102200"/>
    <s v="June"/>
    <x v="11"/>
    <n v="6"/>
    <d v="2024-06-06T00:00:00"/>
    <x v="0"/>
    <s v="Joyce Martin"/>
    <s v="NovaHealth Greenfield Clinic"/>
    <s v="Male"/>
    <n v="91"/>
    <x v="1"/>
    <n v="3"/>
    <x v="4"/>
    <x v="4"/>
    <n v="10403.99"/>
    <n v="7394.79"/>
    <n v="14"/>
    <x v="1"/>
    <x v="1"/>
  </r>
  <r>
    <s v="NHM-2023-101216"/>
    <s v="October"/>
    <x v="5"/>
    <n v="10"/>
    <d v="2025-10-22T00:00:00"/>
    <x v="1"/>
    <s v="Rachel Flores"/>
    <s v="NovaHealth Midtown Medical Center"/>
    <s v="Female"/>
    <n v="25"/>
    <x v="0"/>
    <n v="1"/>
    <x v="7"/>
    <x v="7"/>
    <n v="6275.27"/>
    <n v="4708.95"/>
    <n v="16"/>
    <x v="0"/>
    <x v="0"/>
  </r>
  <r>
    <s v="NHM-2026-101736"/>
    <s v="May"/>
    <x v="9"/>
    <n v="5"/>
    <d v="2026-05-27T00:00:00"/>
    <x v="2"/>
    <s v="Austin Sullivan"/>
    <s v="NovaHealth Greenfield Clinic"/>
    <s v="Male"/>
    <n v="63"/>
    <x v="1"/>
    <n v="4"/>
    <x v="4"/>
    <x v="4"/>
    <n v="12965.78"/>
    <n v="9997.99"/>
    <n v="18"/>
    <x v="2"/>
    <x v="0"/>
  </r>
  <r>
    <s v="NHM-2025-101722"/>
    <s v="April"/>
    <x v="0"/>
    <n v="4"/>
    <d v="2025-04-11T00:00:00"/>
    <x v="1"/>
    <s v="Nicholas Morales"/>
    <s v="NovaHealth Chicago Medical Center"/>
    <s v="Female"/>
    <n v="79"/>
    <x v="1"/>
    <n v="5"/>
    <x v="5"/>
    <x v="5"/>
    <n v="13684.14"/>
    <n v="8031.2"/>
    <n v="11.8"/>
    <x v="2"/>
    <x v="1"/>
  </r>
  <r>
    <s v="NHM-2026-100234"/>
    <s v="June"/>
    <x v="11"/>
    <n v="6"/>
    <d v="2024-06-11T00:00:00"/>
    <x v="0"/>
    <s v="Benjamin Parker"/>
    <s v="NovaHealth Lakeside Medical Center"/>
    <s v="Male"/>
    <n v="72"/>
    <x v="2"/>
    <n v="4"/>
    <x v="2"/>
    <x v="2"/>
    <n v="1896.06"/>
    <n v="1192.5999999999999"/>
    <n v="4.5"/>
    <x v="2"/>
    <x v="1"/>
  </r>
  <r>
    <s v="NHM-2023-100580"/>
    <s v="March"/>
    <x v="1"/>
    <n v="3"/>
    <d v="2026-03-09T00:00:00"/>
    <x v="2"/>
    <s v="Brandon Reyes"/>
    <s v="NovaHealth Northside Hospital"/>
    <s v="Female"/>
    <n v="61"/>
    <x v="0"/>
    <n v="3"/>
    <x v="1"/>
    <x v="1"/>
    <n v="13243.9"/>
    <n v="8497.7000000000007"/>
    <n v="2.7"/>
    <x v="1"/>
    <x v="0"/>
  </r>
  <r>
    <s v="NHM-2025-100690"/>
    <s v="October"/>
    <x v="5"/>
    <n v="10"/>
    <d v="2024-10-01T00:00:00"/>
    <x v="0"/>
    <s v="Willie Lewis"/>
    <s v="NovaHealth Lakeside Medical Center"/>
    <s v="Male"/>
    <n v="52"/>
    <x v="2"/>
    <n v="5"/>
    <x v="5"/>
    <x v="5"/>
    <n v="15557.37"/>
    <n v="10462.64"/>
    <n v="4.9000000000000004"/>
    <x v="2"/>
    <x v="0"/>
  </r>
  <r>
    <s v="NHM-2026-100641"/>
    <s v="October"/>
    <x v="5"/>
    <n v="10"/>
    <d v="2025-10-23T00:00:00"/>
    <x v="1"/>
    <s v="Michelle Nelson"/>
    <s v="NovaHealth Northside Hospital"/>
    <s v="Female"/>
    <n v="30"/>
    <x v="0"/>
    <n v="4"/>
    <x v="5"/>
    <x v="5"/>
    <n v="12642.26"/>
    <n v="8881.58"/>
    <n v="4"/>
    <x v="2"/>
    <x v="0"/>
  </r>
  <r>
    <s v="NHM-2023-101263"/>
    <s v="June"/>
    <x v="11"/>
    <n v="6"/>
    <d v="2026-06-29T00:00:00"/>
    <x v="2"/>
    <s v="Randy Kim"/>
    <s v="NovaHealth Lakeside Medical Center"/>
    <s v="Male"/>
    <n v="48"/>
    <x v="0"/>
    <n v="1"/>
    <x v="1"/>
    <x v="1"/>
    <n v="7857.22"/>
    <n v="5802.17"/>
    <n v="8.3000000000000007"/>
    <x v="0"/>
    <x v="0"/>
  </r>
  <r>
    <s v="NHM-2026-101912"/>
    <s v="June"/>
    <x v="11"/>
    <n v="6"/>
    <d v="2026-06-01T00:00:00"/>
    <x v="2"/>
    <s v="Jasmine Freeman"/>
    <s v="NovaHealth Chicago Medical Center"/>
    <s v="Male"/>
    <n v="75"/>
    <x v="1"/>
    <n v="4"/>
    <x v="2"/>
    <x v="2"/>
    <n v="5218.97"/>
    <n v="4023.22"/>
    <n v="7.1"/>
    <x v="2"/>
    <x v="1"/>
  </r>
  <r>
    <s v="NHM-2026-101672"/>
    <s v="February"/>
    <x v="2"/>
    <n v="2"/>
    <d v="2026-02-23T00:00:00"/>
    <x v="2"/>
    <s v="Gabriel Lewis"/>
    <s v="NovaHealth Lakeside Medical Center"/>
    <s v="Male"/>
    <n v="42"/>
    <x v="0"/>
    <n v="1"/>
    <x v="1"/>
    <x v="1"/>
    <n v="9204.01"/>
    <n v="5368.73"/>
    <n v="3.8"/>
    <x v="0"/>
    <x v="0"/>
  </r>
  <r>
    <s v="NHM-2025-102301"/>
    <s v="May"/>
    <x v="9"/>
    <n v="5"/>
    <d v="2026-05-25T00:00:00"/>
    <x v="2"/>
    <s v="Wayne Lopez"/>
    <s v="NovaHealth Chicago Medical Center"/>
    <s v="Female"/>
    <n v="77"/>
    <x v="2"/>
    <n v="3"/>
    <x v="2"/>
    <x v="2"/>
    <n v="4541.01"/>
    <n v="2822.02"/>
    <n v="6.5"/>
    <x v="1"/>
    <x v="1"/>
  </r>
  <r>
    <s v="NHM-2023-100972"/>
    <s v="August"/>
    <x v="10"/>
    <n v="8"/>
    <d v="2024-08-05T00:00:00"/>
    <x v="0"/>
    <s v="Joshua Griffin"/>
    <s v="NovaHealth River Valley Hospital"/>
    <s v="Male"/>
    <n v="67"/>
    <x v="2"/>
    <n v="1"/>
    <x v="3"/>
    <x v="3"/>
    <n v="3534.89"/>
    <n v="2314.33"/>
    <n v="6.5"/>
    <x v="0"/>
    <x v="1"/>
  </r>
  <r>
    <s v="NHM-2024-101310"/>
    <s v="February"/>
    <x v="2"/>
    <n v="2"/>
    <d v="2024-02-14T00:00:00"/>
    <x v="0"/>
    <s v="Pamela Diaz"/>
    <s v="NovaHealth Lakeshore Regional Center"/>
    <s v="Male"/>
    <n v="47"/>
    <x v="0"/>
    <n v="1"/>
    <x v="3"/>
    <x v="3"/>
    <n v="5238.4799999999996"/>
    <n v="3568.18"/>
    <n v="7.3"/>
    <x v="0"/>
    <x v="0"/>
  </r>
  <r>
    <s v="NHM-2024-100270"/>
    <s v="October"/>
    <x v="5"/>
    <n v="10"/>
    <d v="2023-10-31T00:00:00"/>
    <x v="3"/>
    <s v="Willie Gutierrez"/>
    <s v="NovaHealth Northside Hospital"/>
    <s v="Male"/>
    <n v="67"/>
    <x v="0"/>
    <n v="2"/>
    <x v="3"/>
    <x v="3"/>
    <n v="6005.15"/>
    <n v="4248.3999999999996"/>
    <n v="5.6"/>
    <x v="1"/>
    <x v="1"/>
  </r>
  <r>
    <s v="NHM-2026-100810"/>
    <s v="November"/>
    <x v="4"/>
    <n v="11"/>
    <d v="2024-11-22T00:00:00"/>
    <x v="0"/>
    <s v="Diane Butler"/>
    <s v="NovaHealth Oakridge Community Hospital"/>
    <s v="Female"/>
    <n v="70"/>
    <x v="2"/>
    <n v="4"/>
    <x v="2"/>
    <x v="2"/>
    <n v="3941.9"/>
    <n v="2911.99"/>
    <n v="4.3"/>
    <x v="2"/>
    <x v="1"/>
  </r>
  <r>
    <s v="NHM-2024-101227"/>
    <s v="April"/>
    <x v="0"/>
    <n v="4"/>
    <d v="2025-04-18T00:00:00"/>
    <x v="1"/>
    <s v="Valerie Adams"/>
    <s v="NovaHealth Chicago Medical Center"/>
    <s v="Female"/>
    <n v="65"/>
    <x v="1"/>
    <n v="4"/>
    <x v="4"/>
    <x v="4"/>
    <n v="13342.86"/>
    <n v="10210.969999999999"/>
    <n v="8.8000000000000007"/>
    <x v="2"/>
    <x v="1"/>
  </r>
  <r>
    <s v="NHM-2023-100792"/>
    <s v="November"/>
    <x v="4"/>
    <n v="11"/>
    <d v="2023-11-03T00:00:00"/>
    <x v="3"/>
    <s v="Joan Moore"/>
    <s v="NovaHealth River Valley Hospital"/>
    <s v="Female"/>
    <n v="81"/>
    <x v="1"/>
    <n v="2"/>
    <x v="2"/>
    <x v="2"/>
    <n v="4113.88"/>
    <n v="2438.0500000000002"/>
    <n v="6.5"/>
    <x v="1"/>
    <x v="1"/>
  </r>
  <r>
    <s v="NHM-2024-100917"/>
    <s v="March"/>
    <x v="1"/>
    <n v="3"/>
    <d v="2025-03-13T00:00:00"/>
    <x v="1"/>
    <s v="Pamela Green"/>
    <s v="NovaHealth River Valley Hospital"/>
    <s v="Female"/>
    <n v="65"/>
    <x v="1"/>
    <n v="4"/>
    <x v="4"/>
    <x v="4"/>
    <n v="17346.07"/>
    <n v="10713.9"/>
    <n v="16.600000000000001"/>
    <x v="2"/>
    <x v="1"/>
  </r>
  <r>
    <s v="NHM-2026-100435"/>
    <s v="August"/>
    <x v="10"/>
    <n v="8"/>
    <d v="2024-08-07T00:00:00"/>
    <x v="0"/>
    <s v="Teresa Alvarez"/>
    <s v="NovaHealth Oakridge Community Hospital"/>
    <s v="Female"/>
    <n v="64"/>
    <x v="0"/>
    <n v="1"/>
    <x v="2"/>
    <x v="2"/>
    <n v="4258.82"/>
    <n v="2774.44"/>
    <n v="6.1"/>
    <x v="0"/>
    <x v="0"/>
  </r>
  <r>
    <s v="NHM-2025-101001"/>
    <s v="June"/>
    <x v="11"/>
    <n v="6"/>
    <d v="2026-06-08T00:00:00"/>
    <x v="2"/>
    <s v="Beverly Hall"/>
    <s v="NovaHealth Greenfield Clinic"/>
    <s v="Female"/>
    <n v="68"/>
    <x v="2"/>
    <n v="5"/>
    <x v="5"/>
    <x v="5"/>
    <n v="16027.95"/>
    <n v="10767.53"/>
    <n v="3.6"/>
    <x v="2"/>
    <x v="1"/>
  </r>
  <r>
    <s v="NHM-2024-100247"/>
    <s v="July"/>
    <x v="8"/>
    <n v="7"/>
    <d v="2026-07-10T00:00:00"/>
    <x v="2"/>
    <s v="Peter Perry"/>
    <s v="NovaHealth Chicago Medical Center"/>
    <s v="Female"/>
    <n v="44"/>
    <x v="2"/>
    <n v="1"/>
    <x v="7"/>
    <x v="7"/>
    <n v="5200.91"/>
    <n v="3827.04"/>
    <n v="23.3"/>
    <x v="0"/>
    <x v="0"/>
  </r>
  <r>
    <s v="NHM-2026-101719"/>
    <s v="April"/>
    <x v="0"/>
    <n v="4"/>
    <d v="2024-04-16T00:00:00"/>
    <x v="0"/>
    <s v="Patrick Harrison"/>
    <s v="NovaHealth Chicago Medical Center"/>
    <s v="Male"/>
    <n v="57"/>
    <x v="0"/>
    <n v="1"/>
    <x v="2"/>
    <x v="2"/>
    <n v="4098.9399999999996"/>
    <n v="3051.43"/>
    <n v="7.4"/>
    <x v="0"/>
    <x v="0"/>
  </r>
  <r>
    <s v="NHM-2024-101665"/>
    <s v="April"/>
    <x v="0"/>
    <n v="4"/>
    <d v="2024-04-18T00:00:00"/>
    <x v="0"/>
    <s v="Hannah Hamilton"/>
    <s v="NovaHealth Chicago Medical Center"/>
    <s v="Male"/>
    <n v="37"/>
    <x v="1"/>
    <n v="4"/>
    <x v="5"/>
    <x v="5"/>
    <n v="15749.62"/>
    <n v="12054.51"/>
    <n v="10.6"/>
    <x v="2"/>
    <x v="0"/>
  </r>
  <r>
    <s v="NHM-2026-101225"/>
    <s v="February"/>
    <x v="2"/>
    <n v="2"/>
    <d v="2025-02-27T00:00:00"/>
    <x v="1"/>
    <s v="Terry Gonzalez"/>
    <s v="NovaHealth Chicago Medical Center"/>
    <s v="Male"/>
    <n v="25"/>
    <x v="0"/>
    <n v="5"/>
    <x v="5"/>
    <x v="5"/>
    <n v="19676.099999999999"/>
    <n v="11504.94"/>
    <n v="11.6"/>
    <x v="2"/>
    <x v="0"/>
  </r>
  <r>
    <s v="NHM-2025-101740"/>
    <s v="September"/>
    <x v="7"/>
    <n v="9"/>
    <d v="2025-09-18T00:00:00"/>
    <x v="1"/>
    <s v="George Jordan"/>
    <s v="NovaHealth Chicago Medical Center"/>
    <s v="Female"/>
    <n v="82"/>
    <x v="0"/>
    <n v="3"/>
    <x v="7"/>
    <x v="7"/>
    <n v="9924.99"/>
    <n v="6181.44"/>
    <n v="15.9"/>
    <x v="1"/>
    <x v="1"/>
  </r>
  <r>
    <s v="NHM-2026-101834"/>
    <s v="November"/>
    <x v="4"/>
    <n v="11"/>
    <d v="2023-11-22T00:00:00"/>
    <x v="3"/>
    <s v="David Parker"/>
    <s v="NovaHealth Northside Hospital"/>
    <s v="Female"/>
    <n v="55"/>
    <x v="1"/>
    <n v="3"/>
    <x v="4"/>
    <x v="4"/>
    <n v="13228.72"/>
    <n v="8548.7800000000007"/>
    <n v="10.3"/>
    <x v="1"/>
    <x v="0"/>
  </r>
  <r>
    <s v="NHM-2025-102176"/>
    <s v="February"/>
    <x v="2"/>
    <n v="2"/>
    <d v="2026-02-17T00:00:00"/>
    <x v="2"/>
    <s v="Diane Parker"/>
    <s v="NovaHealth Chicago Medical Center"/>
    <s v="Male"/>
    <n v="49"/>
    <x v="2"/>
    <n v="1"/>
    <x v="3"/>
    <x v="3"/>
    <n v="7730.68"/>
    <n v="5251.56"/>
    <n v="9"/>
    <x v="0"/>
    <x v="0"/>
  </r>
  <r>
    <s v="NHM-2024-102080"/>
    <s v="November"/>
    <x v="4"/>
    <n v="11"/>
    <d v="2024-11-18T00:00:00"/>
    <x v="0"/>
    <s v="Grace Coleman"/>
    <s v="NovaHealth Chicago Medical Center"/>
    <s v="Male"/>
    <n v="44"/>
    <x v="2"/>
    <n v="4"/>
    <x v="1"/>
    <x v="1"/>
    <n v="16947.8"/>
    <n v="11944.26"/>
    <n v="10.1"/>
    <x v="2"/>
    <x v="0"/>
  </r>
  <r>
    <s v="NHM-2026-102106"/>
    <s v="January"/>
    <x v="3"/>
    <n v="1"/>
    <d v="2026-01-15T00:00:00"/>
    <x v="2"/>
    <s v="Kathleen Watson"/>
    <s v="NovaHealth River Valley Hospital"/>
    <s v="Female"/>
    <n v="68"/>
    <x v="0"/>
    <n v="3"/>
    <x v="2"/>
    <x v="2"/>
    <n v="2414.75"/>
    <n v="1829.97"/>
    <n v="8.4"/>
    <x v="1"/>
    <x v="1"/>
  </r>
  <r>
    <s v="NHM-2026-102416"/>
    <s v="March"/>
    <x v="1"/>
    <n v="3"/>
    <d v="2024-03-25T00:00:00"/>
    <x v="0"/>
    <s v="Jack Butler"/>
    <s v="NovaHealth Chicago Medical Center"/>
    <s v="Female"/>
    <n v="5"/>
    <x v="0"/>
    <n v="2"/>
    <x v="6"/>
    <x v="6"/>
    <n v="2361.56"/>
    <n v="1836.39"/>
    <n v="5.2"/>
    <x v="1"/>
    <x v="2"/>
  </r>
  <r>
    <s v="NHM-2026-100619"/>
    <s v="January"/>
    <x v="3"/>
    <n v="1"/>
    <d v="2025-01-16T00:00:00"/>
    <x v="1"/>
    <s v="Tyler Hall"/>
    <s v="NovaHealth Chicago Medical Center"/>
    <s v="Female"/>
    <n v="0"/>
    <x v="0"/>
    <n v="1"/>
    <x v="6"/>
    <x v="6"/>
    <n v="1076.93"/>
    <n v="669.42"/>
    <n v="5.6"/>
    <x v="0"/>
    <x v="2"/>
  </r>
  <r>
    <s v="NHM-2025-101690"/>
    <s v="April"/>
    <x v="0"/>
    <n v="4"/>
    <d v="2025-04-29T00:00:00"/>
    <x v="1"/>
    <s v="Theresa Freeman"/>
    <s v="NovaHealth River Valley Hospital"/>
    <s v="Male"/>
    <n v="52"/>
    <x v="2"/>
    <n v="5"/>
    <x v="5"/>
    <x v="5"/>
    <n v="16692.919999999998"/>
    <n v="10267.48"/>
    <n v="10.6"/>
    <x v="2"/>
    <x v="0"/>
  </r>
  <r>
    <s v="NHM-2023-102286"/>
    <s v="November"/>
    <x v="4"/>
    <n v="11"/>
    <d v="2023-11-03T00:00:00"/>
    <x v="3"/>
    <s v="Emma James"/>
    <s v="NovaHealth Chicago Medical Center"/>
    <s v="Male"/>
    <n v="71"/>
    <x v="2"/>
    <n v="4"/>
    <x v="5"/>
    <x v="5"/>
    <n v="19073.43"/>
    <n v="12283"/>
    <n v="9.5"/>
    <x v="2"/>
    <x v="1"/>
  </r>
  <r>
    <s v="NHM-2024-101923"/>
    <s v="February"/>
    <x v="2"/>
    <n v="2"/>
    <d v="2024-02-23T00:00:00"/>
    <x v="0"/>
    <s v="Matthew Patterson"/>
    <s v="NovaHealth Midtown Medical Center"/>
    <s v="Female"/>
    <n v="60"/>
    <x v="0"/>
    <n v="3"/>
    <x v="5"/>
    <x v="5"/>
    <n v="13100.55"/>
    <n v="8865.3700000000008"/>
    <n v="11"/>
    <x v="1"/>
    <x v="0"/>
  </r>
  <r>
    <s v="NHM-2023-101450"/>
    <s v="February"/>
    <x v="2"/>
    <n v="2"/>
    <d v="2026-02-13T00:00:00"/>
    <x v="2"/>
    <s v="Rachel Murray"/>
    <s v="NovaHealth Chicago Medical Center"/>
    <s v="Male"/>
    <n v="81"/>
    <x v="0"/>
    <n v="2"/>
    <x v="3"/>
    <x v="3"/>
    <n v="7852.43"/>
    <n v="5587.9"/>
    <n v="11.4"/>
    <x v="1"/>
    <x v="1"/>
  </r>
  <r>
    <s v="NHM-2024-101644"/>
    <s v="April"/>
    <x v="0"/>
    <n v="4"/>
    <d v="2024-04-25T00:00:00"/>
    <x v="0"/>
    <s v="Nicholas Coleman"/>
    <s v="NovaHealth River Valley Hospital"/>
    <s v="Male"/>
    <n v="10"/>
    <x v="0"/>
    <n v="1"/>
    <x v="6"/>
    <x v="6"/>
    <n v="1579.19"/>
    <n v="1174.4100000000001"/>
    <n v="2.7"/>
    <x v="0"/>
    <x v="2"/>
  </r>
  <r>
    <s v="NHM-2025-102178"/>
    <s v="December"/>
    <x v="6"/>
    <n v="12"/>
    <d v="2024-12-26T00:00:00"/>
    <x v="0"/>
    <s v="Heather Moore"/>
    <s v="NovaHealth Oakridge Community Hospital"/>
    <s v="Female"/>
    <n v="5"/>
    <x v="0"/>
    <n v="1"/>
    <x v="6"/>
    <x v="6"/>
    <n v="2264.2399999999998"/>
    <n v="1755.22"/>
    <n v="4.3"/>
    <x v="0"/>
    <x v="2"/>
  </r>
  <r>
    <s v="NHM-2026-102454"/>
    <s v="October"/>
    <x v="5"/>
    <n v="10"/>
    <d v="2024-10-31T00:00:00"/>
    <x v="0"/>
    <s v="Olivia Cole"/>
    <s v="NovaHealth Chicago Medical Center"/>
    <s v="Female"/>
    <n v="45"/>
    <x v="0"/>
    <n v="1"/>
    <x v="1"/>
    <x v="1"/>
    <n v="5473.93"/>
    <n v="3238.08"/>
    <n v="7.9"/>
    <x v="0"/>
    <x v="0"/>
  </r>
  <r>
    <s v="NHM-2025-101217"/>
    <s v="January"/>
    <x v="3"/>
    <n v="1"/>
    <d v="2026-01-21T00:00:00"/>
    <x v="2"/>
    <s v="Katherine Diaz"/>
    <s v="NovaHealth River Valley Hospital"/>
    <s v="Female"/>
    <n v="63"/>
    <x v="0"/>
    <n v="1"/>
    <x v="7"/>
    <x v="7"/>
    <n v="2737.71"/>
    <n v="1858"/>
    <n v="23.5"/>
    <x v="0"/>
    <x v="0"/>
  </r>
  <r>
    <s v="NHM-2023-100454"/>
    <s v="August"/>
    <x v="10"/>
    <n v="8"/>
    <d v="2024-08-02T00:00:00"/>
    <x v="0"/>
    <s v="Gregory Rivera"/>
    <s v="NovaHealth River Valley Hospital"/>
    <s v="Male"/>
    <n v="7"/>
    <x v="2"/>
    <n v="1"/>
    <x v="6"/>
    <x v="6"/>
    <n v="1920.08"/>
    <n v="1252.8499999999999"/>
    <n v="3"/>
    <x v="0"/>
    <x v="2"/>
  </r>
  <r>
    <s v="NHM-2025-102348"/>
    <s v="October"/>
    <x v="5"/>
    <n v="10"/>
    <d v="2024-10-25T00:00:00"/>
    <x v="0"/>
    <s v="Gregory Chavez"/>
    <s v="NovaHealth Greenfield Clinic"/>
    <s v="Female"/>
    <n v="11"/>
    <x v="0"/>
    <n v="1"/>
    <x v="6"/>
    <x v="6"/>
    <n v="1093"/>
    <n v="741.11"/>
    <n v="1.1000000000000001"/>
    <x v="0"/>
    <x v="2"/>
  </r>
  <r>
    <s v="NHM-2024-100595"/>
    <s v="December"/>
    <x v="6"/>
    <n v="12"/>
    <d v="2023-12-28T00:00:00"/>
    <x v="3"/>
    <s v="Kelly Russell"/>
    <s v="NovaHealth Midtown Medical Center"/>
    <s v="Female"/>
    <n v="10"/>
    <x v="0"/>
    <n v="1"/>
    <x v="6"/>
    <x v="6"/>
    <n v="2476.37"/>
    <n v="1774.26"/>
    <n v="5.0999999999999996"/>
    <x v="0"/>
    <x v="2"/>
  </r>
  <r>
    <s v="NHM-2023-101541"/>
    <s v="August"/>
    <x v="10"/>
    <n v="8"/>
    <d v="2024-08-07T00:00:00"/>
    <x v="0"/>
    <s v="James Gutierrez"/>
    <s v="NovaHealth Greenfield Clinic"/>
    <s v="Male"/>
    <n v="60"/>
    <x v="0"/>
    <n v="1"/>
    <x v="7"/>
    <x v="7"/>
    <n v="6040.59"/>
    <n v="4564.03"/>
    <n v="19.3"/>
    <x v="0"/>
    <x v="0"/>
  </r>
  <r>
    <s v="NHM-2024-101091"/>
    <s v="February"/>
    <x v="2"/>
    <n v="2"/>
    <d v="2025-02-26T00:00:00"/>
    <x v="1"/>
    <s v="Cynthia Jenkins"/>
    <s v="NovaHealth Northside Hospital"/>
    <s v="Male"/>
    <n v="75"/>
    <x v="2"/>
    <n v="2"/>
    <x v="2"/>
    <x v="2"/>
    <n v="3016.5"/>
    <n v="2370.14"/>
    <n v="9.6999999999999993"/>
    <x v="1"/>
    <x v="1"/>
  </r>
  <r>
    <s v="NHM-2025-102446"/>
    <s v="July"/>
    <x v="8"/>
    <n v="7"/>
    <d v="2026-07-17T00:00:00"/>
    <x v="2"/>
    <s v="Sonia Jackson"/>
    <s v="NovaHealth Northside Hospital"/>
    <s v="Male"/>
    <n v="57"/>
    <x v="0"/>
    <n v="3"/>
    <x v="4"/>
    <x v="4"/>
    <n v="10278.44"/>
    <n v="6083.1"/>
    <n v="15.2"/>
    <x v="1"/>
    <x v="0"/>
  </r>
  <r>
    <s v="NHM-2026-101654"/>
    <s v="March"/>
    <x v="1"/>
    <n v="3"/>
    <d v="2024-03-11T00:00:00"/>
    <x v="0"/>
    <s v="Grace Gutierrez"/>
    <s v="NovaHealth Chicago Medical Center"/>
    <s v="Male"/>
    <n v="76"/>
    <x v="0"/>
    <n v="2"/>
    <x v="1"/>
    <x v="1"/>
    <n v="10929.24"/>
    <n v="6723.64"/>
    <n v="7.1"/>
    <x v="1"/>
    <x v="1"/>
  </r>
  <r>
    <s v="NHM-2024-100723"/>
    <s v="December"/>
    <x v="6"/>
    <n v="12"/>
    <d v="2025-12-18T00:00:00"/>
    <x v="1"/>
    <s v="Noah Morales"/>
    <s v="NovaHealth Northside Hospital"/>
    <s v="Female"/>
    <n v="61"/>
    <x v="1"/>
    <n v="3"/>
    <x v="5"/>
    <x v="5"/>
    <n v="11169.74"/>
    <n v="7224.63"/>
    <n v="9.5"/>
    <x v="1"/>
    <x v="0"/>
  </r>
  <r>
    <s v="NHM-2023-100563"/>
    <s v="December"/>
    <x v="6"/>
    <n v="12"/>
    <d v="2023-12-28T00:00:00"/>
    <x v="3"/>
    <s v="Maria Thomas"/>
    <s v="NovaHealth Northside Hospital"/>
    <s v="Female"/>
    <n v="35"/>
    <x v="2"/>
    <n v="3"/>
    <x v="0"/>
    <x v="0"/>
    <n v="6436.43"/>
    <n v="4405.21"/>
    <n v="11.6"/>
    <x v="1"/>
    <x v="0"/>
  </r>
  <r>
    <s v="NHM-2025-100618"/>
    <s v="March"/>
    <x v="1"/>
    <n v="3"/>
    <d v="2025-03-18T00:00:00"/>
    <x v="1"/>
    <s v="Sara Lee"/>
    <s v="NovaHealth River Valley Hospital"/>
    <s v="Female"/>
    <n v="83"/>
    <x v="1"/>
    <n v="5"/>
    <x v="3"/>
    <x v="3"/>
    <n v="7330.39"/>
    <n v="5175.2700000000004"/>
    <n v="5.5"/>
    <x v="2"/>
    <x v="1"/>
  </r>
  <r>
    <s v="NHM-2025-102409"/>
    <s v="May"/>
    <x v="9"/>
    <n v="5"/>
    <d v="2024-05-14T00:00:00"/>
    <x v="0"/>
    <s v="Carl Morris"/>
    <s v="NovaHealth Chicago Medical Center"/>
    <s v="Male"/>
    <n v="4"/>
    <x v="2"/>
    <n v="2"/>
    <x v="6"/>
    <x v="6"/>
    <n v="2384.04"/>
    <n v="1785.15"/>
    <n v="5.6"/>
    <x v="1"/>
    <x v="2"/>
  </r>
  <r>
    <s v="NHM-2023-100548"/>
    <s v="June"/>
    <x v="11"/>
    <n v="6"/>
    <d v="2025-06-18T00:00:00"/>
    <x v="1"/>
    <s v="Amy Cruz"/>
    <s v="NovaHealth River Valley Hospital"/>
    <s v="Male"/>
    <n v="15"/>
    <x v="0"/>
    <n v="1"/>
    <x v="6"/>
    <x v="6"/>
    <n v="1144.6199999999999"/>
    <n v="889.91"/>
    <n v="2.5"/>
    <x v="0"/>
    <x v="2"/>
  </r>
  <r>
    <s v="NHM-2024-101429"/>
    <s v="January"/>
    <x v="3"/>
    <n v="1"/>
    <d v="2025-01-16T00:00:00"/>
    <x v="1"/>
    <s v="Nathan Cook"/>
    <s v="NovaHealth Oakridge Community Hospital"/>
    <s v="Female"/>
    <n v="47"/>
    <x v="0"/>
    <n v="5"/>
    <x v="1"/>
    <x v="1"/>
    <n v="10054.73"/>
    <n v="5917.34"/>
    <n v="10.7"/>
    <x v="2"/>
    <x v="0"/>
  </r>
  <r>
    <s v="NHM-2024-101818"/>
    <s v="November"/>
    <x v="4"/>
    <n v="11"/>
    <d v="2025-11-10T00:00:00"/>
    <x v="1"/>
    <s v="Jennifer Murphy"/>
    <s v="NovaHealth River Valley Hospital"/>
    <s v="Male"/>
    <n v="11"/>
    <x v="0"/>
    <n v="1"/>
    <x v="6"/>
    <x v="6"/>
    <n v="1549.08"/>
    <n v="966.54"/>
    <n v="2.7"/>
    <x v="0"/>
    <x v="2"/>
  </r>
  <r>
    <s v="NHM-2025-102198"/>
    <s v="May"/>
    <x v="9"/>
    <n v="5"/>
    <d v="2026-05-27T00:00:00"/>
    <x v="2"/>
    <s v="Kathleen Kelly"/>
    <s v="NovaHealth Greenfield Clinic"/>
    <s v="Male"/>
    <n v="77"/>
    <x v="1"/>
    <n v="5"/>
    <x v="0"/>
    <x v="0"/>
    <n v="7794.13"/>
    <n v="5047.4399999999996"/>
    <n v="7.4"/>
    <x v="2"/>
    <x v="1"/>
  </r>
  <r>
    <s v="NHM-2026-102486"/>
    <s v="March"/>
    <x v="1"/>
    <n v="3"/>
    <d v="2024-03-06T00:00:00"/>
    <x v="0"/>
    <s v="Logan Phillips"/>
    <s v="NovaHealth Northside Hospital"/>
    <s v="Female"/>
    <n v="13"/>
    <x v="0"/>
    <n v="2"/>
    <x v="6"/>
    <x v="6"/>
    <n v="2882.09"/>
    <n v="1976.6"/>
    <n v="5.7"/>
    <x v="1"/>
    <x v="2"/>
  </r>
  <r>
    <s v="NHM-2025-101709"/>
    <s v="December"/>
    <x v="6"/>
    <n v="12"/>
    <d v="2025-12-01T00:00:00"/>
    <x v="1"/>
    <s v="Terry Walker"/>
    <s v="NovaHealth Midtown Medical Center"/>
    <s v="Female"/>
    <n v="48"/>
    <x v="0"/>
    <n v="2"/>
    <x v="1"/>
    <x v="1"/>
    <n v="8318.4599999999991"/>
    <n v="5897.32"/>
    <n v="9.3000000000000007"/>
    <x v="1"/>
    <x v="0"/>
  </r>
  <r>
    <s v="NHM-2026-100692"/>
    <s v="September"/>
    <x v="7"/>
    <n v="9"/>
    <d v="2025-09-22T00:00:00"/>
    <x v="1"/>
    <s v="Wayne Marshall"/>
    <s v="NovaHealth Chicago Medical Center"/>
    <s v="Female"/>
    <n v="47"/>
    <x v="0"/>
    <n v="1"/>
    <x v="7"/>
    <x v="7"/>
    <n v="6557.9"/>
    <n v="4952.87"/>
    <n v="20.7"/>
    <x v="0"/>
    <x v="0"/>
  </r>
  <r>
    <s v="NHM-2024-102459"/>
    <s v="March"/>
    <x v="1"/>
    <n v="3"/>
    <d v="2026-03-17T00:00:00"/>
    <x v="2"/>
    <s v="Gregory Gonzales"/>
    <s v="NovaHealth Chicago Medical Center"/>
    <s v="Female"/>
    <n v="79"/>
    <x v="0"/>
    <n v="3"/>
    <x v="2"/>
    <x v="2"/>
    <n v="6273.26"/>
    <n v="4799.68"/>
    <n v="4"/>
    <x v="1"/>
    <x v="1"/>
  </r>
  <r>
    <s v="NHM-2026-101680"/>
    <s v="March"/>
    <x v="1"/>
    <n v="3"/>
    <d v="2024-03-06T00:00:00"/>
    <x v="0"/>
    <s v="Susan Reyes"/>
    <s v="NovaHealth Lakeside Medical Center"/>
    <s v="Male"/>
    <n v="28"/>
    <x v="1"/>
    <n v="4"/>
    <x v="5"/>
    <x v="5"/>
    <n v="12392.6"/>
    <n v="7280.51"/>
    <n v="11.6"/>
    <x v="2"/>
    <x v="0"/>
  </r>
  <r>
    <s v="NHM-2023-100855"/>
    <s v="March"/>
    <x v="1"/>
    <n v="3"/>
    <d v="2026-03-24T00:00:00"/>
    <x v="2"/>
    <s v="Doris Wallace"/>
    <s v="NovaHealth Lakeside Medical Center"/>
    <s v="Female"/>
    <n v="52"/>
    <x v="2"/>
    <n v="3"/>
    <x v="5"/>
    <x v="5"/>
    <n v="15113.73"/>
    <n v="9280.18"/>
    <n v="7.6"/>
    <x v="1"/>
    <x v="0"/>
  </r>
  <r>
    <s v="NHM-2025-102085"/>
    <s v="November"/>
    <x v="4"/>
    <n v="11"/>
    <d v="2025-11-20T00:00:00"/>
    <x v="1"/>
    <s v="Sandra Hamilton"/>
    <s v="NovaHealth Northside Hospital"/>
    <s v="Male"/>
    <n v="52"/>
    <x v="0"/>
    <n v="2"/>
    <x v="3"/>
    <x v="3"/>
    <n v="9959.43"/>
    <n v="6374.04"/>
    <m/>
    <x v="1"/>
    <x v="0"/>
  </r>
  <r>
    <s v="NHM-2023-102431"/>
    <s v="November"/>
    <x v="4"/>
    <n v="11"/>
    <d v="2024-11-04T00:00:00"/>
    <x v="0"/>
    <s v="Beverly Hayes"/>
    <s v="NovaHealth River Valley Hospital"/>
    <s v="Male"/>
    <n v="7"/>
    <x v="0"/>
    <n v="2"/>
    <x v="6"/>
    <x v="6"/>
    <n v="796.48"/>
    <n v="576.84"/>
    <n v="5.4"/>
    <x v="1"/>
    <x v="2"/>
  </r>
  <r>
    <s v="NHM-2023-102166"/>
    <s v="March"/>
    <x v="1"/>
    <n v="3"/>
    <d v="2025-03-31T00:00:00"/>
    <x v="1"/>
    <s v="Timothy Hernandez"/>
    <s v="NovaHealth Chicago Medical Center"/>
    <s v="Male"/>
    <n v="6"/>
    <x v="0"/>
    <n v="1"/>
    <x v="6"/>
    <x v="6"/>
    <n v="1963.97"/>
    <n v="1403.58"/>
    <n v="3.6"/>
    <x v="0"/>
    <x v="2"/>
  </r>
  <r>
    <s v="NHM-2024-101587"/>
    <s v="May"/>
    <x v="9"/>
    <n v="5"/>
    <d v="2024-05-22T00:00:00"/>
    <x v="0"/>
    <s v="Carolyn Coleman"/>
    <s v="NovaHealth Oakridge Community Hospital"/>
    <s v="Female"/>
    <n v="74"/>
    <x v="1"/>
    <n v="4"/>
    <x v="4"/>
    <x v="4"/>
    <n v="12135.5"/>
    <n v="8970.11"/>
    <n v="13.9"/>
    <x v="2"/>
    <x v="1"/>
  </r>
  <r>
    <s v="NHM-2025-100451"/>
    <s v="May"/>
    <x v="9"/>
    <n v="5"/>
    <d v="2026-05-18T00:00:00"/>
    <x v="2"/>
    <s v="Judy Jordan"/>
    <s v="NovaHealth Greenfield Clinic"/>
    <s v="Female"/>
    <n v="23"/>
    <x v="0"/>
    <n v="3"/>
    <x v="0"/>
    <x v="0"/>
    <n v="13977.26"/>
    <n v="10671.52"/>
    <n v="6.1"/>
    <x v="1"/>
    <x v="0"/>
  </r>
  <r>
    <s v="NHM-2024-100772"/>
    <s v="August"/>
    <x v="10"/>
    <n v="8"/>
    <d v="2025-08-01T00:00:00"/>
    <x v="1"/>
    <s v="Arthur Campbell"/>
    <s v="NovaHealth Chicago Medical Center"/>
    <s v="Male"/>
    <n v="35"/>
    <x v="0"/>
    <n v="2"/>
    <x v="2"/>
    <x v="2"/>
    <n v="3715.71"/>
    <n v="2227.91"/>
    <n v="9.1"/>
    <x v="1"/>
    <x v="0"/>
  </r>
  <r>
    <s v="NHM-2023-101925"/>
    <s v="December"/>
    <x v="6"/>
    <n v="12"/>
    <d v="2023-12-06T00:00:00"/>
    <x v="3"/>
    <s v="Deborah Davis"/>
    <s v="NovaHealth River Valley Hospital"/>
    <s v="Female"/>
    <n v="41"/>
    <x v="2"/>
    <n v="4"/>
    <x v="7"/>
    <x v="7"/>
    <n v="4994.75"/>
    <n v="3234.8"/>
    <n v="23.5"/>
    <x v="2"/>
    <x v="0"/>
  </r>
  <r>
    <s v="NHM-2025-101848"/>
    <s v="December"/>
    <x v="6"/>
    <n v="12"/>
    <d v="2023-12-01T00:00:00"/>
    <x v="3"/>
    <s v="Sean Graham"/>
    <s v="NovaHealth Chicago Medical Center"/>
    <s v="Male"/>
    <n v="71"/>
    <x v="0"/>
    <n v="4"/>
    <x v="3"/>
    <x v="3"/>
    <n v="10555.13"/>
    <n v="6815.28"/>
    <n v="7.5"/>
    <x v="2"/>
    <x v="1"/>
  </r>
  <r>
    <s v="NHM-2024-100268"/>
    <s v="March"/>
    <x v="1"/>
    <n v="3"/>
    <d v="2024-03-19T00:00:00"/>
    <x v="0"/>
    <s v="Julia Collins"/>
    <s v="NovaHealth Lakeshore Regional Center"/>
    <s v="Male"/>
    <n v="34"/>
    <x v="1"/>
    <n v="4"/>
    <x v="5"/>
    <x v="5"/>
    <n v="12246.82"/>
    <n v="8256.57"/>
    <n v="6.4"/>
    <x v="2"/>
    <x v="0"/>
  </r>
  <r>
    <s v="NHM-2025-102033"/>
    <s v="March"/>
    <x v="1"/>
    <n v="3"/>
    <d v="2026-03-27T00:00:00"/>
    <x v="2"/>
    <s v="Ashley Dixon"/>
    <s v="NovaHealth Oakridge Community Hospital"/>
    <s v="Female"/>
    <n v="65"/>
    <x v="0"/>
    <n v="3"/>
    <x v="5"/>
    <x v="5"/>
    <n v="11580.95"/>
    <n v="8189.06"/>
    <n v="10.3"/>
    <x v="1"/>
    <x v="1"/>
  </r>
  <r>
    <s v="NHM-2025-101909"/>
    <s v="October"/>
    <x v="5"/>
    <n v="10"/>
    <d v="2023-10-01T00:00:00"/>
    <x v="3"/>
    <s v="Willie Ortiz"/>
    <s v="NovaHealth Midtown Medical Center"/>
    <s v="Female"/>
    <n v="24"/>
    <x v="0"/>
    <n v="2"/>
    <x v="7"/>
    <x v="7"/>
    <n v="8714"/>
    <n v="6446.02"/>
    <n v="10.6"/>
    <x v="1"/>
    <x v="0"/>
  </r>
  <r>
    <s v="NHM-2025-101512"/>
    <s v="July"/>
    <x v="8"/>
    <n v="7"/>
    <d v="2024-07-17T00:00:00"/>
    <x v="0"/>
    <s v="Rebecca Myers"/>
    <s v="NovaHealth Chicago Medical Center"/>
    <s v="Male"/>
    <n v="89"/>
    <x v="0"/>
    <n v="4"/>
    <x v="3"/>
    <x v="3"/>
    <n v="11050.22"/>
    <n v="8436.57"/>
    <n v="4.8"/>
    <x v="2"/>
    <x v="1"/>
  </r>
  <r>
    <s v="NHM-2023-100903"/>
    <s v="February"/>
    <x v="2"/>
    <n v="2"/>
    <d v="2026-02-17T00:00:00"/>
    <x v="2"/>
    <s v="Dylan Mcdonald"/>
    <s v="NovaHealth Midtown Medical Center"/>
    <s v="Male"/>
    <n v="1"/>
    <x v="0"/>
    <n v="2"/>
    <x v="6"/>
    <x v="6"/>
    <n v="751.31"/>
    <n v="455.76"/>
    <n v="2.5"/>
    <x v="1"/>
    <x v="2"/>
  </r>
  <r>
    <s v="NHM-2024-101313"/>
    <s v="March"/>
    <x v="1"/>
    <n v="3"/>
    <d v="2026-03-20T00:00:00"/>
    <x v="2"/>
    <s v="Gabriel Hill"/>
    <s v="NovaHealth River Valley Hospital"/>
    <s v="Male"/>
    <n v="29"/>
    <x v="0"/>
    <n v="4"/>
    <x v="5"/>
    <x v="5"/>
    <n v="17045.14"/>
    <n v="10472.74"/>
    <n v="9.4"/>
    <x v="2"/>
    <x v="0"/>
  </r>
  <r>
    <s v="NHM-2026-100892"/>
    <s v="August"/>
    <x v="10"/>
    <n v="8"/>
    <d v="2023-08-30T00:00:00"/>
    <x v="3"/>
    <s v="Elizabeth Robinson"/>
    <s v="NovaHealth Northside Hospital"/>
    <s v="Female"/>
    <n v="61"/>
    <x v="0"/>
    <n v="1"/>
    <x v="0"/>
    <x v="0"/>
    <n v="6780.45"/>
    <n v="4421.8900000000003"/>
    <n v="10.3"/>
    <x v="0"/>
    <x v="0"/>
  </r>
  <r>
    <s v="NHM-2026-101581"/>
    <s v="January"/>
    <x v="3"/>
    <n v="1"/>
    <d v="2026-01-21T00:00:00"/>
    <x v="2"/>
    <s v="Joyce Murphy"/>
    <s v="NovaHealth River Valley Hospital"/>
    <s v="Female"/>
    <n v="64"/>
    <x v="1"/>
    <n v="1"/>
    <x v="0"/>
    <x v="0"/>
    <n v="6945.46"/>
    <n v="4735.8599999999997"/>
    <n v="10.3"/>
    <x v="0"/>
    <x v="0"/>
  </r>
  <r>
    <s v="NHM-2024-101972"/>
    <s v="October"/>
    <x v="5"/>
    <n v="10"/>
    <d v="2024-10-16T00:00:00"/>
    <x v="0"/>
    <s v="Willie Flores"/>
    <s v="NovaHealth Chicago Medical Center"/>
    <s v="Female"/>
    <n v="59"/>
    <x v="0"/>
    <n v="2"/>
    <x v="1"/>
    <x v="1"/>
    <n v="11112.47"/>
    <n v="7853.93"/>
    <n v="9.4"/>
    <x v="1"/>
    <x v="0"/>
  </r>
  <r>
    <s v="NHM-2023-101366"/>
    <s v="May"/>
    <x v="9"/>
    <n v="5"/>
    <d v="2025-05-08T00:00:00"/>
    <x v="1"/>
    <s v="Stephanie Edwards"/>
    <s v="NovaHealth Chicago Medical Center"/>
    <s v="Male"/>
    <n v="30"/>
    <x v="1"/>
    <n v="3"/>
    <x v="7"/>
    <x v="7"/>
    <n v="6488.32"/>
    <n v="4846.07"/>
    <n v="13.7"/>
    <x v="1"/>
    <x v="0"/>
  </r>
  <r>
    <s v="NHM-2024-102210"/>
    <s v="July"/>
    <x v="8"/>
    <n v="7"/>
    <d v="2024-07-19T00:00:00"/>
    <x v="0"/>
    <s v="Laura Harris"/>
    <s v="NovaHealth Lakeside Medical Center"/>
    <s v="Female"/>
    <n v="52"/>
    <x v="1"/>
    <n v="3"/>
    <x v="7"/>
    <x v="7"/>
    <n v="7169.92"/>
    <n v="5603.54"/>
    <n v="19.3"/>
    <x v="1"/>
    <x v="0"/>
  </r>
  <r>
    <s v="NHM-2024-102215"/>
    <s v="March"/>
    <x v="1"/>
    <n v="3"/>
    <d v="2025-03-12T00:00:00"/>
    <x v="1"/>
    <s v="Anna Roberts"/>
    <s v="NovaHealth River Valley Hospital"/>
    <s v="Male"/>
    <n v="13"/>
    <x v="0"/>
    <n v="2"/>
    <x v="6"/>
    <x v="6"/>
    <n v="2066.77"/>
    <n v="1209.93"/>
    <n v="1.4"/>
    <x v="1"/>
    <x v="2"/>
  </r>
  <r>
    <s v="NHM-2023-100731"/>
    <s v="March"/>
    <x v="1"/>
    <n v="3"/>
    <d v="2024-03-07T00:00:00"/>
    <x v="0"/>
    <s v="Nancy Diaz"/>
    <s v="NovaHealth Northside Hospital"/>
    <s v="Female"/>
    <n v="75"/>
    <x v="2"/>
    <n v="4"/>
    <x v="4"/>
    <x v="4"/>
    <n v="19187.349999999999"/>
    <n v="11808.28"/>
    <n v="13"/>
    <x v="2"/>
    <x v="1"/>
  </r>
  <r>
    <s v="NHM-2026-101412"/>
    <s v="September"/>
    <x v="7"/>
    <n v="9"/>
    <d v="2025-09-05T00:00:00"/>
    <x v="1"/>
    <s v="Diane Ward"/>
    <s v="NovaHealth Greenfield Clinic"/>
    <s v="Female"/>
    <n v="74"/>
    <x v="0"/>
    <n v="3"/>
    <x v="0"/>
    <x v="0"/>
    <n v="7900.35"/>
    <n v="5081.82"/>
    <n v="3.2"/>
    <x v="1"/>
    <x v="1"/>
  </r>
  <r>
    <s v="NHM-2024-100097"/>
    <s v="January"/>
    <x v="3"/>
    <n v="1"/>
    <d v="2025-01-22T00:00:00"/>
    <x v="1"/>
    <s v="William Ortiz"/>
    <s v="NovaHealth Lakeside Medical Center"/>
    <s v="Female"/>
    <n v="62"/>
    <x v="0"/>
    <n v="3"/>
    <x v="4"/>
    <x v="4"/>
    <n v="14682.96"/>
    <n v="9934.3799999999992"/>
    <n v="12.1"/>
    <x v="1"/>
    <x v="0"/>
  </r>
  <r>
    <s v="NHM-2025-100948"/>
    <s v="February"/>
    <x v="2"/>
    <n v="2"/>
    <d v="2024-02-13T00:00:00"/>
    <x v="0"/>
    <s v="Diane Simmons"/>
    <s v="NovaHealth Midtown Medical Center"/>
    <s v="Male"/>
    <n v="71"/>
    <x v="2"/>
    <n v="3"/>
    <x v="1"/>
    <x v="1"/>
    <n v="7122.54"/>
    <n v="5076.18"/>
    <n v="11.3"/>
    <x v="1"/>
    <x v="1"/>
  </r>
  <r>
    <s v="NHM-2025-100825"/>
    <s v="August"/>
    <x v="10"/>
    <n v="8"/>
    <d v="2024-08-01T00:00:00"/>
    <x v="0"/>
    <s v="Amy Garcia"/>
    <s v="NovaHealth Chicago Medical Center"/>
    <s v="Female"/>
    <n v="30"/>
    <x v="0"/>
    <n v="1"/>
    <x v="2"/>
    <x v="2"/>
    <n v="1749.03"/>
    <n v="1355.99"/>
    <n v="9.9"/>
    <x v="0"/>
    <x v="0"/>
  </r>
  <r>
    <s v="NHM-2023-100329"/>
    <s v="December"/>
    <x v="6"/>
    <n v="12"/>
    <d v="2023-12-13T00:00:00"/>
    <x v="3"/>
    <s v="Paul Simpson"/>
    <s v="NovaHealth Northside Hospital"/>
    <s v="Female"/>
    <n v="63"/>
    <x v="2"/>
    <n v="1"/>
    <x v="0"/>
    <x v="0"/>
    <n v="6299.22"/>
    <n v="4839.41"/>
    <n v="6.5"/>
    <x v="0"/>
    <x v="0"/>
  </r>
  <r>
    <s v="NHM-2026-101502"/>
    <s v="November"/>
    <x v="4"/>
    <n v="11"/>
    <d v="2025-11-17T00:00:00"/>
    <x v="1"/>
    <s v="Kathryn Foster"/>
    <s v="NovaHealth Chicago Medical Center"/>
    <s v="Male"/>
    <n v="60"/>
    <x v="0"/>
    <n v="2"/>
    <x v="3"/>
    <x v="3"/>
    <n v="7465.5"/>
    <n v="4394.79"/>
    <n v="8.1"/>
    <x v="1"/>
    <x v="0"/>
  </r>
  <r>
    <s v="NHM-2025-102046"/>
    <s v="May"/>
    <x v="9"/>
    <n v="5"/>
    <d v="2025-05-15T00:00:00"/>
    <x v="1"/>
    <s v="Jonathan Ford"/>
    <s v="NovaHealth Greenfield Clinic"/>
    <s v="Female"/>
    <n v="66"/>
    <x v="2"/>
    <n v="3"/>
    <x v="4"/>
    <x v="4"/>
    <n v="20084.64"/>
    <n v="12251.63"/>
    <m/>
    <x v="1"/>
    <x v="1"/>
  </r>
  <r>
    <s v="NHM-2023-102019"/>
    <s v="December"/>
    <x v="6"/>
    <n v="12"/>
    <d v="2024-12-20T00:00:00"/>
    <x v="0"/>
    <s v="Lawrence Graham"/>
    <s v="NovaHealth Midtown Medical Center"/>
    <s v="Female"/>
    <n v="67"/>
    <x v="0"/>
    <n v="1"/>
    <x v="7"/>
    <x v="7"/>
    <n v="2896.23"/>
    <n v="1966.39"/>
    <n v="14.1"/>
    <x v="0"/>
    <x v="1"/>
  </r>
  <r>
    <s v="NHM-2026-100919"/>
    <s v="March"/>
    <x v="1"/>
    <n v="3"/>
    <d v="2024-03-10T00:00:00"/>
    <x v="0"/>
    <s v="Eric Sanchez"/>
    <s v="NovaHealth Chicago Medical Center"/>
    <s v="Female"/>
    <n v="60"/>
    <x v="2"/>
    <n v="4"/>
    <x v="4"/>
    <x v="4"/>
    <n v="13971.62"/>
    <n v="9434.59"/>
    <n v="9.1999999999999993"/>
    <x v="2"/>
    <x v="0"/>
  </r>
  <r>
    <s v="NHM-2025-100109"/>
    <s v="May"/>
    <x v="9"/>
    <n v="5"/>
    <d v="2026-05-01T00:00:00"/>
    <x v="2"/>
    <s v="Dennis Myers"/>
    <s v="NovaHealth Lakeshore Regional Center"/>
    <s v="Male"/>
    <n v="41"/>
    <x v="0"/>
    <n v="2"/>
    <x v="0"/>
    <x v="0"/>
    <n v="10645.26"/>
    <n v="7509.28"/>
    <n v="7.2"/>
    <x v="1"/>
    <x v="0"/>
  </r>
  <r>
    <s v="NHM-2023-100410"/>
    <s v="February"/>
    <x v="2"/>
    <n v="2"/>
    <d v="2024-02-04T00:00:00"/>
    <x v="0"/>
    <s v="Logan Cruz"/>
    <s v="NovaHealth Lakeside Medical Center"/>
    <s v="Female"/>
    <n v="65"/>
    <x v="0"/>
    <n v="1"/>
    <x v="3"/>
    <x v="3"/>
    <n v="7106.05"/>
    <n v="5209.0200000000004"/>
    <n v="2.7"/>
    <x v="0"/>
    <x v="1"/>
  </r>
  <r>
    <s v="NHM-2024-101826"/>
    <s v="December"/>
    <x v="6"/>
    <n v="12"/>
    <d v="2024-12-04T00:00:00"/>
    <x v="0"/>
    <s v="Ethan Fisher"/>
    <s v="NovaHealth Lakeside Medical Center"/>
    <s v="Female"/>
    <n v="42"/>
    <x v="1"/>
    <n v="4"/>
    <x v="5"/>
    <x v="5"/>
    <n v="17455.14"/>
    <n v="13324.31"/>
    <n v="7.3"/>
    <x v="2"/>
    <x v="0"/>
  </r>
  <r>
    <s v="NHM-2025-100799"/>
    <s v="February"/>
    <x v="2"/>
    <n v="2"/>
    <d v="2026-02-25T00:00:00"/>
    <x v="2"/>
    <s v="Julia Rogers"/>
    <s v="NovaHealth Greenfield Clinic"/>
    <s v="Female"/>
    <n v="41"/>
    <x v="0"/>
    <n v="1"/>
    <x v="7"/>
    <x v="7"/>
    <n v="6791.06"/>
    <n v="4038.01"/>
    <n v="12.4"/>
    <x v="0"/>
    <x v="0"/>
  </r>
  <r>
    <s v="NHM-2026-100871"/>
    <s v="September"/>
    <x v="7"/>
    <n v="9"/>
    <d v="2023-09-17T00:00:00"/>
    <x v="3"/>
    <s v="Christopher Diaz"/>
    <s v="NovaHealth River Valley Hospital"/>
    <s v="Male"/>
    <n v="70"/>
    <x v="2"/>
    <n v="5"/>
    <x v="4"/>
    <x v="4"/>
    <n v="20822.810000000001"/>
    <n v="12809.11"/>
    <n v="13.4"/>
    <x v="2"/>
    <x v="1"/>
  </r>
  <r>
    <s v="NHM-2025-101260"/>
    <s v="August"/>
    <x v="10"/>
    <n v="8"/>
    <d v="2025-08-01T00:00:00"/>
    <x v="1"/>
    <s v="Amy Hughes"/>
    <s v="NovaHealth Lakeside Medical Center"/>
    <s v="Male"/>
    <n v="60"/>
    <x v="2"/>
    <n v="4"/>
    <x v="5"/>
    <x v="5"/>
    <n v="12117.57"/>
    <n v="7791.24"/>
    <n v="4.5"/>
    <x v="2"/>
    <x v="0"/>
  </r>
  <r>
    <s v="NHM-2024-100877"/>
    <s v="May"/>
    <x v="9"/>
    <n v="5"/>
    <d v="2024-05-01T00:00:00"/>
    <x v="0"/>
    <s v="Vincent Long"/>
    <s v="NovaHealth Metro General Hospital"/>
    <s v="Female"/>
    <n v="71"/>
    <x v="1"/>
    <n v="4"/>
    <x v="5"/>
    <x v="5"/>
    <n v="12507.95"/>
    <n v="8449.1299999999992"/>
    <n v="8.6"/>
    <x v="2"/>
    <x v="1"/>
  </r>
  <r>
    <s v="NHM-2024-101762"/>
    <s v="January"/>
    <x v="3"/>
    <n v="1"/>
    <d v="2026-01-09T00:00:00"/>
    <x v="2"/>
    <s v="Grace Gonzales"/>
    <s v="NovaHealth Lakeside Medical Center"/>
    <s v="Female"/>
    <n v="23"/>
    <x v="0"/>
    <n v="1"/>
    <x v="1"/>
    <x v="1"/>
    <n v="10952.33"/>
    <n v="7721.83"/>
    <n v="6.9"/>
    <x v="0"/>
    <x v="0"/>
  </r>
  <r>
    <s v="NHM-2026-102066"/>
    <s v="December"/>
    <x v="6"/>
    <n v="12"/>
    <d v="2024-12-09T00:00:00"/>
    <x v="0"/>
    <s v="Billy Cooper"/>
    <s v="NovaHealth Lakeside Medical Center"/>
    <s v="Female"/>
    <n v="31"/>
    <x v="2"/>
    <n v="4"/>
    <x v="5"/>
    <x v="5"/>
    <n v="17959.009999999998"/>
    <n v="13176.48"/>
    <n v="8.3000000000000007"/>
    <x v="2"/>
    <x v="0"/>
  </r>
  <r>
    <s v="NHM-2026-100212"/>
    <s v="October"/>
    <x v="5"/>
    <n v="10"/>
    <d v="2025-10-21T00:00:00"/>
    <x v="1"/>
    <s v="Denise Lopez"/>
    <s v="NovaHealth Chicago Medical Center"/>
    <s v="Male"/>
    <n v="34"/>
    <x v="0"/>
    <n v="1"/>
    <x v="0"/>
    <x v="0"/>
    <n v="7504.04"/>
    <n v="5719.87"/>
    <n v="2.1"/>
    <x v="0"/>
    <x v="0"/>
  </r>
  <r>
    <s v="NHM-2025-102276"/>
    <s v="February"/>
    <x v="2"/>
    <n v="2"/>
    <d v="2024-02-27T00:00:00"/>
    <x v="0"/>
    <s v="Madison Davis"/>
    <s v="NovaHealth River Valley Hospital"/>
    <s v="Male"/>
    <n v="40"/>
    <x v="2"/>
    <n v="2"/>
    <x v="0"/>
    <x v="0"/>
    <n v="5643.54"/>
    <n v="3296.45"/>
    <n v="2.9"/>
    <x v="1"/>
    <x v="0"/>
  </r>
  <r>
    <s v="NHM-2025-102309"/>
    <s v="March"/>
    <x v="1"/>
    <n v="3"/>
    <d v="2024-03-25T00:00:00"/>
    <x v="0"/>
    <s v="Alexander Wilson"/>
    <s v="NovaHealth Chicago Medical Center"/>
    <s v="Female"/>
    <n v="4"/>
    <x v="1"/>
    <n v="1"/>
    <x v="6"/>
    <x v="6"/>
    <n v="2431.48"/>
    <n v="1513.6"/>
    <n v="3.8"/>
    <x v="0"/>
    <x v="2"/>
  </r>
  <r>
    <s v="NHM-2024-100233"/>
    <s v="March"/>
    <x v="1"/>
    <n v="3"/>
    <d v="2024-03-27T00:00:00"/>
    <x v="0"/>
    <s v="Roger Taylor"/>
    <s v="NovaHealth Chicago Medical Center"/>
    <s v="Female"/>
    <n v="50"/>
    <x v="0"/>
    <n v="2"/>
    <x v="2"/>
    <x v="2"/>
    <n v="3349.69"/>
    <n v="2198.1999999999998"/>
    <n v="6.8"/>
    <x v="1"/>
    <x v="0"/>
  </r>
  <r>
    <s v="NHM-2023-100695"/>
    <s v="May"/>
    <x v="9"/>
    <n v="5"/>
    <d v="2025-05-02T00:00:00"/>
    <x v="1"/>
    <s v="Laura Cox"/>
    <s v="NovaHealth Greenfield Clinic"/>
    <s v="Female"/>
    <n v="10"/>
    <x v="0"/>
    <n v="3"/>
    <x v="6"/>
    <x v="6"/>
    <n v="1853.67"/>
    <n v="1270.76"/>
    <n v="3.6"/>
    <x v="1"/>
    <x v="2"/>
  </r>
  <r>
    <s v="NHM-2023-100684"/>
    <s v="June"/>
    <x v="11"/>
    <n v="6"/>
    <d v="2024-06-04T00:00:00"/>
    <x v="0"/>
    <s v="Elizabeth Russell"/>
    <s v="NovaHealth Midtown Medical Center"/>
    <s v="Male"/>
    <n v="74"/>
    <x v="0"/>
    <n v="3"/>
    <x v="1"/>
    <x v="1"/>
    <n v="7221.54"/>
    <n v="5075.88"/>
    <n v="2.6"/>
    <x v="1"/>
    <x v="1"/>
  </r>
  <r>
    <s v="NHM-2024-100857"/>
    <s v="October"/>
    <x v="5"/>
    <n v="10"/>
    <d v="2025-10-20T00:00:00"/>
    <x v="1"/>
    <s v="Patrick Davis"/>
    <s v="NovaHealth Oakridge Community Hospital"/>
    <s v="Female"/>
    <n v="65"/>
    <x v="1"/>
    <n v="4"/>
    <x v="4"/>
    <x v="4"/>
    <n v="19180.86"/>
    <n v="14110.83"/>
    <n v="13.6"/>
    <x v="2"/>
    <x v="1"/>
  </r>
  <r>
    <s v="NHM-2024-100678"/>
    <s v="May"/>
    <x v="9"/>
    <n v="5"/>
    <d v="2024-05-27T00:00:00"/>
    <x v="0"/>
    <s v="Randy Barnes"/>
    <s v="NovaHealth Northside Hospital"/>
    <s v="Male"/>
    <n v="94"/>
    <x v="1"/>
    <n v="4"/>
    <x v="4"/>
    <x v="4"/>
    <n v="12966.92"/>
    <n v="9923.66"/>
    <n v="8.6"/>
    <x v="2"/>
    <x v="1"/>
  </r>
  <r>
    <s v="NHM-2024-101991"/>
    <s v="June"/>
    <x v="11"/>
    <n v="6"/>
    <d v="2024-06-16T00:00:00"/>
    <x v="0"/>
    <s v="Emily Mason"/>
    <s v="NovaHealth Lakeshore Regional Center"/>
    <s v="Male"/>
    <n v="27"/>
    <x v="0"/>
    <n v="1"/>
    <x v="2"/>
    <x v="2"/>
    <n v="2013.11"/>
    <n v="1238.8"/>
    <n v="8.9"/>
    <x v="0"/>
    <x v="0"/>
  </r>
  <r>
    <s v="NHM-2026-100985"/>
    <s v="September"/>
    <x v="7"/>
    <n v="9"/>
    <d v="2023-09-15T00:00:00"/>
    <x v="3"/>
    <s v="Arthur Hernandez"/>
    <s v="NovaHealth Metro General Hospital"/>
    <s v="Female"/>
    <n v="68"/>
    <x v="2"/>
    <n v="3"/>
    <x v="4"/>
    <x v="4"/>
    <n v="13609.88"/>
    <n v="8369.23"/>
    <n v="8.4"/>
    <x v="1"/>
    <x v="1"/>
  </r>
  <r>
    <s v="NHM-2026-100333"/>
    <s v="July"/>
    <x v="8"/>
    <n v="7"/>
    <d v="2024-07-30T00:00:00"/>
    <x v="0"/>
    <s v="Susan Watson"/>
    <s v="NovaHealth Metro General Hospital"/>
    <s v="Female"/>
    <n v="88"/>
    <x v="2"/>
    <n v="4"/>
    <x v="5"/>
    <x v="5"/>
    <n v="14174.15"/>
    <n v="9144.26"/>
    <n v="9.1"/>
    <x v="2"/>
    <x v="1"/>
  </r>
  <r>
    <s v="NHM-2025-101964"/>
    <s v="November"/>
    <x v="4"/>
    <n v="11"/>
    <d v="2024-11-07T00:00:00"/>
    <x v="0"/>
    <s v="Anthony Howard"/>
    <s v="NovaHealth Oakridge Community Hospital"/>
    <s v="Male"/>
    <n v="71"/>
    <x v="1"/>
    <n v="3"/>
    <x v="7"/>
    <x v="7"/>
    <n v="12385.39"/>
    <n v="8427.81"/>
    <n v="16.2"/>
    <x v="1"/>
    <x v="1"/>
  </r>
  <r>
    <s v="NHM-2023-100890"/>
    <s v="July"/>
    <x v="8"/>
    <n v="7"/>
    <d v="2024-07-04T00:00:00"/>
    <x v="0"/>
    <s v="Alexander West"/>
    <s v="NovaHealth Chicago Medical Center"/>
    <s v="Female"/>
    <n v="8"/>
    <x v="0"/>
    <n v="1"/>
    <x v="6"/>
    <x v="6"/>
    <n v="1658.15"/>
    <n v="1192.7"/>
    <n v="4"/>
    <x v="0"/>
    <x v="2"/>
  </r>
  <r>
    <s v="NHM-2024-100130"/>
    <s v="December"/>
    <x v="6"/>
    <n v="12"/>
    <d v="2025-12-19T00:00:00"/>
    <x v="1"/>
    <s v="Jonathan Evans"/>
    <s v="NovaHealth Greenfield Clinic"/>
    <s v="Female"/>
    <n v="72"/>
    <x v="2"/>
    <n v="4"/>
    <x v="4"/>
    <x v="4"/>
    <n v="14299.58"/>
    <n v="10579.49"/>
    <n v="17.600000000000001"/>
    <x v="2"/>
    <x v="1"/>
  </r>
  <r>
    <s v="NHM-2024-101381"/>
    <s v="February"/>
    <x v="2"/>
    <n v="2"/>
    <d v="2026-02-20T00:00:00"/>
    <x v="2"/>
    <s v="Charles Morales"/>
    <s v="NovaHealth Midtown Medical Center"/>
    <s v="Male"/>
    <n v="43"/>
    <x v="2"/>
    <n v="2"/>
    <x v="0"/>
    <x v="0"/>
    <n v="8846.9599999999991"/>
    <n v="6743.69"/>
    <n v="2.5"/>
    <x v="1"/>
    <x v="0"/>
  </r>
  <r>
    <s v="NHM-2026-100859"/>
    <s v="November"/>
    <x v="4"/>
    <n v="11"/>
    <d v="2024-11-15T00:00:00"/>
    <x v="0"/>
    <s v="Melissa Butler"/>
    <s v="NovaHealth Midtown Medical Center"/>
    <s v="Male"/>
    <n v="60"/>
    <x v="0"/>
    <n v="3"/>
    <x v="3"/>
    <x v="3"/>
    <n v="9162.27"/>
    <n v="5361.32"/>
    <n v="5.9"/>
    <x v="1"/>
    <x v="0"/>
  </r>
  <r>
    <s v="NHM-2026-100362"/>
    <s v="February"/>
    <x v="2"/>
    <n v="2"/>
    <d v="2024-02-22T00:00:00"/>
    <x v="0"/>
    <s v="Andrea Dixon"/>
    <s v="NovaHealth Lakeside Medical Center"/>
    <s v="Female"/>
    <n v="22"/>
    <x v="0"/>
    <n v="1"/>
    <x v="2"/>
    <x v="2"/>
    <n v="4279.16"/>
    <n v="2655.09"/>
    <n v="5.6"/>
    <x v="0"/>
    <x v="0"/>
  </r>
  <r>
    <s v="NHM-2025-100768"/>
    <s v="March"/>
    <x v="1"/>
    <n v="3"/>
    <d v="2024-03-21T00:00:00"/>
    <x v="0"/>
    <s v="Samuel Jackson"/>
    <s v="NovaHealth Metro General Hospital"/>
    <s v="Female"/>
    <n v="80"/>
    <x v="2"/>
    <n v="4"/>
    <x v="0"/>
    <x v="0"/>
    <n v="6725.45"/>
    <n v="4323.49"/>
    <n v="2.4"/>
    <x v="2"/>
    <x v="1"/>
  </r>
  <r>
    <s v="NHM-2024-101532"/>
    <s v="June"/>
    <x v="11"/>
    <n v="6"/>
    <d v="2024-06-10T00:00:00"/>
    <x v="0"/>
    <s v="Anthony Young"/>
    <s v="NovaHealth River Valley Hospital"/>
    <s v="Female"/>
    <n v="47"/>
    <x v="0"/>
    <n v="2"/>
    <x v="3"/>
    <x v="3"/>
    <n v="9759.35"/>
    <n v="6576.36"/>
    <n v="4.7"/>
    <x v="1"/>
    <x v="0"/>
  </r>
  <r>
    <s v="NHM-2024-100754"/>
    <s v="May"/>
    <x v="9"/>
    <n v="5"/>
    <d v="2024-05-07T00:00:00"/>
    <x v="0"/>
    <s v="Janice Tucker"/>
    <s v="NovaHealth Northside Hospital"/>
    <s v="Male"/>
    <n v="83"/>
    <x v="0"/>
    <n v="2"/>
    <x v="7"/>
    <x v="7"/>
    <n v="5374.32"/>
    <n v="3870.82"/>
    <n v="13.6"/>
    <x v="1"/>
    <x v="1"/>
  </r>
  <r>
    <s v="NHM-2023-100337"/>
    <s v="October"/>
    <x v="5"/>
    <n v="10"/>
    <d v="2025-10-23T00:00:00"/>
    <x v="1"/>
    <s v="Maria Walker"/>
    <s v="NovaHealth Chicago Medical Center"/>
    <s v="Female"/>
    <n v="39"/>
    <x v="0"/>
    <n v="2"/>
    <x v="0"/>
    <x v="0"/>
    <n v="11741.11"/>
    <n v="8616.61"/>
    <n v="5.7"/>
    <x v="1"/>
    <x v="0"/>
  </r>
  <r>
    <s v="NHM-2025-101160"/>
    <s v="June"/>
    <x v="11"/>
    <n v="6"/>
    <d v="2025-06-03T00:00:00"/>
    <x v="1"/>
    <s v="Henry Freeman"/>
    <s v="NovaHealth River Valley Hospital"/>
    <s v="Male"/>
    <n v="29"/>
    <x v="0"/>
    <n v="1"/>
    <x v="1"/>
    <x v="1"/>
    <n v="6583.23"/>
    <n v="5061.6499999999996"/>
    <n v="7.3"/>
    <x v="0"/>
    <x v="0"/>
  </r>
  <r>
    <s v="NHM-2024-100583"/>
    <s v="June"/>
    <x v="11"/>
    <n v="6"/>
    <d v="2024-06-10T00:00:00"/>
    <x v="0"/>
    <s v="Janice Kim"/>
    <s v="NovaHealth Lakeside Medical Center"/>
    <s v="Male"/>
    <n v="7"/>
    <x v="0"/>
    <n v="1"/>
    <x v="6"/>
    <x v="6"/>
    <n v="1411.25"/>
    <n v="820.92"/>
    <n v="0.3"/>
    <x v="0"/>
    <x v="2"/>
  </r>
  <r>
    <s v="NHM-2026-102061"/>
    <s v="January"/>
    <x v="3"/>
    <n v="1"/>
    <d v="2025-01-17T00:00:00"/>
    <x v="1"/>
    <s v="Olivia Mason"/>
    <s v="NovaHealth Chicago Medical Center"/>
    <s v="Male"/>
    <n v="28"/>
    <x v="2"/>
    <n v="3"/>
    <x v="0"/>
    <x v="0"/>
    <n v="7811.44"/>
    <n v="4783.38"/>
    <n v="2.2999999999999998"/>
    <x v="1"/>
    <x v="0"/>
  </r>
  <r>
    <s v="NHM-2024-100091"/>
    <s v="March"/>
    <x v="1"/>
    <n v="3"/>
    <d v="2025-03-18T00:00:00"/>
    <x v="1"/>
    <s v="Eugene Boyd"/>
    <s v="NovaHealth River Valley Hospital"/>
    <s v="Male"/>
    <n v="40"/>
    <x v="1"/>
    <n v="4"/>
    <x v="2"/>
    <x v="2"/>
    <n v="6297.21"/>
    <n v="4095.81"/>
    <n v="8.1999999999999993"/>
    <x v="2"/>
    <x v="0"/>
  </r>
  <r>
    <s v="NHM-2024-100330"/>
    <s v="April"/>
    <x v="0"/>
    <n v="4"/>
    <d v="2025-04-03T00:00:00"/>
    <x v="1"/>
    <s v="Kimberly Jones"/>
    <s v="NovaHealth Greenfield Clinic"/>
    <s v="Female"/>
    <n v="76"/>
    <x v="1"/>
    <n v="3"/>
    <x v="4"/>
    <x v="4"/>
    <n v="15160.07"/>
    <n v="10267.65"/>
    <n v="13.8"/>
    <x v="1"/>
    <x v="1"/>
  </r>
  <r>
    <s v="NHM-2024-100297"/>
    <s v="May"/>
    <x v="9"/>
    <n v="5"/>
    <d v="2025-05-07T00:00:00"/>
    <x v="1"/>
    <s v="Pamela Castillo"/>
    <s v="NovaHealth Chicago Medical Center"/>
    <s v="Male"/>
    <n v="3"/>
    <x v="0"/>
    <n v="1"/>
    <x v="6"/>
    <x v="6"/>
    <n v="580.25"/>
    <n v="444.57"/>
    <n v="4.8"/>
    <x v="0"/>
    <x v="2"/>
  </r>
  <r>
    <s v="NHM-2025-101597"/>
    <s v="October"/>
    <x v="5"/>
    <n v="10"/>
    <d v="2024-10-22T00:00:00"/>
    <x v="0"/>
    <s v="Emma Johnson"/>
    <s v="NovaHealth Greenfield Clinic"/>
    <s v="Female"/>
    <n v="92"/>
    <x v="2"/>
    <n v="4"/>
    <x v="4"/>
    <x v="4"/>
    <n v="15080.07"/>
    <n v="11117.25"/>
    <n v="13.6"/>
    <x v="2"/>
    <x v="1"/>
  </r>
  <r>
    <s v="NHM-2026-100407"/>
    <s v="July"/>
    <x v="8"/>
    <n v="7"/>
    <d v="2026-07-07T00:00:00"/>
    <x v="2"/>
    <s v="Lawrence Hicks"/>
    <s v="NovaHealth Northside Hospital"/>
    <s v="Male"/>
    <n v="29"/>
    <x v="0"/>
    <n v="3"/>
    <x v="5"/>
    <x v="5"/>
    <n v="10464.379999999999"/>
    <n v="7988.13"/>
    <n v="4.4000000000000004"/>
    <x v="1"/>
    <x v="0"/>
  </r>
  <r>
    <s v="NHM-2025-101380"/>
    <s v="September"/>
    <x v="7"/>
    <n v="9"/>
    <d v="2024-09-18T00:00:00"/>
    <x v="0"/>
    <s v="Elizabeth Murphy"/>
    <s v="NovaHealth Chicago Medical Center"/>
    <s v="Male"/>
    <n v="57"/>
    <x v="1"/>
    <n v="4"/>
    <x v="5"/>
    <x v="5"/>
    <n v="20077.98"/>
    <n v="11683.63"/>
    <n v="4.8"/>
    <x v="2"/>
    <x v="0"/>
  </r>
  <r>
    <s v="NHM-2023-101218"/>
    <s v="December"/>
    <x v="6"/>
    <n v="12"/>
    <d v="2023-12-18T00:00:00"/>
    <x v="3"/>
    <s v="Debra Coleman"/>
    <s v="NovaHealth Greenfield Clinic"/>
    <s v="Male"/>
    <n v="5"/>
    <x v="2"/>
    <n v="5"/>
    <x v="6"/>
    <x v="6"/>
    <n v="984.61"/>
    <n v="620.61"/>
    <n v="2.5"/>
    <x v="2"/>
    <x v="2"/>
  </r>
  <r>
    <s v="NHM-2024-100987"/>
    <s v="December"/>
    <x v="6"/>
    <n v="12"/>
    <d v="2024-12-31T00:00:00"/>
    <x v="0"/>
    <s v="Billy Boyd"/>
    <s v="NovaHealth Lakeside Medical Center"/>
    <s v="Female"/>
    <n v="2"/>
    <x v="2"/>
    <n v="1"/>
    <x v="6"/>
    <x v="6"/>
    <n v="2013.73"/>
    <n v="1323.19"/>
    <n v="4.3"/>
    <x v="0"/>
    <x v="2"/>
  </r>
  <r>
    <s v="NHM-2024-102250"/>
    <s v="January"/>
    <x v="3"/>
    <n v="1"/>
    <d v="2025-01-03T00:00:00"/>
    <x v="1"/>
    <s v="Paul Mendoza"/>
    <s v="NovaHealth Northside Hospital"/>
    <s v="Female"/>
    <n v="68"/>
    <x v="2"/>
    <n v="5"/>
    <x v="4"/>
    <x v="4"/>
    <n v="13791.23"/>
    <n v="9378.52"/>
    <n v="17.3"/>
    <x v="2"/>
    <x v="1"/>
  </r>
  <r>
    <s v="NHM-2023-100467"/>
    <s v="June"/>
    <x v="11"/>
    <n v="6"/>
    <d v="2026-06-17T00:00:00"/>
    <x v="2"/>
    <s v="Jonathan Fisher"/>
    <s v="NovaHealth Northside Hospital"/>
    <s v="Female"/>
    <n v="36"/>
    <x v="2"/>
    <n v="3"/>
    <x v="1"/>
    <x v="1"/>
    <n v="12808.42"/>
    <n v="9055.49"/>
    <n v="11.2"/>
    <x v="1"/>
    <x v="0"/>
  </r>
  <r>
    <s v="NHM-2025-100161"/>
    <s v="September"/>
    <x v="7"/>
    <n v="9"/>
    <d v="2023-09-22T00:00:00"/>
    <x v="3"/>
    <s v="Juan Lopez"/>
    <s v="NovaHealth River Valley Hospital"/>
    <s v="Male"/>
    <n v="11"/>
    <x v="0"/>
    <n v="1"/>
    <x v="6"/>
    <x v="6"/>
    <n v="844.25"/>
    <n v="637.9"/>
    <n v="2.7"/>
    <x v="0"/>
    <x v="2"/>
  </r>
  <r>
    <s v="NHM-2025-102280"/>
    <s v="January"/>
    <x v="3"/>
    <n v="1"/>
    <d v="2026-01-06T00:00:00"/>
    <x v="2"/>
    <s v="Marilyn Miller"/>
    <s v="NovaHealth Midtown Medical Center"/>
    <s v="Female"/>
    <n v="66"/>
    <x v="1"/>
    <n v="4"/>
    <x v="2"/>
    <x v="2"/>
    <n v="3348.93"/>
    <n v="2589.19"/>
    <n v="5.5"/>
    <x v="2"/>
    <x v="1"/>
  </r>
  <r>
    <s v="NHM-2023-100194"/>
    <s v="September"/>
    <x v="7"/>
    <n v="9"/>
    <d v="2025-09-15T00:00:00"/>
    <x v="1"/>
    <s v="Elizabeth Morgan"/>
    <s v="NovaHealth Northside Hospital"/>
    <s v="Female"/>
    <n v="4"/>
    <x v="2"/>
    <n v="1"/>
    <x v="6"/>
    <x v="6"/>
    <n v="1516.82"/>
    <n v="884.56"/>
    <n v="0.6"/>
    <x v="0"/>
    <x v="2"/>
  </r>
  <r>
    <s v="NHM-2023-100246"/>
    <s v="August"/>
    <x v="10"/>
    <n v="8"/>
    <d v="2024-08-16T00:00:00"/>
    <x v="0"/>
    <s v="Kimberly Brooks"/>
    <s v="NovaHealth Lakeside Medical Center"/>
    <s v="Male"/>
    <n v="15"/>
    <x v="0"/>
    <n v="2"/>
    <x v="6"/>
    <x v="6"/>
    <n v="2904.26"/>
    <n v="1801.2"/>
    <n v="3.7"/>
    <x v="1"/>
    <x v="2"/>
  </r>
  <r>
    <s v="NHM-2023-100651"/>
    <s v="January"/>
    <x v="3"/>
    <n v="1"/>
    <d v="2024-01-25T00:00:00"/>
    <x v="0"/>
    <s v="Albert Diaz"/>
    <s v="NovaHealth Midtown Medical Center"/>
    <s v="Male"/>
    <n v="19"/>
    <x v="0"/>
    <n v="1"/>
    <x v="0"/>
    <x v="0"/>
    <n v="5088.78"/>
    <n v="3300.82"/>
    <n v="5.5"/>
    <x v="0"/>
    <x v="0"/>
  </r>
  <r>
    <s v="NHM-2023-101277"/>
    <s v="October"/>
    <x v="5"/>
    <n v="10"/>
    <d v="2023-10-02T00:00:00"/>
    <x v="3"/>
    <s v="Christine Bell"/>
    <s v="NovaHealth Midtown Medical Center"/>
    <s v="Male"/>
    <n v="74"/>
    <x v="2"/>
    <n v="5"/>
    <x v="0"/>
    <x v="0"/>
    <n v="11556.54"/>
    <n v="7793.28"/>
    <n v="6.3"/>
    <x v="2"/>
    <x v="1"/>
  </r>
  <r>
    <s v="NHM-2025-100646"/>
    <s v="January"/>
    <x v="3"/>
    <n v="1"/>
    <d v="2024-01-14T00:00:00"/>
    <x v="0"/>
    <s v="Shirley Porter"/>
    <s v="NovaHealth Midtown Medical Center"/>
    <s v="Female"/>
    <n v="91"/>
    <x v="0"/>
    <n v="3"/>
    <x v="4"/>
    <x v="4"/>
    <n v="12498.48"/>
    <n v="8870.5400000000009"/>
    <n v="15.2"/>
    <x v="1"/>
    <x v="1"/>
  </r>
  <r>
    <s v="NHM-2023-102257"/>
    <s v="November"/>
    <x v="4"/>
    <n v="11"/>
    <d v="2024-11-12T00:00:00"/>
    <x v="0"/>
    <s v="Gerald Reynolds"/>
    <s v="NovaHealth Midtown Medical Center"/>
    <s v="Male"/>
    <n v="61"/>
    <x v="1"/>
    <n v="2"/>
    <x v="0"/>
    <x v="0"/>
    <n v="8519.4500000000007"/>
    <n v="6293.6"/>
    <n v="9.3000000000000007"/>
    <x v="1"/>
    <x v="0"/>
  </r>
  <r>
    <s v="NHM-2024-100827"/>
    <s v="November"/>
    <x v="4"/>
    <n v="11"/>
    <d v="2025-11-21T00:00:00"/>
    <x v="1"/>
    <s v="Helen Ortiz"/>
    <s v="NovaHealth Lakeside Medical Center"/>
    <s v="Female"/>
    <n v="55"/>
    <x v="0"/>
    <n v="2"/>
    <x v="0"/>
    <x v="0"/>
    <n v="5385.03"/>
    <n v="4155.0200000000004"/>
    <n v="7.8"/>
    <x v="1"/>
    <x v="0"/>
  </r>
  <r>
    <s v="NHM-2026-100127"/>
    <s v="July"/>
    <x v="8"/>
    <n v="7"/>
    <d v="2026-07-01T00:00:00"/>
    <x v="2"/>
    <s v="Roy Bell"/>
    <s v="NovaHealth Midtown Medical Center"/>
    <s v="Male"/>
    <n v="71"/>
    <x v="0"/>
    <n v="3"/>
    <x v="5"/>
    <x v="5"/>
    <n v="15207.6"/>
    <n v="8878.01"/>
    <n v="7.2"/>
    <x v="1"/>
    <x v="1"/>
  </r>
  <r>
    <s v="NHM-2023-101419"/>
    <s v="January"/>
    <x v="3"/>
    <n v="1"/>
    <d v="2026-01-12T00:00:00"/>
    <x v="2"/>
    <s v="Donald Fisher"/>
    <s v="NovaHealth Lakeside Medical Center"/>
    <s v="Male"/>
    <n v="6"/>
    <x v="0"/>
    <n v="1"/>
    <x v="6"/>
    <x v="6"/>
    <n v="2255.09"/>
    <n v="1382.8"/>
    <n v="0.9"/>
    <x v="0"/>
    <x v="2"/>
  </r>
  <r>
    <s v="NHM-2026-102437"/>
    <s v="November"/>
    <x v="4"/>
    <n v="11"/>
    <d v="2025-11-29T00:00:00"/>
    <x v="1"/>
    <s v="Barbara Brown"/>
    <s v="NovaHealth Chicago Medical Center"/>
    <s v="Female"/>
    <n v="45"/>
    <x v="1"/>
    <n v="4"/>
    <x v="5"/>
    <x v="5"/>
    <n v="20422.12"/>
    <n v="13101.36"/>
    <n v="3.9"/>
    <x v="2"/>
    <x v="0"/>
  </r>
  <r>
    <s v="NHM-2026-100421"/>
    <s v="May"/>
    <x v="9"/>
    <n v="5"/>
    <d v="2025-05-24T00:00:00"/>
    <x v="1"/>
    <s v="Emma Owens"/>
    <s v="NovaHealth Northside Hospital"/>
    <s v="Male"/>
    <n v="55"/>
    <x v="2"/>
    <n v="4"/>
    <x v="4"/>
    <x v="4"/>
    <n v="18899.86"/>
    <n v="12776.51"/>
    <n v="14.2"/>
    <x v="2"/>
    <x v="0"/>
  </r>
  <r>
    <s v="NHM-2025-102185"/>
    <s v="October"/>
    <x v="5"/>
    <n v="10"/>
    <d v="2024-10-18T00:00:00"/>
    <x v="0"/>
    <s v="Alan Myers"/>
    <s v="NovaHealth Midtown Medical Center"/>
    <s v="Male"/>
    <n v="70"/>
    <x v="0"/>
    <n v="2"/>
    <x v="0"/>
    <x v="0"/>
    <n v="9704.5400000000009"/>
    <n v="6810.78"/>
    <n v="2.2000000000000002"/>
    <x v="1"/>
    <x v="1"/>
  </r>
  <r>
    <s v="NHM-2025-100188"/>
    <s v="July"/>
    <x v="8"/>
    <n v="7"/>
    <d v="2024-07-12T00:00:00"/>
    <x v="0"/>
    <s v="Danielle Gonzales"/>
    <s v="NovaHealth Greenfield Clinic"/>
    <s v="Male"/>
    <n v="38"/>
    <x v="0"/>
    <n v="1"/>
    <x v="2"/>
    <x v="2"/>
    <n v="2173.31"/>
    <n v="1633.72"/>
    <n v="5.9"/>
    <x v="0"/>
    <x v="0"/>
  </r>
  <r>
    <s v="NHM-2024-102395"/>
    <s v="January"/>
    <x v="3"/>
    <n v="1"/>
    <d v="2024-01-11T00:00:00"/>
    <x v="0"/>
    <s v="Patrick Wright"/>
    <s v="NovaHealth Greenfield Clinic"/>
    <s v="Female"/>
    <n v="36"/>
    <x v="0"/>
    <n v="1"/>
    <x v="1"/>
    <x v="1"/>
    <n v="8775.7000000000007"/>
    <n v="6669.53"/>
    <m/>
    <x v="0"/>
    <x v="0"/>
  </r>
  <r>
    <s v="NHM-2025-100385"/>
    <s v="December"/>
    <x v="6"/>
    <n v="12"/>
    <d v="2024-12-29T00:00:00"/>
    <x v="0"/>
    <s v="Martha Henderson"/>
    <s v="NovaHealth Greenfield Clinic"/>
    <s v="Male"/>
    <n v="29"/>
    <x v="2"/>
    <n v="3"/>
    <x v="0"/>
    <x v="0"/>
    <n v="5444.13"/>
    <n v="3197.6"/>
    <n v="5"/>
    <x v="1"/>
    <x v="0"/>
  </r>
  <r>
    <s v="NHM-2025-100493"/>
    <s v="February"/>
    <x v="2"/>
    <n v="2"/>
    <d v="2024-02-21T00:00:00"/>
    <x v="0"/>
    <s v="Amanda Hernandez"/>
    <s v="NovaHealth Midtown Medical Center"/>
    <s v="Male"/>
    <n v="63"/>
    <x v="1"/>
    <n v="4"/>
    <x v="4"/>
    <x v="4"/>
    <n v="16607.55"/>
    <n v="10209.01"/>
    <n v="9.8000000000000007"/>
    <x v="2"/>
    <x v="0"/>
  </r>
  <r>
    <s v="NHM-2026-102081"/>
    <s v="February"/>
    <x v="2"/>
    <n v="2"/>
    <d v="2026-02-03T00:00:00"/>
    <x v="2"/>
    <s v="Christine Campbell"/>
    <s v="NovaHealth Midtown Medical Center"/>
    <s v="Female"/>
    <n v="70"/>
    <x v="1"/>
    <n v="3"/>
    <x v="2"/>
    <x v="2"/>
    <n v="4036.71"/>
    <n v="2653.89"/>
    <n v="8.8000000000000007"/>
    <x v="1"/>
    <x v="1"/>
  </r>
  <r>
    <s v="NHM-2023-100181"/>
    <s v="April"/>
    <x v="0"/>
    <n v="4"/>
    <d v="2024-04-22T00:00:00"/>
    <x v="0"/>
    <s v="Helen Morales"/>
    <s v="NovaHealth Greenfield Clinic"/>
    <s v="Male"/>
    <n v="81"/>
    <x v="0"/>
    <n v="1"/>
    <x v="2"/>
    <x v="2"/>
    <n v="2020.27"/>
    <n v="1415.18"/>
    <n v="7.7"/>
    <x v="0"/>
    <x v="1"/>
  </r>
  <r>
    <s v="NHM-2023-100235"/>
    <s v="December"/>
    <x v="6"/>
    <n v="12"/>
    <d v="2023-12-19T00:00:00"/>
    <x v="3"/>
    <s v="Patrick Powell"/>
    <s v="NovaHealth Lakeshore Regional Center"/>
    <s v="Male"/>
    <n v="64"/>
    <x v="1"/>
    <n v="4"/>
    <x v="4"/>
    <x v="4"/>
    <n v="20979.200000000001"/>
    <n v="14778.24"/>
    <n v="11.6"/>
    <x v="2"/>
    <x v="0"/>
  </r>
  <r>
    <s v="NHM-2024-101207"/>
    <s v="May"/>
    <x v="9"/>
    <n v="5"/>
    <d v="2025-05-23T00:00:00"/>
    <x v="1"/>
    <s v="Anna Cox"/>
    <s v="NovaHealth Metro General Hospital"/>
    <s v="Female"/>
    <n v="86"/>
    <x v="1"/>
    <n v="4"/>
    <x v="5"/>
    <x v="5"/>
    <n v="13169.66"/>
    <n v="9656.25"/>
    <n v="5.3"/>
    <x v="2"/>
    <x v="1"/>
  </r>
  <r>
    <s v="NHM-2023-100049"/>
    <s v="August"/>
    <x v="10"/>
    <n v="8"/>
    <d v="2024-08-22T00:00:00"/>
    <x v="0"/>
    <s v="Alice Hayes"/>
    <s v="NovaHealth Chicago Medical Center"/>
    <s v="Female"/>
    <n v="33"/>
    <x v="0"/>
    <n v="5"/>
    <x v="5"/>
    <x v="5"/>
    <n v="18270.66"/>
    <n v="13976.9"/>
    <n v="11.4"/>
    <x v="2"/>
    <x v="0"/>
  </r>
  <r>
    <s v="NHM-2025-101671"/>
    <s v="April"/>
    <x v="0"/>
    <n v="4"/>
    <d v="2024-04-29T00:00:00"/>
    <x v="0"/>
    <s v="Michael Williams"/>
    <s v="NovaHealth Lakeside Medical Center"/>
    <s v="Female"/>
    <n v="85"/>
    <x v="0"/>
    <n v="2"/>
    <x v="1"/>
    <x v="1"/>
    <n v="11343.18"/>
    <n v="6630.24"/>
    <n v="6.4"/>
    <x v="1"/>
    <x v="1"/>
  </r>
  <r>
    <s v="NHM-2025-101752"/>
    <s v="September"/>
    <x v="7"/>
    <n v="9"/>
    <d v="2023-09-21T00:00:00"/>
    <x v="3"/>
    <s v="Sonia Patel"/>
    <s v="NovaHealth Northside Hospital"/>
    <s v="Female"/>
    <n v="23"/>
    <x v="2"/>
    <n v="2"/>
    <x v="1"/>
    <x v="1"/>
    <n v="6568.74"/>
    <n v="4030.13"/>
    <n v="2.9"/>
    <x v="1"/>
    <x v="0"/>
  </r>
  <r>
    <s v="NHM-2024-100939"/>
    <s v="July"/>
    <x v="8"/>
    <n v="7"/>
    <d v="2024-07-29T00:00:00"/>
    <x v="0"/>
    <s v="Joan Mitchell"/>
    <s v="NovaHealth Metro General Hospital"/>
    <s v="Female"/>
    <n v="76"/>
    <x v="0"/>
    <n v="3"/>
    <x v="3"/>
    <x v="3"/>
    <n v="4934.03"/>
    <n v="3194.58"/>
    <n v="4.5999999999999996"/>
    <x v="1"/>
    <x v="1"/>
  </r>
  <r>
    <s v="NHM-2024-100708"/>
    <s v="June"/>
    <x v="11"/>
    <n v="6"/>
    <d v="2026-06-10T00:00:00"/>
    <x v="2"/>
    <s v="Justin Foster"/>
    <s v="NovaHealth Northside Hospital"/>
    <s v="Female"/>
    <n v="87"/>
    <x v="2"/>
    <n v="4"/>
    <x v="3"/>
    <x v="3"/>
    <n v="13458.84"/>
    <n v="9081.42"/>
    <n v="8"/>
    <x v="2"/>
    <x v="1"/>
  </r>
  <r>
    <s v="NHM-2025-100037"/>
    <s v="August"/>
    <x v="10"/>
    <n v="8"/>
    <d v="2025-08-08T00:00:00"/>
    <x v="1"/>
    <s v="Emma Henry"/>
    <s v="NovaHealth Midtown Medical Center"/>
    <s v="Male"/>
    <n v="32"/>
    <x v="1"/>
    <n v="3"/>
    <x v="1"/>
    <x v="1"/>
    <n v="12584.29"/>
    <n v="8834.6"/>
    <n v="3.2"/>
    <x v="1"/>
    <x v="0"/>
  </r>
  <r>
    <s v="NHM-2024-101197"/>
    <s v="May"/>
    <x v="9"/>
    <n v="5"/>
    <d v="2024-05-14T00:00:00"/>
    <x v="0"/>
    <s v="Aaron Russell"/>
    <s v="NovaHealth Lakeshore Regional Center"/>
    <s v="Male"/>
    <n v="48"/>
    <x v="0"/>
    <n v="1"/>
    <x v="3"/>
    <x v="3"/>
    <n v="4579.93"/>
    <n v="3384.15"/>
    <n v="5.0999999999999996"/>
    <x v="0"/>
    <x v="0"/>
  </r>
  <r>
    <s v="NHM-2024-101593"/>
    <s v="April"/>
    <x v="0"/>
    <n v="4"/>
    <d v="2024-04-26T00:00:00"/>
    <x v="0"/>
    <s v="Stephen Simmons"/>
    <s v="NovaHealth Chicago Medical Center"/>
    <s v="Female"/>
    <n v="13"/>
    <x v="0"/>
    <n v="2"/>
    <x v="6"/>
    <x v="6"/>
    <n v="869.07"/>
    <n v="682.89"/>
    <n v="2.8"/>
    <x v="1"/>
    <x v="2"/>
  </r>
  <r>
    <s v="NHM-2023-100073"/>
    <s v="February"/>
    <x v="2"/>
    <n v="2"/>
    <d v="2024-02-02T00:00:00"/>
    <x v="0"/>
    <s v="Sharon Stevens"/>
    <s v="NovaHealth River Valley Hospital"/>
    <s v="Female"/>
    <n v="48"/>
    <x v="0"/>
    <n v="2"/>
    <x v="0"/>
    <x v="0"/>
    <n v="11263.21"/>
    <n v="6555.86"/>
    <n v="2.9"/>
    <x v="1"/>
    <x v="0"/>
  </r>
  <r>
    <s v="NHM-2025-100931"/>
    <s v="June"/>
    <x v="11"/>
    <n v="6"/>
    <d v="2026-06-10T00:00:00"/>
    <x v="2"/>
    <s v="Anthony Miller"/>
    <s v="NovaHealth Chicago Medical Center"/>
    <s v="Female"/>
    <n v="43"/>
    <x v="0"/>
    <n v="1"/>
    <x v="1"/>
    <x v="1"/>
    <n v="9604.7800000000007"/>
    <n v="5924.52"/>
    <n v="8.1999999999999993"/>
    <x v="0"/>
    <x v="0"/>
  </r>
  <r>
    <s v="NHM-2024-100546"/>
    <s v="March"/>
    <x v="1"/>
    <n v="3"/>
    <d v="2026-03-18T00:00:00"/>
    <x v="2"/>
    <s v="Denise Alvarez"/>
    <s v="NovaHealth Northside Hospital"/>
    <s v="Male"/>
    <n v="76"/>
    <x v="0"/>
    <n v="2"/>
    <x v="1"/>
    <x v="1"/>
    <n v="5936.21"/>
    <n v="3836.77"/>
    <n v="4.7"/>
    <x v="1"/>
    <x v="1"/>
  </r>
  <r>
    <s v="NHM-2026-102043"/>
    <s v="July"/>
    <x v="8"/>
    <n v="7"/>
    <d v="2026-07-10T00:00:00"/>
    <x v="2"/>
    <s v="Christine Myers"/>
    <s v="NovaHealth Chicago Medical Center"/>
    <s v="Male"/>
    <n v="36"/>
    <x v="2"/>
    <n v="2"/>
    <x v="7"/>
    <x v="7"/>
    <n v="5843.39"/>
    <n v="4061.47"/>
    <n v="18.3"/>
    <x v="1"/>
    <x v="0"/>
  </r>
  <r>
    <s v="NHM-2024-101547"/>
    <s v="September"/>
    <x v="7"/>
    <n v="9"/>
    <d v="2025-09-04T00:00:00"/>
    <x v="1"/>
    <s v="Judy Gomez"/>
    <s v="NovaHealth River Valley Hospital"/>
    <s v="Male"/>
    <n v="36"/>
    <x v="0"/>
    <n v="1"/>
    <x v="2"/>
    <x v="2"/>
    <n v="3707.3"/>
    <n v="2637.51"/>
    <n v="5.3"/>
    <x v="0"/>
    <x v="0"/>
  </r>
  <r>
    <s v="NHM-2026-100724"/>
    <s v="December"/>
    <x v="6"/>
    <n v="12"/>
    <d v="2023-12-20T00:00:00"/>
    <x v="3"/>
    <s v="Matthew White"/>
    <s v="NovaHealth River Valley Hospital"/>
    <s v="Male"/>
    <n v="63"/>
    <x v="2"/>
    <n v="3"/>
    <x v="7"/>
    <x v="7"/>
    <n v="6111.01"/>
    <n v="4461.04"/>
    <m/>
    <x v="1"/>
    <x v="0"/>
  </r>
  <r>
    <s v="NHM-2026-101301"/>
    <s v="June"/>
    <x v="11"/>
    <n v="6"/>
    <d v="2026-06-17T00:00:00"/>
    <x v="2"/>
    <s v="Christopher Stevens"/>
    <s v="NovaHealth Northside Hospital"/>
    <s v="Male"/>
    <n v="24"/>
    <x v="0"/>
    <n v="1"/>
    <x v="2"/>
    <x v="2"/>
    <n v="4546.16"/>
    <n v="3508.68"/>
    <n v="6.7"/>
    <x v="0"/>
    <x v="0"/>
  </r>
  <r>
    <s v="NHM-2025-100026"/>
    <s v="July"/>
    <x v="8"/>
    <n v="7"/>
    <d v="2026-07-06T00:00:00"/>
    <x v="2"/>
    <s v="Jonathan Ramos"/>
    <s v="NovaHealth Lakeside Medical Center"/>
    <s v="Female"/>
    <n v="66"/>
    <x v="0"/>
    <n v="1"/>
    <x v="3"/>
    <x v="3"/>
    <n v="6121.83"/>
    <n v="3617.06"/>
    <n v="8.3000000000000007"/>
    <x v="0"/>
    <x v="1"/>
  </r>
  <r>
    <s v="NHM-2025-100860"/>
    <s v="September"/>
    <x v="7"/>
    <n v="9"/>
    <d v="2023-09-03T00:00:00"/>
    <x v="3"/>
    <s v="Sarah Long"/>
    <s v="NovaHealth Greenfield Clinic"/>
    <s v="Male"/>
    <n v="72"/>
    <x v="2"/>
    <n v="5"/>
    <x v="5"/>
    <x v="5"/>
    <n v="20479.009999999998"/>
    <n v="12509"/>
    <n v="2.1"/>
    <x v="2"/>
    <x v="1"/>
  </r>
  <r>
    <s v="NHM-2025-101248"/>
    <s v="April"/>
    <x v="0"/>
    <n v="4"/>
    <d v="2026-04-21T00:00:00"/>
    <x v="2"/>
    <s v="Frank Gibson"/>
    <s v="NovaHealth Chicago Medical Center"/>
    <s v="Female"/>
    <n v="74"/>
    <x v="0"/>
    <n v="2"/>
    <x v="2"/>
    <x v="2"/>
    <n v="2717.37"/>
    <n v="1771.92"/>
    <n v="4.0999999999999996"/>
    <x v="1"/>
    <x v="1"/>
  </r>
  <r>
    <s v="NHM-2026-101666"/>
    <s v="September"/>
    <x v="7"/>
    <n v="9"/>
    <d v="2025-09-12T00:00:00"/>
    <x v="1"/>
    <s v="Aaron Wilson"/>
    <s v="NovaHealth Metro General Hospital"/>
    <s v="Female"/>
    <n v="55"/>
    <x v="2"/>
    <n v="2"/>
    <x v="0"/>
    <x v="0"/>
    <n v="6696.81"/>
    <n v="4552.46"/>
    <n v="8.1999999999999993"/>
    <x v="1"/>
    <x v="0"/>
  </r>
  <r>
    <s v="NHM-2026-100277"/>
    <s v="October"/>
    <x v="5"/>
    <n v="10"/>
    <d v="2025-10-21T00:00:00"/>
    <x v="1"/>
    <s v="Gerald Watson"/>
    <s v="NovaHealth River Valley Hospital"/>
    <s v="Female"/>
    <n v="24"/>
    <x v="0"/>
    <n v="1"/>
    <x v="2"/>
    <x v="2"/>
    <n v="2213.0300000000002"/>
    <n v="1593.92"/>
    <n v="5.6"/>
    <x v="0"/>
    <x v="0"/>
  </r>
  <r>
    <s v="NHM-2023-102487"/>
    <s v="July"/>
    <x v="8"/>
    <n v="7"/>
    <d v="2024-07-01T00:00:00"/>
    <x v="0"/>
    <s v="Angela Crawford"/>
    <s v="NovaHealth Chicago Medical Center"/>
    <s v="Male"/>
    <n v="51"/>
    <x v="0"/>
    <n v="2"/>
    <x v="3"/>
    <x v="3"/>
    <n v="5277.37"/>
    <n v="3898.88"/>
    <n v="5.8"/>
    <x v="1"/>
    <x v="0"/>
  </r>
  <r>
    <s v="NHM-2023-101060"/>
    <s v="August"/>
    <x v="10"/>
    <n v="8"/>
    <d v="2024-08-29T00:00:00"/>
    <x v="0"/>
    <s v="John Jackson"/>
    <s v="NovaHealth River Valley Hospital"/>
    <s v="Male"/>
    <n v="81"/>
    <x v="2"/>
    <n v="4"/>
    <x v="3"/>
    <x v="3"/>
    <n v="7705.5"/>
    <n v="5877.78"/>
    <n v="2.7"/>
    <x v="2"/>
    <x v="1"/>
  </r>
  <r>
    <s v="NHM-2024-101855"/>
    <s v="November"/>
    <x v="4"/>
    <n v="11"/>
    <d v="2023-11-09T00:00:00"/>
    <x v="3"/>
    <s v="Nicholas Lewis"/>
    <s v="NovaHealth Chicago Medical Center"/>
    <s v="Male"/>
    <n v="61"/>
    <x v="2"/>
    <n v="4"/>
    <x v="4"/>
    <x v="4"/>
    <n v="13454.35"/>
    <n v="7885.92"/>
    <n v="10.3"/>
    <x v="2"/>
    <x v="0"/>
  </r>
  <r>
    <s v="NHM-2025-101474"/>
    <s v="April"/>
    <x v="0"/>
    <n v="4"/>
    <d v="2024-04-29T00:00:00"/>
    <x v="0"/>
    <s v="Melissa Turner"/>
    <s v="NovaHealth Northside Hospital"/>
    <s v="Female"/>
    <n v="0"/>
    <x v="0"/>
    <n v="2"/>
    <x v="6"/>
    <x v="6"/>
    <n v="846.99"/>
    <n v="544.66"/>
    <n v="3.5"/>
    <x v="1"/>
    <x v="2"/>
  </r>
  <r>
    <s v="NHM-2023-102074"/>
    <s v="June"/>
    <x v="11"/>
    <n v="6"/>
    <d v="2026-06-22T00:00:00"/>
    <x v="2"/>
    <s v="Emma Reynolds"/>
    <s v="NovaHealth Greenfield Clinic"/>
    <s v="Male"/>
    <n v="39"/>
    <x v="0"/>
    <n v="1"/>
    <x v="0"/>
    <x v="0"/>
    <n v="5287.63"/>
    <n v="3464.08"/>
    <n v="10"/>
    <x v="0"/>
    <x v="0"/>
  </r>
  <r>
    <s v="NHM-2023-100755"/>
    <s v="December"/>
    <x v="6"/>
    <n v="12"/>
    <d v="2023-12-14T00:00:00"/>
    <x v="3"/>
    <s v="Joseph Reynolds"/>
    <s v="NovaHealth Northside Hospital"/>
    <s v="Male"/>
    <n v="4"/>
    <x v="2"/>
    <n v="2"/>
    <x v="6"/>
    <x v="6"/>
    <n v="1327.37"/>
    <n v="924.54"/>
    <n v="4.4000000000000004"/>
    <x v="1"/>
    <x v="2"/>
  </r>
  <r>
    <s v="NHM-2024-101270"/>
    <s v="August"/>
    <x v="10"/>
    <n v="8"/>
    <d v="2024-08-30T00:00:00"/>
    <x v="0"/>
    <s v="Jerry Hall"/>
    <s v="NovaHealth Lakeside Medical Center"/>
    <s v="Female"/>
    <n v="4"/>
    <x v="2"/>
    <n v="3"/>
    <x v="6"/>
    <x v="6"/>
    <n v="3398.7"/>
    <n v="2420.69"/>
    <n v="5.2"/>
    <x v="1"/>
    <x v="2"/>
  </r>
  <r>
    <s v="NHM-2023-102489"/>
    <s v="November"/>
    <x v="4"/>
    <n v="11"/>
    <d v="2024-11-28T00:00:00"/>
    <x v="0"/>
    <s v="Ralph Adams"/>
    <s v="NovaHealth Lakeside Medical Center"/>
    <s v="Female"/>
    <n v="33"/>
    <x v="0"/>
    <n v="1"/>
    <x v="7"/>
    <x v="7"/>
    <n v="4473.47"/>
    <n v="3374.43"/>
    <n v="13.6"/>
    <x v="0"/>
    <x v="0"/>
  </r>
  <r>
    <s v="NHM-2023-102318"/>
    <s v="July"/>
    <x v="8"/>
    <n v="7"/>
    <d v="2026-07-20T00:00:00"/>
    <x v="2"/>
    <s v="Anna Cox"/>
    <s v="NovaHealth Greenfield Clinic"/>
    <s v="Female"/>
    <n v="56"/>
    <x v="2"/>
    <n v="4"/>
    <x v="4"/>
    <x v="4"/>
    <n v="15405"/>
    <n v="11805.4"/>
    <n v="12.2"/>
    <x v="2"/>
    <x v="0"/>
  </r>
  <r>
    <s v="NHM-2023-100090"/>
    <s v="December"/>
    <x v="6"/>
    <n v="12"/>
    <d v="2023-12-01T00:00:00"/>
    <x v="3"/>
    <s v="Joshua Smith"/>
    <s v="NovaHealth Chicago Medical Center"/>
    <s v="Male"/>
    <n v="3"/>
    <x v="0"/>
    <n v="3"/>
    <x v="6"/>
    <x v="6"/>
    <n v="1514.14"/>
    <n v="919.8"/>
    <n v="5.2"/>
    <x v="1"/>
    <x v="2"/>
  </r>
  <r>
    <s v="NHM-2026-100219"/>
    <s v="November"/>
    <x v="4"/>
    <n v="11"/>
    <d v="2025-11-27T00:00:00"/>
    <x v="1"/>
    <s v="Adam Jordan"/>
    <s v="NovaHealth Metro General Hospital"/>
    <s v="Female"/>
    <n v="62"/>
    <x v="2"/>
    <n v="4"/>
    <x v="2"/>
    <x v="2"/>
    <n v="6811.49"/>
    <n v="4189.41"/>
    <n v="4.3"/>
    <x v="2"/>
    <x v="0"/>
  </r>
  <r>
    <s v="NHM-2024-100970"/>
    <s v="January"/>
    <x v="3"/>
    <n v="1"/>
    <d v="2024-01-17T00:00:00"/>
    <x v="0"/>
    <s v="Martha Powell"/>
    <s v="NovaHealth Midtown Medical Center"/>
    <s v="Male"/>
    <n v="74"/>
    <x v="0"/>
    <n v="2"/>
    <x v="0"/>
    <x v="0"/>
    <n v="12214.34"/>
    <n v="7893.98"/>
    <n v="9.6"/>
    <x v="1"/>
    <x v="1"/>
  </r>
  <r>
    <s v="NHM-2026-102004"/>
    <s v="April"/>
    <x v="0"/>
    <n v="4"/>
    <d v="2026-04-07T00:00:00"/>
    <x v="2"/>
    <s v="Robert Hall"/>
    <s v="NovaHealth Metro General Hospital"/>
    <s v="Female"/>
    <n v="62"/>
    <x v="1"/>
    <n v="4"/>
    <x v="1"/>
    <x v="1"/>
    <n v="10570.98"/>
    <n v="7142.56"/>
    <n v="7.5"/>
    <x v="2"/>
    <x v="0"/>
  </r>
  <r>
    <s v="NHM-2025-101172"/>
    <s v="May"/>
    <x v="9"/>
    <n v="5"/>
    <d v="2025-05-26T00:00:00"/>
    <x v="1"/>
    <s v="Elizabeth Foster"/>
    <s v="NovaHealth Oakridge Community Hospital"/>
    <s v="Female"/>
    <n v="15"/>
    <x v="0"/>
    <n v="2"/>
    <x v="6"/>
    <x v="6"/>
    <n v="2544.04"/>
    <n v="1810.43"/>
    <n v="3.7"/>
    <x v="1"/>
    <x v="2"/>
  </r>
  <r>
    <s v="NHM-2025-101771"/>
    <s v="June"/>
    <x v="11"/>
    <n v="6"/>
    <d v="2025-06-29T00:00:00"/>
    <x v="1"/>
    <s v="Maria Collins"/>
    <s v="NovaHealth Lakeside Medical Center"/>
    <s v="Male"/>
    <n v="72"/>
    <x v="0"/>
    <n v="1"/>
    <x v="0"/>
    <x v="0"/>
    <n v="5096.08"/>
    <n v="3759.34"/>
    <n v="4.9000000000000004"/>
    <x v="0"/>
    <x v="1"/>
  </r>
  <r>
    <s v="NHM-2025-100597"/>
    <s v="March"/>
    <x v="1"/>
    <n v="3"/>
    <d v="2026-03-21T00:00:00"/>
    <x v="2"/>
    <s v="Nicholas Rogers"/>
    <s v="NovaHealth Chicago Medical Center"/>
    <s v="Male"/>
    <n v="24"/>
    <x v="1"/>
    <n v="3"/>
    <x v="0"/>
    <x v="0"/>
    <n v="5940.93"/>
    <n v="4596.71"/>
    <n v="10.199999999999999"/>
    <x v="1"/>
    <x v="0"/>
  </r>
  <r>
    <s v="NHM-2024-101948"/>
    <s v="May"/>
    <x v="9"/>
    <n v="5"/>
    <d v="2025-05-12T00:00:00"/>
    <x v="1"/>
    <s v="Emily Edwards"/>
    <s v="NovaHealth Oakridge Community Hospital"/>
    <s v="Female"/>
    <n v="81"/>
    <x v="2"/>
    <n v="4"/>
    <x v="2"/>
    <x v="2"/>
    <n v="2518.1799999999998"/>
    <n v="1530.94"/>
    <n v="8.8000000000000007"/>
    <x v="2"/>
    <x v="1"/>
  </r>
  <r>
    <s v="NHM-2025-101742"/>
    <s v="January"/>
    <x v="3"/>
    <n v="1"/>
    <d v="2025-01-06T00:00:00"/>
    <x v="1"/>
    <s v="Jordan Crawford"/>
    <s v="NovaHealth Northside Hospital"/>
    <s v="Female"/>
    <n v="44"/>
    <x v="0"/>
    <n v="1"/>
    <x v="0"/>
    <x v="0"/>
    <n v="7065.83"/>
    <n v="4327.76"/>
    <n v="2.2000000000000002"/>
    <x v="0"/>
    <x v="0"/>
  </r>
  <r>
    <s v="NHM-2026-101273"/>
    <s v="June"/>
    <x v="11"/>
    <n v="6"/>
    <d v="2026-06-04T00:00:00"/>
    <x v="2"/>
    <s v="Larry Peterson"/>
    <s v="NovaHealth Northside Hospital"/>
    <s v="Male"/>
    <n v="36"/>
    <x v="0"/>
    <n v="3"/>
    <x v="5"/>
    <x v="5"/>
    <n v="19001.099999999999"/>
    <n v="12234.3"/>
    <n v="9.1999999999999993"/>
    <x v="1"/>
    <x v="0"/>
  </r>
  <r>
    <s v="NHM-2026-101511"/>
    <s v="October"/>
    <x v="5"/>
    <n v="10"/>
    <d v="2024-10-02T00:00:00"/>
    <x v="0"/>
    <s v="Judith Turner"/>
    <s v="NovaHealth River Valley Hospital"/>
    <s v="Female"/>
    <n v="84"/>
    <x v="2"/>
    <n v="4"/>
    <x v="0"/>
    <x v="0"/>
    <n v="13546"/>
    <n v="9148.6200000000008"/>
    <n v="9.1"/>
    <x v="2"/>
    <x v="1"/>
  </r>
  <r>
    <s v="NHM-2026-100990"/>
    <s v="December"/>
    <x v="6"/>
    <n v="12"/>
    <d v="2025-12-15T00:00:00"/>
    <x v="1"/>
    <s v="Emma Hughes"/>
    <s v="NovaHealth Northside Hospital"/>
    <s v="Male"/>
    <n v="54"/>
    <x v="0"/>
    <n v="2"/>
    <x v="7"/>
    <x v="7"/>
    <n v="6115.86"/>
    <n v="4408.3"/>
    <n v="15.9"/>
    <x v="1"/>
    <x v="0"/>
  </r>
  <r>
    <s v="NHM-2023-100996"/>
    <s v="October"/>
    <x v="5"/>
    <n v="10"/>
    <d v="2023-10-16T00:00:00"/>
    <x v="3"/>
    <s v="Sandra Tucker"/>
    <s v="NovaHealth Lakeside Medical Center"/>
    <s v="Female"/>
    <n v="31"/>
    <x v="2"/>
    <n v="3"/>
    <x v="2"/>
    <x v="2"/>
    <n v="2319.34"/>
    <n v="1748.32"/>
    <n v="6.9"/>
    <x v="1"/>
    <x v="0"/>
  </r>
  <r>
    <s v="NHM-2025-100913"/>
    <s v="December"/>
    <x v="6"/>
    <n v="12"/>
    <d v="2024-12-18T00:00:00"/>
    <x v="0"/>
    <s v="Samuel Perry"/>
    <s v="NovaHealth Chicago Medical Center"/>
    <s v="Male"/>
    <n v="25"/>
    <x v="0"/>
    <n v="1"/>
    <x v="1"/>
    <x v="1"/>
    <n v="9690.6"/>
    <n v="7443.26"/>
    <n v="9.8000000000000007"/>
    <x v="0"/>
    <x v="0"/>
  </r>
  <r>
    <s v="NHM-2026-100887"/>
    <s v="August"/>
    <x v="10"/>
    <n v="8"/>
    <d v="2025-08-07T00:00:00"/>
    <x v="1"/>
    <s v="Lisa Evans"/>
    <s v="NovaHealth Chicago Medical Center"/>
    <s v="Male"/>
    <n v="63"/>
    <x v="0"/>
    <n v="1"/>
    <x v="3"/>
    <x v="3"/>
    <n v="5054.47"/>
    <n v="2971.59"/>
    <n v="5"/>
    <x v="0"/>
    <x v="0"/>
  </r>
  <r>
    <s v="NHM-2025-100942"/>
    <s v="August"/>
    <x v="10"/>
    <n v="8"/>
    <d v="2023-08-31T00:00:00"/>
    <x v="3"/>
    <s v="Alexander Stewart"/>
    <s v="NovaHealth Greenfield Clinic"/>
    <s v="Male"/>
    <n v="50"/>
    <x v="0"/>
    <n v="1"/>
    <x v="7"/>
    <x v="7"/>
    <n v="6507"/>
    <n v="4076.47"/>
    <n v="13.4"/>
    <x v="0"/>
    <x v="0"/>
  </r>
  <r>
    <s v="NHM-2024-101800"/>
    <s v="October"/>
    <x v="5"/>
    <n v="10"/>
    <d v="2025-10-07T00:00:00"/>
    <x v="1"/>
    <s v="Julia Flores"/>
    <s v="NovaHealth Lakeside Medical Center"/>
    <s v="Male"/>
    <n v="45"/>
    <x v="0"/>
    <n v="1"/>
    <x v="1"/>
    <x v="1"/>
    <n v="5371.82"/>
    <n v="3489.96"/>
    <n v="6.5"/>
    <x v="0"/>
    <x v="0"/>
  </r>
  <r>
    <s v="NHM-2023-102221"/>
    <s v="May"/>
    <x v="9"/>
    <n v="5"/>
    <d v="2025-05-19T00:00:00"/>
    <x v="1"/>
    <s v="Danielle Ramirez"/>
    <s v="NovaHealth Chicago Medical Center"/>
    <s v="Male"/>
    <n v="81"/>
    <x v="1"/>
    <n v="3"/>
    <x v="4"/>
    <x v="4"/>
    <n v="19218.5"/>
    <n v="12961.19"/>
    <n v="10.6"/>
    <x v="1"/>
    <x v="1"/>
  </r>
  <r>
    <s v="NHM-2024-100422"/>
    <s v="March"/>
    <x v="1"/>
    <n v="3"/>
    <d v="2024-03-28T00:00:00"/>
    <x v="0"/>
    <s v="Ashley Clark"/>
    <s v="NovaHealth Lakeside Medical Center"/>
    <s v="Male"/>
    <n v="26"/>
    <x v="2"/>
    <n v="4"/>
    <x v="0"/>
    <x v="0"/>
    <n v="7727.24"/>
    <n v="5442.67"/>
    <n v="4.2"/>
    <x v="2"/>
    <x v="0"/>
  </r>
  <r>
    <s v="NHM-2024-100254"/>
    <s v="October"/>
    <x v="5"/>
    <n v="10"/>
    <d v="2024-10-22T00:00:00"/>
    <x v="0"/>
    <s v="Matthew Graham"/>
    <s v="NovaHealth Oakridge Community Hospital"/>
    <s v="Female"/>
    <n v="78"/>
    <x v="1"/>
    <n v="3"/>
    <x v="4"/>
    <x v="4"/>
    <n v="10066.36"/>
    <n v="7434.84"/>
    <n v="10.8"/>
    <x v="1"/>
    <x v="1"/>
  </r>
  <r>
    <s v="NHM-2023-101491"/>
    <s v="December"/>
    <x v="6"/>
    <n v="12"/>
    <d v="2023-12-29T00:00:00"/>
    <x v="3"/>
    <s v="Judy Fisher"/>
    <s v="NovaHealth Chicago Medical Center"/>
    <s v="Female"/>
    <n v="48"/>
    <x v="2"/>
    <n v="4"/>
    <x v="7"/>
    <x v="7"/>
    <n v="10562.95"/>
    <n v="8129.44"/>
    <n v="12.7"/>
    <x v="2"/>
    <x v="0"/>
  </r>
  <r>
    <s v="NHM-2025-101720"/>
    <s v="March"/>
    <x v="1"/>
    <n v="3"/>
    <d v="2024-03-06T00:00:00"/>
    <x v="0"/>
    <s v="Doris Morris"/>
    <s v="NovaHealth Lakeshore Regional Center"/>
    <s v="Male"/>
    <n v="48"/>
    <x v="2"/>
    <n v="3"/>
    <x v="3"/>
    <x v="3"/>
    <n v="8414.6299999999992"/>
    <n v="4918.09"/>
    <n v="4.7"/>
    <x v="1"/>
    <x v="0"/>
  </r>
  <r>
    <s v="NHM-2024-102095"/>
    <s v="September"/>
    <x v="7"/>
    <n v="9"/>
    <d v="2025-09-29T00:00:00"/>
    <x v="1"/>
    <s v="Katherine Henry"/>
    <s v="NovaHealth Chicago Medical Center"/>
    <s v="Female"/>
    <n v="83"/>
    <x v="2"/>
    <n v="5"/>
    <x v="5"/>
    <x v="5"/>
    <n v="13794.1"/>
    <n v="8437.6"/>
    <n v="2.9"/>
    <x v="2"/>
    <x v="1"/>
  </r>
  <r>
    <s v="NHM-2023-100574"/>
    <s v="March"/>
    <x v="1"/>
    <n v="3"/>
    <d v="2026-03-24T00:00:00"/>
    <x v="2"/>
    <s v="Justin Long"/>
    <s v="NovaHealth Midtown Medical Center"/>
    <s v="Male"/>
    <n v="31"/>
    <x v="0"/>
    <n v="1"/>
    <x v="2"/>
    <x v="2"/>
    <n v="2038.67"/>
    <n v="1374.35"/>
    <n v="8.6999999999999993"/>
    <x v="0"/>
    <x v="0"/>
  </r>
  <r>
    <s v="NHM-2026-102331"/>
    <s v="June"/>
    <x v="11"/>
    <n v="6"/>
    <d v="2026-06-29T00:00:00"/>
    <x v="2"/>
    <s v="Jordan Foster"/>
    <s v="NovaHealth Northside Hospital"/>
    <s v="Female"/>
    <n v="82"/>
    <x v="1"/>
    <n v="5"/>
    <x v="4"/>
    <x v="4"/>
    <n v="20770.560000000001"/>
    <n v="14027.48"/>
    <n v="13.9"/>
    <x v="2"/>
    <x v="1"/>
  </r>
  <r>
    <s v="NHM-2023-102174"/>
    <s v="May"/>
    <x v="9"/>
    <n v="5"/>
    <d v="2024-05-28T00:00:00"/>
    <x v="0"/>
    <s v="Charles Miller"/>
    <s v="NovaHealth Greenfield Clinic"/>
    <s v="Male"/>
    <n v="83"/>
    <x v="1"/>
    <n v="4"/>
    <x v="4"/>
    <x v="4"/>
    <n v="11194.77"/>
    <n v="7908.34"/>
    <n v="9"/>
    <x v="2"/>
    <x v="1"/>
  </r>
  <r>
    <s v="NHM-2026-100278"/>
    <s v="November"/>
    <x v="4"/>
    <n v="11"/>
    <d v="2025-11-13T00:00:00"/>
    <x v="1"/>
    <s v="Wayne Lee"/>
    <s v="NovaHealth Lakeside Medical Center"/>
    <s v="Female"/>
    <n v="83"/>
    <x v="0"/>
    <n v="5"/>
    <x v="2"/>
    <x v="2"/>
    <n v="5050.25"/>
    <n v="3740.28"/>
    <n v="6.7"/>
    <x v="2"/>
    <x v="1"/>
  </r>
  <r>
    <s v="NHM-2026-102363"/>
    <s v="January"/>
    <x v="3"/>
    <n v="1"/>
    <d v="2024-01-29T00:00:00"/>
    <x v="0"/>
    <s v="Frances Howard"/>
    <s v="NovaHealth Greenfield Clinic"/>
    <s v="Female"/>
    <n v="62"/>
    <x v="1"/>
    <n v="5"/>
    <x v="2"/>
    <x v="2"/>
    <n v="2400.7199999999998"/>
    <n v="1879.75"/>
    <n v="6.9"/>
    <x v="2"/>
    <x v="0"/>
  </r>
  <r>
    <s v="NHM-2025-101279"/>
    <s v="January"/>
    <x v="3"/>
    <n v="1"/>
    <d v="2024-01-03T00:00:00"/>
    <x v="0"/>
    <s v="Judith Anderson"/>
    <s v="NovaHealth Chicago Medical Center"/>
    <s v="Male"/>
    <n v="57"/>
    <x v="2"/>
    <n v="1"/>
    <x v="0"/>
    <x v="0"/>
    <n v="5631.52"/>
    <n v="3328.68"/>
    <n v="7.8"/>
    <x v="0"/>
    <x v="0"/>
  </r>
  <r>
    <s v="NHM-2026-100518"/>
    <s v="February"/>
    <x v="2"/>
    <n v="2"/>
    <d v="2026-02-04T00:00:00"/>
    <x v="2"/>
    <s v="Zachary Stewart"/>
    <s v="NovaHealth Lakeside Medical Center"/>
    <s v="Male"/>
    <n v="44"/>
    <x v="0"/>
    <n v="2"/>
    <x v="0"/>
    <x v="0"/>
    <n v="8207"/>
    <n v="5087.87"/>
    <n v="10.199999999999999"/>
    <x v="1"/>
    <x v="0"/>
  </r>
  <r>
    <s v="NHM-2023-101906"/>
    <s v="May"/>
    <x v="9"/>
    <n v="5"/>
    <d v="2024-05-22T00:00:00"/>
    <x v="0"/>
    <s v="Jose Baker"/>
    <s v="NovaHealth Greenfield Clinic"/>
    <s v="Female"/>
    <n v="48"/>
    <x v="0"/>
    <n v="2"/>
    <x v="7"/>
    <x v="7"/>
    <n v="7568.54"/>
    <n v="4983.07"/>
    <n v="17.399999999999999"/>
    <x v="1"/>
    <x v="0"/>
  </r>
  <r>
    <s v="NHM-2025-102399"/>
    <s v="December"/>
    <x v="6"/>
    <n v="12"/>
    <d v="2024-12-25T00:00:00"/>
    <x v="0"/>
    <s v="Jordan Ortiz"/>
    <s v="NovaHealth Metro General Hospital"/>
    <s v="Male"/>
    <n v="77"/>
    <x v="0"/>
    <n v="3"/>
    <x v="7"/>
    <x v="7"/>
    <n v="4313.18"/>
    <n v="3001.03"/>
    <n v="13.9"/>
    <x v="1"/>
    <x v="1"/>
  </r>
  <r>
    <s v="NHM-2024-101813"/>
    <s v="April"/>
    <x v="0"/>
    <n v="4"/>
    <d v="2025-04-17T00:00:00"/>
    <x v="1"/>
    <s v="Albert Reed"/>
    <s v="NovaHealth Chicago Medical Center"/>
    <s v="Female"/>
    <n v="83"/>
    <x v="2"/>
    <n v="4"/>
    <x v="4"/>
    <x v="4"/>
    <n v="15081.67"/>
    <n v="10651.57"/>
    <n v="11.8"/>
    <x v="2"/>
    <x v="1"/>
  </r>
  <r>
    <s v="NHM-2026-101352"/>
    <s v="February"/>
    <x v="2"/>
    <n v="2"/>
    <d v="2025-02-13T00:00:00"/>
    <x v="1"/>
    <s v="Austin Ford"/>
    <s v="NovaHealth Midtown Medical Center"/>
    <s v="Male"/>
    <n v="35"/>
    <x v="2"/>
    <n v="5"/>
    <x v="1"/>
    <x v="1"/>
    <n v="10013.31"/>
    <n v="7403.32"/>
    <n v="11.7"/>
    <x v="2"/>
    <x v="0"/>
  </r>
  <r>
    <s v="NHM-2025-100378"/>
    <s v="June"/>
    <x v="11"/>
    <n v="6"/>
    <d v="2025-06-04T00:00:00"/>
    <x v="1"/>
    <s v="Cynthia Dixon"/>
    <s v="NovaHealth Chicago Medical Center"/>
    <s v="Male"/>
    <n v="60"/>
    <x v="1"/>
    <n v="4"/>
    <x v="5"/>
    <x v="5"/>
    <n v="16056.92"/>
    <n v="12261.66"/>
    <n v="7.3"/>
    <x v="2"/>
    <x v="0"/>
  </r>
  <r>
    <s v="NHM-2025-101305"/>
    <s v="November"/>
    <x v="4"/>
    <n v="11"/>
    <d v="2025-11-10T00:00:00"/>
    <x v="1"/>
    <s v="Linda Martin"/>
    <s v="NovaHealth Chicago Medical Center"/>
    <s v="Male"/>
    <n v="48"/>
    <x v="0"/>
    <n v="1"/>
    <x v="0"/>
    <x v="0"/>
    <n v="4569.53"/>
    <n v="2720.73"/>
    <n v="8.8000000000000007"/>
    <x v="0"/>
    <x v="0"/>
  </r>
  <r>
    <s v="NHM-2025-100475"/>
    <s v="June"/>
    <x v="11"/>
    <n v="6"/>
    <d v="2025-06-27T00:00:00"/>
    <x v="1"/>
    <s v="Steven Hamilton"/>
    <s v="NovaHealth Chicago Medical Center"/>
    <s v="Female"/>
    <n v="45"/>
    <x v="0"/>
    <n v="2"/>
    <x v="0"/>
    <x v="0"/>
    <n v="8757.68"/>
    <n v="5437.38"/>
    <n v="11.9"/>
    <x v="1"/>
    <x v="0"/>
  </r>
  <r>
    <s v="NHM-2023-101027"/>
    <s v="June"/>
    <x v="11"/>
    <n v="6"/>
    <d v="2025-06-10T00:00:00"/>
    <x v="1"/>
    <s v="Joan Mendoza"/>
    <s v="NovaHealth Greenfield Clinic"/>
    <s v="Male"/>
    <n v="61"/>
    <x v="0"/>
    <n v="2"/>
    <x v="0"/>
    <x v="0"/>
    <n v="11318.75"/>
    <n v="7264"/>
    <n v="2.5"/>
    <x v="1"/>
    <x v="0"/>
  </r>
  <r>
    <s v="NHM-2023-101725"/>
    <s v="March"/>
    <x v="1"/>
    <n v="3"/>
    <d v="2026-03-13T00:00:00"/>
    <x v="2"/>
    <s v="Lauren Hill"/>
    <s v="NovaHealth Northside Hospital"/>
    <s v="Male"/>
    <n v="8"/>
    <x v="2"/>
    <n v="1"/>
    <x v="6"/>
    <x v="6"/>
    <n v="1765.09"/>
    <n v="1209.81"/>
    <n v="3.4"/>
    <x v="0"/>
    <x v="2"/>
  </r>
  <r>
    <s v="NHM-2025-102100"/>
    <s v="March"/>
    <x v="1"/>
    <n v="3"/>
    <d v="2025-03-07T00:00:00"/>
    <x v="1"/>
    <s v="Austin Scott"/>
    <s v="NovaHealth River Valley Hospital"/>
    <s v="Male"/>
    <n v="66"/>
    <x v="1"/>
    <n v="5"/>
    <x v="5"/>
    <x v="5"/>
    <n v="16554.400000000001"/>
    <n v="11653.68"/>
    <n v="8.1999999999999993"/>
    <x v="2"/>
    <x v="1"/>
  </r>
  <r>
    <s v="NHM-2025-101930"/>
    <s v="December"/>
    <x v="6"/>
    <n v="12"/>
    <d v="2024-12-19T00:00:00"/>
    <x v="0"/>
    <s v="Laura Hamilton"/>
    <s v="NovaHealth Midtown Medical Center"/>
    <s v="Male"/>
    <n v="84"/>
    <x v="0"/>
    <n v="2"/>
    <x v="1"/>
    <x v="1"/>
    <n v="8511.64"/>
    <n v="6234.3"/>
    <n v="2.6"/>
    <x v="1"/>
    <x v="1"/>
  </r>
  <r>
    <s v="NHM-2026-101249"/>
    <s v="April"/>
    <x v="0"/>
    <n v="4"/>
    <d v="2024-04-08T00:00:00"/>
    <x v="0"/>
    <s v="Timothy Simmons"/>
    <s v="NovaHealth Midtown Medical Center"/>
    <s v="Male"/>
    <n v="0"/>
    <x v="2"/>
    <n v="3"/>
    <x v="6"/>
    <x v="6"/>
    <n v="1563.19"/>
    <n v="1191.22"/>
    <n v="0.4"/>
    <x v="1"/>
    <x v="2"/>
  </r>
  <r>
    <s v="NHM-2024-100359"/>
    <s v="July"/>
    <x v="8"/>
    <n v="7"/>
    <d v="2024-07-12T00:00:00"/>
    <x v="0"/>
    <s v="Vincent Cooper"/>
    <s v="NovaHealth River Valley Hospital"/>
    <s v="Female"/>
    <n v="86"/>
    <x v="0"/>
    <n v="2"/>
    <x v="3"/>
    <x v="3"/>
    <n v="9268.2199999999993"/>
    <n v="5415.57"/>
    <n v="5"/>
    <x v="1"/>
    <x v="1"/>
  </r>
  <r>
    <s v="NHM-2026-100010"/>
    <s v="April"/>
    <x v="0"/>
    <n v="4"/>
    <d v="2024-04-01T00:00:00"/>
    <x v="0"/>
    <s v="Dorothy Wood"/>
    <s v="NovaHealth Midtown Medical Center"/>
    <s v="Female"/>
    <n v="68"/>
    <x v="0"/>
    <n v="4"/>
    <x v="4"/>
    <x v="4"/>
    <n v="21240.53"/>
    <n v="13053.52"/>
    <n v="12.1"/>
    <x v="2"/>
    <x v="1"/>
  </r>
  <r>
    <s v="NHM-2026-101770"/>
    <s v="July"/>
    <x v="8"/>
    <n v="7"/>
    <d v="2024-07-30T00:00:00"/>
    <x v="0"/>
    <s v="Tyler Wallace"/>
    <s v="NovaHealth Chicago Medical Center"/>
    <s v="Female"/>
    <n v="58"/>
    <x v="0"/>
    <n v="4"/>
    <x v="3"/>
    <x v="3"/>
    <n v="7465.2"/>
    <n v="4841.7299999999996"/>
    <n v="8"/>
    <x v="2"/>
    <x v="0"/>
  </r>
  <r>
    <s v="NHM-2026-101454"/>
    <s v="March"/>
    <x v="1"/>
    <n v="3"/>
    <d v="2026-03-06T00:00:00"/>
    <x v="2"/>
    <s v="Cynthia Williams"/>
    <s v="NovaHealth Chicago Medical Center"/>
    <s v="Male"/>
    <n v="69"/>
    <x v="0"/>
    <n v="3"/>
    <x v="2"/>
    <x v="2"/>
    <n v="4173.54"/>
    <n v="2875.47"/>
    <n v="9.9"/>
    <x v="1"/>
    <x v="1"/>
  </r>
  <r>
    <s v="NHM-2024-101546"/>
    <s v="April"/>
    <x v="0"/>
    <n v="4"/>
    <d v="2026-04-09T00:00:00"/>
    <x v="2"/>
    <s v="Dorothy Simpson"/>
    <s v="NovaHealth Midtown Medical Center"/>
    <s v="Male"/>
    <n v="3"/>
    <x v="0"/>
    <n v="2"/>
    <x v="6"/>
    <x v="6"/>
    <n v="1120.58"/>
    <n v="814.81"/>
    <n v="3.8"/>
    <x v="1"/>
    <x v="2"/>
  </r>
  <r>
    <s v="NHM-2024-102136"/>
    <s v="June"/>
    <x v="11"/>
    <n v="6"/>
    <d v="2025-06-02T00:00:00"/>
    <x v="1"/>
    <s v="Kevin Davis"/>
    <s v="NovaHealth Metro General Hospital"/>
    <s v="Male"/>
    <n v="53"/>
    <x v="0"/>
    <n v="2"/>
    <x v="2"/>
    <x v="2"/>
    <n v="2972.08"/>
    <n v="2241.62"/>
    <n v="9"/>
    <x v="1"/>
    <x v="0"/>
  </r>
  <r>
    <s v="NHM-2023-100068"/>
    <s v="December"/>
    <x v="6"/>
    <n v="12"/>
    <d v="2025-12-08T00:00:00"/>
    <x v="1"/>
    <s v="Marilyn Butler"/>
    <s v="NovaHealth Northside Hospital"/>
    <s v="Male"/>
    <n v="73"/>
    <x v="2"/>
    <n v="5"/>
    <x v="4"/>
    <x v="4"/>
    <n v="14056.33"/>
    <n v="10790.01"/>
    <n v="13.4"/>
    <x v="2"/>
    <x v="1"/>
  </r>
  <r>
    <s v="NHM-2023-100801"/>
    <s v="May"/>
    <x v="9"/>
    <n v="5"/>
    <d v="2024-05-02T00:00:00"/>
    <x v="0"/>
    <s v="Kevin Washington"/>
    <s v="NovaHealth Chicago Medical Center"/>
    <s v="Female"/>
    <n v="48"/>
    <x v="0"/>
    <n v="2"/>
    <x v="0"/>
    <x v="0"/>
    <n v="8406.8799999999992"/>
    <n v="4909.59"/>
    <n v="4.2"/>
    <x v="1"/>
    <x v="0"/>
  </r>
  <r>
    <s v="NHM-2025-101028"/>
    <s v="April"/>
    <x v="0"/>
    <n v="4"/>
    <d v="2026-04-03T00:00:00"/>
    <x v="2"/>
    <s v="Cheryl Boyd"/>
    <s v="NovaHealth Northside Hospital"/>
    <s v="Male"/>
    <n v="69"/>
    <x v="1"/>
    <n v="5"/>
    <x v="0"/>
    <x v="0"/>
    <n v="8485.1200000000008"/>
    <n v="5228.72"/>
    <n v="6.6"/>
    <x v="2"/>
    <x v="1"/>
  </r>
  <r>
    <s v="NHM-2024-101700"/>
    <s v="February"/>
    <x v="2"/>
    <n v="2"/>
    <d v="2025-02-21T00:00:00"/>
    <x v="1"/>
    <s v="Raymond Graham"/>
    <s v="NovaHealth Metro General Hospital"/>
    <s v="Female"/>
    <n v="19"/>
    <x v="0"/>
    <n v="1"/>
    <x v="2"/>
    <x v="2"/>
    <n v="3023.37"/>
    <n v="2003.76"/>
    <n v="8.6"/>
    <x v="0"/>
    <x v="0"/>
  </r>
  <r>
    <s v="NHM-2023-101221"/>
    <s v="April"/>
    <x v="0"/>
    <n v="4"/>
    <d v="2024-04-30T00:00:00"/>
    <x v="0"/>
    <s v="Jeffrey Woods"/>
    <s v="NovaHealth Chicago Medical Center"/>
    <s v="Male"/>
    <n v="71"/>
    <x v="2"/>
    <n v="4"/>
    <x v="7"/>
    <x v="7"/>
    <n v="5898.59"/>
    <n v="4062.46"/>
    <n v="13.8"/>
    <x v="2"/>
    <x v="1"/>
  </r>
  <r>
    <s v="NHM-2023-101323"/>
    <s v="March"/>
    <x v="1"/>
    <n v="3"/>
    <d v="2024-03-01T00:00:00"/>
    <x v="0"/>
    <s v="Anthony Long"/>
    <s v="NovaHealth Greenfield Clinic"/>
    <s v="Female"/>
    <n v="89"/>
    <x v="1"/>
    <n v="3"/>
    <x v="3"/>
    <x v="3"/>
    <n v="7896.42"/>
    <n v="5553.09"/>
    <n v="3.2"/>
    <x v="1"/>
    <x v="1"/>
  </r>
  <r>
    <s v="NHM-2023-101379"/>
    <s v="July"/>
    <x v="8"/>
    <n v="7"/>
    <d v="2024-07-16T00:00:00"/>
    <x v="0"/>
    <s v="Bruce Rogers"/>
    <s v="NovaHealth River Valley Hospital"/>
    <s v="Male"/>
    <n v="26"/>
    <x v="0"/>
    <n v="1"/>
    <x v="1"/>
    <x v="1"/>
    <n v="9329.67"/>
    <n v="6890.66"/>
    <n v="10"/>
    <x v="0"/>
    <x v="0"/>
  </r>
  <r>
    <s v="NHM-2025-102460"/>
    <s v="May"/>
    <x v="9"/>
    <n v="5"/>
    <d v="2025-05-13T00:00:00"/>
    <x v="1"/>
    <s v="Samuel Roberts"/>
    <s v="NovaHealth Midtown Medical Center"/>
    <s v="Male"/>
    <n v="71"/>
    <x v="0"/>
    <n v="4"/>
    <x v="4"/>
    <x v="4"/>
    <n v="15457.72"/>
    <n v="11860.67"/>
    <n v="14.1"/>
    <x v="2"/>
    <x v="1"/>
  </r>
  <r>
    <s v="NHM-2024-100966"/>
    <s v="June"/>
    <x v="11"/>
    <n v="6"/>
    <d v="2025-06-30T00:00:00"/>
    <x v="1"/>
    <s v="Samuel Ortiz"/>
    <s v="NovaHealth Metro General Hospital"/>
    <s v="Male"/>
    <n v="32"/>
    <x v="2"/>
    <n v="1"/>
    <x v="7"/>
    <x v="7"/>
    <n v="7102.91"/>
    <n v="4255.6899999999996"/>
    <n v="17"/>
    <x v="0"/>
    <x v="0"/>
  </r>
  <r>
    <s v="NHM-2026-101055"/>
    <s v="June"/>
    <x v="11"/>
    <n v="6"/>
    <d v="2024-06-27T00:00:00"/>
    <x v="0"/>
    <s v="Jason Bailey"/>
    <s v="NovaHealth Chicago Medical Center"/>
    <s v="Male"/>
    <n v="47"/>
    <x v="1"/>
    <n v="1"/>
    <x v="7"/>
    <x v="7"/>
    <n v="3004.93"/>
    <n v="1973.81"/>
    <n v="17.600000000000001"/>
    <x v="0"/>
    <x v="0"/>
  </r>
  <r>
    <s v="NHM-2023-100373"/>
    <s v="August"/>
    <x v="10"/>
    <n v="8"/>
    <d v="2025-08-26T00:00:00"/>
    <x v="1"/>
    <s v="Jerry Gibson"/>
    <s v="NovaHealth Lakeshore Regional Center"/>
    <s v="Male"/>
    <n v="54"/>
    <x v="0"/>
    <n v="1"/>
    <x v="3"/>
    <x v="3"/>
    <n v="6742.28"/>
    <n v="4350.26"/>
    <n v="4.4000000000000004"/>
    <x v="0"/>
    <x v="0"/>
  </r>
  <r>
    <s v="NHM-2024-101115"/>
    <s v="November"/>
    <x v="4"/>
    <n v="11"/>
    <d v="2025-11-17T00:00:00"/>
    <x v="1"/>
    <s v="Edward Bryant"/>
    <s v="NovaHealth Oakridge Community Hospital"/>
    <s v="Male"/>
    <n v="38"/>
    <x v="2"/>
    <n v="4"/>
    <x v="1"/>
    <x v="1"/>
    <n v="8507.9"/>
    <n v="5759.49"/>
    <n v="7.4"/>
    <x v="2"/>
    <x v="0"/>
  </r>
  <r>
    <s v="NHM-2024-100185"/>
    <s v="July"/>
    <x v="8"/>
    <n v="7"/>
    <d v="2026-07-15T00:00:00"/>
    <x v="2"/>
    <s v="Bruce Reynolds"/>
    <s v="NovaHealth Metro General Hospital"/>
    <s v="Male"/>
    <n v="21"/>
    <x v="0"/>
    <n v="1"/>
    <x v="1"/>
    <x v="1"/>
    <n v="6617.64"/>
    <n v="4701.95"/>
    <n v="8.6999999999999993"/>
    <x v="0"/>
    <x v="0"/>
  </r>
  <r>
    <s v="NHM-2025-100223"/>
    <s v="December"/>
    <x v="6"/>
    <n v="12"/>
    <d v="2023-12-07T00:00:00"/>
    <x v="3"/>
    <s v="Sharon Young"/>
    <s v="NovaHealth Northside Hospital"/>
    <s v="Male"/>
    <n v="34"/>
    <x v="0"/>
    <n v="1"/>
    <x v="2"/>
    <x v="2"/>
    <n v="2994.13"/>
    <n v="2245.71"/>
    <n v="7.5"/>
    <x v="0"/>
    <x v="0"/>
  </r>
  <r>
    <s v="NHM-2026-101015"/>
    <s v="May"/>
    <x v="9"/>
    <n v="5"/>
    <d v="2025-05-02T00:00:00"/>
    <x v="1"/>
    <s v="Judy Gutierrez"/>
    <s v="NovaHealth Northside Hospital"/>
    <s v="Male"/>
    <n v="71"/>
    <x v="1"/>
    <n v="4"/>
    <x v="5"/>
    <x v="5"/>
    <n v="16135.88"/>
    <n v="12348.07"/>
    <n v="10.6"/>
    <x v="2"/>
    <x v="1"/>
  </r>
  <r>
    <s v="NHM-2024-100340"/>
    <s v="February"/>
    <x v="2"/>
    <n v="2"/>
    <d v="2025-02-11T00:00:00"/>
    <x v="1"/>
    <s v="Sean Hicks"/>
    <s v="NovaHealth Greenfield Clinic"/>
    <s v="Female"/>
    <n v="29"/>
    <x v="0"/>
    <n v="1"/>
    <x v="2"/>
    <x v="2"/>
    <n v="1576.52"/>
    <n v="993.58"/>
    <n v="9.9"/>
    <x v="0"/>
    <x v="0"/>
  </r>
  <r>
    <s v="NHM-2023-101847"/>
    <s v="August"/>
    <x v="10"/>
    <n v="8"/>
    <d v="2024-08-19T00:00:00"/>
    <x v="0"/>
    <s v="Lisa Diaz"/>
    <s v="NovaHealth Lakeshore Regional Center"/>
    <s v="Female"/>
    <n v="68"/>
    <x v="2"/>
    <n v="4"/>
    <x v="4"/>
    <x v="4"/>
    <n v="19264.580000000002"/>
    <n v="11876.99"/>
    <n v="15.7"/>
    <x v="2"/>
    <x v="1"/>
  </r>
  <r>
    <s v="NHM-2023-100016"/>
    <s v="October"/>
    <x v="5"/>
    <n v="10"/>
    <d v="2023-10-31T00:00:00"/>
    <x v="3"/>
    <s v="Adam Jimenez"/>
    <s v="NovaHealth Greenfield Clinic"/>
    <s v="Male"/>
    <n v="68"/>
    <x v="1"/>
    <n v="4"/>
    <x v="7"/>
    <x v="7"/>
    <n v="6205.14"/>
    <n v="4112.09"/>
    <n v="17.600000000000001"/>
    <x v="2"/>
    <x v="1"/>
  </r>
  <r>
    <s v="NHM-2023-102385"/>
    <s v="December"/>
    <x v="6"/>
    <n v="12"/>
    <d v="2025-12-04T00:00:00"/>
    <x v="1"/>
    <s v="Harold Perry"/>
    <s v="NovaHealth Northside Hospital"/>
    <s v="Female"/>
    <n v="55"/>
    <x v="0"/>
    <n v="1"/>
    <x v="7"/>
    <x v="7"/>
    <n v="8667.77"/>
    <n v="5986.61"/>
    <n v="22.4"/>
    <x v="0"/>
    <x v="0"/>
  </r>
  <r>
    <s v="NHM-2026-102296"/>
    <s v="March"/>
    <x v="1"/>
    <n v="3"/>
    <d v="2026-03-12T00:00:00"/>
    <x v="2"/>
    <s v="Roger Peterson"/>
    <s v="NovaHealth River Valley Hospital"/>
    <s v="Male"/>
    <n v="71"/>
    <x v="1"/>
    <n v="5"/>
    <x v="5"/>
    <x v="5"/>
    <n v="20874.87"/>
    <n v="14640.41"/>
    <n v="3.5"/>
    <x v="2"/>
    <x v="1"/>
  </r>
  <r>
    <s v="NHM-2026-101054"/>
    <s v="January"/>
    <x v="3"/>
    <n v="1"/>
    <d v="2025-01-21T00:00:00"/>
    <x v="1"/>
    <s v="Steven Ellis"/>
    <s v="NovaHealth Northside Hospital"/>
    <s v="Female"/>
    <n v="18"/>
    <x v="2"/>
    <n v="4"/>
    <x v="7"/>
    <x v="7"/>
    <n v="12681.03"/>
    <n v="9345.15"/>
    <n v="11"/>
    <x v="2"/>
    <x v="2"/>
  </r>
  <r>
    <s v="NHM-2025-100879"/>
    <s v="June"/>
    <x v="11"/>
    <n v="6"/>
    <d v="2024-06-10T00:00:00"/>
    <x v="0"/>
    <s v="Martha Johnson"/>
    <s v="NovaHealth Northside Hospital"/>
    <s v="Female"/>
    <n v="40"/>
    <x v="0"/>
    <n v="1"/>
    <x v="2"/>
    <x v="2"/>
    <n v="3000.2"/>
    <n v="2344.15"/>
    <n v="8"/>
    <x v="0"/>
    <x v="0"/>
  </r>
  <r>
    <s v="NHM-2023-100598"/>
    <s v="May"/>
    <x v="9"/>
    <n v="5"/>
    <d v="2024-05-03T00:00:00"/>
    <x v="0"/>
    <s v="Douglas Adams"/>
    <s v="NovaHealth Chicago Medical Center"/>
    <s v="Male"/>
    <n v="62"/>
    <x v="0"/>
    <n v="1"/>
    <x v="3"/>
    <x v="3"/>
    <n v="7787.47"/>
    <n v="4581.53"/>
    <n v="8.1"/>
    <x v="0"/>
    <x v="0"/>
  </r>
  <r>
    <s v="NHM-2024-100774"/>
    <s v="September"/>
    <x v="7"/>
    <n v="9"/>
    <d v="2023-09-22T00:00:00"/>
    <x v="3"/>
    <s v="Virginia Woods"/>
    <s v="NovaHealth Lakeside Medical Center"/>
    <s v="Male"/>
    <n v="59"/>
    <x v="0"/>
    <n v="3"/>
    <x v="5"/>
    <x v="5"/>
    <n v="10773.74"/>
    <n v="6659.18"/>
    <n v="10.9"/>
    <x v="1"/>
    <x v="0"/>
  </r>
  <r>
    <s v="NHM-2024-101723"/>
    <s v="January"/>
    <x v="3"/>
    <n v="1"/>
    <d v="2024-01-02T00:00:00"/>
    <x v="0"/>
    <s v="Jeremy Gonzales"/>
    <s v="NovaHealth Chicago Medical Center"/>
    <s v="Female"/>
    <n v="68"/>
    <x v="2"/>
    <n v="1"/>
    <x v="0"/>
    <x v="0"/>
    <n v="7114.29"/>
    <n v="4585.1499999999996"/>
    <n v="4"/>
    <x v="0"/>
    <x v="1"/>
  </r>
  <r>
    <s v="NHM-2024-101397"/>
    <s v="November"/>
    <x v="4"/>
    <n v="11"/>
    <d v="2024-11-26T00:00:00"/>
    <x v="0"/>
    <s v="Edward Henderson"/>
    <s v="NovaHealth Lakeside Medical Center"/>
    <s v="Female"/>
    <n v="21"/>
    <x v="1"/>
    <n v="3"/>
    <x v="1"/>
    <x v="1"/>
    <n v="8753.34"/>
    <n v="5931.14"/>
    <n v="8.3000000000000007"/>
    <x v="1"/>
    <x v="0"/>
  </r>
  <r>
    <s v="NHM-2024-100932"/>
    <s v="May"/>
    <x v="9"/>
    <n v="5"/>
    <d v="2024-05-22T00:00:00"/>
    <x v="0"/>
    <s v="Julia Sullivan"/>
    <s v="NovaHealth Northside Hospital"/>
    <s v="Male"/>
    <n v="36"/>
    <x v="0"/>
    <n v="2"/>
    <x v="7"/>
    <x v="7"/>
    <n v="7063.02"/>
    <n v="5112.91"/>
    <n v="21.1"/>
    <x v="1"/>
    <x v="0"/>
  </r>
  <r>
    <s v="NHM-2023-100424"/>
    <s v="October"/>
    <x v="5"/>
    <n v="10"/>
    <d v="2024-10-07T00:00:00"/>
    <x v="0"/>
    <s v="Peter Perry"/>
    <s v="NovaHealth Lakeshore Regional Center"/>
    <s v="Female"/>
    <n v="93"/>
    <x v="2"/>
    <n v="4"/>
    <x v="4"/>
    <x v="4"/>
    <n v="14992.21"/>
    <n v="11071.51"/>
    <n v="15.9"/>
    <x v="2"/>
    <x v="1"/>
  </r>
  <r>
    <s v="NHM-2023-101487"/>
    <s v="November"/>
    <x v="4"/>
    <n v="11"/>
    <d v="2025-11-26T00:00:00"/>
    <x v="1"/>
    <s v="Nathan Powell"/>
    <s v="NovaHealth River Valley Hospital"/>
    <s v="Female"/>
    <n v="57"/>
    <x v="2"/>
    <n v="5"/>
    <x v="4"/>
    <x v="4"/>
    <n v="24863.77"/>
    <n v="19032.47"/>
    <n v="17"/>
    <x v="2"/>
    <x v="0"/>
  </r>
  <r>
    <s v="NHM-2026-102131"/>
    <s v="September"/>
    <x v="7"/>
    <n v="9"/>
    <d v="2025-09-29T00:00:00"/>
    <x v="1"/>
    <s v="Linda Ramirez"/>
    <s v="NovaHealth Midtown Medical Center"/>
    <s v="Male"/>
    <n v="75"/>
    <x v="0"/>
    <n v="3"/>
    <x v="0"/>
    <x v="0"/>
    <n v="13068.95"/>
    <n v="7607.19"/>
    <n v="3.4"/>
    <x v="1"/>
    <x v="1"/>
  </r>
  <r>
    <s v="NHM-2024-102475"/>
    <s v="January"/>
    <x v="3"/>
    <n v="1"/>
    <d v="2024-01-29T00:00:00"/>
    <x v="0"/>
    <s v="Jordan Ford"/>
    <s v="NovaHealth Midtown Medical Center"/>
    <s v="Female"/>
    <n v="66"/>
    <x v="1"/>
    <n v="4"/>
    <x v="3"/>
    <x v="3"/>
    <n v="7600.5"/>
    <n v="4678.7"/>
    <n v="5.3"/>
    <x v="2"/>
    <x v="1"/>
  </r>
  <r>
    <s v="NHM-2025-102156"/>
    <s v="October"/>
    <x v="5"/>
    <n v="10"/>
    <d v="2023-10-12T00:00:00"/>
    <x v="3"/>
    <s v="Jean Perez"/>
    <s v="NovaHealth Lakeside Medical Center"/>
    <s v="Male"/>
    <n v="37"/>
    <x v="0"/>
    <n v="2"/>
    <x v="1"/>
    <x v="1"/>
    <n v="7567.44"/>
    <n v="4890.3599999999997"/>
    <n v="5.9"/>
    <x v="1"/>
    <x v="0"/>
  </r>
  <r>
    <s v="NHM-2026-102495"/>
    <s v="January"/>
    <x v="3"/>
    <n v="1"/>
    <d v="2024-01-08T00:00:00"/>
    <x v="0"/>
    <s v="Gloria Myers"/>
    <s v="NovaHealth Greenfield Clinic"/>
    <s v="Female"/>
    <n v="52"/>
    <x v="0"/>
    <n v="1"/>
    <x v="1"/>
    <x v="1"/>
    <n v="10650.82"/>
    <n v="7152.05"/>
    <n v="2"/>
    <x v="0"/>
    <x v="0"/>
  </r>
  <r>
    <s v="NHM-2026-100995"/>
    <s v="March"/>
    <x v="1"/>
    <n v="3"/>
    <d v="2024-03-04T00:00:00"/>
    <x v="0"/>
    <s v="Mary Hall"/>
    <s v="NovaHealth Northside Hospital"/>
    <s v="Male"/>
    <n v="81"/>
    <x v="0"/>
    <n v="5"/>
    <x v="2"/>
    <x v="2"/>
    <n v="5880.29"/>
    <n v="4188.2"/>
    <n v="9"/>
    <x v="2"/>
    <x v="1"/>
  </r>
  <r>
    <s v="NHM-2025-100101"/>
    <s v="July"/>
    <x v="8"/>
    <n v="7"/>
    <d v="2025-07-08T00:00:00"/>
    <x v="1"/>
    <s v="Albert Jenkins"/>
    <s v="NovaHealth Metro General Hospital"/>
    <s v="Male"/>
    <n v="45"/>
    <x v="1"/>
    <n v="1"/>
    <x v="1"/>
    <x v="1"/>
    <n v="7524.73"/>
    <n v="5542.65"/>
    <n v="6.2"/>
    <x v="0"/>
    <x v="0"/>
  </r>
  <r>
    <s v="NHM-2023-101297"/>
    <s v="May"/>
    <x v="9"/>
    <n v="5"/>
    <d v="2024-05-05T00:00:00"/>
    <x v="0"/>
    <s v="Karen Cruz"/>
    <s v="NovaHealth Midtown Medical Center"/>
    <s v="Male"/>
    <n v="69"/>
    <x v="1"/>
    <n v="5"/>
    <x v="4"/>
    <x v="4"/>
    <n v="15201.59"/>
    <n v="11667.61"/>
    <n v="14.3"/>
    <x v="2"/>
    <x v="1"/>
  </r>
  <r>
    <s v="NHM-2023-101860"/>
    <s v="March"/>
    <x v="1"/>
    <n v="3"/>
    <d v="2026-03-30T00:00:00"/>
    <x v="2"/>
    <s v="Walter Ward"/>
    <s v="NovaHealth Northside Hospital"/>
    <s v="Male"/>
    <n v="27"/>
    <x v="0"/>
    <n v="3"/>
    <x v="2"/>
    <x v="2"/>
    <n v="2463.9899999999998"/>
    <n v="1499.51"/>
    <n v="8.8000000000000007"/>
    <x v="1"/>
    <x v="0"/>
  </r>
  <r>
    <s v="NHM-2025-100848"/>
    <s v="November"/>
    <x v="4"/>
    <n v="11"/>
    <d v="2025-11-14T00:00:00"/>
    <x v="1"/>
    <s v="Frank Powell"/>
    <s v="NovaHealth Oakridge Community Hospital"/>
    <s v="Male"/>
    <n v="9"/>
    <x v="1"/>
    <n v="4"/>
    <x v="6"/>
    <x v="6"/>
    <n v="2916.37"/>
    <n v="1811.79"/>
    <n v="4.0999999999999996"/>
    <x v="2"/>
    <x v="2"/>
  </r>
  <r>
    <s v="NHM-2024-101922"/>
    <s v="June"/>
    <x v="11"/>
    <n v="6"/>
    <d v="2026-06-10T00:00:00"/>
    <x v="2"/>
    <s v="Cynthia Roberts"/>
    <s v="NovaHealth Northside Hospital"/>
    <s v="Female"/>
    <n v="28"/>
    <x v="0"/>
    <n v="1"/>
    <x v="2"/>
    <x v="2"/>
    <n v="1468.27"/>
    <n v="994.89"/>
    <n v="6.9"/>
    <x v="0"/>
    <x v="0"/>
  </r>
  <r>
    <s v="NHM-2024-101973"/>
    <s v="March"/>
    <x v="1"/>
    <n v="3"/>
    <d v="2025-03-14T00:00:00"/>
    <x v="1"/>
    <s v="Justin Wright"/>
    <s v="NovaHealth Northside Hospital"/>
    <s v="Female"/>
    <n v="22"/>
    <x v="2"/>
    <n v="5"/>
    <x v="1"/>
    <x v="1"/>
    <n v="17257.509999999998"/>
    <n v="11590.53"/>
    <n v="3.5"/>
    <x v="2"/>
    <x v="0"/>
  </r>
  <r>
    <s v="NHM-2024-100935"/>
    <s v="March"/>
    <x v="1"/>
    <n v="3"/>
    <d v="2025-03-24T00:00:00"/>
    <x v="1"/>
    <s v="Terry Hamilton"/>
    <s v="NovaHealth Metro General Hospital"/>
    <s v="Male"/>
    <n v="84"/>
    <x v="1"/>
    <n v="4"/>
    <x v="5"/>
    <x v="5"/>
    <n v="18150.259999999998"/>
    <n v="12785.18"/>
    <n v="10"/>
    <x v="2"/>
    <x v="1"/>
  </r>
  <r>
    <s v="NHM-2026-101089"/>
    <s v="February"/>
    <x v="2"/>
    <n v="2"/>
    <d v="2026-02-27T00:00:00"/>
    <x v="2"/>
    <s v="Michael Torres"/>
    <s v="NovaHealth River Valley Hospital"/>
    <s v="Female"/>
    <n v="48"/>
    <x v="0"/>
    <n v="3"/>
    <x v="5"/>
    <x v="5"/>
    <n v="13774.45"/>
    <n v="10101.75"/>
    <n v="5.8"/>
    <x v="1"/>
    <x v="0"/>
  </r>
  <r>
    <s v="NHM-2023-100104"/>
    <s v="June"/>
    <x v="11"/>
    <n v="6"/>
    <d v="2024-06-28T00:00:00"/>
    <x v="0"/>
    <s v="Eric Watson"/>
    <s v="NovaHealth Chicago Medical Center"/>
    <s v="Female"/>
    <n v="47"/>
    <x v="0"/>
    <n v="3"/>
    <x v="3"/>
    <x v="3"/>
    <n v="11671.78"/>
    <n v="8928.9500000000007"/>
    <n v="7.3"/>
    <x v="1"/>
    <x v="0"/>
  </r>
  <r>
    <s v="NHM-2024-102158"/>
    <s v="November"/>
    <x v="4"/>
    <n v="11"/>
    <d v="2023-11-07T00:00:00"/>
    <x v="3"/>
    <s v="Helen Ramos"/>
    <s v="NovaHealth Chicago Medical Center"/>
    <s v="Female"/>
    <n v="37"/>
    <x v="0"/>
    <n v="1"/>
    <x v="0"/>
    <x v="0"/>
    <n v="8392.14"/>
    <n v="4921.84"/>
    <n v="6.8"/>
    <x v="0"/>
    <x v="0"/>
  </r>
  <r>
    <s v="NHM-2024-102071"/>
    <s v="January"/>
    <x v="3"/>
    <n v="1"/>
    <d v="2025-01-13T00:00:00"/>
    <x v="1"/>
    <s v="John Warren"/>
    <s v="NovaHealth Greenfield Clinic"/>
    <s v="Male"/>
    <n v="56"/>
    <x v="1"/>
    <n v="4"/>
    <x v="4"/>
    <x v="4"/>
    <n v="14551.02"/>
    <n v="8952.92"/>
    <n v="9.6"/>
    <x v="2"/>
    <x v="0"/>
  </r>
  <r>
    <s v="NHM-2025-101631"/>
    <s v="April"/>
    <x v="0"/>
    <n v="4"/>
    <d v="2025-04-24T00:00:00"/>
    <x v="1"/>
    <s v="Anna Kim"/>
    <s v="NovaHealth Midtown Medical Center"/>
    <s v="Male"/>
    <n v="18"/>
    <x v="1"/>
    <n v="3"/>
    <x v="7"/>
    <x v="7"/>
    <n v="7824.11"/>
    <n v="5187.43"/>
    <n v="22.5"/>
    <x v="1"/>
    <x v="2"/>
  </r>
  <r>
    <s v="NHM-2024-100632"/>
    <s v="June"/>
    <x v="11"/>
    <n v="6"/>
    <d v="2026-06-15T00:00:00"/>
    <x v="2"/>
    <s v="Sara Coleman"/>
    <s v="NovaHealth Midtown Medical Center"/>
    <s v="Male"/>
    <n v="69"/>
    <x v="0"/>
    <n v="3"/>
    <x v="5"/>
    <x v="5"/>
    <n v="20210.810000000001"/>
    <n v="13590.04"/>
    <n v="6.1"/>
    <x v="1"/>
    <x v="1"/>
  </r>
  <r>
    <s v="NHM-2023-100237"/>
    <s v="December"/>
    <x v="6"/>
    <n v="12"/>
    <d v="2025-12-19T00:00:00"/>
    <x v="1"/>
    <s v="Sara Owens"/>
    <s v="NovaHealth Northside Hospital"/>
    <s v="Male"/>
    <n v="51"/>
    <x v="0"/>
    <n v="1"/>
    <x v="3"/>
    <x v="3"/>
    <n v="7095.74"/>
    <n v="5043.82"/>
    <n v="9.6"/>
    <x v="0"/>
    <x v="0"/>
  </r>
  <r>
    <s v="NHM-2024-100880"/>
    <s v="May"/>
    <x v="9"/>
    <n v="5"/>
    <d v="2026-05-06T00:00:00"/>
    <x v="2"/>
    <s v="Patricia Graham"/>
    <s v="NovaHealth Greenfield Clinic"/>
    <s v="Female"/>
    <n v="72"/>
    <x v="1"/>
    <n v="4"/>
    <x v="5"/>
    <x v="5"/>
    <n v="22181.24"/>
    <n v="16258.71"/>
    <n v="8.3000000000000007"/>
    <x v="2"/>
    <x v="1"/>
  </r>
  <r>
    <s v="NHM-2026-101044"/>
    <s v="December"/>
    <x v="6"/>
    <n v="12"/>
    <d v="2023-12-31T00:00:00"/>
    <x v="3"/>
    <s v="Randy Graham"/>
    <s v="NovaHealth Greenfield Clinic"/>
    <s v="Male"/>
    <n v="55"/>
    <x v="1"/>
    <n v="4"/>
    <x v="4"/>
    <x v="4"/>
    <n v="20099.04"/>
    <n v="15367.27"/>
    <n v="11.5"/>
    <x v="2"/>
    <x v="0"/>
  </r>
  <r>
    <s v="NHM-2023-101307"/>
    <s v="October"/>
    <x v="5"/>
    <n v="10"/>
    <d v="2025-10-21T00:00:00"/>
    <x v="1"/>
    <s v="Margaret Cox"/>
    <s v="NovaHealth Greenfield Clinic"/>
    <s v="Male"/>
    <n v="21"/>
    <x v="0"/>
    <n v="1"/>
    <x v="0"/>
    <x v="0"/>
    <n v="9581.43"/>
    <n v="5616.43"/>
    <n v="7.4"/>
    <x v="0"/>
    <x v="0"/>
  </r>
  <r>
    <s v="NHM-2024-100764"/>
    <s v="June"/>
    <x v="11"/>
    <n v="6"/>
    <d v="2024-06-05T00:00:00"/>
    <x v="0"/>
    <s v="Rebecca Bailey"/>
    <s v="NovaHealth Chicago Medical Center"/>
    <s v="Female"/>
    <n v="61"/>
    <x v="0"/>
    <n v="1"/>
    <x v="0"/>
    <x v="0"/>
    <n v="5274.29"/>
    <n v="3272.52"/>
    <n v="6.9"/>
    <x v="0"/>
    <x v="0"/>
  </r>
  <r>
    <s v="NHM-2026-101473"/>
    <s v="January"/>
    <x v="3"/>
    <n v="1"/>
    <d v="2025-01-20T00:00:00"/>
    <x v="1"/>
    <s v="Janet Garcia"/>
    <s v="NovaHealth Northside Hospital"/>
    <s v="Female"/>
    <n v="17"/>
    <x v="0"/>
    <n v="3"/>
    <x v="6"/>
    <x v="6"/>
    <n v="2365.81"/>
    <n v="1557.32"/>
    <n v="5.4"/>
    <x v="1"/>
    <x v="2"/>
  </r>
  <r>
    <s v="NHM-2026-100804"/>
    <s v="September"/>
    <x v="7"/>
    <n v="9"/>
    <d v="2025-09-02T00:00:00"/>
    <x v="1"/>
    <s v="Benjamin Green"/>
    <s v="NovaHealth Chicago Medical Center"/>
    <s v="Female"/>
    <n v="67"/>
    <x v="1"/>
    <n v="3"/>
    <x v="0"/>
    <x v="0"/>
    <n v="10929.14"/>
    <n v="7345.72"/>
    <n v="2.9"/>
    <x v="1"/>
    <x v="1"/>
  </r>
  <r>
    <s v="NHM-2024-100327"/>
    <s v="May"/>
    <x v="9"/>
    <n v="5"/>
    <d v="2026-05-07T00:00:00"/>
    <x v="2"/>
    <s v="Pamela James"/>
    <s v="NovaHealth Chicago Medical Center"/>
    <s v="Female"/>
    <n v="55"/>
    <x v="0"/>
    <n v="2"/>
    <x v="3"/>
    <x v="3"/>
    <n v="4841.3100000000004"/>
    <n v="3457.72"/>
    <n v="8.6"/>
    <x v="1"/>
    <x v="0"/>
  </r>
  <r>
    <s v="NHM-2025-102218"/>
    <s v="June"/>
    <x v="11"/>
    <n v="6"/>
    <d v="2026-06-22T00:00:00"/>
    <x v="2"/>
    <s v="Nathan Scott"/>
    <s v="NovaHealth Northside Hospital"/>
    <s v="Male"/>
    <n v="43"/>
    <x v="0"/>
    <n v="5"/>
    <x v="5"/>
    <x v="5"/>
    <n v="23317.79"/>
    <n v="17113.189999999999"/>
    <n v="11.4"/>
    <x v="2"/>
    <x v="0"/>
  </r>
  <r>
    <s v="NHM-2026-101255"/>
    <s v="June"/>
    <x v="11"/>
    <n v="6"/>
    <d v="2025-06-17T00:00:00"/>
    <x v="1"/>
    <s v="Stephen Cruz"/>
    <s v="NovaHealth Northside Hospital"/>
    <s v="Female"/>
    <n v="82"/>
    <x v="2"/>
    <n v="4"/>
    <x v="4"/>
    <x v="4"/>
    <n v="13021.86"/>
    <n v="10023.01"/>
    <n v="15.8"/>
    <x v="2"/>
    <x v="1"/>
  </r>
  <r>
    <s v="NHM-2023-101874"/>
    <s v="November"/>
    <x v="4"/>
    <n v="11"/>
    <d v="2024-11-19T00:00:00"/>
    <x v="0"/>
    <s v="Julie Jackson"/>
    <s v="NovaHealth Northside Hospital"/>
    <s v="Female"/>
    <n v="63"/>
    <x v="1"/>
    <n v="5"/>
    <x v="4"/>
    <x v="4"/>
    <n v="15775.41"/>
    <n v="9273.74"/>
    <n v="15.5"/>
    <x v="2"/>
    <x v="0"/>
  </r>
  <r>
    <s v="NHM-2023-101065"/>
    <s v="March"/>
    <x v="1"/>
    <n v="3"/>
    <d v="2025-03-26T00:00:00"/>
    <x v="1"/>
    <s v="Justin Stewart"/>
    <s v="NovaHealth Greenfield Clinic"/>
    <s v="Female"/>
    <n v="61"/>
    <x v="2"/>
    <n v="4"/>
    <x v="4"/>
    <x v="4"/>
    <n v="15646.34"/>
    <n v="9654.67"/>
    <n v="13.8"/>
    <x v="2"/>
    <x v="0"/>
  </r>
  <r>
    <s v="NHM-2023-102330"/>
    <s v="December"/>
    <x v="6"/>
    <n v="12"/>
    <d v="2023-12-26T00:00:00"/>
    <x v="3"/>
    <s v="Austin Kennedy"/>
    <s v="NovaHealth Lakeside Medical Center"/>
    <s v="Female"/>
    <n v="47"/>
    <x v="0"/>
    <n v="1"/>
    <x v="7"/>
    <x v="7"/>
    <n v="2763.24"/>
    <n v="1854.87"/>
    <n v="10.8"/>
    <x v="0"/>
    <x v="0"/>
  </r>
  <r>
    <s v="NHM-2023-101333"/>
    <s v="April"/>
    <x v="0"/>
    <n v="4"/>
    <d v="2026-04-21T00:00:00"/>
    <x v="2"/>
    <s v="Gloria Martinez"/>
    <s v="NovaHealth Northside Hospital"/>
    <s v="Male"/>
    <n v="81"/>
    <x v="0"/>
    <n v="2"/>
    <x v="0"/>
    <x v="0"/>
    <n v="10052.25"/>
    <n v="6830.21"/>
    <n v="11.9"/>
    <x v="1"/>
    <x v="1"/>
  </r>
  <r>
    <s v="NHM-2025-101096"/>
    <s v="December"/>
    <x v="6"/>
    <n v="12"/>
    <d v="2024-12-17T00:00:00"/>
    <x v="0"/>
    <s v="Dennis Taylor"/>
    <s v="NovaHealth Lakeside Medical Center"/>
    <s v="Female"/>
    <n v="15"/>
    <x v="0"/>
    <n v="1"/>
    <x v="6"/>
    <x v="6"/>
    <n v="1739.1"/>
    <n v="1257.3699999999999"/>
    <n v="5"/>
    <x v="0"/>
    <x v="2"/>
  </r>
  <r>
    <s v="NHM-2023-101234"/>
    <s v="July"/>
    <x v="8"/>
    <n v="7"/>
    <d v="2024-07-20T00:00:00"/>
    <x v="0"/>
    <s v="Carol Sullivan"/>
    <s v="NovaHealth Oakridge Community Hospital"/>
    <s v="Female"/>
    <n v="34"/>
    <x v="0"/>
    <n v="1"/>
    <x v="1"/>
    <x v="1"/>
    <n v="5026.6099999999997"/>
    <n v="3761.43"/>
    <n v="11.5"/>
    <x v="0"/>
    <x v="0"/>
  </r>
  <r>
    <s v="NHM-2025-102253"/>
    <s v="January"/>
    <x v="3"/>
    <n v="1"/>
    <d v="2025-01-03T00:00:00"/>
    <x v="1"/>
    <s v="Virginia Hughes"/>
    <s v="NovaHealth Northside Hospital"/>
    <s v="Male"/>
    <n v="73"/>
    <x v="1"/>
    <n v="4"/>
    <x v="5"/>
    <x v="5"/>
    <n v="14834.53"/>
    <n v="11307.84"/>
    <n v="4.2"/>
    <x v="2"/>
    <x v="1"/>
  </r>
  <r>
    <s v="NHM-2025-101716"/>
    <s v="February"/>
    <x v="2"/>
    <n v="2"/>
    <d v="2025-02-24T00:00:00"/>
    <x v="1"/>
    <s v="Patricia Murphy"/>
    <s v="NovaHealth Lakeside Medical Center"/>
    <s v="Male"/>
    <n v="71"/>
    <x v="1"/>
    <n v="4"/>
    <x v="4"/>
    <x v="4"/>
    <n v="18551.87"/>
    <n v="10880.88"/>
    <n v="15.1"/>
    <x v="2"/>
    <x v="1"/>
  </r>
  <r>
    <s v="NHM-2024-100275"/>
    <s v="December"/>
    <x v="6"/>
    <n v="12"/>
    <d v="2023-12-21T00:00:00"/>
    <x v="3"/>
    <s v="Megan Morgan"/>
    <s v="NovaHealth River Valley Hospital"/>
    <s v="Male"/>
    <n v="88"/>
    <x v="0"/>
    <n v="4"/>
    <x v="3"/>
    <x v="3"/>
    <n v="12241.6"/>
    <n v="7496.98"/>
    <n v="3.7"/>
    <x v="2"/>
    <x v="1"/>
  </r>
  <r>
    <s v="NHM-2024-102337"/>
    <s v="November"/>
    <x v="4"/>
    <n v="11"/>
    <d v="2024-11-20T00:00:00"/>
    <x v="0"/>
    <s v="Harold Collins"/>
    <s v="NovaHealth Chicago Medical Center"/>
    <s v="Female"/>
    <n v="54"/>
    <x v="2"/>
    <n v="1"/>
    <x v="3"/>
    <x v="3"/>
    <n v="5450.28"/>
    <n v="3521.78"/>
    <n v="4.2"/>
    <x v="0"/>
    <x v="0"/>
  </r>
  <r>
    <s v="NHM-2025-100179"/>
    <s v="June"/>
    <x v="11"/>
    <n v="6"/>
    <d v="2025-06-10T00:00:00"/>
    <x v="1"/>
    <s v="Christine Owens"/>
    <s v="NovaHealth Lakeside Medical Center"/>
    <s v="Female"/>
    <n v="50"/>
    <x v="0"/>
    <n v="2"/>
    <x v="1"/>
    <x v="1"/>
    <n v="9124.07"/>
    <n v="6145.13"/>
    <n v="4"/>
    <x v="1"/>
    <x v="0"/>
  </r>
  <r>
    <s v="NHM-2026-100004"/>
    <s v="September"/>
    <x v="7"/>
    <n v="9"/>
    <d v="2025-09-01T00:00:00"/>
    <x v="1"/>
    <s v="Aaron Ward"/>
    <s v="NovaHealth Greenfield Clinic"/>
    <s v="Female"/>
    <n v="57"/>
    <x v="0"/>
    <n v="1"/>
    <x v="3"/>
    <x v="3"/>
    <n v="3675.48"/>
    <n v="2636.84"/>
    <n v="8"/>
    <x v="0"/>
    <x v="0"/>
  </r>
  <r>
    <s v="NHM-2026-100110"/>
    <s v="October"/>
    <x v="5"/>
    <n v="10"/>
    <d v="2023-10-25T00:00:00"/>
    <x v="3"/>
    <s v="Linda Kennedy"/>
    <s v="NovaHealth Lakeside Medical Center"/>
    <s v="Male"/>
    <n v="82"/>
    <x v="2"/>
    <n v="4"/>
    <x v="3"/>
    <x v="3"/>
    <n v="10683.44"/>
    <n v="7858.11"/>
    <n v="7.4"/>
    <x v="2"/>
    <x v="1"/>
  </r>
  <r>
    <s v="NHM-2023-102130"/>
    <s v="August"/>
    <x v="10"/>
    <n v="8"/>
    <d v="2025-08-18T00:00:00"/>
    <x v="1"/>
    <s v="Rachel Ramirez"/>
    <s v="NovaHealth Chicago Medical Center"/>
    <s v="Male"/>
    <n v="60"/>
    <x v="0"/>
    <n v="2"/>
    <x v="7"/>
    <x v="7"/>
    <n v="9724.06"/>
    <n v="7524.69"/>
    <n v="16.8"/>
    <x v="1"/>
    <x v="0"/>
  </r>
  <r>
    <s v="NHM-2024-100351"/>
    <s v="September"/>
    <x v="7"/>
    <n v="9"/>
    <d v="2024-09-17T00:00:00"/>
    <x v="0"/>
    <s v="Bryan Edwards"/>
    <s v="NovaHealth Lakeside Medical Center"/>
    <s v="Female"/>
    <n v="95"/>
    <x v="1"/>
    <n v="4"/>
    <x v="4"/>
    <x v="4"/>
    <n v="20997.1"/>
    <n v="12256.72"/>
    <n v="9.8000000000000007"/>
    <x v="2"/>
    <x v="1"/>
  </r>
  <r>
    <s v="NHM-2023-100250"/>
    <s v="June"/>
    <x v="11"/>
    <n v="6"/>
    <d v="2026-06-02T00:00:00"/>
    <x v="2"/>
    <s v="Joshua Hamilton"/>
    <s v="NovaHealth Lakeside Medical Center"/>
    <s v="Female"/>
    <n v="8"/>
    <x v="0"/>
    <n v="2"/>
    <x v="6"/>
    <x v="6"/>
    <n v="2126.9299999999998"/>
    <n v="1316.63"/>
    <n v="2.4"/>
    <x v="1"/>
    <x v="2"/>
  </r>
  <r>
    <s v="NHM-2026-100498"/>
    <s v="May"/>
    <x v="9"/>
    <n v="5"/>
    <d v="2025-05-22T00:00:00"/>
    <x v="1"/>
    <s v="Teresa Foster"/>
    <s v="NovaHealth Midtown Medical Center"/>
    <s v="Female"/>
    <n v="79"/>
    <x v="2"/>
    <n v="4"/>
    <x v="5"/>
    <x v="5"/>
    <n v="21256.66"/>
    <n v="13627.46"/>
    <n v="2.9"/>
    <x v="2"/>
    <x v="1"/>
  </r>
  <r>
    <s v="NHM-2025-101206"/>
    <s v="August"/>
    <x v="10"/>
    <n v="8"/>
    <d v="2024-08-22T00:00:00"/>
    <x v="0"/>
    <s v="Walter Kelly"/>
    <s v="NovaHealth Chicago Medical Center"/>
    <s v="Male"/>
    <n v="51"/>
    <x v="1"/>
    <n v="4"/>
    <x v="5"/>
    <x v="5"/>
    <n v="17722.669999999998"/>
    <n v="11918.19"/>
    <n v="5.5"/>
    <x v="2"/>
    <x v="0"/>
  </r>
  <r>
    <s v="NHM-2025-101375"/>
    <s v="May"/>
    <x v="9"/>
    <n v="5"/>
    <d v="2026-05-29T00:00:00"/>
    <x v="2"/>
    <s v="Joan Hernandez"/>
    <s v="NovaHealth Midtown Medical Center"/>
    <s v="Female"/>
    <n v="38"/>
    <x v="2"/>
    <n v="1"/>
    <x v="7"/>
    <x v="7"/>
    <n v="6319.97"/>
    <n v="4510.38"/>
    <n v="10.8"/>
    <x v="0"/>
    <x v="0"/>
  </r>
  <r>
    <s v="NHM-2023-100693"/>
    <s v="November"/>
    <x v="4"/>
    <n v="11"/>
    <d v="2023-11-14T00:00:00"/>
    <x v="3"/>
    <s v="Harold Robinson"/>
    <s v="NovaHealth Lakeshore Regional Center"/>
    <s v="Male"/>
    <n v="81"/>
    <x v="1"/>
    <n v="4"/>
    <x v="5"/>
    <x v="5"/>
    <n v="12208.95"/>
    <n v="8978.93"/>
    <n v="8.3000000000000007"/>
    <x v="2"/>
    <x v="1"/>
  </r>
  <r>
    <s v="NHM-2024-100436"/>
    <s v="February"/>
    <x v="2"/>
    <n v="2"/>
    <d v="2024-02-29T00:00:00"/>
    <x v="0"/>
    <s v="Linda Anderson"/>
    <s v="NovaHealth Lakeside Medical Center"/>
    <s v="Female"/>
    <n v="57"/>
    <x v="2"/>
    <n v="4"/>
    <x v="4"/>
    <x v="4"/>
    <n v="14989.14"/>
    <n v="11457.35"/>
    <n v="8.1999999999999993"/>
    <x v="2"/>
    <x v="0"/>
  </r>
  <r>
    <s v="NHM-2024-100283"/>
    <s v="December"/>
    <x v="6"/>
    <n v="12"/>
    <d v="2023-12-22T00:00:00"/>
    <x v="3"/>
    <s v="Joshua Scott"/>
    <s v="NovaHealth Metro General Hospital"/>
    <s v="Female"/>
    <n v="73"/>
    <x v="0"/>
    <n v="1"/>
    <x v="1"/>
    <x v="1"/>
    <n v="6835.41"/>
    <n v="4036.54"/>
    <n v="9"/>
    <x v="0"/>
    <x v="1"/>
  </r>
  <r>
    <s v="NHM-2026-101867"/>
    <s v="December"/>
    <x v="6"/>
    <n v="12"/>
    <d v="2024-12-17T00:00:00"/>
    <x v="0"/>
    <s v="Anna Tucker"/>
    <s v="NovaHealth Midtown Medical Center"/>
    <s v="Female"/>
    <n v="78"/>
    <x v="0"/>
    <n v="1"/>
    <x v="2"/>
    <x v="2"/>
    <n v="2147.4"/>
    <n v="1360.31"/>
    <n v="6.3"/>
    <x v="0"/>
    <x v="1"/>
  </r>
  <r>
    <s v="NHM-2026-101539"/>
    <s v="November"/>
    <x v="4"/>
    <n v="11"/>
    <d v="2024-11-19T00:00:00"/>
    <x v="0"/>
    <s v="Edward Gibson"/>
    <s v="NovaHealth Midtown Medical Center"/>
    <s v="Male"/>
    <n v="47"/>
    <x v="0"/>
    <n v="2"/>
    <x v="7"/>
    <x v="7"/>
    <n v="4488.99"/>
    <n v="2994.55"/>
    <n v="15.2"/>
    <x v="1"/>
    <x v="0"/>
  </r>
  <r>
    <s v="NHM-2023-101049"/>
    <s v="August"/>
    <x v="10"/>
    <n v="8"/>
    <d v="2023-08-30T00:00:00"/>
    <x v="3"/>
    <s v="Valerie Hall"/>
    <s v="NovaHealth Metro General Hospital"/>
    <s v="Male"/>
    <n v="91"/>
    <x v="2"/>
    <n v="4"/>
    <x v="3"/>
    <x v="3"/>
    <n v="8549.42"/>
    <n v="5820.11"/>
    <n v="11.5"/>
    <x v="2"/>
    <x v="1"/>
  </r>
  <r>
    <s v="NHM-2025-102266"/>
    <s v="July"/>
    <x v="8"/>
    <n v="7"/>
    <d v="2025-07-08T00:00:00"/>
    <x v="1"/>
    <s v="David Gibson"/>
    <s v="NovaHealth Midtown Medical Center"/>
    <s v="Female"/>
    <n v="31"/>
    <x v="2"/>
    <n v="4"/>
    <x v="5"/>
    <x v="5"/>
    <n v="21048.61"/>
    <n v="14812.43"/>
    <n v="9.8000000000000007"/>
    <x v="2"/>
    <x v="0"/>
  </r>
  <r>
    <s v="NHM-2026-102259"/>
    <s v="October"/>
    <x v="5"/>
    <n v="10"/>
    <d v="2024-10-14T00:00:00"/>
    <x v="0"/>
    <s v="Benjamin Wood"/>
    <s v="NovaHealth Lakeshore Regional Center"/>
    <s v="Female"/>
    <n v="69"/>
    <x v="0"/>
    <n v="2"/>
    <x v="3"/>
    <x v="3"/>
    <n v="5575.54"/>
    <n v="4070.14"/>
    <m/>
    <x v="1"/>
    <x v="1"/>
  </r>
  <r>
    <s v="NHM-2024-101112"/>
    <s v="May"/>
    <x v="9"/>
    <n v="5"/>
    <d v="2024-05-22T00:00:00"/>
    <x v="0"/>
    <s v="Logan Boyd"/>
    <s v="NovaHealth Chicago Medical Center"/>
    <s v="Male"/>
    <n v="63"/>
    <x v="1"/>
    <n v="3"/>
    <x v="0"/>
    <x v="0"/>
    <n v="6106.22"/>
    <n v="4682.33"/>
    <n v="5.2"/>
    <x v="1"/>
    <x v="0"/>
  </r>
  <r>
    <s v="NHM-2026-101269"/>
    <s v="June"/>
    <x v="11"/>
    <n v="6"/>
    <d v="2025-06-21T00:00:00"/>
    <x v="1"/>
    <s v="Kathryn Bennett"/>
    <s v="NovaHealth Chicago Medical Center"/>
    <s v="Male"/>
    <n v="36"/>
    <x v="0"/>
    <n v="1"/>
    <x v="7"/>
    <x v="7"/>
    <n v="5390.96"/>
    <n v="3209.16"/>
    <n v="10.3"/>
    <x v="0"/>
    <x v="0"/>
  </r>
  <r>
    <s v="NHM-2026-100713"/>
    <s v="June"/>
    <x v="11"/>
    <n v="6"/>
    <d v="2024-06-26T00:00:00"/>
    <x v="0"/>
    <s v="Zachary Foster"/>
    <s v="NovaHealth Greenfield Clinic"/>
    <s v="Male"/>
    <n v="14"/>
    <x v="1"/>
    <n v="1"/>
    <x v="6"/>
    <x v="6"/>
    <n v="2473.67"/>
    <n v="1556.94"/>
    <n v="6"/>
    <x v="0"/>
    <x v="2"/>
  </r>
  <r>
    <s v="NHM-2024-101571"/>
    <s v="June"/>
    <x v="11"/>
    <n v="6"/>
    <d v="2024-06-14T00:00:00"/>
    <x v="0"/>
    <s v="Kelly Hall"/>
    <s v="NovaHealth Chicago Medical Center"/>
    <s v="Male"/>
    <n v="66"/>
    <x v="0"/>
    <n v="2"/>
    <x v="3"/>
    <x v="3"/>
    <n v="5245.8"/>
    <n v="3379.71"/>
    <n v="2.8"/>
    <x v="1"/>
    <x v="1"/>
  </r>
  <r>
    <s v="NHM-2023-102452"/>
    <s v="April"/>
    <x v="0"/>
    <n v="4"/>
    <d v="2024-04-12T00:00:00"/>
    <x v="0"/>
    <s v="Ryan Carter"/>
    <s v="NovaHealth Greenfield Clinic"/>
    <s v="Female"/>
    <n v="62"/>
    <x v="0"/>
    <n v="3"/>
    <x v="5"/>
    <x v="5"/>
    <n v="12221.1"/>
    <n v="8271.34"/>
    <n v="10.4"/>
    <x v="1"/>
    <x v="0"/>
  </r>
  <r>
    <s v="NHM-2025-101783"/>
    <s v="October"/>
    <x v="5"/>
    <n v="10"/>
    <d v="2025-10-02T00:00:00"/>
    <x v="1"/>
    <s v="Mark Price"/>
    <s v="NovaHealth River Valley Hospital"/>
    <s v="Female"/>
    <n v="75"/>
    <x v="2"/>
    <n v="4"/>
    <x v="0"/>
    <x v="0"/>
    <n v="10654.64"/>
    <n v="7458.25"/>
    <m/>
    <x v="2"/>
    <x v="1"/>
  </r>
  <r>
    <s v="NHM-2023-101308"/>
    <s v="July"/>
    <x v="8"/>
    <n v="7"/>
    <d v="2025-07-18T00:00:00"/>
    <x v="1"/>
    <s v="Nathan Hughes"/>
    <s v="NovaHealth Greenfield Clinic"/>
    <s v="Female"/>
    <n v="33"/>
    <x v="0"/>
    <n v="1"/>
    <x v="0"/>
    <x v="0"/>
    <n v="7528.08"/>
    <n v="5534.7"/>
    <n v="4.9000000000000004"/>
    <x v="0"/>
    <x v="0"/>
  </r>
  <r>
    <s v="NHM-2025-101712"/>
    <s v="May"/>
    <x v="9"/>
    <n v="5"/>
    <d v="2025-05-08T00:00:00"/>
    <x v="1"/>
    <s v="Gary Roberts"/>
    <s v="NovaHealth Chicago Medical Center"/>
    <s v="Male"/>
    <n v="87"/>
    <x v="0"/>
    <n v="2"/>
    <x v="3"/>
    <x v="3"/>
    <n v="8823.14"/>
    <n v="6763.99"/>
    <n v="7.3"/>
    <x v="1"/>
    <x v="1"/>
  </r>
  <r>
    <s v="NHM-2025-100025"/>
    <s v="June"/>
    <x v="11"/>
    <n v="6"/>
    <d v="2025-06-19T00:00:00"/>
    <x v="1"/>
    <s v="Ruth Diaz"/>
    <s v="NovaHealth Greenfield Clinic"/>
    <s v="Female"/>
    <n v="75"/>
    <x v="1"/>
    <n v="4"/>
    <x v="4"/>
    <x v="4"/>
    <n v="13379.63"/>
    <n v="7845.79"/>
    <n v="10.7"/>
    <x v="2"/>
    <x v="1"/>
  </r>
  <r>
    <s v="NHM-2025-100492"/>
    <s v="June"/>
    <x v="11"/>
    <n v="6"/>
    <d v="2024-06-03T00:00:00"/>
    <x v="0"/>
    <s v="Amanda Bailey"/>
    <s v="NovaHealth Chicago Medical Center"/>
    <s v="Male"/>
    <n v="57"/>
    <x v="0"/>
    <n v="1"/>
    <x v="7"/>
    <x v="7"/>
    <n v="8281.69"/>
    <n v="5158.2299999999996"/>
    <n v="13.3"/>
    <x v="0"/>
    <x v="0"/>
  </r>
  <r>
    <s v="NHM-2024-101997"/>
    <s v="July"/>
    <x v="8"/>
    <n v="7"/>
    <d v="2024-07-16T00:00:00"/>
    <x v="0"/>
    <s v="Walter Patterson"/>
    <s v="NovaHealth Chicago Medical Center"/>
    <s v="Female"/>
    <n v="85"/>
    <x v="0"/>
    <n v="1"/>
    <x v="1"/>
    <x v="1"/>
    <n v="8980.02"/>
    <n v="5841.61"/>
    <n v="11.8"/>
    <x v="0"/>
    <x v="1"/>
  </r>
  <r>
    <s v="NHM-2023-101655"/>
    <s v="May"/>
    <x v="9"/>
    <n v="5"/>
    <d v="2026-05-22T00:00:00"/>
    <x v="2"/>
    <s v="Teresa Young"/>
    <s v="NovaHealth Oakridge Community Hospital"/>
    <s v="Female"/>
    <n v="48"/>
    <x v="0"/>
    <n v="1"/>
    <x v="0"/>
    <x v="0"/>
    <n v="5175.09"/>
    <n v="3540.91"/>
    <n v="9.1999999999999993"/>
    <x v="0"/>
    <x v="0"/>
  </r>
  <r>
    <s v="NHM-2024-102135"/>
    <s v="August"/>
    <x v="10"/>
    <n v="8"/>
    <d v="2025-08-28T00:00:00"/>
    <x v="1"/>
    <s v="Betty Reynolds"/>
    <s v="NovaHealth Chicago Medical Center"/>
    <s v="Male"/>
    <n v="55"/>
    <x v="0"/>
    <n v="3"/>
    <x v="4"/>
    <x v="4"/>
    <n v="12763.42"/>
    <n v="9031.99"/>
    <n v="12.2"/>
    <x v="1"/>
    <x v="0"/>
  </r>
  <r>
    <s v="NHM-2024-100557"/>
    <s v="November"/>
    <x v="4"/>
    <n v="11"/>
    <d v="2024-11-28T00:00:00"/>
    <x v="0"/>
    <s v="Brandon Anderson"/>
    <s v="NovaHealth Chicago Medical Center"/>
    <s v="Male"/>
    <n v="48"/>
    <x v="0"/>
    <n v="1"/>
    <x v="1"/>
    <x v="1"/>
    <n v="8472.3700000000008"/>
    <n v="6219.23"/>
    <n v="4.3"/>
    <x v="0"/>
    <x v="0"/>
  </r>
  <r>
    <s v="NHM-2025-100122"/>
    <s v="August"/>
    <x v="10"/>
    <n v="8"/>
    <d v="2024-08-22T00:00:00"/>
    <x v="0"/>
    <s v="Logan Simmons"/>
    <s v="NovaHealth Greenfield Clinic"/>
    <s v="Female"/>
    <n v="68"/>
    <x v="2"/>
    <n v="2"/>
    <x v="2"/>
    <x v="2"/>
    <n v="4907.7"/>
    <n v="3804.25"/>
    <n v="9.3000000000000007"/>
    <x v="1"/>
    <x v="1"/>
  </r>
  <r>
    <s v="NHM-2025-101976"/>
    <s v="April"/>
    <x v="0"/>
    <n v="4"/>
    <d v="2025-04-23T00:00:00"/>
    <x v="1"/>
    <s v="David Bailey"/>
    <s v="NovaHealth Northside Hospital"/>
    <s v="Female"/>
    <n v="34"/>
    <x v="1"/>
    <n v="4"/>
    <x v="5"/>
    <x v="5"/>
    <n v="19006.34"/>
    <n v="11115.68"/>
    <n v="11.5"/>
    <x v="2"/>
    <x v="0"/>
  </r>
  <r>
    <s v="NHM-2025-102291"/>
    <s v="May"/>
    <x v="9"/>
    <n v="5"/>
    <d v="2024-05-15T00:00:00"/>
    <x v="0"/>
    <s v="Diane Sullivan"/>
    <s v="NovaHealth Chicago Medical Center"/>
    <s v="Female"/>
    <n v="2"/>
    <x v="2"/>
    <n v="3"/>
    <x v="6"/>
    <x v="6"/>
    <n v="2101.9"/>
    <n v="1293.3599999999999"/>
    <n v="1.4"/>
    <x v="1"/>
    <x v="2"/>
  </r>
  <r>
    <s v="NHM-2025-102345"/>
    <s v="August"/>
    <x v="10"/>
    <n v="8"/>
    <d v="2024-08-26T00:00:00"/>
    <x v="0"/>
    <s v="Mark Flores"/>
    <s v="NovaHealth Lakeside Medical Center"/>
    <s v="Male"/>
    <n v="51"/>
    <x v="0"/>
    <n v="2"/>
    <x v="1"/>
    <x v="1"/>
    <n v="12812.3"/>
    <n v="8222.27"/>
    <n v="2.8"/>
    <x v="1"/>
    <x v="0"/>
  </r>
  <r>
    <s v="NHM-2024-100707"/>
    <s v="September"/>
    <x v="7"/>
    <n v="9"/>
    <d v="2023-09-01T00:00:00"/>
    <x v="3"/>
    <s v="Heather Price"/>
    <s v="NovaHealth Chicago Medical Center"/>
    <s v="Male"/>
    <n v="6"/>
    <x v="0"/>
    <n v="2"/>
    <x v="6"/>
    <x v="6"/>
    <n v="2575.64"/>
    <n v="1762.48"/>
    <n v="4.5999999999999996"/>
    <x v="1"/>
    <x v="2"/>
  </r>
  <r>
    <s v="NHM-2025-101109"/>
    <s v="November"/>
    <x v="4"/>
    <n v="11"/>
    <d v="2025-11-07T00:00:00"/>
    <x v="1"/>
    <s v="James Sanchez"/>
    <s v="NovaHealth Midtown Medical Center"/>
    <s v="Female"/>
    <n v="75"/>
    <x v="0"/>
    <n v="3"/>
    <x v="7"/>
    <x v="7"/>
    <n v="9994.16"/>
    <n v="7149.51"/>
    <n v="19.2"/>
    <x v="1"/>
    <x v="1"/>
  </r>
  <r>
    <s v="NHM-2023-101977"/>
    <s v="November"/>
    <x v="4"/>
    <n v="11"/>
    <d v="2023-11-03T00:00:00"/>
    <x v="3"/>
    <s v="Jacob Crawford"/>
    <s v="NovaHealth Midtown Medical Center"/>
    <s v="Female"/>
    <n v="35"/>
    <x v="2"/>
    <n v="1"/>
    <x v="0"/>
    <x v="0"/>
    <n v="8997.19"/>
    <n v="6647.95"/>
    <n v="10"/>
    <x v="0"/>
    <x v="0"/>
  </r>
  <r>
    <s v="NHM-2023-100465"/>
    <s v="September"/>
    <x v="7"/>
    <n v="9"/>
    <d v="2024-09-04T00:00:00"/>
    <x v="0"/>
    <s v="Harold Myers"/>
    <s v="NovaHealth Greenfield Clinic"/>
    <s v="Female"/>
    <n v="95"/>
    <x v="2"/>
    <n v="3"/>
    <x v="3"/>
    <x v="3"/>
    <n v="5346.32"/>
    <n v="4083.2"/>
    <n v="2.5"/>
    <x v="1"/>
    <x v="1"/>
  </r>
  <r>
    <s v="NHM-2025-101602"/>
    <s v="June"/>
    <x v="11"/>
    <n v="6"/>
    <d v="2025-06-10T00:00:00"/>
    <x v="1"/>
    <s v="Eugene Jenkins"/>
    <s v="NovaHealth Chicago Medical Center"/>
    <s v="Male"/>
    <n v="43"/>
    <x v="2"/>
    <n v="3"/>
    <x v="5"/>
    <x v="5"/>
    <n v="20239.62"/>
    <n v="11803.78"/>
    <n v="8.1"/>
    <x v="1"/>
    <x v="0"/>
  </r>
  <r>
    <s v="NHM-2024-101215"/>
    <s v="March"/>
    <x v="1"/>
    <n v="3"/>
    <d v="2024-03-29T00:00:00"/>
    <x v="0"/>
    <s v="Judith Rogers"/>
    <s v="NovaHealth Midtown Medical Center"/>
    <s v="Male"/>
    <n v="18"/>
    <x v="0"/>
    <n v="1"/>
    <x v="7"/>
    <x v="7"/>
    <n v="4182.57"/>
    <n v="2722.57"/>
    <n v="21.4"/>
    <x v="0"/>
    <x v="2"/>
  </r>
  <r>
    <s v="NHM-2026-100325"/>
    <s v="June"/>
    <x v="11"/>
    <n v="6"/>
    <d v="2026-06-10T00:00:00"/>
    <x v="2"/>
    <s v="Melissa Johnson"/>
    <s v="NovaHealth Lakeside Medical Center"/>
    <s v="Male"/>
    <n v="31"/>
    <x v="0"/>
    <n v="2"/>
    <x v="7"/>
    <x v="7"/>
    <n v="2952.18"/>
    <n v="1972.6"/>
    <n v="10.4"/>
    <x v="1"/>
    <x v="0"/>
  </r>
  <r>
    <s v="NHM-2024-102179"/>
    <s v="June"/>
    <x v="11"/>
    <n v="6"/>
    <d v="2024-06-12T00:00:00"/>
    <x v="0"/>
    <s v="Rebecca Perry"/>
    <s v="NovaHealth Northside Hospital"/>
    <s v="Female"/>
    <n v="26"/>
    <x v="0"/>
    <n v="1"/>
    <x v="2"/>
    <x v="2"/>
    <n v="2334.33"/>
    <n v="1640.8"/>
    <n v="9.6"/>
    <x v="0"/>
    <x v="0"/>
  </r>
  <r>
    <s v="NHM-2024-100535"/>
    <s v="July"/>
    <x v="8"/>
    <n v="7"/>
    <d v="2025-07-07T00:00:00"/>
    <x v="1"/>
    <s v="Grace Wells"/>
    <s v="NovaHealth Greenfield Clinic"/>
    <s v="Male"/>
    <n v="9"/>
    <x v="0"/>
    <n v="1"/>
    <x v="6"/>
    <x v="6"/>
    <n v="2188.67"/>
    <n v="1577.67"/>
    <n v="5.7"/>
    <x v="0"/>
    <x v="2"/>
  </r>
  <r>
    <s v="NHM-2023-101465"/>
    <s v="June"/>
    <x v="11"/>
    <n v="6"/>
    <d v="2025-06-13T00:00:00"/>
    <x v="1"/>
    <s v="Betty Alvarez"/>
    <s v="NovaHealth Northside Hospital"/>
    <s v="Male"/>
    <n v="72"/>
    <x v="2"/>
    <n v="4"/>
    <x v="3"/>
    <x v="3"/>
    <n v="9702.81"/>
    <n v="7106.25"/>
    <n v="2.9"/>
    <x v="2"/>
    <x v="1"/>
  </r>
  <r>
    <s v="NHM-2024-102206"/>
    <s v="August"/>
    <x v="10"/>
    <n v="8"/>
    <d v="2024-08-06T00:00:00"/>
    <x v="0"/>
    <s v="Tyler Gomez"/>
    <s v="NovaHealth Chicago Medical Center"/>
    <s v="Male"/>
    <n v="19"/>
    <x v="0"/>
    <n v="2"/>
    <x v="0"/>
    <x v="0"/>
    <n v="10574.67"/>
    <n v="8064.75"/>
    <n v="3.5"/>
    <x v="1"/>
    <x v="0"/>
  </r>
  <r>
    <s v="NHM-2026-101421"/>
    <s v="February"/>
    <x v="2"/>
    <n v="2"/>
    <d v="2024-02-26T00:00:00"/>
    <x v="0"/>
    <s v="Harold Butler"/>
    <s v="NovaHealth Metro General Hospital"/>
    <s v="Female"/>
    <n v="22"/>
    <x v="0"/>
    <n v="2"/>
    <x v="0"/>
    <x v="0"/>
    <n v="11146.62"/>
    <n v="6487.44"/>
    <n v="2.8"/>
    <x v="1"/>
    <x v="0"/>
  </r>
  <r>
    <s v="NHM-2023-101747"/>
    <s v="July"/>
    <x v="8"/>
    <n v="7"/>
    <d v="2025-07-16T00:00:00"/>
    <x v="1"/>
    <s v="Theresa Richardson"/>
    <s v="NovaHealth Lakeside Medical Center"/>
    <s v="Male"/>
    <n v="57"/>
    <x v="0"/>
    <n v="2"/>
    <x v="1"/>
    <x v="1"/>
    <n v="5316.08"/>
    <n v="3304.41"/>
    <n v="7.7"/>
    <x v="1"/>
    <x v="0"/>
  </r>
  <r>
    <s v="NHM-2026-101199"/>
    <s v="February"/>
    <x v="2"/>
    <n v="2"/>
    <d v="2026-02-28T00:00:00"/>
    <x v="2"/>
    <s v="Brandon Flores"/>
    <s v="NovaHealth River Valley Hospital"/>
    <s v="Male"/>
    <n v="63"/>
    <x v="1"/>
    <n v="4"/>
    <x v="4"/>
    <x v="4"/>
    <n v="13035.42"/>
    <n v="8342.67"/>
    <m/>
    <x v="2"/>
    <x v="0"/>
  </r>
  <r>
    <s v="NHM-2025-102353"/>
    <s v="October"/>
    <x v="5"/>
    <n v="10"/>
    <d v="2024-10-31T00:00:00"/>
    <x v="0"/>
    <s v="Jack Gonzales"/>
    <s v="NovaHealth Greenfield Clinic"/>
    <s v="Male"/>
    <n v="23"/>
    <x v="0"/>
    <n v="1"/>
    <x v="2"/>
    <x v="2"/>
    <n v="1229.6199999999999"/>
    <n v="893.45"/>
    <n v="8.6999999999999993"/>
    <x v="0"/>
    <x v="0"/>
  </r>
  <r>
    <s v="NHM-2024-101319"/>
    <s v="January"/>
    <x v="3"/>
    <n v="1"/>
    <d v="2025-01-21T00:00:00"/>
    <x v="1"/>
    <s v="Kimberly Cox"/>
    <s v="NovaHealth Chicago Medical Center"/>
    <s v="Male"/>
    <n v="69"/>
    <x v="1"/>
    <n v="4"/>
    <x v="4"/>
    <x v="4"/>
    <n v="13406.79"/>
    <n v="9483.9500000000007"/>
    <n v="12.4"/>
    <x v="2"/>
    <x v="1"/>
  </r>
  <r>
    <s v="NHM-2024-100861"/>
    <s v="December"/>
    <x v="6"/>
    <n v="12"/>
    <d v="2023-12-05T00:00:00"/>
    <x v="3"/>
    <s v="Elizabeth Cook"/>
    <s v="NovaHealth Greenfield Clinic"/>
    <s v="Female"/>
    <n v="73"/>
    <x v="1"/>
    <n v="4"/>
    <x v="0"/>
    <x v="0"/>
    <n v="8668.32"/>
    <n v="6408.67"/>
    <n v="10.1"/>
    <x v="2"/>
    <x v="1"/>
  </r>
  <r>
    <s v="NHM-2024-100587"/>
    <s v="October"/>
    <x v="5"/>
    <n v="10"/>
    <d v="2025-10-27T00:00:00"/>
    <x v="1"/>
    <s v="Pamela Freeman"/>
    <s v="NovaHealth Chicago Medical Center"/>
    <s v="Male"/>
    <n v="85"/>
    <x v="2"/>
    <n v="4"/>
    <x v="3"/>
    <x v="3"/>
    <n v="9606.7800000000007"/>
    <n v="7389.15"/>
    <n v="11"/>
    <x v="2"/>
    <x v="1"/>
  </r>
  <r>
    <s v="NHM-2026-100030"/>
    <s v="February"/>
    <x v="2"/>
    <n v="2"/>
    <d v="2026-02-11T00:00:00"/>
    <x v="2"/>
    <s v="Frank Brooks"/>
    <s v="NovaHealth Metro General Hospital"/>
    <s v="Male"/>
    <n v="42"/>
    <x v="0"/>
    <n v="3"/>
    <x v="5"/>
    <x v="5"/>
    <n v="12484.87"/>
    <n v="7273.22"/>
    <n v="4"/>
    <x v="1"/>
    <x v="0"/>
  </r>
  <r>
    <s v="NHM-2023-100365"/>
    <s v="December"/>
    <x v="6"/>
    <n v="12"/>
    <d v="2025-12-23T00:00:00"/>
    <x v="1"/>
    <s v="Anna Collins"/>
    <s v="NovaHealth Midtown Medical Center"/>
    <s v="Male"/>
    <n v="83"/>
    <x v="0"/>
    <n v="3"/>
    <x v="3"/>
    <x v="3"/>
    <n v="7784.77"/>
    <n v="4833.51"/>
    <n v="10.6"/>
    <x v="1"/>
    <x v="1"/>
  </r>
  <r>
    <s v="NHM-2024-102087"/>
    <s v="June"/>
    <x v="11"/>
    <n v="6"/>
    <d v="2026-06-03T00:00:00"/>
    <x v="2"/>
    <s v="Sharon Brooks"/>
    <s v="NovaHealth Greenfield Clinic"/>
    <s v="Male"/>
    <n v="81"/>
    <x v="1"/>
    <n v="5"/>
    <x v="0"/>
    <x v="0"/>
    <n v="16992.71"/>
    <n v="10900.93"/>
    <n v="3.2"/>
    <x v="2"/>
    <x v="1"/>
  </r>
  <r>
    <s v="NHM-2024-100543"/>
    <s v="October"/>
    <x v="5"/>
    <n v="10"/>
    <d v="2025-10-05T00:00:00"/>
    <x v="1"/>
    <s v="Gabriel Rogers"/>
    <s v="NovaHealth Metro General Hospital"/>
    <s v="Male"/>
    <n v="59"/>
    <x v="0"/>
    <n v="3"/>
    <x v="1"/>
    <x v="1"/>
    <n v="9833.6299999999992"/>
    <n v="6626.93"/>
    <n v="4.8"/>
    <x v="1"/>
    <x v="0"/>
  </r>
  <r>
    <s v="NHM-2024-100170"/>
    <s v="May"/>
    <x v="9"/>
    <n v="5"/>
    <d v="2026-05-06T00:00:00"/>
    <x v="2"/>
    <s v="Madison Ortiz"/>
    <s v="NovaHealth Northside Hospital"/>
    <s v="Female"/>
    <n v="13"/>
    <x v="0"/>
    <n v="1"/>
    <x v="6"/>
    <x v="6"/>
    <n v="1251.8599999999999"/>
    <n v="902.7"/>
    <n v="3.3"/>
    <x v="0"/>
    <x v="2"/>
  </r>
  <r>
    <s v="NHM-2024-100092"/>
    <s v="December"/>
    <x v="6"/>
    <n v="12"/>
    <d v="2024-12-02T00:00:00"/>
    <x v="0"/>
    <s v="Kyle Alexander"/>
    <s v="NovaHealth Chicago Medical Center"/>
    <s v="Male"/>
    <n v="12"/>
    <x v="0"/>
    <n v="2"/>
    <x v="6"/>
    <x v="6"/>
    <n v="2212.16"/>
    <n v="1650.88"/>
    <n v="4.5"/>
    <x v="1"/>
    <x v="2"/>
  </r>
  <r>
    <s v="NHM-2024-101351"/>
    <s v="June"/>
    <x v="11"/>
    <n v="6"/>
    <d v="2025-06-11T00:00:00"/>
    <x v="1"/>
    <s v="Beverly Smith"/>
    <s v="NovaHealth Northside Hospital"/>
    <s v="Female"/>
    <n v="31"/>
    <x v="0"/>
    <n v="2"/>
    <x v="1"/>
    <x v="1"/>
    <n v="9707.31"/>
    <n v="7416.76"/>
    <n v="4.9000000000000004"/>
    <x v="1"/>
    <x v="0"/>
  </r>
  <r>
    <s v="NHM-2023-101603"/>
    <s v="February"/>
    <x v="2"/>
    <n v="2"/>
    <d v="2025-02-13T00:00:00"/>
    <x v="1"/>
    <s v="Henry Allen"/>
    <s v="NovaHealth Chicago Medical Center"/>
    <s v="Male"/>
    <n v="90"/>
    <x v="0"/>
    <n v="5"/>
    <x v="4"/>
    <x v="4"/>
    <n v="19650.25"/>
    <n v="11497.14"/>
    <n v="12.5"/>
    <x v="2"/>
    <x v="1"/>
  </r>
  <r>
    <s v="NHM-2023-100605"/>
    <s v="March"/>
    <x v="1"/>
    <n v="3"/>
    <d v="2024-03-30T00:00:00"/>
    <x v="0"/>
    <s v="Roger Perry"/>
    <s v="NovaHealth Northside Hospital"/>
    <s v="Male"/>
    <n v="85"/>
    <x v="1"/>
    <n v="3"/>
    <x v="7"/>
    <x v="7"/>
    <n v="9762.1"/>
    <n v="6088.48"/>
    <n v="16.7"/>
    <x v="1"/>
    <x v="1"/>
  </r>
  <r>
    <s v="NHM-2025-100420"/>
    <s v="July"/>
    <x v="8"/>
    <n v="7"/>
    <d v="2024-07-23T00:00:00"/>
    <x v="0"/>
    <s v="Nicholas Dixon"/>
    <s v="NovaHealth Metro General Hospital"/>
    <s v="Male"/>
    <n v="75"/>
    <x v="2"/>
    <n v="4"/>
    <x v="5"/>
    <x v="5"/>
    <n v="21558.22"/>
    <n v="13883.66"/>
    <n v="10.8"/>
    <x v="2"/>
    <x v="1"/>
  </r>
  <r>
    <s v="NHM-2026-101744"/>
    <s v="January"/>
    <x v="3"/>
    <n v="1"/>
    <d v="2024-01-29T00:00:00"/>
    <x v="0"/>
    <s v="Virginia Sanchez"/>
    <s v="NovaHealth Oakridge Community Hospital"/>
    <s v="Female"/>
    <n v="47"/>
    <x v="1"/>
    <n v="4"/>
    <x v="3"/>
    <x v="3"/>
    <n v="8162.41"/>
    <n v="5559.21"/>
    <n v="11.3"/>
    <x v="2"/>
    <x v="0"/>
  </r>
  <r>
    <s v="NHM-2026-101887"/>
    <s v="March"/>
    <x v="1"/>
    <n v="3"/>
    <d v="2024-03-06T00:00:00"/>
    <x v="0"/>
    <s v="Evelyn Fisher"/>
    <s v="NovaHealth Oakridge Community Hospital"/>
    <s v="Female"/>
    <n v="11"/>
    <x v="0"/>
    <n v="1"/>
    <x v="6"/>
    <x v="6"/>
    <n v="712.22"/>
    <n v="506.55"/>
    <n v="1"/>
    <x v="0"/>
    <x v="2"/>
  </r>
  <r>
    <s v="NHM-2023-100111"/>
    <s v="July"/>
    <x v="8"/>
    <n v="7"/>
    <d v="2025-07-21T00:00:00"/>
    <x v="1"/>
    <s v="Amy Martin"/>
    <s v="NovaHealth Chicago Medical Center"/>
    <s v="Male"/>
    <n v="60"/>
    <x v="2"/>
    <n v="4"/>
    <x v="5"/>
    <x v="5"/>
    <n v="13424.21"/>
    <n v="9860.4699999999993"/>
    <n v="7.6"/>
    <x v="2"/>
    <x v="0"/>
  </r>
  <r>
    <s v="NHM-2025-102391"/>
    <s v="May"/>
    <x v="9"/>
    <n v="5"/>
    <d v="2026-05-13T00:00:00"/>
    <x v="2"/>
    <s v="Virginia Gonzales"/>
    <s v="NovaHealth Lakeshore Regional Center"/>
    <s v="Female"/>
    <n v="81"/>
    <x v="1"/>
    <n v="4"/>
    <x v="3"/>
    <x v="3"/>
    <n v="12019.32"/>
    <n v="9193.08"/>
    <n v="7.3"/>
    <x v="2"/>
    <x v="1"/>
  </r>
  <r>
    <s v="NHM-2024-101064"/>
    <s v="October"/>
    <x v="5"/>
    <n v="10"/>
    <d v="2023-10-31T00:00:00"/>
    <x v="3"/>
    <s v="David Young"/>
    <s v="NovaHealth Chicago Medical Center"/>
    <s v="Male"/>
    <n v="54"/>
    <x v="0"/>
    <n v="1"/>
    <x v="2"/>
    <x v="2"/>
    <n v="1757.71"/>
    <n v="1066.67"/>
    <n v="5.9"/>
    <x v="0"/>
    <x v="0"/>
  </r>
  <r>
    <s v="NHM-2025-101316"/>
    <s v="January"/>
    <x v="3"/>
    <n v="1"/>
    <d v="2026-01-28T00:00:00"/>
    <x v="2"/>
    <s v="Anna Patterson"/>
    <s v="NovaHealth Metro General Hospital"/>
    <s v="Female"/>
    <n v="57"/>
    <x v="0"/>
    <n v="3"/>
    <x v="4"/>
    <x v="4"/>
    <n v="13415.41"/>
    <n v="8269"/>
    <n v="10.7"/>
    <x v="1"/>
    <x v="0"/>
  </r>
  <r>
    <s v="NHM-2026-101913"/>
    <s v="July"/>
    <x v="8"/>
    <n v="7"/>
    <d v="2024-07-31T00:00:00"/>
    <x v="0"/>
    <s v="Evelyn Gonzalez"/>
    <s v="NovaHealth Midtown Medical Center"/>
    <s v="Female"/>
    <n v="60"/>
    <x v="2"/>
    <n v="3"/>
    <x v="4"/>
    <x v="4"/>
    <n v="19213.509999999998"/>
    <n v="12375.05"/>
    <n v="9.8000000000000007"/>
    <x v="1"/>
    <x v="0"/>
  </r>
  <r>
    <s v="NHM-2026-100640"/>
    <s v="February"/>
    <x v="2"/>
    <n v="2"/>
    <d v="2026-02-03T00:00:00"/>
    <x v="2"/>
    <s v="Barbara Price"/>
    <s v="NovaHealth Lakeshore Regional Center"/>
    <s v="Male"/>
    <n v="56"/>
    <x v="0"/>
    <n v="1"/>
    <x v="7"/>
    <x v="7"/>
    <n v="8171.42"/>
    <n v="5570.05"/>
    <n v="11.9"/>
    <x v="0"/>
    <x v="0"/>
  </r>
  <r>
    <s v="NHM-2024-100400"/>
    <s v="July"/>
    <x v="8"/>
    <n v="7"/>
    <d v="2024-07-15T00:00:00"/>
    <x v="0"/>
    <s v="Ronald Powell"/>
    <s v="NovaHealth Chicago Medical Center"/>
    <s v="Female"/>
    <n v="50"/>
    <x v="1"/>
    <n v="2"/>
    <x v="3"/>
    <x v="3"/>
    <n v="7838.55"/>
    <n v="5580.59"/>
    <n v="11.7"/>
    <x v="1"/>
    <x v="0"/>
  </r>
  <r>
    <s v="NHM-2026-101120"/>
    <s v="December"/>
    <x v="6"/>
    <n v="12"/>
    <d v="2023-12-16T00:00:00"/>
    <x v="3"/>
    <s v="Logan Davis"/>
    <s v="NovaHealth Northside Hospital"/>
    <s v="Male"/>
    <n v="17"/>
    <x v="0"/>
    <n v="1"/>
    <x v="6"/>
    <x v="6"/>
    <n v="2270.54"/>
    <n v="1668.69"/>
    <n v="1.4"/>
    <x v="0"/>
    <x v="2"/>
  </r>
  <r>
    <s v="NHM-2026-100202"/>
    <s v="October"/>
    <x v="5"/>
    <n v="10"/>
    <d v="2024-10-22T00:00:00"/>
    <x v="0"/>
    <s v="Logan Parker"/>
    <s v="NovaHealth Lakeside Medical Center"/>
    <s v="Male"/>
    <n v="12"/>
    <x v="0"/>
    <n v="3"/>
    <x v="6"/>
    <x v="6"/>
    <n v="2726.78"/>
    <n v="2097.9499999999998"/>
    <n v="3.2"/>
    <x v="1"/>
    <x v="2"/>
  </r>
  <r>
    <s v="NHM-2023-101489"/>
    <s v="April"/>
    <x v="0"/>
    <n v="4"/>
    <d v="2025-04-29T00:00:00"/>
    <x v="1"/>
    <s v="Gabriel Marshall"/>
    <s v="NovaHealth Lakeside Medical Center"/>
    <s v="Male"/>
    <n v="5"/>
    <x v="0"/>
    <n v="2"/>
    <x v="6"/>
    <x v="6"/>
    <n v="1723.82"/>
    <n v="1036.6199999999999"/>
    <n v="4.5999999999999996"/>
    <x v="1"/>
    <x v="2"/>
  </r>
  <r>
    <s v="NHM-2023-101682"/>
    <s v="December"/>
    <x v="6"/>
    <n v="12"/>
    <d v="2024-12-27T00:00:00"/>
    <x v="0"/>
    <s v="Stephen Moore"/>
    <s v="NovaHealth Lakeshore Regional Center"/>
    <s v="Male"/>
    <n v="13"/>
    <x v="0"/>
    <n v="2"/>
    <x v="6"/>
    <x v="6"/>
    <n v="1418.91"/>
    <n v="903.14"/>
    <n v="4.7"/>
    <x v="1"/>
    <x v="2"/>
  </r>
  <r>
    <s v="NHM-2025-102002"/>
    <s v="March"/>
    <x v="1"/>
    <n v="3"/>
    <d v="2024-03-12T00:00:00"/>
    <x v="0"/>
    <s v="Sonia Cruz"/>
    <s v="NovaHealth Greenfield Clinic"/>
    <s v="Male"/>
    <n v="52"/>
    <x v="0"/>
    <n v="2"/>
    <x v="2"/>
    <x v="2"/>
    <n v="1944.5"/>
    <n v="1297.28"/>
    <n v="6.6"/>
    <x v="1"/>
    <x v="0"/>
  </r>
  <r>
    <s v="NHM-2026-100367"/>
    <s v="December"/>
    <x v="6"/>
    <n v="12"/>
    <d v="2023-12-08T00:00:00"/>
    <x v="3"/>
    <s v="Keith Sullivan"/>
    <s v="NovaHealth Chicago Medical Center"/>
    <s v="Male"/>
    <n v="17"/>
    <x v="2"/>
    <n v="4"/>
    <x v="6"/>
    <x v="6"/>
    <n v="1678.92"/>
    <n v="1168.8800000000001"/>
    <n v="5.5"/>
    <x v="2"/>
    <x v="2"/>
  </r>
  <r>
    <s v="NHM-2025-100196"/>
    <s v="November"/>
    <x v="4"/>
    <n v="11"/>
    <d v="2025-11-10T00:00:00"/>
    <x v="1"/>
    <s v="Fiona Marshall"/>
    <s v="NovaHealth Chicago Medical Center"/>
    <s v="Female"/>
    <n v="46"/>
    <x v="0"/>
    <n v="1"/>
    <x v="1"/>
    <x v="1"/>
    <n v="8781.5499999999993"/>
    <n v="6176.68"/>
    <n v="3.7"/>
    <x v="0"/>
    <x v="0"/>
  </r>
  <r>
    <s v="NHM-2024-100377"/>
    <s v="September"/>
    <x v="7"/>
    <n v="9"/>
    <d v="2025-09-05T00:00:00"/>
    <x v="1"/>
    <s v="Angela Martin"/>
    <s v="NovaHealth Lakeside Medical Center"/>
    <s v="Male"/>
    <n v="45"/>
    <x v="0"/>
    <n v="1"/>
    <x v="3"/>
    <x v="3"/>
    <n v="5481.42"/>
    <n v="4087.04"/>
    <n v="10.7"/>
    <x v="0"/>
    <x v="0"/>
  </r>
  <r>
    <s v="NHM-2026-102189"/>
    <s v="September"/>
    <x v="7"/>
    <n v="9"/>
    <d v="2023-09-05T00:00:00"/>
    <x v="3"/>
    <s v="Alice Nelson"/>
    <s v="NovaHealth Northside Hospital"/>
    <s v="Female"/>
    <n v="82"/>
    <x v="0"/>
    <n v="3"/>
    <x v="2"/>
    <x v="2"/>
    <n v="3657.2"/>
    <n v="2821.87"/>
    <n v="5.3"/>
    <x v="1"/>
    <x v="1"/>
  </r>
  <r>
    <s v="NHM-2024-102423"/>
    <s v="January"/>
    <x v="3"/>
    <n v="1"/>
    <d v="2026-01-20T00:00:00"/>
    <x v="2"/>
    <s v="Virginia Mitchell"/>
    <s v="NovaHealth Chicago Medical Center"/>
    <s v="Male"/>
    <n v="63"/>
    <x v="0"/>
    <n v="3"/>
    <x v="1"/>
    <x v="1"/>
    <n v="9937.43"/>
    <n v="5816.51"/>
    <n v="6.6"/>
    <x v="1"/>
    <x v="0"/>
  </r>
  <r>
    <s v="NHM-2023-101398"/>
    <s v="May"/>
    <x v="9"/>
    <n v="5"/>
    <d v="2026-05-08T00:00:00"/>
    <x v="2"/>
    <s v="Anthony Diaz"/>
    <s v="NovaHealth Midtown Medical Center"/>
    <s v="Female"/>
    <n v="38"/>
    <x v="0"/>
    <n v="1"/>
    <x v="1"/>
    <x v="1"/>
    <n v="10265.129999999999"/>
    <n v="6280.13"/>
    <n v="2.2999999999999998"/>
    <x v="0"/>
    <x v="0"/>
  </r>
  <r>
    <s v="NHM-2026-100134"/>
    <s v="October"/>
    <x v="5"/>
    <n v="10"/>
    <d v="2024-10-10T00:00:00"/>
    <x v="0"/>
    <s v="Timothy Howard"/>
    <s v="NovaHealth Northside Hospital"/>
    <s v="Female"/>
    <n v="47"/>
    <x v="0"/>
    <n v="1"/>
    <x v="3"/>
    <x v="3"/>
    <n v="4811.51"/>
    <n v="3116.97"/>
    <n v="4.7"/>
    <x v="0"/>
    <x v="0"/>
  </r>
  <r>
    <s v="NHM-2024-101830"/>
    <s v="March"/>
    <x v="1"/>
    <n v="3"/>
    <d v="2024-03-14T00:00:00"/>
    <x v="0"/>
    <s v="Kevin Cruz"/>
    <s v="NovaHealth River Valley Hospital"/>
    <s v="Male"/>
    <n v="41"/>
    <x v="0"/>
    <n v="1"/>
    <x v="7"/>
    <x v="7"/>
    <n v="7141.9"/>
    <n v="4955.47"/>
    <n v="21.3"/>
    <x v="0"/>
    <x v="0"/>
  </r>
  <r>
    <s v="NHM-2025-100145"/>
    <s v="October"/>
    <x v="5"/>
    <n v="10"/>
    <d v="2023-10-20T00:00:00"/>
    <x v="3"/>
    <s v="Kathryn Perry"/>
    <s v="NovaHealth Chicago Medical Center"/>
    <s v="Male"/>
    <n v="44"/>
    <x v="2"/>
    <n v="5"/>
    <x v="5"/>
    <x v="5"/>
    <n v="19688.91"/>
    <n v="13861.44"/>
    <n v="9.9"/>
    <x v="2"/>
    <x v="0"/>
  </r>
  <r>
    <s v="NHM-2026-100908"/>
    <s v="October"/>
    <x v="5"/>
    <n v="10"/>
    <d v="2024-10-25T00:00:00"/>
    <x v="0"/>
    <s v="Janet Brown"/>
    <s v="NovaHealth Lakeside Medical Center"/>
    <s v="Male"/>
    <n v="67"/>
    <x v="2"/>
    <n v="4"/>
    <x v="5"/>
    <x v="5"/>
    <n v="21275.32"/>
    <n v="15605.38"/>
    <n v="9.3000000000000007"/>
    <x v="2"/>
    <x v="1"/>
  </r>
  <r>
    <s v="NHM-2026-101193"/>
    <s v="August"/>
    <x v="10"/>
    <n v="8"/>
    <d v="2024-08-12T00:00:00"/>
    <x v="0"/>
    <s v="Jordan Diaz"/>
    <s v="NovaHealth Greenfield Clinic"/>
    <s v="Male"/>
    <n v="33"/>
    <x v="0"/>
    <n v="1"/>
    <x v="2"/>
    <x v="2"/>
    <n v="4393.32"/>
    <n v="3382.12"/>
    <n v="5.4"/>
    <x v="0"/>
    <x v="0"/>
  </r>
  <r>
    <s v="NHM-2026-101357"/>
    <s v="April"/>
    <x v="0"/>
    <n v="4"/>
    <d v="2025-04-17T00:00:00"/>
    <x v="1"/>
    <s v="Fiona Simpson"/>
    <s v="NovaHealth Metro General Hospital"/>
    <s v="Male"/>
    <n v="50"/>
    <x v="0"/>
    <n v="3"/>
    <x v="7"/>
    <x v="7"/>
    <n v="5939.47"/>
    <n v="3606.49"/>
    <n v="20.2"/>
    <x v="1"/>
    <x v="0"/>
  </r>
  <r>
    <s v="NHM-2023-101958"/>
    <s v="February"/>
    <x v="2"/>
    <n v="2"/>
    <d v="2024-02-12T00:00:00"/>
    <x v="0"/>
    <s v="Stephanie Campbell"/>
    <s v="NovaHealth Greenfield Clinic"/>
    <s v="Male"/>
    <n v="80"/>
    <x v="2"/>
    <n v="3"/>
    <x v="3"/>
    <x v="3"/>
    <n v="5644.07"/>
    <n v="3499.68"/>
    <n v="7.1"/>
    <x v="1"/>
    <x v="1"/>
  </r>
  <r>
    <s v="NHM-2023-100045"/>
    <s v="April"/>
    <x v="0"/>
    <n v="4"/>
    <d v="2026-04-24T00:00:00"/>
    <x v="2"/>
    <s v="Theresa Owens"/>
    <s v="NovaHealth Midtown Medical Center"/>
    <s v="Male"/>
    <n v="47"/>
    <x v="0"/>
    <n v="2"/>
    <x v="0"/>
    <x v="0"/>
    <n v="6578.34"/>
    <n v="4257.34"/>
    <n v="5.9"/>
    <x v="1"/>
    <x v="0"/>
  </r>
  <r>
    <s v="NHM-2026-100394"/>
    <s v="November"/>
    <x v="4"/>
    <n v="11"/>
    <d v="2025-11-20T00:00:00"/>
    <x v="1"/>
    <s v="Scott Hernandez"/>
    <s v="NovaHealth Lakeside Medical Center"/>
    <s v="Male"/>
    <n v="44"/>
    <x v="0"/>
    <n v="1"/>
    <x v="1"/>
    <x v="1"/>
    <n v="5069.51"/>
    <n v="3416.57"/>
    <n v="2.5"/>
    <x v="0"/>
    <x v="0"/>
  </r>
  <r>
    <s v="NHM-2023-100644"/>
    <s v="February"/>
    <x v="2"/>
    <n v="2"/>
    <d v="2025-02-21T00:00:00"/>
    <x v="1"/>
    <s v="Samantha Gonzalez"/>
    <s v="NovaHealth Chicago Medical Center"/>
    <s v="Male"/>
    <n v="13"/>
    <x v="0"/>
    <n v="1"/>
    <x v="6"/>
    <x v="6"/>
    <n v="714"/>
    <n v="503"/>
    <n v="0.4"/>
    <x v="0"/>
    <x v="2"/>
  </r>
  <r>
    <s v="NHM-2026-100361"/>
    <s v="October"/>
    <x v="5"/>
    <n v="10"/>
    <d v="2025-10-30T00:00:00"/>
    <x v="1"/>
    <s v="Diane Myers"/>
    <s v="NovaHealth Lakeshore Regional Center"/>
    <s v="Female"/>
    <n v="61"/>
    <x v="2"/>
    <n v="4"/>
    <x v="5"/>
    <x v="5"/>
    <n v="12632.11"/>
    <n v="9303.0400000000009"/>
    <n v="10.199999999999999"/>
    <x v="2"/>
    <x v="0"/>
  </r>
  <r>
    <s v="NHM-2023-100285"/>
    <s v="September"/>
    <x v="7"/>
    <n v="9"/>
    <d v="2024-09-10T00:00:00"/>
    <x v="0"/>
    <s v="Brenda Simpson"/>
    <s v="NovaHealth Lakeside Medical Center"/>
    <s v="Female"/>
    <n v="0"/>
    <x v="2"/>
    <n v="2"/>
    <x v="6"/>
    <x v="6"/>
    <n v="1361.8"/>
    <n v="1037.3699999999999"/>
    <n v="0.3"/>
    <x v="1"/>
    <x v="2"/>
  </r>
  <r>
    <s v="NHM-2025-101116"/>
    <s v="September"/>
    <x v="7"/>
    <n v="9"/>
    <d v="2025-09-26T00:00:00"/>
    <x v="1"/>
    <s v="Alan Cruz"/>
    <s v="NovaHealth Chicago Medical Center"/>
    <s v="Male"/>
    <n v="62"/>
    <x v="0"/>
    <n v="1"/>
    <x v="1"/>
    <x v="1"/>
    <n v="6423.73"/>
    <n v="3750.56"/>
    <n v="3.1"/>
    <x v="0"/>
    <x v="0"/>
  </r>
  <r>
    <s v="NHM-2024-101458"/>
    <s v="February"/>
    <x v="2"/>
    <n v="2"/>
    <d v="2026-02-26T00:00:00"/>
    <x v="2"/>
    <s v="Victoria Murray"/>
    <s v="NovaHealth Northside Hospital"/>
    <s v="Female"/>
    <n v="24"/>
    <x v="0"/>
    <n v="2"/>
    <x v="1"/>
    <x v="1"/>
    <n v="7955.15"/>
    <n v="4935.84"/>
    <n v="10.4"/>
    <x v="1"/>
    <x v="0"/>
  </r>
  <r>
    <s v="NHM-2024-100258"/>
    <s v="November"/>
    <x v="4"/>
    <n v="11"/>
    <d v="2023-11-28T00:00:00"/>
    <x v="3"/>
    <s v="Adam Cruz"/>
    <s v="NovaHealth Northside Hospital"/>
    <s v="Male"/>
    <n v="71"/>
    <x v="0"/>
    <n v="5"/>
    <x v="4"/>
    <x v="4"/>
    <n v="21609.37"/>
    <n v="13902"/>
    <n v="9"/>
    <x v="2"/>
    <x v="1"/>
  </r>
  <r>
    <s v="NHM-2023-100949"/>
    <s v="February"/>
    <x v="2"/>
    <n v="2"/>
    <d v="2025-02-18T00:00:00"/>
    <x v="1"/>
    <s v="Sara Reyes"/>
    <s v="NovaHealth River Valley Hospital"/>
    <s v="Female"/>
    <n v="76"/>
    <x v="0"/>
    <n v="3"/>
    <x v="5"/>
    <x v="5"/>
    <n v="12281.63"/>
    <n v="8323.89"/>
    <n v="11.9"/>
    <x v="1"/>
    <x v="1"/>
  </r>
  <r>
    <s v="NHM-2024-102268"/>
    <s v="December"/>
    <x v="6"/>
    <n v="12"/>
    <d v="2024-12-04T00:00:00"/>
    <x v="0"/>
    <s v="Marilyn Warren"/>
    <s v="NovaHealth Midtown Medical Center"/>
    <s v="Male"/>
    <n v="72"/>
    <x v="2"/>
    <n v="4"/>
    <x v="4"/>
    <x v="4"/>
    <n v="10367.68"/>
    <n v="7386.98"/>
    <n v="16.2"/>
    <x v="2"/>
    <x v="1"/>
  </r>
  <r>
    <s v="NHM-2024-101163"/>
    <s v="July"/>
    <x v="8"/>
    <n v="7"/>
    <d v="2024-07-03T00:00:00"/>
    <x v="0"/>
    <s v="Jonathan Henry"/>
    <s v="NovaHealth Greenfield Clinic"/>
    <s v="Male"/>
    <n v="68"/>
    <x v="2"/>
    <n v="5"/>
    <x v="0"/>
    <x v="0"/>
    <n v="16087.2"/>
    <n v="11787.66"/>
    <n v="5.5"/>
    <x v="2"/>
    <x v="1"/>
  </r>
  <r>
    <s v="NHM-2024-102225"/>
    <s v="March"/>
    <x v="1"/>
    <n v="3"/>
    <d v="2024-03-14T00:00:00"/>
    <x v="0"/>
    <s v="Laura Henderson"/>
    <s v="NovaHealth Lakeside Medical Center"/>
    <s v="Male"/>
    <n v="37"/>
    <x v="0"/>
    <n v="1"/>
    <x v="0"/>
    <x v="0"/>
    <n v="4016.52"/>
    <n v="3052.56"/>
    <m/>
    <x v="0"/>
    <x v="0"/>
  </r>
  <r>
    <s v="NHM-2024-100441"/>
    <s v="February"/>
    <x v="2"/>
    <n v="2"/>
    <d v="2024-02-20T00:00:00"/>
    <x v="0"/>
    <s v="Sarah Sullivan"/>
    <s v="NovaHealth Northside Hospital"/>
    <s v="Male"/>
    <n v="76"/>
    <x v="2"/>
    <n v="4"/>
    <x v="4"/>
    <x v="4"/>
    <n v="13585.23"/>
    <n v="7986.63"/>
    <n v="13.4"/>
    <x v="2"/>
    <x v="1"/>
  </r>
  <r>
    <s v="NHM-2025-100824"/>
    <s v="December"/>
    <x v="6"/>
    <n v="12"/>
    <d v="2025-12-23T00:00:00"/>
    <x v="1"/>
    <s v="Donald Chavez"/>
    <s v="NovaHealth Northside Hospital"/>
    <s v="Female"/>
    <n v="66"/>
    <x v="2"/>
    <n v="1"/>
    <x v="2"/>
    <x v="2"/>
    <n v="3370.56"/>
    <n v="2113.64"/>
    <n v="7.2"/>
    <x v="0"/>
    <x v="1"/>
  </r>
  <r>
    <s v="NHM-2024-100840"/>
    <s v="December"/>
    <x v="6"/>
    <n v="12"/>
    <d v="2024-12-06T00:00:00"/>
    <x v="0"/>
    <s v="Frances Russell"/>
    <s v="NovaHealth Chicago Medical Center"/>
    <s v="Male"/>
    <n v="2"/>
    <x v="1"/>
    <n v="4"/>
    <x v="6"/>
    <x v="6"/>
    <n v="1513.56"/>
    <n v="977.48"/>
    <n v="1.1000000000000001"/>
    <x v="2"/>
    <x v="2"/>
  </r>
  <r>
    <s v="NHM-2024-100489"/>
    <s v="January"/>
    <x v="3"/>
    <n v="1"/>
    <d v="2026-01-02T00:00:00"/>
    <x v="2"/>
    <s v="Adam Wright"/>
    <s v="NovaHealth Lakeside Medical Center"/>
    <s v="Female"/>
    <n v="80"/>
    <x v="2"/>
    <n v="3"/>
    <x v="0"/>
    <x v="0"/>
    <n v="14025.65"/>
    <n v="9417.99"/>
    <n v="2.6"/>
    <x v="1"/>
    <x v="1"/>
  </r>
  <r>
    <s v="NHM-2026-100613"/>
    <s v="April"/>
    <x v="0"/>
    <n v="4"/>
    <d v="2026-04-27T00:00:00"/>
    <x v="2"/>
    <s v="Gabriel Martin"/>
    <s v="NovaHealth Greenfield Clinic"/>
    <s v="Male"/>
    <n v="82"/>
    <x v="0"/>
    <n v="5"/>
    <x v="5"/>
    <x v="5"/>
    <n v="25261.45"/>
    <n v="17745.419999999998"/>
    <n v="7.8"/>
    <x v="2"/>
    <x v="1"/>
  </r>
  <r>
    <s v="NHM-2025-100539"/>
    <s v="December"/>
    <x v="6"/>
    <n v="12"/>
    <d v="2024-12-23T00:00:00"/>
    <x v="0"/>
    <s v="Jack Nguyen"/>
    <s v="NovaHealth Metro General Hospital"/>
    <s v="Female"/>
    <n v="19"/>
    <x v="0"/>
    <n v="1"/>
    <x v="0"/>
    <x v="0"/>
    <n v="5289.76"/>
    <n v="3926.32"/>
    <n v="8.1"/>
    <x v="0"/>
    <x v="0"/>
  </r>
  <r>
    <s v="NHM-2024-101209"/>
    <s v="April"/>
    <x v="0"/>
    <n v="4"/>
    <d v="2026-04-30T00:00:00"/>
    <x v="2"/>
    <s v="Lawrence Morales"/>
    <s v="NovaHealth Lakeshore Regional Center"/>
    <s v="Female"/>
    <n v="59"/>
    <x v="0"/>
    <n v="2"/>
    <x v="7"/>
    <x v="7"/>
    <n v="7325.9"/>
    <n v="5689.28"/>
    <n v="15.2"/>
    <x v="1"/>
    <x v="0"/>
  </r>
  <r>
    <s v="NHM-2026-100746"/>
    <s v="May"/>
    <x v="9"/>
    <n v="5"/>
    <d v="2025-05-02T00:00:00"/>
    <x v="1"/>
    <s v="Debra Coleman"/>
    <s v="NovaHealth Lakeshore Regional Center"/>
    <s v="Male"/>
    <n v="28"/>
    <x v="0"/>
    <n v="1"/>
    <x v="2"/>
    <x v="2"/>
    <n v="3131.12"/>
    <n v="1892.05"/>
    <n v="9.5"/>
    <x v="0"/>
    <x v="0"/>
  </r>
  <r>
    <s v="NHM-2024-101311"/>
    <s v="February"/>
    <x v="2"/>
    <n v="2"/>
    <d v="2024-02-06T00:00:00"/>
    <x v="0"/>
    <s v="Logan Stevens"/>
    <s v="NovaHealth Lakeside Medical Center"/>
    <s v="Male"/>
    <n v="27"/>
    <x v="1"/>
    <n v="4"/>
    <x v="7"/>
    <x v="7"/>
    <n v="12816.53"/>
    <n v="7981.28"/>
    <n v="20.399999999999999"/>
    <x v="2"/>
    <x v="0"/>
  </r>
  <r>
    <s v="NHM-2023-100336"/>
    <s v="November"/>
    <x v="4"/>
    <n v="11"/>
    <d v="2025-11-14T00:00:00"/>
    <x v="1"/>
    <s v="Larry Watson"/>
    <s v="NovaHealth Lakeside Medical Center"/>
    <s v="Female"/>
    <n v="71"/>
    <x v="0"/>
    <n v="2"/>
    <x v="2"/>
    <x v="2"/>
    <n v="2003.6"/>
    <n v="1354.3"/>
    <n v="9"/>
    <x v="1"/>
    <x v="1"/>
  </r>
  <r>
    <s v="NHM-2023-102017"/>
    <s v="November"/>
    <x v="4"/>
    <n v="11"/>
    <d v="2023-11-08T00:00:00"/>
    <x v="3"/>
    <s v="Carol Powell"/>
    <s v="NovaHealth Lakeside Medical Center"/>
    <s v="Male"/>
    <n v="9"/>
    <x v="0"/>
    <n v="2"/>
    <x v="6"/>
    <x v="6"/>
    <n v="1693.97"/>
    <n v="1168.56"/>
    <n v="4.2"/>
    <x v="1"/>
    <x v="2"/>
  </r>
  <r>
    <s v="NHM-2023-100540"/>
    <s v="June"/>
    <x v="11"/>
    <n v="6"/>
    <d v="2026-06-22T00:00:00"/>
    <x v="2"/>
    <s v="Zachary Freeman"/>
    <s v="NovaHealth Chicago Medical Center"/>
    <s v="Male"/>
    <n v="10"/>
    <x v="1"/>
    <n v="3"/>
    <x v="6"/>
    <x v="6"/>
    <n v="2688"/>
    <n v="1906.4"/>
    <n v="3.1"/>
    <x v="1"/>
    <x v="2"/>
  </r>
  <r>
    <s v="NHM-2023-101181"/>
    <s v="June"/>
    <x v="11"/>
    <n v="6"/>
    <d v="2024-06-25T00:00:00"/>
    <x v="0"/>
    <s v="Randy Gonzalez"/>
    <s v="NovaHealth Greenfield Clinic"/>
    <s v="Male"/>
    <n v="38"/>
    <x v="0"/>
    <n v="1"/>
    <x v="0"/>
    <x v="0"/>
    <n v="9470.42"/>
    <n v="6930.21"/>
    <n v="2.1"/>
    <x v="0"/>
    <x v="0"/>
  </r>
  <r>
    <s v="NHM-2025-102238"/>
    <s v="May"/>
    <x v="9"/>
    <n v="5"/>
    <d v="2024-05-01T00:00:00"/>
    <x v="0"/>
    <s v="Adam Walker"/>
    <s v="NovaHealth Lakeside Medical Center"/>
    <s v="Female"/>
    <n v="61"/>
    <x v="0"/>
    <n v="2"/>
    <x v="0"/>
    <x v="0"/>
    <n v="9411.0400000000009"/>
    <n v="7202.79"/>
    <n v="6.3"/>
    <x v="1"/>
    <x v="0"/>
  </r>
  <r>
    <s v="NHM-2024-100875"/>
    <s v="March"/>
    <x v="1"/>
    <n v="3"/>
    <d v="2026-03-05T00:00:00"/>
    <x v="2"/>
    <s v="Kyle Russell"/>
    <s v="NovaHealth Northside Hospital"/>
    <s v="Male"/>
    <n v="61"/>
    <x v="0"/>
    <n v="5"/>
    <x v="5"/>
    <x v="5"/>
    <n v="13511.16"/>
    <n v="7895.67"/>
    <n v="7.4"/>
    <x v="2"/>
    <x v="0"/>
  </r>
  <r>
    <s v="NHM-2025-100040"/>
    <s v="August"/>
    <x v="10"/>
    <n v="8"/>
    <d v="2024-08-05T00:00:00"/>
    <x v="0"/>
    <s v="Charles Simpson"/>
    <s v="NovaHealth Metro General Hospital"/>
    <s v="Male"/>
    <n v="15"/>
    <x v="0"/>
    <n v="1"/>
    <x v="6"/>
    <x v="6"/>
    <n v="1463.9"/>
    <n v="904.18"/>
    <n v="1.4"/>
    <x v="0"/>
    <x v="2"/>
  </r>
  <r>
    <s v="NHM-2023-100820"/>
    <s v="November"/>
    <x v="4"/>
    <n v="11"/>
    <d v="2024-11-04T00:00:00"/>
    <x v="0"/>
    <s v="Brandon Gibson"/>
    <s v="NovaHealth Greenfield Clinic"/>
    <s v="Female"/>
    <n v="46"/>
    <x v="0"/>
    <n v="1"/>
    <x v="3"/>
    <x v="3"/>
    <n v="7980.28"/>
    <n v="5169.78"/>
    <n v="7.8"/>
    <x v="0"/>
    <x v="0"/>
  </r>
  <r>
    <s v="NHM-2024-102328"/>
    <s v="September"/>
    <x v="7"/>
    <n v="9"/>
    <d v="2024-09-26T00:00:00"/>
    <x v="0"/>
    <s v="Logan Gonzales"/>
    <s v="NovaHealth Chicago Medical Center"/>
    <s v="Male"/>
    <n v="50"/>
    <x v="1"/>
    <n v="4"/>
    <x v="2"/>
    <x v="2"/>
    <n v="4129.7299999999996"/>
    <n v="2802.92"/>
    <n v="4.5"/>
    <x v="2"/>
    <x v="0"/>
  </r>
  <r>
    <s v="NHM-2024-100018"/>
    <s v="May"/>
    <x v="9"/>
    <n v="5"/>
    <d v="2024-05-13T00:00:00"/>
    <x v="0"/>
    <s v="Jeffrey Ford"/>
    <s v="NovaHealth Lakeshore Regional Center"/>
    <s v="Female"/>
    <n v="53"/>
    <x v="0"/>
    <n v="1"/>
    <x v="1"/>
    <x v="1"/>
    <n v="7013.76"/>
    <n v="4969.63"/>
    <n v="7.5"/>
    <x v="0"/>
    <x v="0"/>
  </r>
  <r>
    <s v="NHM-2024-101286"/>
    <s v="November"/>
    <x v="4"/>
    <n v="11"/>
    <d v="2023-11-24T00:00:00"/>
    <x v="3"/>
    <s v="Andrew Walker"/>
    <s v="NovaHealth Midtown Medical Center"/>
    <s v="Male"/>
    <n v="45"/>
    <x v="0"/>
    <n v="2"/>
    <x v="1"/>
    <x v="1"/>
    <n v="10533.07"/>
    <n v="7721.14"/>
    <n v="4"/>
    <x v="1"/>
    <x v="0"/>
  </r>
  <r>
    <s v="NHM-2023-100528"/>
    <s v="January"/>
    <x v="3"/>
    <n v="1"/>
    <d v="2026-01-12T00:00:00"/>
    <x v="2"/>
    <s v="Kathleen Porter"/>
    <s v="NovaHealth Greenfield Clinic"/>
    <s v="Male"/>
    <n v="89"/>
    <x v="2"/>
    <n v="5"/>
    <x v="3"/>
    <x v="3"/>
    <n v="12020.66"/>
    <n v="9151.7000000000007"/>
    <n v="2"/>
    <x v="2"/>
    <x v="1"/>
  </r>
  <r>
    <s v="NHM-2026-100160"/>
    <s v="February"/>
    <x v="2"/>
    <n v="2"/>
    <d v="2024-02-05T00:00:00"/>
    <x v="0"/>
    <s v="Arthur Gomez"/>
    <s v="NovaHealth Midtown Medical Center"/>
    <s v="Male"/>
    <n v="32"/>
    <x v="0"/>
    <n v="2"/>
    <x v="2"/>
    <x v="2"/>
    <n v="3403.95"/>
    <n v="2039.89"/>
    <n v="8.1999999999999993"/>
    <x v="1"/>
    <x v="0"/>
  </r>
  <r>
    <s v="NHM-2025-101446"/>
    <s v="February"/>
    <x v="2"/>
    <n v="2"/>
    <d v="2026-02-05T00:00:00"/>
    <x v="2"/>
    <s v="Denise Butler"/>
    <s v="NovaHealth Oakridge Community Hospital"/>
    <s v="Male"/>
    <n v="53"/>
    <x v="0"/>
    <n v="1"/>
    <x v="2"/>
    <x v="2"/>
    <n v="3647.07"/>
    <n v="2260.71"/>
    <n v="4.5"/>
    <x v="0"/>
    <x v="0"/>
  </r>
  <r>
    <s v="NHM-2023-101772"/>
    <s v="October"/>
    <x v="5"/>
    <n v="10"/>
    <d v="2024-10-15T00:00:00"/>
    <x v="0"/>
    <s v="Sandra Brooks"/>
    <s v="NovaHealth Greenfield Clinic"/>
    <s v="Female"/>
    <n v="45"/>
    <x v="1"/>
    <n v="3"/>
    <x v="1"/>
    <x v="1"/>
    <n v="7108.9"/>
    <n v="4574.5"/>
    <n v="3.1"/>
    <x v="1"/>
    <x v="0"/>
  </r>
  <r>
    <s v="NHM-2025-101173"/>
    <s v="June"/>
    <x v="11"/>
    <n v="6"/>
    <d v="2024-06-26T00:00:00"/>
    <x v="0"/>
    <s v="Bruce Myers"/>
    <s v="NovaHealth Lakeside Medical Center"/>
    <s v="Female"/>
    <n v="0"/>
    <x v="2"/>
    <n v="3"/>
    <x v="6"/>
    <x v="6"/>
    <n v="1273.9000000000001"/>
    <n v="867.11"/>
    <n v="1.7"/>
    <x v="1"/>
    <x v="2"/>
  </r>
  <r>
    <s v="NHM-2025-101865"/>
    <s v="February"/>
    <x v="2"/>
    <n v="2"/>
    <d v="2025-02-07T00:00:00"/>
    <x v="1"/>
    <s v="Stephen Nguyen"/>
    <s v="NovaHealth Northside Hospital"/>
    <s v="Male"/>
    <n v="60"/>
    <x v="0"/>
    <n v="3"/>
    <x v="3"/>
    <x v="3"/>
    <n v="5725.7"/>
    <n v="4064.79"/>
    <n v="7.1"/>
    <x v="1"/>
    <x v="0"/>
  </r>
  <r>
    <s v="NHM-2024-100225"/>
    <s v="June"/>
    <x v="11"/>
    <n v="6"/>
    <d v="2025-06-13T00:00:00"/>
    <x v="1"/>
    <s v="Sara Murray"/>
    <s v="NovaHealth Chicago Medical Center"/>
    <s v="Male"/>
    <n v="86"/>
    <x v="2"/>
    <n v="4"/>
    <x v="5"/>
    <x v="5"/>
    <n v="15440.18"/>
    <n v="11313.73"/>
    <n v="5.3"/>
    <x v="2"/>
    <x v="1"/>
  </r>
  <r>
    <s v="NHM-2023-102162"/>
    <s v="January"/>
    <x v="3"/>
    <n v="1"/>
    <d v="2024-01-13T00:00:00"/>
    <x v="0"/>
    <s v="Lawrence Smith"/>
    <s v="NovaHealth Greenfield Clinic"/>
    <s v="Male"/>
    <n v="81"/>
    <x v="1"/>
    <n v="4"/>
    <x v="2"/>
    <x v="2"/>
    <n v="5706.21"/>
    <n v="4401.5200000000004"/>
    <n v="8.1"/>
    <x v="2"/>
    <x v="1"/>
  </r>
  <r>
    <s v="NHM-2023-102295"/>
    <s v="November"/>
    <x v="4"/>
    <n v="11"/>
    <d v="2025-11-19T00:00:00"/>
    <x v="1"/>
    <s v="Margaret Kelly"/>
    <s v="NovaHealth Chicago Medical Center"/>
    <s v="Female"/>
    <n v="17"/>
    <x v="0"/>
    <n v="2"/>
    <x v="6"/>
    <x v="6"/>
    <n v="2082.89"/>
    <n v="1236.8800000000001"/>
    <n v="3.6"/>
    <x v="1"/>
    <x v="2"/>
  </r>
  <r>
    <s v="NHM-2024-100759"/>
    <s v="June"/>
    <x v="11"/>
    <n v="6"/>
    <d v="2025-06-26T00:00:00"/>
    <x v="1"/>
    <s v="Gerald Griffin"/>
    <s v="NovaHealth Chicago Medical Center"/>
    <s v="Male"/>
    <n v="4"/>
    <x v="0"/>
    <n v="2"/>
    <x v="6"/>
    <x v="6"/>
    <n v="2922.89"/>
    <n v="1809.36"/>
    <n v="3.3"/>
    <x v="1"/>
    <x v="2"/>
  </r>
  <r>
    <s v="NHM-2026-101162"/>
    <s v="January"/>
    <x v="3"/>
    <n v="1"/>
    <d v="2026-01-04T00:00:00"/>
    <x v="2"/>
    <s v="Evelyn Diaz"/>
    <s v="NovaHealth Chicago Medical Center"/>
    <s v="Male"/>
    <n v="39"/>
    <x v="1"/>
    <n v="4"/>
    <x v="2"/>
    <x v="2"/>
    <n v="6216.17"/>
    <n v="4032.75"/>
    <n v="6.8"/>
    <x v="2"/>
    <x v="0"/>
  </r>
  <r>
    <s v="NHM-2025-101017"/>
    <s v="June"/>
    <x v="11"/>
    <n v="6"/>
    <d v="2024-06-30T00:00:00"/>
    <x v="0"/>
    <s v="Matthew Hernandez"/>
    <s v="NovaHealth Chicago Medical Center"/>
    <s v="Male"/>
    <n v="59"/>
    <x v="2"/>
    <n v="4"/>
    <x v="4"/>
    <x v="4"/>
    <n v="17217.7"/>
    <n v="11639.06"/>
    <n v="12.9"/>
    <x v="2"/>
    <x v="0"/>
  </r>
  <r>
    <s v="NHM-2024-100456"/>
    <s v="March"/>
    <x v="1"/>
    <n v="3"/>
    <d v="2024-03-21T00:00:00"/>
    <x v="0"/>
    <s v="Frances Ellis"/>
    <s v="NovaHealth Metro General Hospital"/>
    <s v="Male"/>
    <n v="18"/>
    <x v="0"/>
    <n v="1"/>
    <x v="1"/>
    <x v="1"/>
    <n v="7365.83"/>
    <n v="5184.88"/>
    <n v="3.6"/>
    <x v="0"/>
    <x v="2"/>
  </r>
  <r>
    <s v="NHM-2025-100912"/>
    <s v="April"/>
    <x v="0"/>
    <n v="4"/>
    <d v="2024-04-01T00:00:00"/>
    <x v="0"/>
    <s v="John Brown"/>
    <s v="NovaHealth Metro General Hospital"/>
    <s v="Female"/>
    <n v="48"/>
    <x v="0"/>
    <n v="1"/>
    <x v="7"/>
    <x v="7"/>
    <n v="8704.89"/>
    <n v="6487.37"/>
    <n v="16.600000000000001"/>
    <x v="0"/>
    <x v="0"/>
  </r>
  <r>
    <s v="NHM-2023-100843"/>
    <s v="March"/>
    <x v="1"/>
    <n v="3"/>
    <d v="2024-03-22T00:00:00"/>
    <x v="0"/>
    <s v="Paul Brooks"/>
    <s v="NovaHealth Chicago Medical Center"/>
    <s v="Male"/>
    <n v="64"/>
    <x v="1"/>
    <n v="5"/>
    <x v="4"/>
    <x v="4"/>
    <n v="12804.41"/>
    <n v="9812.15"/>
    <n v="10.1"/>
    <x v="2"/>
    <x v="0"/>
  </r>
  <r>
    <s v="NHM-2026-100788"/>
    <s v="February"/>
    <x v="2"/>
    <n v="2"/>
    <d v="2025-02-19T00:00:00"/>
    <x v="1"/>
    <s v="Shirley Mason"/>
    <s v="NovaHealth Lakeside Medical Center"/>
    <s v="Male"/>
    <n v="16"/>
    <x v="0"/>
    <n v="2"/>
    <x v="6"/>
    <x v="6"/>
    <n v="1965.5"/>
    <n v="1165.5899999999999"/>
    <n v="3.2"/>
    <x v="1"/>
    <x v="2"/>
  </r>
  <r>
    <s v="NHM-2024-101233"/>
    <s v="October"/>
    <x v="5"/>
    <n v="10"/>
    <d v="2025-10-21T00:00:00"/>
    <x v="1"/>
    <s v="Theresa Nguyen"/>
    <s v="NovaHealth Chicago Medical Center"/>
    <s v="Female"/>
    <n v="31"/>
    <x v="0"/>
    <n v="2"/>
    <x v="1"/>
    <x v="1"/>
    <n v="9116.34"/>
    <n v="5560.97"/>
    <m/>
    <x v="1"/>
    <x v="0"/>
  </r>
  <r>
    <s v="NHM-2025-101358"/>
    <s v="May"/>
    <x v="9"/>
    <n v="5"/>
    <d v="2026-05-19T00:00:00"/>
    <x v="2"/>
    <s v="Sharon Morgan"/>
    <s v="NovaHealth Lakeside Medical Center"/>
    <s v="Male"/>
    <n v="70"/>
    <x v="0"/>
    <n v="1"/>
    <x v="2"/>
    <x v="2"/>
    <n v="3403.3"/>
    <n v="2226.91"/>
    <n v="6.1"/>
    <x v="0"/>
    <x v="1"/>
  </r>
  <r>
    <s v="NHM-2023-101133"/>
    <s v="April"/>
    <x v="0"/>
    <n v="4"/>
    <d v="2026-04-23T00:00:00"/>
    <x v="2"/>
    <s v="Justin Brooks"/>
    <s v="NovaHealth Chicago Medical Center"/>
    <s v="Male"/>
    <n v="46"/>
    <x v="2"/>
    <n v="3"/>
    <x v="2"/>
    <x v="2"/>
    <n v="6252.13"/>
    <n v="4260.13"/>
    <n v="8.9"/>
    <x v="1"/>
    <x v="0"/>
  </r>
  <r>
    <s v="NHM-2025-100561"/>
    <s v="November"/>
    <x v="4"/>
    <n v="11"/>
    <d v="2023-11-13T00:00:00"/>
    <x v="3"/>
    <s v="Amy Morgan"/>
    <s v="NovaHealth River Valley Hospital"/>
    <s v="Female"/>
    <n v="60"/>
    <x v="0"/>
    <n v="3"/>
    <x v="5"/>
    <x v="5"/>
    <n v="15052.97"/>
    <n v="10605.08"/>
    <n v="8.5"/>
    <x v="1"/>
    <x v="0"/>
  </r>
  <r>
    <s v="NHM-2024-100720"/>
    <s v="August"/>
    <x v="10"/>
    <n v="8"/>
    <d v="2024-08-15T00:00:00"/>
    <x v="0"/>
    <s v="Ethan Bennett"/>
    <s v="NovaHealth Greenfield Clinic"/>
    <s v="Female"/>
    <n v="85"/>
    <x v="1"/>
    <n v="4"/>
    <x v="4"/>
    <x v="4"/>
    <n v="22655.57"/>
    <n v="16642.57"/>
    <n v="13"/>
    <x v="2"/>
    <x v="1"/>
  </r>
  <r>
    <s v="NHM-2023-100252"/>
    <s v="November"/>
    <x v="4"/>
    <n v="11"/>
    <d v="2025-11-28T00:00:00"/>
    <x v="1"/>
    <s v="Ashley Lewis"/>
    <s v="NovaHealth Northside Hospital"/>
    <s v="Male"/>
    <n v="52"/>
    <x v="0"/>
    <n v="2"/>
    <x v="3"/>
    <x v="3"/>
    <n v="8503.16"/>
    <n v="6542.4"/>
    <n v="10"/>
    <x v="1"/>
    <x v="0"/>
  </r>
  <r>
    <s v="NHM-2024-100962"/>
    <s v="November"/>
    <x v="4"/>
    <n v="11"/>
    <d v="2023-11-16T00:00:00"/>
    <x v="3"/>
    <s v="Angela Hernandez"/>
    <s v="NovaHealth Chicago Medical Center"/>
    <s v="Male"/>
    <n v="22"/>
    <x v="1"/>
    <n v="5"/>
    <x v="7"/>
    <x v="7"/>
    <n v="13264.52"/>
    <n v="7815.82"/>
    <n v="15.3"/>
    <x v="2"/>
    <x v="0"/>
  </r>
  <r>
    <s v="NHM-2023-101294"/>
    <s v="July"/>
    <x v="8"/>
    <n v="7"/>
    <d v="2025-07-07T00:00:00"/>
    <x v="1"/>
    <s v="Tyler Campbell"/>
    <s v="NovaHealth Northside Hospital"/>
    <s v="Female"/>
    <n v="62"/>
    <x v="2"/>
    <n v="3"/>
    <x v="2"/>
    <x v="2"/>
    <n v="5950.37"/>
    <n v="3683.33"/>
    <n v="6.7"/>
    <x v="1"/>
    <x v="0"/>
  </r>
  <r>
    <s v="NHM-2024-100767"/>
    <s v="December"/>
    <x v="6"/>
    <n v="12"/>
    <d v="2024-12-27T00:00:00"/>
    <x v="0"/>
    <s v="Nicholas Bell"/>
    <s v="NovaHealth Chicago Medical Center"/>
    <s v="Male"/>
    <n v="46"/>
    <x v="1"/>
    <n v="3"/>
    <x v="0"/>
    <x v="0"/>
    <n v="14260.26"/>
    <n v="9202.57"/>
    <n v="9.5"/>
    <x v="1"/>
    <x v="0"/>
  </r>
  <r>
    <s v="NHM-2023-100895"/>
    <s v="December"/>
    <x v="6"/>
    <n v="12"/>
    <d v="2023-12-07T00:00:00"/>
    <x v="3"/>
    <s v="Judith Sullivan"/>
    <s v="NovaHealth Midtown Medical Center"/>
    <s v="Female"/>
    <n v="71"/>
    <x v="2"/>
    <n v="3"/>
    <x v="1"/>
    <x v="1"/>
    <n v="10546.9"/>
    <n v="7128.82"/>
    <n v="7.8"/>
    <x v="1"/>
    <x v="1"/>
  </r>
  <r>
    <s v="NHM-2026-101760"/>
    <s v="April"/>
    <x v="0"/>
    <n v="4"/>
    <d v="2026-04-28T00:00:00"/>
    <x v="2"/>
    <s v="Evelyn Diaz"/>
    <s v="NovaHealth Greenfield Clinic"/>
    <s v="Male"/>
    <n v="49"/>
    <x v="0"/>
    <n v="1"/>
    <x v="2"/>
    <x v="2"/>
    <n v="3933.16"/>
    <n v="2833.21"/>
    <n v="10"/>
    <x v="0"/>
    <x v="0"/>
  </r>
  <r>
    <s v="NHM-2023-100344"/>
    <s v="October"/>
    <x v="5"/>
    <n v="10"/>
    <d v="2023-10-09T00:00:00"/>
    <x v="3"/>
    <s v="Justin Wilson"/>
    <s v="NovaHealth Metro General Hospital"/>
    <s v="Female"/>
    <n v="69"/>
    <x v="2"/>
    <n v="5"/>
    <x v="1"/>
    <x v="1"/>
    <n v="13483.33"/>
    <n v="9932.43"/>
    <n v="11.2"/>
    <x v="2"/>
    <x v="1"/>
  </r>
  <r>
    <s v="NHM-2023-100590"/>
    <s v="December"/>
    <x v="6"/>
    <n v="12"/>
    <d v="2024-12-07T00:00:00"/>
    <x v="0"/>
    <s v="William Evans"/>
    <s v="NovaHealth Midtown Medical Center"/>
    <s v="Female"/>
    <n v="65"/>
    <x v="2"/>
    <n v="4"/>
    <x v="5"/>
    <x v="5"/>
    <n v="13476"/>
    <n v="10298.56"/>
    <n v="7.1"/>
    <x v="2"/>
    <x v="1"/>
  </r>
  <r>
    <s v="NHM-2024-100626"/>
    <s v="June"/>
    <x v="11"/>
    <n v="6"/>
    <d v="2025-06-16T00:00:00"/>
    <x v="1"/>
    <s v="Amy Barnes"/>
    <s v="NovaHealth Northside Hospital"/>
    <s v="Male"/>
    <n v="47"/>
    <x v="2"/>
    <n v="5"/>
    <x v="1"/>
    <x v="1"/>
    <n v="17435.16"/>
    <n v="10147.59"/>
    <n v="4.4000000000000004"/>
    <x v="2"/>
    <x v="0"/>
  </r>
  <r>
    <s v="NHM-2026-102008"/>
    <s v="February"/>
    <x v="2"/>
    <n v="2"/>
    <d v="2024-02-27T00:00:00"/>
    <x v="0"/>
    <s v="Brian Jimenez"/>
    <s v="NovaHealth Chicago Medical Center"/>
    <s v="Female"/>
    <n v="4"/>
    <x v="0"/>
    <n v="1"/>
    <x v="6"/>
    <x v="6"/>
    <n v="994.28"/>
    <n v="653.71"/>
    <n v="5.9"/>
    <x v="0"/>
    <x v="2"/>
  </r>
  <r>
    <s v="NHM-2025-101405"/>
    <s v="September"/>
    <x v="7"/>
    <n v="9"/>
    <d v="2024-09-16T00:00:00"/>
    <x v="0"/>
    <s v="Charles Cooper"/>
    <s v="NovaHealth River Valley Hospital"/>
    <s v="Male"/>
    <n v="52"/>
    <x v="0"/>
    <n v="2"/>
    <x v="7"/>
    <x v="7"/>
    <n v="10762.63"/>
    <n v="6969.68"/>
    <n v="10.199999999999999"/>
    <x v="1"/>
    <x v="0"/>
  </r>
  <r>
    <s v="NHM-2025-101466"/>
    <s v="February"/>
    <x v="2"/>
    <n v="2"/>
    <d v="2026-02-18T00:00:00"/>
    <x v="2"/>
    <s v="Joyce Walker"/>
    <s v="NovaHealth Northside Hospital"/>
    <s v="Male"/>
    <n v="41"/>
    <x v="2"/>
    <n v="1"/>
    <x v="7"/>
    <x v="7"/>
    <n v="6869.77"/>
    <n v="4721.1499999999996"/>
    <n v="14.8"/>
    <x v="0"/>
    <x v="0"/>
  </r>
  <r>
    <s v="NHM-2024-101825"/>
    <s v="December"/>
    <x v="6"/>
    <n v="12"/>
    <d v="2025-12-09T00:00:00"/>
    <x v="1"/>
    <s v="Joshua Rodriguez"/>
    <s v="NovaHealth Lakeshore Regional Center"/>
    <s v="Male"/>
    <n v="64"/>
    <x v="2"/>
    <n v="3"/>
    <x v="4"/>
    <x v="4"/>
    <n v="13804.23"/>
    <n v="9743.76"/>
    <n v="10.1"/>
    <x v="1"/>
    <x v="0"/>
  </r>
  <r>
    <s v="NHM-2026-100135"/>
    <s v="October"/>
    <x v="5"/>
    <n v="10"/>
    <d v="2025-10-02T00:00:00"/>
    <x v="1"/>
    <s v="Larry Griffin"/>
    <s v="NovaHealth Greenfield Clinic"/>
    <s v="Male"/>
    <n v="87"/>
    <x v="0"/>
    <n v="2"/>
    <x v="3"/>
    <x v="3"/>
    <n v="4216.25"/>
    <n v="3118.66"/>
    <n v="5.0999999999999996"/>
    <x v="1"/>
    <x v="1"/>
  </r>
  <r>
    <s v="NHM-2025-101965"/>
    <s v="December"/>
    <x v="6"/>
    <n v="12"/>
    <d v="2023-12-22T00:00:00"/>
    <x v="3"/>
    <s v="Amy Richardson"/>
    <s v="NovaHealth Oakridge Community Hospital"/>
    <s v="Male"/>
    <n v="62"/>
    <x v="0"/>
    <n v="2"/>
    <x v="7"/>
    <x v="7"/>
    <n v="8828.51"/>
    <n v="6876.07"/>
    <n v="20.8"/>
    <x v="1"/>
    <x v="0"/>
  </r>
  <r>
    <s v="NHM-2024-100332"/>
    <s v="January"/>
    <x v="3"/>
    <n v="1"/>
    <d v="2024-01-10T00:00:00"/>
    <x v="0"/>
    <s v="Jordan Cook"/>
    <s v="NovaHealth Northside Hospital"/>
    <s v="Female"/>
    <n v="5"/>
    <x v="0"/>
    <n v="1"/>
    <x v="6"/>
    <x v="6"/>
    <n v="2179.08"/>
    <n v="1290.27"/>
    <n v="3.3"/>
    <x v="0"/>
    <x v="2"/>
  </r>
  <r>
    <s v="NHM-2026-101471"/>
    <s v="May"/>
    <x v="9"/>
    <n v="5"/>
    <d v="2025-05-27T00:00:00"/>
    <x v="1"/>
    <s v="Kelly Murray"/>
    <s v="NovaHealth Greenfield Clinic"/>
    <s v="Male"/>
    <n v="79"/>
    <x v="0"/>
    <n v="3"/>
    <x v="0"/>
    <x v="0"/>
    <n v="6575.76"/>
    <n v="4053.61"/>
    <n v="5.3"/>
    <x v="1"/>
    <x v="1"/>
  </r>
  <r>
    <s v="NHM-2025-102491"/>
    <s v="July"/>
    <x v="8"/>
    <n v="7"/>
    <d v="2026-07-01T00:00:00"/>
    <x v="2"/>
    <s v="Steven Jenkins"/>
    <s v="NovaHealth Chicago Medical Center"/>
    <s v="Male"/>
    <n v="59"/>
    <x v="0"/>
    <n v="5"/>
    <x v="4"/>
    <x v="4"/>
    <n v="17257.669999999998"/>
    <n v="11134.51"/>
    <n v="11.2"/>
    <x v="2"/>
    <x v="0"/>
  </r>
  <r>
    <s v="NHM-2024-100567"/>
    <s v="December"/>
    <x v="6"/>
    <n v="12"/>
    <d v="2025-12-02T00:00:00"/>
    <x v="1"/>
    <s v="Lawrence Cox"/>
    <s v="NovaHealth Northside Hospital"/>
    <s v="Female"/>
    <n v="65"/>
    <x v="1"/>
    <n v="4"/>
    <x v="4"/>
    <x v="4"/>
    <n v="16844.02"/>
    <n v="11390.29"/>
    <n v="13.1"/>
    <x v="2"/>
    <x v="1"/>
  </r>
  <r>
    <s v="NHM-2024-101588"/>
    <s v="October"/>
    <x v="5"/>
    <n v="10"/>
    <d v="2023-10-27T00:00:00"/>
    <x v="3"/>
    <s v="Abigail Alexander"/>
    <s v="NovaHealth Oakridge Community Hospital"/>
    <s v="Female"/>
    <n v="55"/>
    <x v="0"/>
    <n v="2"/>
    <x v="3"/>
    <x v="3"/>
    <n v="8283.06"/>
    <n v="5822.94"/>
    <n v="3.1"/>
    <x v="1"/>
    <x v="0"/>
  </r>
  <r>
    <s v="NHM-2026-101505"/>
    <s v="January"/>
    <x v="3"/>
    <n v="1"/>
    <d v="2025-01-20T00:00:00"/>
    <x v="1"/>
    <s v="Brenda Lee"/>
    <s v="NovaHealth Chicago Medical Center"/>
    <s v="Female"/>
    <n v="65"/>
    <x v="0"/>
    <n v="1"/>
    <x v="1"/>
    <x v="1"/>
    <n v="10964.32"/>
    <n v="8038.35"/>
    <n v="4.3"/>
    <x v="0"/>
    <x v="1"/>
  </r>
  <r>
    <s v="NHM-2023-101891"/>
    <s v="September"/>
    <x v="7"/>
    <n v="9"/>
    <d v="2025-09-05T00:00:00"/>
    <x v="1"/>
    <s v="Samantha Ross"/>
    <s v="NovaHealth Lakeside Medical Center"/>
    <s v="Male"/>
    <n v="24"/>
    <x v="2"/>
    <n v="2"/>
    <x v="0"/>
    <x v="0"/>
    <n v="10072.16"/>
    <n v="7739.64"/>
    <n v="10.6"/>
    <x v="1"/>
    <x v="0"/>
  </r>
  <r>
    <s v="NHM-2025-100603"/>
    <s v="October"/>
    <x v="5"/>
    <n v="10"/>
    <d v="2024-10-09T00:00:00"/>
    <x v="0"/>
    <s v="Daniel Coleman"/>
    <s v="NovaHealth Lakeshore Regional Center"/>
    <s v="Male"/>
    <n v="50"/>
    <x v="2"/>
    <n v="1"/>
    <x v="1"/>
    <x v="1"/>
    <n v="10163.85"/>
    <n v="5941.43"/>
    <n v="5.8"/>
    <x v="0"/>
    <x v="0"/>
  </r>
  <r>
    <s v="NHM-2026-102038"/>
    <s v="March"/>
    <x v="1"/>
    <n v="3"/>
    <d v="2025-03-12T00:00:00"/>
    <x v="1"/>
    <s v="Elizabeth Bailey"/>
    <s v="NovaHealth Lakeside Medical Center"/>
    <s v="Female"/>
    <n v="73"/>
    <x v="0"/>
    <n v="3"/>
    <x v="7"/>
    <x v="7"/>
    <n v="9711.7999999999993"/>
    <n v="6068.2"/>
    <n v="18"/>
    <x v="1"/>
    <x v="1"/>
  </r>
  <r>
    <s v="NHM-2024-102014"/>
    <s v="May"/>
    <x v="9"/>
    <n v="5"/>
    <d v="2024-05-08T00:00:00"/>
    <x v="0"/>
    <s v="Cheryl Howard"/>
    <s v="NovaHealth Chicago Medical Center"/>
    <s v="Male"/>
    <n v="87"/>
    <x v="1"/>
    <n v="4"/>
    <x v="4"/>
    <x v="4"/>
    <n v="12639.74"/>
    <n v="8167.03"/>
    <n v="9.6999999999999993"/>
    <x v="2"/>
    <x v="1"/>
  </r>
  <r>
    <s v="NHM-2026-101935"/>
    <s v="October"/>
    <x v="5"/>
    <n v="10"/>
    <d v="2023-10-30T00:00:00"/>
    <x v="3"/>
    <s v="Gregory Bailey"/>
    <s v="NovaHealth Chicago Medical Center"/>
    <s v="Female"/>
    <n v="81"/>
    <x v="0"/>
    <n v="3"/>
    <x v="3"/>
    <x v="3"/>
    <n v="6662.62"/>
    <n v="4487.16"/>
    <n v="2.9"/>
    <x v="1"/>
    <x v="1"/>
  </r>
  <r>
    <s v="NHM-2023-100737"/>
    <s v="February"/>
    <x v="2"/>
    <n v="2"/>
    <d v="2026-02-27T00:00:00"/>
    <x v="2"/>
    <s v="Joseph Kim"/>
    <s v="NovaHealth Greenfield Clinic"/>
    <s v="Male"/>
    <n v="37"/>
    <x v="0"/>
    <n v="1"/>
    <x v="1"/>
    <x v="1"/>
    <n v="7894.78"/>
    <n v="5585.55"/>
    <n v="7.4"/>
    <x v="0"/>
    <x v="0"/>
  </r>
  <r>
    <s v="NHM-2025-100566"/>
    <s v="August"/>
    <x v="10"/>
    <n v="8"/>
    <d v="2024-08-26T00:00:00"/>
    <x v="0"/>
    <s v="Arthur Barnes"/>
    <s v="NovaHealth Midtown Medical Center"/>
    <s v="Male"/>
    <n v="16"/>
    <x v="0"/>
    <n v="1"/>
    <x v="6"/>
    <x v="6"/>
    <n v="2068.6"/>
    <n v="1528.48"/>
    <n v="2.2999999999999998"/>
    <x v="0"/>
    <x v="2"/>
  </r>
  <r>
    <s v="NHM-2023-102483"/>
    <s v="August"/>
    <x v="10"/>
    <n v="8"/>
    <d v="2025-08-14T00:00:00"/>
    <x v="1"/>
    <s v="Scott Hicks"/>
    <s v="NovaHealth Greenfield Clinic"/>
    <s v="Female"/>
    <n v="57"/>
    <x v="0"/>
    <n v="2"/>
    <x v="1"/>
    <x v="1"/>
    <n v="8939.48"/>
    <n v="6884.4"/>
    <n v="11.3"/>
    <x v="1"/>
    <x v="0"/>
  </r>
  <r>
    <s v="NHM-2026-101425"/>
    <s v="March"/>
    <x v="1"/>
    <n v="3"/>
    <d v="2024-03-01T00:00:00"/>
    <x v="0"/>
    <s v="Lauren Gutierrez"/>
    <s v="NovaHealth Metro General Hospital"/>
    <s v="Male"/>
    <n v="63"/>
    <x v="0"/>
    <n v="1"/>
    <x v="3"/>
    <x v="3"/>
    <n v="7150.49"/>
    <n v="4224.08"/>
    <n v="9.6"/>
    <x v="0"/>
    <x v="0"/>
  </r>
  <r>
    <s v="NHM-2024-100084"/>
    <s v="April"/>
    <x v="0"/>
    <n v="4"/>
    <d v="2025-04-03T00:00:00"/>
    <x v="1"/>
    <s v="Diane Adams"/>
    <s v="NovaHealth Greenfield Clinic"/>
    <s v="Female"/>
    <n v="66"/>
    <x v="0"/>
    <n v="1"/>
    <x v="7"/>
    <x v="7"/>
    <n v="3304.57"/>
    <n v="2161.39"/>
    <n v="18.2"/>
    <x v="0"/>
    <x v="1"/>
  </r>
  <r>
    <s v="NHM-2023-102441"/>
    <s v="October"/>
    <x v="5"/>
    <n v="10"/>
    <d v="2023-10-24T00:00:00"/>
    <x v="3"/>
    <s v="Kimberly Gibson"/>
    <s v="NovaHealth Greenfield Clinic"/>
    <s v="Male"/>
    <n v="74"/>
    <x v="2"/>
    <n v="3"/>
    <x v="0"/>
    <x v="0"/>
    <n v="11832.56"/>
    <n v="7648.04"/>
    <n v="9.4"/>
    <x v="1"/>
    <x v="1"/>
  </r>
  <r>
    <s v="NHM-2023-101728"/>
    <s v="October"/>
    <x v="5"/>
    <n v="10"/>
    <d v="2025-10-28T00:00:00"/>
    <x v="1"/>
    <s v="Amy Jimenez"/>
    <s v="NovaHealth Lakeside Medical Center"/>
    <s v="Female"/>
    <n v="60"/>
    <x v="2"/>
    <n v="5"/>
    <x v="4"/>
    <x v="4"/>
    <n v="24986.32"/>
    <n v="16856.830000000002"/>
    <n v="14.5"/>
    <x v="2"/>
    <x v="0"/>
  </r>
  <r>
    <s v="NHM-2026-101669"/>
    <s v="December"/>
    <x v="6"/>
    <n v="12"/>
    <d v="2023-12-08T00:00:00"/>
    <x v="3"/>
    <s v="Theresa Diaz"/>
    <s v="NovaHealth Chicago Medical Center"/>
    <s v="Male"/>
    <n v="45"/>
    <x v="0"/>
    <n v="2"/>
    <x v="2"/>
    <x v="2"/>
    <n v="2170.0500000000002"/>
    <n v="1559.84"/>
    <n v="5.0999999999999996"/>
    <x v="1"/>
    <x v="0"/>
  </r>
  <r>
    <s v="NHM-2025-102005"/>
    <s v="December"/>
    <x v="6"/>
    <n v="12"/>
    <d v="2024-12-02T00:00:00"/>
    <x v="0"/>
    <s v="Thomas Cruz"/>
    <s v="NovaHealth Lakeside Medical Center"/>
    <s v="Female"/>
    <n v="82"/>
    <x v="0"/>
    <n v="1"/>
    <x v="7"/>
    <x v="7"/>
    <n v="9151.35"/>
    <n v="6852.49"/>
    <n v="21.5"/>
    <x v="0"/>
    <x v="1"/>
  </r>
  <r>
    <s v="NHM-2024-102261"/>
    <s v="October"/>
    <x v="5"/>
    <n v="10"/>
    <d v="2024-10-25T00:00:00"/>
    <x v="0"/>
    <s v="Eric Woods"/>
    <s v="NovaHealth Lakeshore Regional Center"/>
    <s v="Female"/>
    <n v="25"/>
    <x v="2"/>
    <n v="3"/>
    <x v="7"/>
    <x v="7"/>
    <n v="5686.67"/>
    <n v="4456.2700000000004"/>
    <n v="16.8"/>
    <x v="1"/>
    <x v="0"/>
  </r>
  <r>
    <s v="NHM-2023-101101"/>
    <s v="July"/>
    <x v="8"/>
    <n v="7"/>
    <d v="2026-07-15T00:00:00"/>
    <x v="2"/>
    <s v="George Davis"/>
    <s v="NovaHealth Chicago Medical Center"/>
    <s v="Female"/>
    <n v="6"/>
    <x v="2"/>
    <n v="4"/>
    <x v="6"/>
    <x v="6"/>
    <n v="1398.08"/>
    <n v="838.09"/>
    <n v="3.4"/>
    <x v="2"/>
    <x v="2"/>
  </r>
  <r>
    <s v="NHM-2026-100901"/>
    <s v="October"/>
    <x v="5"/>
    <n v="10"/>
    <d v="2023-10-09T00:00:00"/>
    <x v="3"/>
    <s v="Robert Wood"/>
    <s v="NovaHealth Greenfield Clinic"/>
    <s v="Female"/>
    <n v="37"/>
    <x v="1"/>
    <n v="4"/>
    <x v="2"/>
    <x v="2"/>
    <n v="6091.61"/>
    <n v="3786.28"/>
    <n v="8.8000000000000007"/>
    <x v="2"/>
    <x v="0"/>
  </r>
  <r>
    <s v="NHM-2024-101527"/>
    <s v="September"/>
    <x v="7"/>
    <n v="9"/>
    <d v="2023-09-15T00:00:00"/>
    <x v="3"/>
    <s v="Laura Gonzales"/>
    <s v="NovaHealth Northside Hospital"/>
    <s v="Male"/>
    <n v="83"/>
    <x v="1"/>
    <n v="2"/>
    <x v="2"/>
    <x v="2"/>
    <n v="3593.22"/>
    <n v="2370.86"/>
    <n v="8.9"/>
    <x v="1"/>
    <x v="1"/>
  </r>
  <r>
    <s v="NHM-2024-101426"/>
    <s v="November"/>
    <x v="4"/>
    <n v="11"/>
    <d v="2024-11-29T00:00:00"/>
    <x v="0"/>
    <s v="Carolyn Bryant"/>
    <s v="NovaHealth Lakeside Medical Center"/>
    <s v="Male"/>
    <n v="34"/>
    <x v="0"/>
    <n v="2"/>
    <x v="1"/>
    <x v="1"/>
    <n v="9688.8700000000008"/>
    <n v="6566.74"/>
    <n v="9.4"/>
    <x v="1"/>
    <x v="0"/>
  </r>
  <r>
    <s v="NHM-2025-101662"/>
    <s v="May"/>
    <x v="9"/>
    <n v="5"/>
    <d v="2025-05-15T00:00:00"/>
    <x v="1"/>
    <s v="Joyce Coleman"/>
    <s v="NovaHealth Northside Hospital"/>
    <s v="Male"/>
    <n v="40"/>
    <x v="0"/>
    <n v="3"/>
    <x v="0"/>
    <x v="0"/>
    <n v="12308.93"/>
    <n v="8637.0499999999993"/>
    <n v="2.6"/>
    <x v="1"/>
    <x v="0"/>
  </r>
  <r>
    <s v="NHM-2026-101667"/>
    <s v="March"/>
    <x v="1"/>
    <n v="3"/>
    <d v="2025-03-14T00:00:00"/>
    <x v="1"/>
    <s v="Paul Castillo"/>
    <s v="NovaHealth Oakridge Community Hospital"/>
    <s v="Female"/>
    <n v="69"/>
    <x v="0"/>
    <n v="4"/>
    <x v="3"/>
    <x v="3"/>
    <n v="12834.21"/>
    <n v="9436.17"/>
    <n v="8.4"/>
    <x v="2"/>
    <x v="1"/>
  </r>
  <r>
    <s v="NHM-2025-102300"/>
    <s v="January"/>
    <x v="3"/>
    <n v="1"/>
    <d v="2026-01-12T00:00:00"/>
    <x v="2"/>
    <s v="Albert Griffin"/>
    <s v="NovaHealth Northside Hospital"/>
    <s v="Male"/>
    <n v="70"/>
    <x v="2"/>
    <n v="5"/>
    <x v="4"/>
    <x v="4"/>
    <n v="17955.580000000002"/>
    <n v="13731.04"/>
    <n v="10.6"/>
    <x v="2"/>
    <x v="1"/>
  </r>
  <r>
    <s v="NHM-2023-102191"/>
    <s v="October"/>
    <x v="5"/>
    <n v="10"/>
    <d v="2025-10-08T00:00:00"/>
    <x v="1"/>
    <s v="Carolyn Powell"/>
    <s v="NovaHealth Chicago Medical Center"/>
    <s v="Male"/>
    <n v="56"/>
    <x v="1"/>
    <n v="5"/>
    <x v="4"/>
    <x v="4"/>
    <n v="20488.28"/>
    <n v="12024"/>
    <n v="17.600000000000001"/>
    <x v="2"/>
    <x v="0"/>
  </r>
  <r>
    <s v="NHM-2025-100652"/>
    <s v="August"/>
    <x v="10"/>
    <n v="8"/>
    <d v="2025-08-12T00:00:00"/>
    <x v="1"/>
    <s v="Megan Cruz"/>
    <s v="NovaHealth Lakeshore Regional Center"/>
    <s v="Female"/>
    <n v="62"/>
    <x v="0"/>
    <n v="1"/>
    <x v="0"/>
    <x v="0"/>
    <n v="6157.02"/>
    <n v="3838.18"/>
    <n v="10.3"/>
    <x v="0"/>
    <x v="0"/>
  </r>
  <r>
    <s v="NHM-2023-101045"/>
    <s v="March"/>
    <x v="1"/>
    <n v="3"/>
    <d v="2026-03-26T00:00:00"/>
    <x v="2"/>
    <s v="Jesse Marshall"/>
    <s v="NovaHealth Chicago Medical Center"/>
    <s v="Male"/>
    <n v="27"/>
    <x v="0"/>
    <n v="2"/>
    <x v="2"/>
    <x v="2"/>
    <n v="5436.26"/>
    <n v="3521.61"/>
    <n v="5.3"/>
    <x v="1"/>
    <x v="0"/>
  </r>
  <r>
    <s v="NHM-2026-102173"/>
    <s v="May"/>
    <x v="9"/>
    <n v="5"/>
    <d v="2025-05-08T00:00:00"/>
    <x v="1"/>
    <s v="Patrick Moore"/>
    <s v="NovaHealth Midtown Medical Center"/>
    <s v="Male"/>
    <n v="79"/>
    <x v="0"/>
    <n v="1"/>
    <x v="2"/>
    <x v="2"/>
    <n v="2838.86"/>
    <n v="1949.24"/>
    <n v="5.9"/>
    <x v="0"/>
    <x v="1"/>
  </r>
  <r>
    <s v="NHM-2026-101326"/>
    <s v="November"/>
    <x v="4"/>
    <n v="11"/>
    <d v="2025-11-19T00:00:00"/>
    <x v="1"/>
    <s v="Rebecca Wallace"/>
    <s v="NovaHealth Northside Hospital"/>
    <s v="Female"/>
    <n v="13"/>
    <x v="0"/>
    <n v="3"/>
    <x v="6"/>
    <x v="6"/>
    <n v="2905.58"/>
    <n v="2041.11"/>
    <n v="0.9"/>
    <x v="1"/>
    <x v="2"/>
  </r>
  <r>
    <s v="NHM-2025-101629"/>
    <s v="March"/>
    <x v="1"/>
    <n v="3"/>
    <d v="2024-03-25T00:00:00"/>
    <x v="0"/>
    <s v="Betty Patterson"/>
    <s v="NovaHealth Midtown Medical Center"/>
    <s v="Female"/>
    <n v="59"/>
    <x v="2"/>
    <n v="5"/>
    <x v="4"/>
    <x v="4"/>
    <n v="15733.42"/>
    <n v="11615"/>
    <n v="16.2"/>
    <x v="2"/>
    <x v="0"/>
  </r>
  <r>
    <s v="NHM-2024-100038"/>
    <s v="September"/>
    <x v="7"/>
    <n v="9"/>
    <d v="2023-09-13T00:00:00"/>
    <x v="3"/>
    <s v="Linda Reynolds"/>
    <s v="NovaHealth Midtown Medical Center"/>
    <s v="Female"/>
    <n v="2"/>
    <x v="0"/>
    <n v="2"/>
    <x v="6"/>
    <x v="6"/>
    <n v="2549.52"/>
    <n v="1963.24"/>
    <n v="3.2"/>
    <x v="1"/>
    <x v="2"/>
  </r>
  <r>
    <s v="NHM-2025-101007"/>
    <s v="October"/>
    <x v="5"/>
    <n v="10"/>
    <d v="2025-10-03T00:00:00"/>
    <x v="1"/>
    <s v="Lauren Webb"/>
    <s v="NovaHealth Midtown Medical Center"/>
    <s v="Female"/>
    <n v="36"/>
    <x v="0"/>
    <n v="2"/>
    <x v="2"/>
    <x v="2"/>
    <n v="5362.73"/>
    <n v="3155.98"/>
    <n v="5.7"/>
    <x v="1"/>
    <x v="0"/>
  </r>
  <r>
    <s v="NHM-2025-100396"/>
    <s v="July"/>
    <x v="8"/>
    <n v="7"/>
    <d v="2025-07-17T00:00:00"/>
    <x v="1"/>
    <s v="Kenneth Murphy"/>
    <s v="NovaHealth Chicago Medical Center"/>
    <s v="Male"/>
    <n v="24"/>
    <x v="0"/>
    <n v="2"/>
    <x v="2"/>
    <x v="2"/>
    <n v="3425.56"/>
    <n v="2129.59"/>
    <n v="5"/>
    <x v="1"/>
    <x v="0"/>
  </r>
  <r>
    <s v="NHM-2026-100093"/>
    <s v="March"/>
    <x v="1"/>
    <n v="3"/>
    <d v="2025-03-17T00:00:00"/>
    <x v="1"/>
    <s v="Bruce Green"/>
    <s v="NovaHealth Midtown Medical Center"/>
    <s v="Female"/>
    <n v="76"/>
    <x v="2"/>
    <n v="4"/>
    <x v="5"/>
    <x v="5"/>
    <n v="23047.74"/>
    <n v="14773.75"/>
    <n v="2.9"/>
    <x v="2"/>
    <x v="1"/>
  </r>
  <r>
    <s v="NHM-2025-101158"/>
    <s v="June"/>
    <x v="11"/>
    <n v="6"/>
    <d v="2025-06-24T00:00:00"/>
    <x v="1"/>
    <s v="Jason Russell"/>
    <s v="NovaHealth Greenfield Clinic"/>
    <s v="Female"/>
    <n v="66"/>
    <x v="1"/>
    <n v="5"/>
    <x v="4"/>
    <x v="4"/>
    <n v="13637.88"/>
    <n v="9254.98"/>
    <n v="14.7"/>
    <x v="2"/>
    <x v="1"/>
  </r>
  <r>
    <s v="NHM-2024-101126"/>
    <s v="March"/>
    <x v="1"/>
    <n v="3"/>
    <d v="2025-03-18T00:00:00"/>
    <x v="1"/>
    <s v="William Harris"/>
    <s v="NovaHealth Midtown Medical Center"/>
    <s v="Male"/>
    <n v="34"/>
    <x v="2"/>
    <n v="5"/>
    <x v="5"/>
    <x v="5"/>
    <n v="12702.01"/>
    <n v="8959.41"/>
    <n v="8.5"/>
    <x v="2"/>
    <x v="0"/>
  </r>
  <r>
    <s v="NHM-2023-100831"/>
    <s v="February"/>
    <x v="2"/>
    <n v="2"/>
    <d v="2025-02-13T00:00:00"/>
    <x v="1"/>
    <s v="Melissa Coleman"/>
    <s v="NovaHealth Chicago Medical Center"/>
    <s v="Male"/>
    <n v="86"/>
    <x v="2"/>
    <n v="3"/>
    <x v="5"/>
    <x v="5"/>
    <n v="19142.349999999999"/>
    <n v="14019.52"/>
    <n v="5.7"/>
    <x v="1"/>
    <x v="1"/>
  </r>
  <r>
    <s v="NHM-2024-101347"/>
    <s v="May"/>
    <x v="9"/>
    <n v="5"/>
    <d v="2025-05-01T00:00:00"/>
    <x v="1"/>
    <s v="Hannah Flores"/>
    <s v="NovaHealth Chicago Medical Center"/>
    <s v="Male"/>
    <n v="59"/>
    <x v="0"/>
    <n v="2"/>
    <x v="3"/>
    <x v="3"/>
    <n v="8214.65"/>
    <n v="6269.53"/>
    <n v="3.3"/>
    <x v="1"/>
    <x v="0"/>
  </r>
  <r>
    <s v="NHM-2023-100443"/>
    <s v="September"/>
    <x v="7"/>
    <n v="9"/>
    <d v="2024-09-17T00:00:00"/>
    <x v="0"/>
    <s v="Alexander Ramos"/>
    <s v="NovaHealth Lakeside Medical Center"/>
    <s v="Male"/>
    <n v="4"/>
    <x v="0"/>
    <n v="3"/>
    <x v="6"/>
    <x v="6"/>
    <n v="2881.08"/>
    <n v="1695.03"/>
    <n v="3"/>
    <x v="1"/>
    <x v="2"/>
  </r>
  <r>
    <s v="NHM-2023-100968"/>
    <s v="July"/>
    <x v="8"/>
    <n v="7"/>
    <d v="2024-07-01T00:00:00"/>
    <x v="0"/>
    <s v="Kathleen Jackson"/>
    <s v="NovaHealth Metro General Hospital"/>
    <s v="Female"/>
    <n v="79"/>
    <x v="1"/>
    <n v="5"/>
    <x v="4"/>
    <x v="4"/>
    <n v="16631.73"/>
    <n v="10214.959999999999"/>
    <n v="8.6999999999999993"/>
    <x v="2"/>
    <x v="1"/>
  </r>
  <r>
    <s v="NHM-2024-100793"/>
    <s v="January"/>
    <x v="3"/>
    <n v="1"/>
    <d v="2025-01-02T00:00:00"/>
    <x v="1"/>
    <s v="Janice Moore"/>
    <s v="NovaHealth Midtown Medical Center"/>
    <s v="Female"/>
    <n v="30"/>
    <x v="2"/>
    <n v="3"/>
    <x v="7"/>
    <x v="7"/>
    <n v="4759.17"/>
    <n v="3127.47"/>
    <n v="10.199999999999999"/>
    <x v="1"/>
    <x v="0"/>
  </r>
  <r>
    <s v="NHM-2023-100239"/>
    <s v="December"/>
    <x v="6"/>
    <n v="12"/>
    <d v="2025-12-03T00:00:00"/>
    <x v="1"/>
    <s v="Michelle Stevens"/>
    <s v="NovaHealth Northside Hospital"/>
    <s v="Female"/>
    <n v="34"/>
    <x v="0"/>
    <n v="1"/>
    <x v="0"/>
    <x v="0"/>
    <n v="9790.16"/>
    <n v="6613.81"/>
    <n v="6.8"/>
    <x v="0"/>
    <x v="0"/>
  </r>
  <r>
    <s v="NHM-2023-102029"/>
    <s v="June"/>
    <x v="11"/>
    <n v="6"/>
    <d v="2025-06-13T00:00:00"/>
    <x v="1"/>
    <s v="Jeremy Hill"/>
    <s v="NovaHealth Metro General Hospital"/>
    <s v="Male"/>
    <n v="79"/>
    <x v="0"/>
    <n v="2"/>
    <x v="7"/>
    <x v="7"/>
    <n v="4906.08"/>
    <n v="3520.66"/>
    <n v="10.8"/>
    <x v="1"/>
    <x v="1"/>
  </r>
  <r>
    <s v="NHM-2026-100241"/>
    <s v="June"/>
    <x v="11"/>
    <n v="6"/>
    <d v="2024-06-10T00:00:00"/>
    <x v="0"/>
    <s v="Rachel Kim"/>
    <s v="NovaHealth Chicago Medical Center"/>
    <s v="Male"/>
    <n v="48"/>
    <x v="2"/>
    <n v="4"/>
    <x v="1"/>
    <x v="1"/>
    <n v="13661.86"/>
    <n v="10027.56"/>
    <n v="6.8"/>
    <x v="2"/>
    <x v="0"/>
  </r>
  <r>
    <s v="NHM-2025-101743"/>
    <s v="October"/>
    <x v="5"/>
    <n v="10"/>
    <d v="2023-10-20T00:00:00"/>
    <x v="3"/>
    <s v="Donald Freeman"/>
    <s v="NovaHealth Metro General Hospital"/>
    <s v="Male"/>
    <n v="88"/>
    <x v="2"/>
    <n v="4"/>
    <x v="4"/>
    <x v="4"/>
    <n v="20243.669999999998"/>
    <n v="15501.99"/>
    <n v="14.6"/>
    <x v="2"/>
    <x v="1"/>
  </r>
  <r>
    <s v="NHM-2025-101244"/>
    <s v="June"/>
    <x v="11"/>
    <n v="6"/>
    <d v="2026-06-12T00:00:00"/>
    <x v="2"/>
    <s v="Alexander Dixon"/>
    <s v="NovaHealth Oakridge Community Hospital"/>
    <s v="Male"/>
    <n v="67"/>
    <x v="2"/>
    <n v="4"/>
    <x v="4"/>
    <x v="4"/>
    <n v="19946.810000000001"/>
    <n v="11660.35"/>
    <n v="11.4"/>
    <x v="2"/>
    <x v="1"/>
  </r>
  <r>
    <s v="NHM-2025-100553"/>
    <s v="April"/>
    <x v="0"/>
    <n v="4"/>
    <d v="2025-04-25T00:00:00"/>
    <x v="1"/>
    <s v="Brandon Henderson"/>
    <s v="NovaHealth Metro General Hospital"/>
    <s v="Male"/>
    <n v="22"/>
    <x v="0"/>
    <n v="1"/>
    <x v="2"/>
    <x v="2"/>
    <n v="1446.1"/>
    <n v="959.72"/>
    <n v="9.6999999999999993"/>
    <x v="0"/>
    <x v="0"/>
  </r>
  <r>
    <s v="NHM-2025-101385"/>
    <s v="February"/>
    <x v="2"/>
    <n v="2"/>
    <d v="2025-02-10T00:00:00"/>
    <x v="1"/>
    <s v="Betty Ortiz"/>
    <s v="NovaHealth Lakeside Medical Center"/>
    <s v="Male"/>
    <n v="66"/>
    <x v="2"/>
    <n v="3"/>
    <x v="0"/>
    <x v="0"/>
    <n v="9578.56"/>
    <n v="6187.88"/>
    <n v="7.2"/>
    <x v="1"/>
    <x v="1"/>
  </r>
  <r>
    <s v="NHM-2023-100216"/>
    <s v="January"/>
    <x v="3"/>
    <n v="1"/>
    <d v="2026-01-02T00:00:00"/>
    <x v="2"/>
    <s v="Pamela King"/>
    <s v="NovaHealth Northside Hospital"/>
    <s v="Male"/>
    <n v="47"/>
    <x v="2"/>
    <n v="4"/>
    <x v="5"/>
    <x v="5"/>
    <n v="15591.62"/>
    <n v="10500.79"/>
    <n v="6.8"/>
    <x v="2"/>
    <x v="0"/>
  </r>
  <r>
    <s v="NHM-2024-101460"/>
    <s v="December"/>
    <x v="6"/>
    <n v="12"/>
    <d v="2025-12-04T00:00:00"/>
    <x v="1"/>
    <s v="Mary Mitchell"/>
    <s v="NovaHealth Midtown Medical Center"/>
    <s v="Male"/>
    <n v="64"/>
    <x v="1"/>
    <n v="4"/>
    <x v="0"/>
    <x v="0"/>
    <n v="7017.79"/>
    <n v="4974.8500000000004"/>
    <n v="7.8"/>
    <x v="2"/>
    <x v="0"/>
  </r>
  <r>
    <s v="NHM-2024-100296"/>
    <s v="September"/>
    <x v="7"/>
    <n v="9"/>
    <d v="2024-09-20T00:00:00"/>
    <x v="0"/>
    <s v="Gregory Cox"/>
    <s v="NovaHealth River Valley Hospital"/>
    <s v="Female"/>
    <n v="36"/>
    <x v="2"/>
    <n v="3"/>
    <x v="1"/>
    <x v="1"/>
    <n v="7284.34"/>
    <n v="5363.17"/>
    <n v="5.7"/>
    <x v="1"/>
    <x v="0"/>
  </r>
  <r>
    <s v="NHM-2025-100051"/>
    <s v="July"/>
    <x v="8"/>
    <n v="7"/>
    <d v="2025-07-31T00:00:00"/>
    <x v="1"/>
    <s v="Jerry Allen"/>
    <s v="NovaHealth Lakeside Medical Center"/>
    <s v="Female"/>
    <n v="89"/>
    <x v="0"/>
    <n v="2"/>
    <x v="3"/>
    <x v="3"/>
    <n v="6957.77"/>
    <n v="5327.91"/>
    <n v="5"/>
    <x v="1"/>
    <x v="1"/>
  </r>
  <r>
    <s v="NHM-2024-101165"/>
    <s v="November"/>
    <x v="4"/>
    <n v="11"/>
    <d v="2024-11-26T00:00:00"/>
    <x v="0"/>
    <s v="Janice Russell"/>
    <s v="NovaHealth Greenfield Clinic"/>
    <s v="Male"/>
    <n v="39"/>
    <x v="1"/>
    <n v="1"/>
    <x v="7"/>
    <x v="7"/>
    <n v="4589.51"/>
    <n v="2827.52"/>
    <n v="20.7"/>
    <x v="0"/>
    <x v="0"/>
  </r>
  <r>
    <s v="NHM-2023-101390"/>
    <s v="April"/>
    <x v="0"/>
    <n v="4"/>
    <d v="2026-04-29T00:00:00"/>
    <x v="2"/>
    <s v="Danielle Harris"/>
    <s v="NovaHealth Northside Hospital"/>
    <s v="Male"/>
    <n v="22"/>
    <x v="0"/>
    <n v="4"/>
    <x v="0"/>
    <x v="0"/>
    <n v="15626.24"/>
    <n v="9620.01"/>
    <n v="11"/>
    <x v="2"/>
    <x v="0"/>
  </r>
  <r>
    <s v="NHM-2024-101059"/>
    <s v="September"/>
    <x v="7"/>
    <n v="9"/>
    <d v="2025-09-01T00:00:00"/>
    <x v="1"/>
    <s v="Amy Green"/>
    <s v="NovaHealth Metro General Hospital"/>
    <s v="Male"/>
    <n v="54"/>
    <x v="0"/>
    <n v="1"/>
    <x v="7"/>
    <x v="7"/>
    <n v="7227.76"/>
    <n v="4760.17"/>
    <n v="16.8"/>
    <x v="0"/>
    <x v="0"/>
  </r>
  <r>
    <s v="NHM-2024-101932"/>
    <s v="July"/>
    <x v="8"/>
    <n v="7"/>
    <d v="2026-07-02T00:00:00"/>
    <x v="2"/>
    <s v="Steven Taylor"/>
    <s v="NovaHealth Chicago Medical Center"/>
    <s v="Male"/>
    <n v="83"/>
    <x v="2"/>
    <n v="2"/>
    <x v="3"/>
    <x v="3"/>
    <n v="6811.45"/>
    <n v="4633.2700000000004"/>
    <n v="8.6999999999999993"/>
    <x v="1"/>
    <x v="1"/>
  </r>
  <r>
    <s v="NHM-2024-101484"/>
    <s v="September"/>
    <x v="7"/>
    <n v="9"/>
    <d v="2024-09-02T00:00:00"/>
    <x v="0"/>
    <s v="Olivia Ross"/>
    <s v="NovaHealth Northside Hospital"/>
    <s v="Male"/>
    <n v="27"/>
    <x v="1"/>
    <n v="4"/>
    <x v="5"/>
    <x v="5"/>
    <n v="20676.849999999999"/>
    <n v="14531.39"/>
    <n v="7.2"/>
    <x v="2"/>
    <x v="0"/>
  </r>
  <r>
    <s v="NHM-2026-100775"/>
    <s v="April"/>
    <x v="0"/>
    <n v="4"/>
    <d v="2025-04-21T00:00:00"/>
    <x v="1"/>
    <s v="Fiona Ortiz"/>
    <s v="NovaHealth River Valley Hospital"/>
    <s v="Male"/>
    <n v="5"/>
    <x v="0"/>
    <n v="3"/>
    <x v="6"/>
    <x v="6"/>
    <n v="2972.57"/>
    <n v="2196.38"/>
    <n v="3.3"/>
    <x v="1"/>
    <x v="2"/>
  </r>
  <r>
    <s v="NHM-2025-101793"/>
    <s v="March"/>
    <x v="1"/>
    <n v="3"/>
    <d v="2024-03-15T00:00:00"/>
    <x v="0"/>
    <s v="Nancy Martinez"/>
    <s v="NovaHealth Chicago Medical Center"/>
    <s v="Female"/>
    <n v="0"/>
    <x v="0"/>
    <n v="2"/>
    <x v="6"/>
    <x v="6"/>
    <n v="2687.24"/>
    <n v="2060.6999999999998"/>
    <n v="2.2999999999999998"/>
    <x v="1"/>
    <x v="2"/>
  </r>
  <r>
    <s v="NHM-2026-101536"/>
    <s v="April"/>
    <x v="0"/>
    <n v="4"/>
    <d v="2026-04-19T00:00:00"/>
    <x v="2"/>
    <s v="Willie Jones"/>
    <s v="NovaHealth Lakeshore Regional Center"/>
    <s v="Male"/>
    <n v="32"/>
    <x v="0"/>
    <n v="1"/>
    <x v="1"/>
    <x v="1"/>
    <n v="5239.91"/>
    <n v="3090.35"/>
    <n v="6.4"/>
    <x v="0"/>
    <x v="0"/>
  </r>
  <r>
    <s v="NHM-2025-101086"/>
    <s v="September"/>
    <x v="7"/>
    <n v="9"/>
    <d v="2024-09-06T00:00:00"/>
    <x v="0"/>
    <s v="Linda Flores"/>
    <s v="NovaHealth Lakeside Medical Center"/>
    <s v="Male"/>
    <n v="52"/>
    <x v="0"/>
    <n v="1"/>
    <x v="7"/>
    <x v="7"/>
    <n v="5770.95"/>
    <n v="3685.88"/>
    <n v="20.7"/>
    <x v="0"/>
    <x v="0"/>
  </r>
  <r>
    <s v="NHM-2025-100998"/>
    <s v="July"/>
    <x v="8"/>
    <n v="7"/>
    <d v="2025-07-16T00:00:00"/>
    <x v="1"/>
    <s v="Bryan Scott"/>
    <s v="NovaHealth River Valley Hospital"/>
    <s v="Female"/>
    <n v="73"/>
    <x v="0"/>
    <n v="2"/>
    <x v="3"/>
    <x v="3"/>
    <n v="5796.32"/>
    <n v="3738.44"/>
    <n v="3.6"/>
    <x v="1"/>
    <x v="1"/>
  </r>
  <r>
    <s v="NHM-2026-102407"/>
    <s v="February"/>
    <x v="2"/>
    <n v="2"/>
    <d v="2024-02-27T00:00:00"/>
    <x v="0"/>
    <s v="Laura Stevens"/>
    <s v="NovaHealth Chicago Medical Center"/>
    <s v="Male"/>
    <n v="92"/>
    <x v="2"/>
    <n v="5"/>
    <x v="4"/>
    <x v="4"/>
    <n v="12119"/>
    <n v="8194.1299999999992"/>
    <n v="9.3000000000000007"/>
    <x v="2"/>
    <x v="1"/>
  </r>
  <r>
    <s v="NHM-2026-101355"/>
    <s v="November"/>
    <x v="4"/>
    <n v="11"/>
    <d v="2024-11-26T00:00:00"/>
    <x v="0"/>
    <s v="Doris Ellis"/>
    <s v="NovaHealth River Valley Hospital"/>
    <s v="Female"/>
    <n v="44"/>
    <x v="2"/>
    <n v="5"/>
    <x v="5"/>
    <x v="5"/>
    <n v="16104.87"/>
    <n v="11367.01"/>
    <n v="11.7"/>
    <x v="2"/>
    <x v="0"/>
  </r>
  <r>
    <s v="NHM-2026-102251"/>
    <s v="August"/>
    <x v="10"/>
    <n v="8"/>
    <d v="2025-08-25T00:00:00"/>
    <x v="1"/>
    <s v="Lisa Wilson"/>
    <s v="NovaHealth Chicago Medical Center"/>
    <s v="Male"/>
    <n v="46"/>
    <x v="0"/>
    <n v="2"/>
    <x v="3"/>
    <x v="3"/>
    <n v="5866.92"/>
    <n v="4337.25"/>
    <n v="6.8"/>
    <x v="1"/>
    <x v="0"/>
  </r>
  <r>
    <s v="NHM-2025-101230"/>
    <s v="November"/>
    <x v="4"/>
    <n v="11"/>
    <d v="2024-11-28T00:00:00"/>
    <x v="0"/>
    <s v="Tyler Rogers"/>
    <s v="NovaHealth Midtown Medical Center"/>
    <s v="Male"/>
    <n v="8"/>
    <x v="2"/>
    <n v="5"/>
    <x v="6"/>
    <x v="6"/>
    <n v="3614.85"/>
    <n v="2755.29"/>
    <n v="1"/>
    <x v="2"/>
    <x v="2"/>
  </r>
  <r>
    <s v="NHM-2023-101038"/>
    <s v="July"/>
    <x v="8"/>
    <n v="7"/>
    <d v="2025-07-07T00:00:00"/>
    <x v="1"/>
    <s v="Adam Tucker"/>
    <s v="NovaHealth Greenfield Clinic"/>
    <s v="Male"/>
    <n v="50"/>
    <x v="0"/>
    <n v="1"/>
    <x v="3"/>
    <x v="3"/>
    <n v="7590.46"/>
    <n v="4496.07"/>
    <n v="11.7"/>
    <x v="0"/>
    <x v="0"/>
  </r>
  <r>
    <s v="NHM-2024-102364"/>
    <s v="April"/>
    <x v="0"/>
    <n v="4"/>
    <d v="2025-04-22T00:00:00"/>
    <x v="1"/>
    <s v="Charles Castillo"/>
    <s v="NovaHealth Lakeshore Regional Center"/>
    <s v="Male"/>
    <n v="38"/>
    <x v="0"/>
    <n v="2"/>
    <x v="0"/>
    <x v="0"/>
    <n v="9777.7199999999993"/>
    <n v="5985.21"/>
    <n v="2.6"/>
    <x v="1"/>
    <x v="0"/>
  </r>
  <r>
    <s v="NHM-2023-102433"/>
    <s v="April"/>
    <x v="0"/>
    <n v="4"/>
    <d v="2026-04-18T00:00:00"/>
    <x v="2"/>
    <s v="Gerald Patel"/>
    <s v="NovaHealth Northside Hospital"/>
    <s v="Female"/>
    <n v="35"/>
    <x v="0"/>
    <n v="2"/>
    <x v="7"/>
    <x v="7"/>
    <n v="5392.43"/>
    <n v="3554.36"/>
    <n v="12.9"/>
    <x v="1"/>
    <x v="0"/>
  </r>
  <r>
    <s v="NHM-2025-101945"/>
    <s v="September"/>
    <x v="7"/>
    <n v="9"/>
    <d v="2024-09-30T00:00:00"/>
    <x v="0"/>
    <s v="George Tucker"/>
    <s v="NovaHealth Lakeside Medical Center"/>
    <s v="Male"/>
    <n v="23"/>
    <x v="0"/>
    <n v="2"/>
    <x v="2"/>
    <x v="2"/>
    <n v="4591.7700000000004"/>
    <n v="3132.49"/>
    <n v="7"/>
    <x v="1"/>
    <x v="0"/>
  </r>
  <r>
    <s v="NHM-2026-101642"/>
    <s v="June"/>
    <x v="11"/>
    <n v="6"/>
    <d v="2026-06-18T00:00:00"/>
    <x v="2"/>
    <s v="Fiona Flores"/>
    <s v="NovaHealth River Valley Hospital"/>
    <s v="Female"/>
    <n v="13"/>
    <x v="1"/>
    <n v="4"/>
    <x v="6"/>
    <x v="6"/>
    <n v="895.26"/>
    <n v="673.88"/>
    <n v="5.9"/>
    <x v="2"/>
    <x v="2"/>
  </r>
  <r>
    <s v="NHM-2025-100522"/>
    <s v="April"/>
    <x v="0"/>
    <n v="4"/>
    <d v="2024-04-30T00:00:00"/>
    <x v="0"/>
    <s v="Denise Webb"/>
    <s v="NovaHealth River Valley Hospital"/>
    <s v="Female"/>
    <n v="69"/>
    <x v="0"/>
    <n v="2"/>
    <x v="3"/>
    <x v="3"/>
    <n v="7667.82"/>
    <n v="5683.91"/>
    <n v="10.8"/>
    <x v="1"/>
    <x v="1"/>
  </r>
  <r>
    <s v="NHM-2025-100647"/>
    <s v="December"/>
    <x v="6"/>
    <n v="12"/>
    <d v="2025-12-22T00:00:00"/>
    <x v="1"/>
    <s v="Jerry Butler"/>
    <s v="NovaHealth Greenfield Clinic"/>
    <s v="Male"/>
    <n v="76"/>
    <x v="0"/>
    <n v="2"/>
    <x v="7"/>
    <x v="7"/>
    <n v="5171.6499999999996"/>
    <n v="4020.05"/>
    <n v="11.2"/>
    <x v="1"/>
    <x v="1"/>
  </r>
  <r>
    <s v="NHM-2023-100517"/>
    <s v="July"/>
    <x v="8"/>
    <n v="7"/>
    <d v="2024-07-02T00:00:00"/>
    <x v="0"/>
    <s v="Fiona Morales"/>
    <s v="NovaHealth Midtown Medical Center"/>
    <s v="Male"/>
    <n v="93"/>
    <x v="1"/>
    <n v="5"/>
    <x v="4"/>
    <x v="4"/>
    <n v="20798.96"/>
    <n v="12138.6"/>
    <n v="9.4"/>
    <x v="2"/>
    <x v="1"/>
  </r>
  <r>
    <s v="NHM-2024-101856"/>
    <s v="June"/>
    <x v="11"/>
    <n v="6"/>
    <d v="2024-06-05T00:00:00"/>
    <x v="0"/>
    <s v="Patrick Mason"/>
    <s v="NovaHealth Chicago Medical Center"/>
    <s v="Female"/>
    <n v="79"/>
    <x v="0"/>
    <n v="5"/>
    <x v="4"/>
    <x v="4"/>
    <n v="22165.24"/>
    <n v="13637.6"/>
    <n v="14.6"/>
    <x v="2"/>
    <x v="1"/>
  </r>
  <r>
    <s v="NHM-2024-101348"/>
    <s v="March"/>
    <x v="1"/>
    <n v="3"/>
    <d v="2026-03-23T00:00:00"/>
    <x v="2"/>
    <s v="Patrick Gonzales"/>
    <s v="NovaHealth Lakeside Medical Center"/>
    <s v="Male"/>
    <n v="57"/>
    <x v="0"/>
    <n v="1"/>
    <x v="3"/>
    <x v="3"/>
    <n v="5741.63"/>
    <n v="3733.04"/>
    <n v="7.3"/>
    <x v="0"/>
    <x v="0"/>
  </r>
  <r>
    <s v="NHM-2026-101902"/>
    <s v="June"/>
    <x v="11"/>
    <n v="6"/>
    <d v="2024-06-17T00:00:00"/>
    <x v="0"/>
    <s v="Mark Patterson"/>
    <s v="NovaHealth Greenfield Clinic"/>
    <s v="Male"/>
    <n v="56"/>
    <x v="2"/>
    <n v="4"/>
    <x v="5"/>
    <x v="5"/>
    <n v="18877.87"/>
    <n v="12686.57"/>
    <n v="4.8"/>
    <x v="2"/>
    <x v="0"/>
  </r>
  <r>
    <s v="NHM-2026-100515"/>
    <s v="June"/>
    <x v="11"/>
    <n v="6"/>
    <d v="2025-06-06T00:00:00"/>
    <x v="1"/>
    <s v="Frances Walker"/>
    <s v="NovaHealth Lakeside Medical Center"/>
    <s v="Male"/>
    <n v="65"/>
    <x v="0"/>
    <n v="1"/>
    <x v="3"/>
    <x v="3"/>
    <n v="6598.8"/>
    <n v="4647.16"/>
    <n v="3.5"/>
    <x v="0"/>
    <x v="1"/>
  </r>
  <r>
    <s v="NHM-2026-101621"/>
    <s v="December"/>
    <x v="6"/>
    <n v="12"/>
    <d v="2023-12-25T00:00:00"/>
    <x v="3"/>
    <s v="Jeffrey Hughes"/>
    <s v="NovaHealth Midtown Medical Center"/>
    <s v="Female"/>
    <n v="77"/>
    <x v="0"/>
    <n v="3"/>
    <x v="5"/>
    <x v="5"/>
    <n v="16336.83"/>
    <n v="11994.69"/>
    <n v="8.6"/>
    <x v="1"/>
    <x v="1"/>
  </r>
  <r>
    <s v="NHM-2025-101591"/>
    <s v="September"/>
    <x v="7"/>
    <n v="9"/>
    <d v="2023-09-07T00:00:00"/>
    <x v="3"/>
    <s v="Hannah Woods"/>
    <s v="NovaHealth Midtown Medical Center"/>
    <s v="Female"/>
    <n v="94"/>
    <x v="0"/>
    <n v="1"/>
    <x v="3"/>
    <x v="3"/>
    <n v="8426.8700000000008"/>
    <n v="6462.82"/>
    <n v="7.3"/>
    <x v="0"/>
    <x v="1"/>
  </r>
  <r>
    <s v="NHM-2023-101653"/>
    <s v="March"/>
    <x v="1"/>
    <n v="3"/>
    <d v="2026-03-11T00:00:00"/>
    <x v="2"/>
    <s v="Ralph Jones"/>
    <s v="NovaHealth Metro General Hospital"/>
    <s v="Male"/>
    <n v="68"/>
    <x v="0"/>
    <n v="2"/>
    <x v="2"/>
    <x v="2"/>
    <n v="4008.9"/>
    <n v="2388.36"/>
    <n v="7.9"/>
    <x v="1"/>
    <x v="1"/>
  </r>
  <r>
    <s v="NHM-2023-101632"/>
    <s v="March"/>
    <x v="1"/>
    <n v="3"/>
    <d v="2025-03-11T00:00:00"/>
    <x v="1"/>
    <s v="Christina Gonzalez"/>
    <s v="NovaHealth Lakeshore Regional Center"/>
    <s v="Female"/>
    <n v="83"/>
    <x v="1"/>
    <n v="5"/>
    <x v="5"/>
    <x v="5"/>
    <n v="19481.189999999999"/>
    <n v="11953.93"/>
    <n v="8.8000000000000007"/>
    <x v="2"/>
    <x v="1"/>
  </r>
  <r>
    <s v="NHM-2026-100841"/>
    <s v="October"/>
    <x v="5"/>
    <n v="10"/>
    <d v="2024-10-30T00:00:00"/>
    <x v="0"/>
    <s v="Sean Reed"/>
    <s v="NovaHealth Chicago Medical Center"/>
    <s v="Male"/>
    <n v="58"/>
    <x v="0"/>
    <n v="1"/>
    <x v="1"/>
    <x v="1"/>
    <n v="9184.81"/>
    <n v="5940.68"/>
    <n v="7.8"/>
    <x v="0"/>
    <x v="0"/>
  </r>
  <r>
    <s v="NHM-2025-101182"/>
    <s v="August"/>
    <x v="10"/>
    <n v="8"/>
    <d v="2024-08-08T00:00:00"/>
    <x v="0"/>
    <s v="Logan Garcia"/>
    <s v="NovaHealth Greenfield Clinic"/>
    <s v="Female"/>
    <n v="22"/>
    <x v="0"/>
    <n v="3"/>
    <x v="0"/>
    <x v="0"/>
    <n v="9305.81"/>
    <n v="6266.89"/>
    <n v="4"/>
    <x v="1"/>
    <x v="0"/>
  </r>
  <r>
    <s v="NHM-2026-100645"/>
    <s v="July"/>
    <x v="8"/>
    <n v="7"/>
    <d v="2024-07-18T00:00:00"/>
    <x v="0"/>
    <s v="Brandon Simmons"/>
    <s v="NovaHealth Oakridge Community Hospital"/>
    <s v="Female"/>
    <n v="47"/>
    <x v="1"/>
    <n v="5"/>
    <x v="5"/>
    <x v="5"/>
    <n v="21843.98"/>
    <n v="15328.39"/>
    <n v="4.7"/>
    <x v="2"/>
    <x v="0"/>
  </r>
  <r>
    <s v="NHM-2025-102469"/>
    <s v="May"/>
    <x v="9"/>
    <n v="5"/>
    <d v="2026-05-27T00:00:00"/>
    <x v="2"/>
    <s v="Samantha Powell"/>
    <s v="NovaHealth Metro General Hospital"/>
    <s v="Female"/>
    <n v="23"/>
    <x v="2"/>
    <n v="4"/>
    <x v="1"/>
    <x v="1"/>
    <n v="10709.41"/>
    <n v="7817.87"/>
    <m/>
    <x v="2"/>
    <x v="0"/>
  </r>
  <r>
    <s v="NHM-2025-100162"/>
    <s v="February"/>
    <x v="2"/>
    <n v="2"/>
    <d v="2024-02-25T00:00:00"/>
    <x v="0"/>
    <s v="Ronald Freeman"/>
    <s v="NovaHealth Northside Hospital"/>
    <s v="Male"/>
    <n v="76"/>
    <x v="2"/>
    <n v="4"/>
    <x v="4"/>
    <x v="4"/>
    <n v="18968.57"/>
    <n v="14495.31"/>
    <n v="9.9"/>
    <x v="2"/>
    <x v="1"/>
  </r>
  <r>
    <s v="NHM-2025-101812"/>
    <s v="February"/>
    <x v="2"/>
    <n v="2"/>
    <d v="2026-02-02T00:00:00"/>
    <x v="2"/>
    <s v="Thomas Murphy"/>
    <s v="NovaHealth River Valley Hospital"/>
    <s v="Male"/>
    <n v="55"/>
    <x v="0"/>
    <n v="2"/>
    <x v="1"/>
    <x v="1"/>
    <n v="7825.28"/>
    <n v="4625.8599999999997"/>
    <n v="10.9"/>
    <x v="1"/>
    <x v="0"/>
  </r>
  <r>
    <s v="NHM-2026-102260"/>
    <s v="November"/>
    <x v="4"/>
    <n v="11"/>
    <d v="2023-11-14T00:00:00"/>
    <x v="3"/>
    <s v="Janet Morgan"/>
    <s v="NovaHealth Metro General Hospital"/>
    <s v="Male"/>
    <n v="73"/>
    <x v="2"/>
    <n v="4"/>
    <x v="4"/>
    <x v="4"/>
    <n v="16610.57"/>
    <n v="10231.65"/>
    <n v="12.4"/>
    <x v="2"/>
    <x v="1"/>
  </r>
  <r>
    <s v="NHM-2024-101779"/>
    <s v="October"/>
    <x v="5"/>
    <n v="10"/>
    <d v="2024-10-10T00:00:00"/>
    <x v="0"/>
    <s v="Scott Collins"/>
    <s v="NovaHealth River Valley Hospital"/>
    <s v="Male"/>
    <n v="11"/>
    <x v="1"/>
    <n v="2"/>
    <x v="6"/>
    <x v="6"/>
    <n v="2722.32"/>
    <n v="1766.28"/>
    <n v="3"/>
    <x v="1"/>
    <x v="2"/>
  </r>
  <r>
    <s v="NHM-2023-100324"/>
    <s v="October"/>
    <x v="5"/>
    <n v="10"/>
    <d v="2025-10-01T00:00:00"/>
    <x v="1"/>
    <s v="Danielle Hayes"/>
    <s v="NovaHealth Oakridge Community Hospital"/>
    <s v="Female"/>
    <n v="30"/>
    <x v="0"/>
    <n v="1"/>
    <x v="0"/>
    <x v="0"/>
    <n v="8415.1299999999992"/>
    <n v="5688.54"/>
    <n v="6.3"/>
    <x v="0"/>
    <x v="0"/>
  </r>
  <r>
    <s v="NHM-2024-100694"/>
    <s v="September"/>
    <x v="7"/>
    <n v="9"/>
    <d v="2023-09-26T00:00:00"/>
    <x v="3"/>
    <s v="Jack Perez"/>
    <s v="NovaHealth River Valley Hospital"/>
    <s v="Female"/>
    <n v="65"/>
    <x v="2"/>
    <n v="3"/>
    <x v="7"/>
    <x v="7"/>
    <n v="5187.45"/>
    <n v="3631.21"/>
    <m/>
    <x v="1"/>
    <x v="1"/>
  </r>
  <r>
    <s v="NHM-2026-101392"/>
    <s v="June"/>
    <x v="11"/>
    <n v="6"/>
    <d v="2025-06-18T00:00:00"/>
    <x v="1"/>
    <s v="Justin Alvarez"/>
    <s v="NovaHealth Chicago Medical Center"/>
    <s v="Female"/>
    <n v="53"/>
    <x v="0"/>
    <n v="1"/>
    <x v="7"/>
    <x v="7"/>
    <n v="3252.33"/>
    <n v="2515.8000000000002"/>
    <n v="17.7"/>
    <x v="0"/>
    <x v="0"/>
  </r>
  <r>
    <s v="NHM-2024-101570"/>
    <s v="September"/>
    <x v="7"/>
    <n v="9"/>
    <d v="2024-09-22T00:00:00"/>
    <x v="0"/>
    <s v="Teresa Scott"/>
    <s v="NovaHealth Lakeside Medical Center"/>
    <s v="Male"/>
    <n v="73"/>
    <x v="2"/>
    <n v="4"/>
    <x v="4"/>
    <x v="4"/>
    <n v="19868.03"/>
    <n v="15209.3"/>
    <n v="13.7"/>
    <x v="2"/>
    <x v="1"/>
  </r>
  <r>
    <s v="NHM-2025-101584"/>
    <s v="September"/>
    <x v="7"/>
    <n v="9"/>
    <d v="2023-09-06T00:00:00"/>
    <x v="3"/>
    <s v="Jeffrey Cruz"/>
    <s v="NovaHealth Greenfield Clinic"/>
    <s v="Female"/>
    <n v="48"/>
    <x v="2"/>
    <n v="4"/>
    <x v="5"/>
    <x v="5"/>
    <n v="22962.04"/>
    <n v="13409.98"/>
    <n v="11.5"/>
    <x v="2"/>
    <x v="0"/>
  </r>
  <r>
    <s v="NHM-2023-100944"/>
    <s v="March"/>
    <x v="1"/>
    <n v="3"/>
    <d v="2024-03-26T00:00:00"/>
    <x v="0"/>
    <s v="Jason Ford"/>
    <s v="NovaHealth Midtown Medical Center"/>
    <s v="Female"/>
    <n v="83"/>
    <x v="0"/>
    <n v="3"/>
    <x v="7"/>
    <x v="7"/>
    <n v="10781.1"/>
    <n v="6752.47"/>
    <n v="22"/>
    <x v="1"/>
    <x v="1"/>
  </r>
  <r>
    <s v="NHM-2025-101807"/>
    <s v="October"/>
    <x v="5"/>
    <n v="10"/>
    <d v="2025-10-22T00:00:00"/>
    <x v="1"/>
    <s v="Daniel Gomez"/>
    <s v="NovaHealth Lakeside Medical Center"/>
    <s v="Male"/>
    <n v="76"/>
    <x v="2"/>
    <n v="5"/>
    <x v="4"/>
    <x v="4"/>
    <n v="15226.9"/>
    <n v="9845.2199999999993"/>
    <n v="12.5"/>
    <x v="2"/>
    <x v="1"/>
  </r>
  <r>
    <s v="NHM-2026-100769"/>
    <s v="June"/>
    <x v="11"/>
    <n v="6"/>
    <d v="2026-06-24T00:00:00"/>
    <x v="2"/>
    <s v="Frances Cruz"/>
    <s v="NovaHealth Chicago Medical Center"/>
    <s v="Female"/>
    <n v="42"/>
    <x v="0"/>
    <n v="1"/>
    <x v="7"/>
    <x v="7"/>
    <n v="6266.91"/>
    <n v="4385.2299999999996"/>
    <n v="23.3"/>
    <x v="0"/>
    <x v="0"/>
  </r>
  <r>
    <s v="NHM-2025-102428"/>
    <s v="May"/>
    <x v="9"/>
    <n v="5"/>
    <d v="2025-05-16T00:00:00"/>
    <x v="1"/>
    <s v="Janet Crawford"/>
    <s v="NovaHealth Midtown Medical Center"/>
    <s v="Male"/>
    <n v="64"/>
    <x v="1"/>
    <n v="3"/>
    <x v="4"/>
    <x v="4"/>
    <n v="18469.990000000002"/>
    <n v="13012.19"/>
    <n v="10.4"/>
    <x v="1"/>
    <x v="0"/>
  </r>
  <r>
    <s v="NHM-2023-100653"/>
    <s v="August"/>
    <x v="10"/>
    <n v="8"/>
    <d v="2024-08-05T00:00:00"/>
    <x v="0"/>
    <s v="Peter Cook"/>
    <s v="NovaHealth Chicago Medical Center"/>
    <s v="Male"/>
    <n v="34"/>
    <x v="0"/>
    <n v="3"/>
    <x v="7"/>
    <x v="7"/>
    <n v="10460.11"/>
    <n v="7760.68"/>
    <n v="15.6"/>
    <x v="1"/>
    <x v="0"/>
  </r>
  <r>
    <s v="NHM-2026-100080"/>
    <s v="January"/>
    <x v="3"/>
    <n v="1"/>
    <d v="2024-01-09T00:00:00"/>
    <x v="0"/>
    <s v="Kenneth Simpson"/>
    <s v="NovaHealth Chicago Medical Center"/>
    <s v="Female"/>
    <n v="39"/>
    <x v="0"/>
    <n v="1"/>
    <x v="2"/>
    <x v="2"/>
    <n v="1443.15"/>
    <n v="1137.5899999999999"/>
    <n v="5.0999999999999996"/>
    <x v="0"/>
    <x v="0"/>
  </r>
  <r>
    <s v="NHM-2025-102381"/>
    <s v="November"/>
    <x v="4"/>
    <n v="11"/>
    <d v="2023-11-30T00:00:00"/>
    <x v="3"/>
    <s v="Rachel Gonzalez"/>
    <s v="NovaHealth Lakeside Medical Center"/>
    <s v="Male"/>
    <n v="60"/>
    <x v="0"/>
    <n v="2"/>
    <x v="1"/>
    <x v="1"/>
    <n v="6220"/>
    <n v="3652.4"/>
    <n v="5.6"/>
    <x v="1"/>
    <x v="0"/>
  </r>
  <r>
    <s v="NHM-2026-100466"/>
    <s v="April"/>
    <x v="0"/>
    <n v="4"/>
    <d v="2025-04-30T00:00:00"/>
    <x v="1"/>
    <s v="Henry Hunter"/>
    <s v="NovaHealth Chicago Medical Center"/>
    <s v="Female"/>
    <n v="77"/>
    <x v="2"/>
    <n v="4"/>
    <x v="4"/>
    <x v="4"/>
    <n v="21382.91"/>
    <n v="13185.98"/>
    <n v="17.8"/>
    <x v="2"/>
    <x v="1"/>
  </r>
  <r>
    <s v="NHM-2025-101427"/>
    <s v="April"/>
    <x v="0"/>
    <n v="4"/>
    <d v="2025-04-15T00:00:00"/>
    <x v="1"/>
    <s v="Joe Myers"/>
    <s v="NovaHealth River Valley Hospital"/>
    <s v="Male"/>
    <n v="59"/>
    <x v="0"/>
    <n v="5"/>
    <x v="4"/>
    <x v="4"/>
    <n v="14486.43"/>
    <n v="9408.92"/>
    <n v="17.2"/>
    <x v="2"/>
    <x v="0"/>
  </r>
  <r>
    <s v="NHM-2023-102465"/>
    <s v="March"/>
    <x v="1"/>
    <n v="3"/>
    <d v="2026-03-19T00:00:00"/>
    <x v="2"/>
    <s v="Bryan Garcia"/>
    <s v="NovaHealth Midtown Medical Center"/>
    <s v="Female"/>
    <n v="80"/>
    <x v="0"/>
    <n v="2"/>
    <x v="3"/>
    <x v="3"/>
    <n v="5906.61"/>
    <n v="4000.63"/>
    <n v="5.4"/>
    <x v="1"/>
    <x v="1"/>
  </r>
  <r>
    <s v="NHM-2025-101598"/>
    <s v="May"/>
    <x v="9"/>
    <n v="5"/>
    <d v="2024-05-29T00:00:00"/>
    <x v="0"/>
    <s v="Donna Cook"/>
    <s v="NovaHealth Chicago Medical Center"/>
    <s v="Female"/>
    <n v="78"/>
    <x v="2"/>
    <n v="5"/>
    <x v="3"/>
    <x v="3"/>
    <n v="6267.11"/>
    <n v="4417.38"/>
    <n v="3.8"/>
    <x v="2"/>
    <x v="1"/>
  </r>
  <r>
    <s v="NHM-2026-102284"/>
    <s v="July"/>
    <x v="8"/>
    <n v="7"/>
    <d v="2025-07-30T00:00:00"/>
    <x v="1"/>
    <s v="Randy Price"/>
    <s v="NovaHealth Chicago Medical Center"/>
    <s v="Male"/>
    <n v="49"/>
    <x v="2"/>
    <n v="3"/>
    <x v="3"/>
    <x v="3"/>
    <n v="9130.19"/>
    <n v="6758.64"/>
    <n v="11.7"/>
    <x v="1"/>
    <x v="0"/>
  </r>
  <r>
    <s v="NHM-2023-100993"/>
    <s v="May"/>
    <x v="9"/>
    <n v="5"/>
    <d v="2026-05-28T00:00:00"/>
    <x v="2"/>
    <s v="Ann Perry"/>
    <s v="NovaHealth River Valley Hospital"/>
    <s v="Male"/>
    <n v="57"/>
    <x v="0"/>
    <n v="2"/>
    <x v="3"/>
    <x v="3"/>
    <n v="6510.3"/>
    <n v="5036.63"/>
    <n v="11.1"/>
    <x v="1"/>
    <x v="0"/>
  </r>
  <r>
    <s v="NHM-2023-101010"/>
    <s v="September"/>
    <x v="7"/>
    <n v="9"/>
    <d v="2025-09-02T00:00:00"/>
    <x v="1"/>
    <s v="Kathryn Phillips"/>
    <s v="NovaHealth Chicago Medical Center"/>
    <s v="Female"/>
    <n v="48"/>
    <x v="1"/>
    <n v="3"/>
    <x v="5"/>
    <x v="5"/>
    <n v="19751.66"/>
    <n v="11515.96"/>
    <n v="7.5"/>
    <x v="1"/>
    <x v="0"/>
  </r>
  <r>
    <s v="NHM-2026-101585"/>
    <s v="September"/>
    <x v="7"/>
    <n v="9"/>
    <d v="2024-09-17T00:00:00"/>
    <x v="0"/>
    <s v="James Gutierrez"/>
    <s v="NovaHealth Midtown Medical Center"/>
    <s v="Male"/>
    <n v="72"/>
    <x v="1"/>
    <n v="4"/>
    <x v="2"/>
    <x v="2"/>
    <n v="6268.89"/>
    <n v="3863.22"/>
    <n v="4.9000000000000004"/>
    <x v="2"/>
    <x v="1"/>
  </r>
  <r>
    <s v="NHM-2023-101000"/>
    <s v="July"/>
    <x v="8"/>
    <n v="7"/>
    <d v="2024-07-31T00:00:00"/>
    <x v="0"/>
    <s v="Noah Hughes"/>
    <s v="NovaHealth Northside Hospital"/>
    <s v="Male"/>
    <n v="45"/>
    <x v="2"/>
    <n v="4"/>
    <x v="5"/>
    <x v="5"/>
    <n v="16705.669999999998"/>
    <n v="10759.63"/>
    <n v="8.5"/>
    <x v="2"/>
    <x v="0"/>
  </r>
  <r>
    <s v="NHM-2024-102362"/>
    <s v="December"/>
    <x v="6"/>
    <n v="12"/>
    <d v="2025-12-02T00:00:00"/>
    <x v="1"/>
    <s v="Sonia Scott"/>
    <s v="NovaHealth Greenfield Clinic"/>
    <s v="Female"/>
    <n v="73"/>
    <x v="1"/>
    <n v="3"/>
    <x v="4"/>
    <x v="4"/>
    <n v="15937.6"/>
    <n v="10815.79"/>
    <n v="17.2"/>
    <x v="1"/>
    <x v="1"/>
  </r>
  <r>
    <s v="NHM-2024-101238"/>
    <s v="May"/>
    <x v="9"/>
    <n v="5"/>
    <d v="2024-05-23T00:00:00"/>
    <x v="0"/>
    <s v="Benjamin Perry"/>
    <s v="NovaHealth Northside Hospital"/>
    <s v="Male"/>
    <n v="63"/>
    <x v="2"/>
    <n v="3"/>
    <x v="1"/>
    <x v="1"/>
    <n v="11045.35"/>
    <n v="7787.74"/>
    <n v="7"/>
    <x v="1"/>
    <x v="0"/>
  </r>
  <r>
    <s v="NHM-2025-102235"/>
    <s v="September"/>
    <x v="7"/>
    <n v="9"/>
    <d v="2025-09-17T00:00:00"/>
    <x v="1"/>
    <s v="Jessica Perez"/>
    <s v="NovaHealth Lakeside Medical Center"/>
    <s v="Male"/>
    <n v="62"/>
    <x v="0"/>
    <n v="3"/>
    <x v="7"/>
    <x v="7"/>
    <n v="4951.07"/>
    <n v="3759.88"/>
    <n v="18.2"/>
    <x v="1"/>
    <x v="0"/>
  </r>
  <r>
    <s v="NHM-2025-100023"/>
    <s v="November"/>
    <x v="4"/>
    <n v="11"/>
    <d v="2023-11-13T00:00:00"/>
    <x v="3"/>
    <s v="Ralph Jackson"/>
    <s v="NovaHealth Greenfield Clinic"/>
    <s v="Female"/>
    <n v="90"/>
    <x v="1"/>
    <n v="4"/>
    <x v="4"/>
    <x v="4"/>
    <n v="18746.93"/>
    <n v="14358.87"/>
    <n v="13.9"/>
    <x v="2"/>
    <x v="1"/>
  </r>
  <r>
    <s v="NHM-2026-102016"/>
    <s v="December"/>
    <x v="6"/>
    <n v="12"/>
    <d v="2023-12-06T00:00:00"/>
    <x v="3"/>
    <s v="Debra Butler"/>
    <s v="NovaHealth Greenfield Clinic"/>
    <s v="Male"/>
    <n v="4"/>
    <x v="0"/>
    <n v="2"/>
    <x v="6"/>
    <x v="6"/>
    <n v="2647.76"/>
    <n v="1566.1"/>
    <n v="3.8"/>
    <x v="1"/>
    <x v="2"/>
  </r>
  <r>
    <s v="NHM-2025-101200"/>
    <s v="December"/>
    <x v="6"/>
    <n v="12"/>
    <d v="2023-12-05T00:00:00"/>
    <x v="3"/>
    <s v="Kathleen Gonzales"/>
    <s v="NovaHealth Oakridge Community Hospital"/>
    <s v="Female"/>
    <n v="78"/>
    <x v="1"/>
    <n v="4"/>
    <x v="4"/>
    <x v="4"/>
    <n v="17638.560000000001"/>
    <n v="10864.32"/>
    <n v="13.1"/>
    <x v="2"/>
    <x v="1"/>
  </r>
  <r>
    <s v="NHM-2025-101499"/>
    <s v="October"/>
    <x v="5"/>
    <n v="10"/>
    <d v="2023-10-08T00:00:00"/>
    <x v="3"/>
    <s v="Gerald Gomez"/>
    <s v="NovaHealth Lakeside Medical Center"/>
    <s v="Male"/>
    <n v="68"/>
    <x v="1"/>
    <n v="4"/>
    <x v="3"/>
    <x v="3"/>
    <n v="6694.82"/>
    <n v="4369.4799999999996"/>
    <n v="10.6"/>
    <x v="2"/>
    <x v="1"/>
  </r>
  <r>
    <s v="NHM-2026-100735"/>
    <s v="April"/>
    <x v="0"/>
    <n v="4"/>
    <d v="2024-04-22T00:00:00"/>
    <x v="0"/>
    <s v="Donna Collins"/>
    <s v="NovaHealth Chicago Medical Center"/>
    <s v="Male"/>
    <n v="28"/>
    <x v="0"/>
    <n v="1"/>
    <x v="2"/>
    <x v="2"/>
    <n v="1740.21"/>
    <n v="1233.94"/>
    <n v="8.5"/>
    <x v="0"/>
    <x v="0"/>
  </r>
  <r>
    <s v="NHM-2026-101459"/>
    <s v="December"/>
    <x v="6"/>
    <n v="12"/>
    <d v="2025-12-29T00:00:00"/>
    <x v="1"/>
    <s v="Bruce Hernandez"/>
    <s v="NovaHealth Chicago Medical Center"/>
    <s v="Male"/>
    <n v="63"/>
    <x v="0"/>
    <n v="2"/>
    <x v="0"/>
    <x v="0"/>
    <n v="9420.5"/>
    <n v="6619.95"/>
    <n v="3.2"/>
    <x v="1"/>
    <x v="0"/>
  </r>
  <r>
    <s v="NHM-2023-100363"/>
    <s v="February"/>
    <x v="2"/>
    <n v="2"/>
    <d v="2026-02-23T00:00:00"/>
    <x v="2"/>
    <s v="Thomas Henry"/>
    <s v="NovaHealth Northside Hospital"/>
    <s v="Male"/>
    <n v="91"/>
    <x v="2"/>
    <n v="4"/>
    <x v="4"/>
    <x v="4"/>
    <n v="12107.12"/>
    <n v="8961.4"/>
    <n v="15.4"/>
    <x v="2"/>
    <x v="1"/>
  </r>
  <r>
    <s v="NHM-2026-100341"/>
    <s v="October"/>
    <x v="5"/>
    <n v="10"/>
    <d v="2025-10-15T00:00:00"/>
    <x v="1"/>
    <s v="Jesse Kennedy"/>
    <s v="NovaHealth Lakeside Medical Center"/>
    <s v="Male"/>
    <n v="39"/>
    <x v="1"/>
    <n v="1"/>
    <x v="7"/>
    <x v="7"/>
    <n v="5599.63"/>
    <n v="4363.72"/>
    <n v="13.5"/>
    <x v="0"/>
    <x v="0"/>
  </r>
  <r>
    <s v="NHM-2024-102322"/>
    <s v="May"/>
    <x v="9"/>
    <n v="5"/>
    <d v="2024-05-08T00:00:00"/>
    <x v="0"/>
    <s v="Aaron Coleman"/>
    <s v="NovaHealth Oakridge Community Hospital"/>
    <s v="Male"/>
    <n v="42"/>
    <x v="2"/>
    <n v="4"/>
    <x v="0"/>
    <x v="0"/>
    <n v="11729.42"/>
    <n v="6898.26"/>
    <n v="11.9"/>
    <x v="2"/>
    <x v="0"/>
  </r>
  <r>
    <s v="NHM-2023-102169"/>
    <s v="January"/>
    <x v="3"/>
    <n v="1"/>
    <d v="2025-01-27T00:00:00"/>
    <x v="1"/>
    <s v="Theresa Alexander"/>
    <s v="NovaHealth Chicago Medical Center"/>
    <s v="Male"/>
    <n v="62"/>
    <x v="0"/>
    <n v="1"/>
    <x v="2"/>
    <x v="2"/>
    <n v="1628.58"/>
    <n v="1037.43"/>
    <n v="5.5"/>
    <x v="0"/>
    <x v="0"/>
  </r>
  <r>
    <s v="NHM-2025-100065"/>
    <s v="October"/>
    <x v="5"/>
    <n v="10"/>
    <d v="2024-10-22T00:00:00"/>
    <x v="0"/>
    <s v="Pamela Davis"/>
    <s v="NovaHealth Lakeside Medical Center"/>
    <s v="Male"/>
    <n v="64"/>
    <x v="2"/>
    <n v="2"/>
    <x v="7"/>
    <x v="7"/>
    <n v="7317.74"/>
    <n v="4792.1499999999996"/>
    <n v="13.6"/>
    <x v="1"/>
    <x v="0"/>
  </r>
  <r>
    <s v="NHM-2026-100392"/>
    <s v="March"/>
    <x v="1"/>
    <n v="3"/>
    <d v="2024-03-22T00:00:00"/>
    <x v="0"/>
    <s v="Frances Foster"/>
    <s v="NovaHealth Northside Hospital"/>
    <s v="Male"/>
    <n v="67"/>
    <x v="2"/>
    <n v="4"/>
    <x v="1"/>
    <x v="1"/>
    <n v="12389.2"/>
    <n v="8327.9599999999991"/>
    <n v="3.4"/>
    <x v="2"/>
    <x v="1"/>
  </r>
  <r>
    <s v="NHM-2023-100231"/>
    <s v="March"/>
    <x v="1"/>
    <n v="3"/>
    <d v="2025-03-03T00:00:00"/>
    <x v="1"/>
    <s v="Richard Gomez"/>
    <s v="NovaHealth Lakeside Medical Center"/>
    <s v="Male"/>
    <n v="71"/>
    <x v="0"/>
    <n v="3"/>
    <x v="0"/>
    <x v="0"/>
    <n v="13483.34"/>
    <n v="9528.74"/>
    <n v="11.3"/>
    <x v="1"/>
    <x v="1"/>
  </r>
  <r>
    <s v="NHM-2025-102482"/>
    <s v="June"/>
    <x v="11"/>
    <n v="6"/>
    <d v="2024-06-04T00:00:00"/>
    <x v="0"/>
    <s v="Judy Perry"/>
    <s v="NovaHealth Chicago Medical Center"/>
    <s v="Male"/>
    <n v="25"/>
    <x v="0"/>
    <n v="4"/>
    <x v="5"/>
    <x v="5"/>
    <n v="14890.14"/>
    <n v="10890.6"/>
    <n v="2.6"/>
    <x v="2"/>
    <x v="0"/>
  </r>
  <r>
    <s v="NHM-2026-100388"/>
    <s v="January"/>
    <x v="3"/>
    <n v="1"/>
    <d v="2026-01-02T00:00:00"/>
    <x v="2"/>
    <s v="Douglas Chavez"/>
    <s v="NovaHealth Greenfield Clinic"/>
    <s v="Female"/>
    <n v="5"/>
    <x v="0"/>
    <n v="1"/>
    <x v="6"/>
    <x v="6"/>
    <n v="1469.17"/>
    <n v="1126.17"/>
    <n v="1.2"/>
    <x v="0"/>
    <x v="2"/>
  </r>
  <r>
    <s v="NHM-2024-100479"/>
    <s v="April"/>
    <x v="0"/>
    <n v="4"/>
    <d v="2024-04-26T00:00:00"/>
    <x v="0"/>
    <s v="Edward Freeman"/>
    <s v="NovaHealth Metro General Hospital"/>
    <s v="Female"/>
    <n v="74"/>
    <x v="0"/>
    <n v="3"/>
    <x v="3"/>
    <x v="3"/>
    <n v="8724.2199999999993"/>
    <n v="5140.8500000000004"/>
    <n v="10.1"/>
    <x v="1"/>
    <x v="1"/>
  </r>
  <r>
    <s v="NHM-2023-102383"/>
    <s v="March"/>
    <x v="1"/>
    <n v="3"/>
    <d v="2025-03-29T00:00:00"/>
    <x v="1"/>
    <s v="Thomas Porter"/>
    <s v="NovaHealth Chicago Medical Center"/>
    <s v="Female"/>
    <n v="34"/>
    <x v="0"/>
    <n v="2"/>
    <x v="7"/>
    <x v="7"/>
    <n v="8245.31"/>
    <n v="5196.84"/>
    <n v="20.9"/>
    <x v="1"/>
    <x v="0"/>
  </r>
  <r>
    <s v="NHM-2023-100544"/>
    <s v="April"/>
    <x v="0"/>
    <n v="4"/>
    <d v="2024-04-02T00:00:00"/>
    <x v="0"/>
    <s v="Marilyn Jackson"/>
    <s v="NovaHealth Chicago Medical Center"/>
    <s v="Female"/>
    <n v="90"/>
    <x v="1"/>
    <n v="4"/>
    <x v="4"/>
    <x v="4"/>
    <n v="18591.400000000001"/>
    <n v="12032.9"/>
    <n v="16.8"/>
    <x v="2"/>
    <x v="1"/>
  </r>
  <r>
    <s v="NHM-2023-101996"/>
    <s v="October"/>
    <x v="5"/>
    <n v="10"/>
    <d v="2024-10-11T00:00:00"/>
    <x v="0"/>
    <s v="Nathan Powell"/>
    <s v="NovaHealth Chicago Medical Center"/>
    <s v="Female"/>
    <n v="63"/>
    <x v="0"/>
    <n v="2"/>
    <x v="0"/>
    <x v="0"/>
    <n v="7526.53"/>
    <n v="5069.18"/>
    <n v="3.3"/>
    <x v="1"/>
    <x v="0"/>
  </r>
  <r>
    <s v="NHM-2024-101828"/>
    <s v="February"/>
    <x v="2"/>
    <n v="2"/>
    <d v="2025-02-17T00:00:00"/>
    <x v="1"/>
    <s v="Beverly Cole"/>
    <s v="NovaHealth Lakeshore Regional Center"/>
    <s v="Female"/>
    <n v="62"/>
    <x v="0"/>
    <n v="1"/>
    <x v="7"/>
    <x v="7"/>
    <n v="8898.0300000000007"/>
    <n v="6375.02"/>
    <n v="18.3"/>
    <x v="0"/>
    <x v="0"/>
  </r>
  <r>
    <s v="NHM-2024-101090"/>
    <s v="October"/>
    <x v="5"/>
    <n v="10"/>
    <d v="2024-10-15T00:00:00"/>
    <x v="0"/>
    <s v="Paul Robinson"/>
    <s v="NovaHealth River Valley Hospital"/>
    <s v="Female"/>
    <n v="60"/>
    <x v="1"/>
    <n v="1"/>
    <x v="3"/>
    <x v="3"/>
    <n v="6464.12"/>
    <n v="4772.41"/>
    <n v="6.7"/>
    <x v="0"/>
    <x v="0"/>
  </r>
  <r>
    <s v="NHM-2026-102107"/>
    <s v="April"/>
    <x v="0"/>
    <n v="4"/>
    <d v="2025-04-24T00:00:00"/>
    <x v="1"/>
    <s v="Judith Campbell"/>
    <s v="NovaHealth Lakeside Medical Center"/>
    <s v="Female"/>
    <n v="61"/>
    <x v="0"/>
    <n v="4"/>
    <x v="5"/>
    <x v="5"/>
    <n v="18590.46"/>
    <n v="14188.75"/>
    <n v="7.5"/>
    <x v="2"/>
    <x v="0"/>
  </r>
  <r>
    <s v="NHM-2025-102039"/>
    <s v="July"/>
    <x v="8"/>
    <n v="7"/>
    <d v="2024-07-22T00:00:00"/>
    <x v="0"/>
    <s v="Rachel Sullivan"/>
    <s v="NovaHealth Chicago Medical Center"/>
    <s v="Female"/>
    <n v="10"/>
    <x v="0"/>
    <n v="2"/>
    <x v="6"/>
    <x v="6"/>
    <n v="2573.67"/>
    <n v="1493.53"/>
    <n v="0.1"/>
    <x v="1"/>
    <x v="2"/>
  </r>
  <r>
    <s v="NHM-2025-101525"/>
    <s v="November"/>
    <x v="4"/>
    <n v="11"/>
    <d v="2023-11-17T00:00:00"/>
    <x v="3"/>
    <s v="Danielle Harrison"/>
    <s v="NovaHealth Northside Hospital"/>
    <s v="Male"/>
    <n v="4"/>
    <x v="0"/>
    <n v="1"/>
    <x v="6"/>
    <x v="6"/>
    <n v="852.29"/>
    <n v="559.1"/>
    <n v="4.9000000000000004"/>
    <x v="0"/>
    <x v="2"/>
  </r>
  <r>
    <s v="NHM-2026-102390"/>
    <s v="June"/>
    <x v="11"/>
    <n v="6"/>
    <d v="2026-06-10T00:00:00"/>
    <x v="2"/>
    <s v="Adam Griffin"/>
    <s v="NovaHealth Chicago Medical Center"/>
    <s v="Male"/>
    <n v="62"/>
    <x v="0"/>
    <n v="1"/>
    <x v="7"/>
    <x v="7"/>
    <n v="6235.67"/>
    <n v="4154.83"/>
    <n v="20.5"/>
    <x v="0"/>
    <x v="0"/>
  </r>
  <r>
    <s v="NHM-2024-101423"/>
    <s v="September"/>
    <x v="7"/>
    <n v="9"/>
    <d v="2023-09-03T00:00:00"/>
    <x v="3"/>
    <s v="Kenneth Morris"/>
    <s v="NovaHealth Metro General Hospital"/>
    <s v="Female"/>
    <n v="23"/>
    <x v="0"/>
    <n v="1"/>
    <x v="0"/>
    <x v="0"/>
    <n v="10431.77"/>
    <n v="7073.29"/>
    <n v="10.5"/>
    <x v="0"/>
    <x v="0"/>
  </r>
  <r>
    <s v="NHM-2025-101575"/>
    <s v="February"/>
    <x v="2"/>
    <n v="2"/>
    <d v="2024-02-27T00:00:00"/>
    <x v="0"/>
    <s v="Victoria Perez"/>
    <s v="NovaHealth Northside Hospital"/>
    <s v="Female"/>
    <n v="77"/>
    <x v="0"/>
    <n v="2"/>
    <x v="2"/>
    <x v="2"/>
    <n v="4500.9799999999996"/>
    <n v="3213.09"/>
    <n v="7.8"/>
    <x v="1"/>
    <x v="1"/>
  </r>
  <r>
    <s v="NHM-2024-100119"/>
    <s v="April"/>
    <x v="0"/>
    <n v="4"/>
    <d v="2024-04-11T00:00:00"/>
    <x v="0"/>
    <s v="Timothy Sullivan"/>
    <s v="NovaHealth River Valley Hospital"/>
    <s v="Female"/>
    <n v="74"/>
    <x v="2"/>
    <n v="5"/>
    <x v="4"/>
    <x v="4"/>
    <n v="14377.9"/>
    <n v="10620.67"/>
    <n v="15.6"/>
    <x v="2"/>
    <x v="1"/>
  </r>
  <r>
    <s v="NHM-2023-101875"/>
    <s v="June"/>
    <x v="11"/>
    <n v="6"/>
    <d v="2026-06-05T00:00:00"/>
    <x v="2"/>
    <s v="Jacqueline Perez"/>
    <s v="NovaHealth Midtown Medical Center"/>
    <s v="Female"/>
    <n v="1"/>
    <x v="0"/>
    <n v="2"/>
    <x v="6"/>
    <x v="6"/>
    <n v="1965.07"/>
    <n v="1532.65"/>
    <n v="4.9000000000000004"/>
    <x v="1"/>
    <x v="2"/>
  </r>
  <r>
    <s v="NHM-2025-102205"/>
    <s v="July"/>
    <x v="8"/>
    <n v="7"/>
    <d v="2026-07-11T00:00:00"/>
    <x v="2"/>
    <s v="Megan Kennedy"/>
    <s v="NovaHealth Chicago Medical Center"/>
    <s v="Female"/>
    <n v="56"/>
    <x v="2"/>
    <n v="1"/>
    <x v="2"/>
    <x v="2"/>
    <n v="4426.17"/>
    <n v="2616.7800000000002"/>
    <n v="6.2"/>
    <x v="0"/>
    <x v="0"/>
  </r>
  <r>
    <s v="NHM-2023-101582"/>
    <s v="December"/>
    <x v="6"/>
    <n v="12"/>
    <d v="2023-12-09T00:00:00"/>
    <x v="3"/>
    <s v="Robert Patterson"/>
    <s v="NovaHealth Northside Hospital"/>
    <s v="Male"/>
    <n v="84"/>
    <x v="0"/>
    <n v="4"/>
    <x v="3"/>
    <x v="3"/>
    <n v="9154.23"/>
    <n v="5648.08"/>
    <n v="8"/>
    <x v="2"/>
    <x v="1"/>
  </r>
  <r>
    <s v="NHM-2026-100837"/>
    <s v="August"/>
    <x v="10"/>
    <n v="8"/>
    <d v="2024-08-20T00:00:00"/>
    <x v="0"/>
    <s v="Susan Brooks"/>
    <s v="NovaHealth Northside Hospital"/>
    <s v="Female"/>
    <n v="54"/>
    <x v="2"/>
    <n v="3"/>
    <x v="7"/>
    <x v="7"/>
    <n v="9286.2000000000007"/>
    <n v="6067.17"/>
    <n v="15.5"/>
    <x v="1"/>
    <x v="0"/>
  </r>
  <r>
    <s v="NHM-2023-101052"/>
    <s v="November"/>
    <x v="4"/>
    <n v="11"/>
    <d v="2023-11-17T00:00:00"/>
    <x v="3"/>
    <s v="Elijah Henderson"/>
    <s v="NovaHealth Northside Hospital"/>
    <s v="Male"/>
    <n v="7"/>
    <x v="2"/>
    <n v="1"/>
    <x v="6"/>
    <x v="6"/>
    <n v="670.38"/>
    <n v="473.15"/>
    <n v="3"/>
    <x v="0"/>
    <x v="2"/>
  </r>
  <r>
    <s v="NHM-2025-101408"/>
    <s v="April"/>
    <x v="0"/>
    <n v="4"/>
    <d v="2025-04-15T00:00:00"/>
    <x v="1"/>
    <s v="Sarah Miller"/>
    <s v="NovaHealth Greenfield Clinic"/>
    <s v="Male"/>
    <n v="19"/>
    <x v="1"/>
    <n v="2"/>
    <x v="1"/>
    <x v="1"/>
    <n v="12653.39"/>
    <n v="8879.77"/>
    <n v="2.8"/>
    <x v="1"/>
    <x v="0"/>
  </r>
  <r>
    <s v="NHM-2026-101063"/>
    <s v="September"/>
    <x v="7"/>
    <n v="9"/>
    <d v="2025-09-04T00:00:00"/>
    <x v="1"/>
    <s v="Jack Henry"/>
    <s v="NovaHealth Greenfield Clinic"/>
    <s v="Female"/>
    <n v="45"/>
    <x v="0"/>
    <n v="1"/>
    <x v="1"/>
    <x v="1"/>
    <n v="6979.71"/>
    <n v="5179.1899999999996"/>
    <n v="10.5"/>
    <x v="0"/>
    <x v="0"/>
  </r>
  <r>
    <s v="NHM-2025-101576"/>
    <s v="May"/>
    <x v="9"/>
    <n v="5"/>
    <d v="2025-05-30T00:00:00"/>
    <x v="1"/>
    <s v="Scott Robinson"/>
    <s v="NovaHealth Northside Hospital"/>
    <s v="Female"/>
    <n v="48"/>
    <x v="1"/>
    <n v="4"/>
    <x v="5"/>
    <x v="5"/>
    <n v="16252.72"/>
    <n v="12425.67"/>
    <n v="9.1999999999999993"/>
    <x v="2"/>
    <x v="0"/>
  </r>
  <r>
    <s v="NHM-2025-100637"/>
    <s v="November"/>
    <x v="4"/>
    <n v="11"/>
    <d v="2023-11-30T00:00:00"/>
    <x v="3"/>
    <s v="Ruth Lopez"/>
    <s v="NovaHealth Oakridge Community Hospital"/>
    <s v="Male"/>
    <n v="47"/>
    <x v="0"/>
    <n v="1"/>
    <x v="7"/>
    <x v="7"/>
    <n v="5065.12"/>
    <n v="3117.77"/>
    <n v="22.5"/>
    <x v="0"/>
    <x v="0"/>
  </r>
  <r>
    <s v="NHM-2024-102121"/>
    <s v="August"/>
    <x v="10"/>
    <n v="8"/>
    <d v="2024-08-12T00:00:00"/>
    <x v="0"/>
    <s v="Gary West"/>
    <s v="NovaHealth Chicago Medical Center"/>
    <s v="Female"/>
    <n v="51"/>
    <x v="0"/>
    <n v="2"/>
    <x v="7"/>
    <x v="7"/>
    <n v="3264.34"/>
    <n v="2105.65"/>
    <n v="14.3"/>
    <x v="1"/>
    <x v="0"/>
  </r>
  <r>
    <s v="NHM-2024-101769"/>
    <s v="July"/>
    <x v="8"/>
    <n v="7"/>
    <d v="2025-07-02T00:00:00"/>
    <x v="1"/>
    <s v="Frank Butler"/>
    <s v="NovaHealth Lakeshore Regional Center"/>
    <s v="Female"/>
    <n v="55"/>
    <x v="0"/>
    <n v="1"/>
    <x v="0"/>
    <x v="0"/>
    <n v="9401.7099999999991"/>
    <n v="6085.89"/>
    <n v="8.6"/>
    <x v="0"/>
    <x v="0"/>
  </r>
  <r>
    <s v="NHM-2023-100244"/>
    <s v="February"/>
    <x v="2"/>
    <n v="2"/>
    <d v="2025-02-28T00:00:00"/>
    <x v="1"/>
    <s v="Rebecca Kennedy"/>
    <s v="NovaHealth Midtown Medical Center"/>
    <s v="Male"/>
    <n v="35"/>
    <x v="0"/>
    <n v="5"/>
    <x v="5"/>
    <x v="5"/>
    <n v="14811.13"/>
    <n v="9958.66"/>
    <n v="4.4000000000000004"/>
    <x v="2"/>
    <x v="0"/>
  </r>
  <r>
    <s v="NHM-2023-101608"/>
    <s v="March"/>
    <x v="1"/>
    <n v="3"/>
    <d v="2024-03-06T00:00:00"/>
    <x v="0"/>
    <s v="Julia Sullivan"/>
    <s v="NovaHealth Lakeside Medical Center"/>
    <s v="Female"/>
    <n v="51"/>
    <x v="2"/>
    <n v="5"/>
    <x v="5"/>
    <x v="5"/>
    <n v="18622.39"/>
    <n v="13068.47"/>
    <n v="4.0999999999999996"/>
    <x v="2"/>
    <x v="0"/>
  </r>
  <r>
    <s v="NHM-2025-101870"/>
    <s v="September"/>
    <x v="7"/>
    <n v="9"/>
    <d v="2025-09-30T00:00:00"/>
    <x v="1"/>
    <s v="Mary Adams"/>
    <s v="NovaHealth Lakeside Medical Center"/>
    <s v="Male"/>
    <n v="92"/>
    <x v="2"/>
    <n v="4"/>
    <x v="4"/>
    <x v="4"/>
    <n v="11604.1"/>
    <n v="8605.39"/>
    <n v="16.8"/>
    <x v="2"/>
    <x v="1"/>
  </r>
  <r>
    <s v="NHM-2026-100965"/>
    <s v="July"/>
    <x v="8"/>
    <n v="7"/>
    <d v="2025-07-30T00:00:00"/>
    <x v="1"/>
    <s v="Vincent Edwards"/>
    <s v="NovaHealth River Valley Hospital"/>
    <s v="Female"/>
    <n v="35"/>
    <x v="0"/>
    <n v="3"/>
    <x v="0"/>
    <x v="0"/>
    <n v="12093.8"/>
    <n v="9263.2900000000009"/>
    <n v="9"/>
    <x v="1"/>
    <x v="0"/>
  </r>
  <r>
    <s v="NHM-2025-100100"/>
    <s v="September"/>
    <x v="7"/>
    <n v="9"/>
    <d v="2024-09-06T00:00:00"/>
    <x v="0"/>
    <s v="Rebecca Lewis"/>
    <s v="NovaHealth Lakeside Medical Center"/>
    <s v="Male"/>
    <n v="2"/>
    <x v="0"/>
    <n v="2"/>
    <x v="6"/>
    <x v="6"/>
    <n v="1145.6600000000001"/>
    <n v="712.48"/>
    <n v="6"/>
    <x v="1"/>
    <x v="2"/>
  </r>
  <r>
    <s v="NHM-2024-101776"/>
    <s v="April"/>
    <x v="0"/>
    <n v="4"/>
    <d v="2024-04-18T00:00:00"/>
    <x v="0"/>
    <s v="Evelyn Harris"/>
    <s v="NovaHealth Greenfield Clinic"/>
    <s v="Female"/>
    <n v="69"/>
    <x v="1"/>
    <n v="5"/>
    <x v="5"/>
    <x v="5"/>
    <n v="22452.87"/>
    <n v="13752.25"/>
    <n v="7"/>
    <x v="2"/>
    <x v="1"/>
  </r>
  <r>
    <s v="NHM-2023-101082"/>
    <s v="November"/>
    <x v="4"/>
    <n v="11"/>
    <d v="2025-11-26T00:00:00"/>
    <x v="1"/>
    <s v="Ryan Hicks"/>
    <s v="NovaHealth Metro General Hospital"/>
    <s v="Male"/>
    <n v="37"/>
    <x v="0"/>
    <n v="1"/>
    <x v="0"/>
    <x v="0"/>
    <n v="8272.7999999999993"/>
    <n v="5389.79"/>
    <n v="11.9"/>
    <x v="0"/>
    <x v="0"/>
  </r>
  <r>
    <s v="NHM-2025-100313"/>
    <s v="November"/>
    <x v="4"/>
    <n v="11"/>
    <d v="2025-11-25T00:00:00"/>
    <x v="1"/>
    <s v="Joan Kennedy"/>
    <s v="NovaHealth Northside Hospital"/>
    <s v="Female"/>
    <n v="51"/>
    <x v="2"/>
    <n v="4"/>
    <x v="5"/>
    <x v="5"/>
    <n v="20154.37"/>
    <n v="13592.23"/>
    <n v="11.1"/>
    <x v="2"/>
    <x v="0"/>
  </r>
  <r>
    <s v="NHM-2024-101240"/>
    <s v="March"/>
    <x v="1"/>
    <n v="3"/>
    <d v="2026-03-20T00:00:00"/>
    <x v="2"/>
    <s v="Carol Johnson"/>
    <s v="NovaHealth Northside Hospital"/>
    <s v="Female"/>
    <n v="0"/>
    <x v="0"/>
    <n v="1"/>
    <x v="6"/>
    <x v="6"/>
    <n v="674.93"/>
    <n v="506.85"/>
    <n v="4.3"/>
    <x v="0"/>
    <x v="2"/>
  </r>
  <r>
    <s v="NHM-2026-101424"/>
    <s v="March"/>
    <x v="1"/>
    <n v="3"/>
    <d v="2025-03-07T00:00:00"/>
    <x v="1"/>
    <s v="Justin Russell"/>
    <s v="NovaHealth Chicago Medical Center"/>
    <s v="Female"/>
    <n v="57"/>
    <x v="0"/>
    <n v="4"/>
    <x v="4"/>
    <x v="4"/>
    <n v="13279.36"/>
    <n v="9811.5300000000007"/>
    <n v="14.7"/>
    <x v="2"/>
    <x v="0"/>
  </r>
  <r>
    <s v="NHM-2025-100215"/>
    <s v="May"/>
    <x v="9"/>
    <n v="5"/>
    <d v="2026-05-04T00:00:00"/>
    <x v="2"/>
    <s v="Joan Smith"/>
    <s v="NovaHealth Greenfield Clinic"/>
    <s v="Male"/>
    <n v="37"/>
    <x v="2"/>
    <n v="3"/>
    <x v="1"/>
    <x v="1"/>
    <n v="8169.81"/>
    <n v="6292.26"/>
    <n v="10.4"/>
    <x v="1"/>
    <x v="0"/>
  </r>
  <r>
    <s v="NHM-2024-102070"/>
    <s v="January"/>
    <x v="3"/>
    <n v="1"/>
    <d v="2026-01-08T00:00:00"/>
    <x v="2"/>
    <s v="Melissa Alexander"/>
    <s v="NovaHealth Chicago Medical Center"/>
    <s v="Male"/>
    <n v="81"/>
    <x v="1"/>
    <n v="5"/>
    <x v="4"/>
    <x v="4"/>
    <n v="17008.04"/>
    <n v="9955.86"/>
    <n v="11.4"/>
    <x v="2"/>
    <x v="1"/>
  </r>
  <r>
    <s v="NHM-2024-101560"/>
    <s v="August"/>
    <x v="10"/>
    <n v="8"/>
    <d v="2024-08-04T00:00:00"/>
    <x v="0"/>
    <s v="Daniel Russell"/>
    <s v="NovaHealth Northside Hospital"/>
    <s v="Female"/>
    <n v="5"/>
    <x v="0"/>
    <n v="1"/>
    <x v="6"/>
    <x v="6"/>
    <n v="1828.78"/>
    <n v="1137.1600000000001"/>
    <n v="2.7"/>
    <x v="0"/>
    <x v="2"/>
  </r>
  <r>
    <s v="NHM-2025-100353"/>
    <s v="December"/>
    <x v="6"/>
    <n v="12"/>
    <d v="2023-12-27T00:00:00"/>
    <x v="3"/>
    <s v="Kelly Marshall"/>
    <s v="NovaHealth Chicago Medical Center"/>
    <s v="Male"/>
    <n v="71"/>
    <x v="2"/>
    <n v="3"/>
    <x v="4"/>
    <x v="4"/>
    <n v="12196.5"/>
    <n v="7916.16"/>
    <n v="13.8"/>
    <x v="1"/>
    <x v="1"/>
  </r>
  <r>
    <s v="NHM-2026-100950"/>
    <s v="July"/>
    <x v="8"/>
    <n v="7"/>
    <d v="2024-07-20T00:00:00"/>
    <x v="0"/>
    <s v="Maria Nelson"/>
    <s v="NovaHealth Metro General Hospital"/>
    <s v="Female"/>
    <n v="44"/>
    <x v="1"/>
    <n v="4"/>
    <x v="7"/>
    <x v="7"/>
    <n v="8495.07"/>
    <n v="5875.7"/>
    <n v="23"/>
    <x v="2"/>
    <x v="0"/>
  </r>
  <r>
    <s v="NHM-2025-102142"/>
    <s v="May"/>
    <x v="9"/>
    <n v="5"/>
    <d v="2026-05-13T00:00:00"/>
    <x v="2"/>
    <s v="Sean Alvarez"/>
    <s v="NovaHealth Northside Hospital"/>
    <s v="Male"/>
    <n v="49"/>
    <x v="0"/>
    <n v="2"/>
    <x v="1"/>
    <x v="1"/>
    <n v="11798.82"/>
    <n v="8345.57"/>
    <n v="10.8"/>
    <x v="1"/>
    <x v="0"/>
  </r>
  <r>
    <s v="NHM-2024-102382"/>
    <s v="February"/>
    <x v="2"/>
    <n v="2"/>
    <d v="2026-02-11T00:00:00"/>
    <x v="2"/>
    <s v="Rachel Hill"/>
    <s v="NovaHealth River Valley Hospital"/>
    <s v="Male"/>
    <n v="94"/>
    <x v="2"/>
    <n v="4"/>
    <x v="3"/>
    <x v="3"/>
    <n v="8025.45"/>
    <n v="5920.98"/>
    <n v="7.8"/>
    <x v="2"/>
    <x v="1"/>
  </r>
  <r>
    <s v="NHM-2024-101149"/>
    <s v="September"/>
    <x v="7"/>
    <n v="9"/>
    <d v="2024-09-03T00:00:00"/>
    <x v="0"/>
    <s v="Aaron Gomez"/>
    <s v="NovaHealth Chicago Medical Center"/>
    <s v="Male"/>
    <n v="92"/>
    <x v="2"/>
    <n v="5"/>
    <x v="4"/>
    <x v="4"/>
    <n v="16785.28"/>
    <n v="12831.21"/>
    <n v="9.3000000000000007"/>
    <x v="2"/>
    <x v="1"/>
  </r>
  <r>
    <s v="NHM-2026-100484"/>
    <s v="October"/>
    <x v="5"/>
    <n v="10"/>
    <d v="2025-10-14T00:00:00"/>
    <x v="1"/>
    <s v="Dorothy Ruiz"/>
    <s v="NovaHealth Chicago Medical Center"/>
    <s v="Male"/>
    <n v="39"/>
    <x v="2"/>
    <n v="4"/>
    <x v="5"/>
    <x v="5"/>
    <n v="14195.68"/>
    <n v="8319.89"/>
    <n v="10.8"/>
    <x v="2"/>
    <x v="0"/>
  </r>
  <r>
    <s v="NHM-2023-100249"/>
    <s v="September"/>
    <x v="7"/>
    <n v="9"/>
    <d v="2025-09-01T00:00:00"/>
    <x v="1"/>
    <s v="Denise Gutierrez"/>
    <s v="NovaHealth Northside Hospital"/>
    <s v="Female"/>
    <n v="18"/>
    <x v="2"/>
    <n v="5"/>
    <x v="0"/>
    <x v="0"/>
    <n v="13475.27"/>
    <n v="8255.91"/>
    <n v="4.5"/>
    <x v="2"/>
    <x v="2"/>
  </r>
  <r>
    <s v="NHM-2024-101791"/>
    <s v="October"/>
    <x v="5"/>
    <n v="10"/>
    <d v="2023-10-27T00:00:00"/>
    <x v="3"/>
    <s v="Sharon Williams"/>
    <s v="NovaHealth Metro General Hospital"/>
    <s v="Female"/>
    <n v="12"/>
    <x v="0"/>
    <n v="2"/>
    <x v="6"/>
    <x v="6"/>
    <n v="2021.81"/>
    <n v="1296.3599999999999"/>
    <n v="0.3"/>
    <x v="1"/>
    <x v="2"/>
  </r>
  <r>
    <s v="NHM-2023-101289"/>
    <s v="May"/>
    <x v="9"/>
    <n v="5"/>
    <d v="2024-05-22T00:00:00"/>
    <x v="0"/>
    <s v="Jasmine Powell"/>
    <s v="NovaHealth Chicago Medical Center"/>
    <s v="Male"/>
    <n v="60"/>
    <x v="2"/>
    <n v="3"/>
    <x v="3"/>
    <x v="3"/>
    <n v="8556.26"/>
    <n v="5788.69"/>
    <n v="7"/>
    <x v="1"/>
    <x v="0"/>
  </r>
  <r>
    <s v="NHM-2024-102059"/>
    <s v="May"/>
    <x v="9"/>
    <n v="5"/>
    <d v="2026-05-14T00:00:00"/>
    <x v="2"/>
    <s v="Abigail Watson"/>
    <s v="NovaHealth Lakeside Medical Center"/>
    <s v="Male"/>
    <n v="14"/>
    <x v="0"/>
    <n v="2"/>
    <x v="6"/>
    <x v="6"/>
    <n v="1568.08"/>
    <n v="1109.6600000000001"/>
    <n v="1.5"/>
    <x v="1"/>
    <x v="2"/>
  </r>
  <r>
    <s v="NHM-2025-101250"/>
    <s v="May"/>
    <x v="9"/>
    <n v="5"/>
    <d v="2026-05-24T00:00:00"/>
    <x v="2"/>
    <s v="Janet Owens"/>
    <s v="NovaHealth Chicago Medical Center"/>
    <s v="Female"/>
    <n v="55"/>
    <x v="0"/>
    <n v="3"/>
    <x v="4"/>
    <x v="4"/>
    <n v="19571.990000000002"/>
    <n v="14429.95"/>
    <n v="17.8"/>
    <x v="1"/>
    <x v="0"/>
  </r>
  <r>
    <s v="NHM-2023-101753"/>
    <s v="December"/>
    <x v="6"/>
    <n v="12"/>
    <d v="2025-12-18T00:00:00"/>
    <x v="1"/>
    <s v="Vincent Harrison"/>
    <s v="NovaHealth Chicago Medical Center"/>
    <s v="Female"/>
    <n v="55"/>
    <x v="0"/>
    <n v="1"/>
    <x v="3"/>
    <x v="3"/>
    <n v="7592.66"/>
    <n v="5829.62"/>
    <n v="7.4"/>
    <x v="0"/>
    <x v="0"/>
  </r>
  <r>
    <s v="NHM-2025-100682"/>
    <s v="February"/>
    <x v="2"/>
    <n v="2"/>
    <d v="2026-02-16T00:00:00"/>
    <x v="2"/>
    <s v="Rachel Anderson"/>
    <s v="NovaHealth Oakridge Community Hospital"/>
    <s v="Male"/>
    <n v="95"/>
    <x v="1"/>
    <n v="4"/>
    <x v="4"/>
    <x v="4"/>
    <n v="11484.99"/>
    <n v="6733.29"/>
    <n v="9"/>
    <x v="2"/>
    <x v="1"/>
  </r>
  <r>
    <s v="NHM-2023-100177"/>
    <s v="December"/>
    <x v="6"/>
    <n v="12"/>
    <d v="2023-12-01T00:00:00"/>
    <x v="3"/>
    <s v="Gerald Hicks"/>
    <s v="NovaHealth Midtown Medical Center"/>
    <s v="Female"/>
    <n v="1"/>
    <x v="0"/>
    <n v="1"/>
    <x v="6"/>
    <x v="6"/>
    <n v="769.34"/>
    <n v="512.5"/>
    <n v="5.4"/>
    <x v="0"/>
    <x v="2"/>
  </r>
  <r>
    <s v="NHM-2025-100978"/>
    <s v="January"/>
    <x v="3"/>
    <n v="1"/>
    <d v="2024-01-05T00:00:00"/>
    <x v="0"/>
    <s v="Jesse Lee"/>
    <s v="NovaHealth Greenfield Clinic"/>
    <s v="Male"/>
    <n v="83"/>
    <x v="1"/>
    <n v="4"/>
    <x v="7"/>
    <x v="7"/>
    <n v="7580.84"/>
    <n v="4994.9399999999996"/>
    <n v="17.899999999999999"/>
    <x v="2"/>
    <x v="1"/>
  </r>
  <r>
    <s v="NHM-2023-101092"/>
    <s v="February"/>
    <x v="2"/>
    <n v="2"/>
    <d v="2025-02-14T00:00:00"/>
    <x v="1"/>
    <s v="Donald Cox"/>
    <s v="NovaHealth Chicago Medical Center"/>
    <s v="Male"/>
    <n v="82"/>
    <x v="1"/>
    <n v="5"/>
    <x v="4"/>
    <x v="4"/>
    <n v="11416.96"/>
    <n v="7730.96"/>
    <n v="10.199999999999999"/>
    <x v="2"/>
    <x v="1"/>
  </r>
  <r>
    <s v="NHM-2024-102283"/>
    <s v="June"/>
    <x v="11"/>
    <n v="6"/>
    <d v="2025-06-02T00:00:00"/>
    <x v="1"/>
    <s v="Grace Diaz"/>
    <s v="NovaHealth Oakridge Community Hospital"/>
    <s v="Female"/>
    <n v="69"/>
    <x v="2"/>
    <n v="4"/>
    <x v="5"/>
    <x v="5"/>
    <n v="13400.72"/>
    <n v="9418.9"/>
    <n v="4.8"/>
    <x v="2"/>
    <x v="1"/>
  </r>
  <r>
    <s v="NHM-2024-100360"/>
    <s v="November"/>
    <x v="4"/>
    <n v="11"/>
    <d v="2024-11-29T00:00:00"/>
    <x v="0"/>
    <s v="Thomas Evans"/>
    <s v="NovaHealth Greenfield Clinic"/>
    <s v="Male"/>
    <n v="59"/>
    <x v="2"/>
    <n v="1"/>
    <x v="2"/>
    <x v="2"/>
    <n v="1799.99"/>
    <n v="1388.39"/>
    <n v="9.3000000000000007"/>
    <x v="0"/>
    <x v="0"/>
  </r>
  <r>
    <s v="NHM-2025-101623"/>
    <s v="July"/>
    <x v="8"/>
    <n v="7"/>
    <d v="2025-07-21T00:00:00"/>
    <x v="1"/>
    <s v="Brian Parker"/>
    <s v="NovaHealth Lakeshore Regional Center"/>
    <s v="Female"/>
    <n v="48"/>
    <x v="0"/>
    <n v="1"/>
    <x v="1"/>
    <x v="1"/>
    <n v="6980.5"/>
    <n v="5321.98"/>
    <n v="2.1"/>
    <x v="0"/>
    <x v="0"/>
  </r>
  <r>
    <s v="NHM-2024-101714"/>
    <s v="March"/>
    <x v="1"/>
    <n v="3"/>
    <d v="2024-03-11T00:00:00"/>
    <x v="0"/>
    <s v="Karen Gutierrez"/>
    <s v="NovaHealth Northside Hospital"/>
    <s v="Female"/>
    <n v="55"/>
    <x v="0"/>
    <n v="1"/>
    <x v="0"/>
    <x v="0"/>
    <n v="9107.02"/>
    <n v="5350.87"/>
    <n v="8.6"/>
    <x v="0"/>
    <x v="0"/>
  </r>
  <r>
    <s v="NHM-2026-102293"/>
    <s v="October"/>
    <x v="5"/>
    <n v="10"/>
    <d v="2025-10-25T00:00:00"/>
    <x v="1"/>
    <s v="Lawrence Reed"/>
    <s v="NovaHealth Greenfield Clinic"/>
    <s v="Female"/>
    <n v="54"/>
    <x v="0"/>
    <n v="1"/>
    <x v="2"/>
    <x v="2"/>
    <n v="3085.15"/>
    <n v="1945.94"/>
    <n v="8"/>
    <x v="0"/>
    <x v="0"/>
  </r>
  <r>
    <s v="NHM-2023-100271"/>
    <s v="December"/>
    <x v="6"/>
    <n v="12"/>
    <d v="2023-12-18T00:00:00"/>
    <x v="3"/>
    <s v="Jerry Ramirez"/>
    <s v="NovaHealth Midtown Medical Center"/>
    <s v="Male"/>
    <n v="55"/>
    <x v="0"/>
    <n v="2"/>
    <x v="3"/>
    <x v="3"/>
    <n v="4226.68"/>
    <n v="2730.68"/>
    <n v="3.2"/>
    <x v="1"/>
    <x v="0"/>
  </r>
  <r>
    <s v="NHM-2024-102122"/>
    <s v="September"/>
    <x v="7"/>
    <n v="9"/>
    <d v="2023-09-21T00:00:00"/>
    <x v="3"/>
    <s v="Nancy Bell"/>
    <s v="NovaHealth Lakeshore Regional Center"/>
    <s v="Female"/>
    <n v="39"/>
    <x v="0"/>
    <n v="1"/>
    <x v="1"/>
    <x v="1"/>
    <n v="6241.55"/>
    <n v="4181.84"/>
    <m/>
    <x v="0"/>
    <x v="0"/>
  </r>
  <r>
    <s v="NHM-2024-101596"/>
    <s v="July"/>
    <x v="8"/>
    <n v="7"/>
    <d v="2024-07-15T00:00:00"/>
    <x v="0"/>
    <s v="Logan Price"/>
    <s v="NovaHealth Greenfield Clinic"/>
    <s v="Female"/>
    <n v="60"/>
    <x v="2"/>
    <n v="1"/>
    <x v="0"/>
    <x v="0"/>
    <n v="7498.9"/>
    <n v="5343.63"/>
    <n v="11.8"/>
    <x v="0"/>
    <x v="0"/>
  </r>
  <r>
    <s v="NHM-2023-101630"/>
    <s v="June"/>
    <x v="11"/>
    <n v="6"/>
    <d v="2026-06-29T00:00:00"/>
    <x v="2"/>
    <s v="Sonia Porter"/>
    <s v="NovaHealth River Valley Hospital"/>
    <s v="Male"/>
    <n v="42"/>
    <x v="2"/>
    <n v="3"/>
    <x v="1"/>
    <x v="1"/>
    <n v="12044.43"/>
    <n v="8876.43"/>
    <n v="10.5"/>
    <x v="1"/>
    <x v="0"/>
  </r>
  <r>
    <s v="NHM-2026-102140"/>
    <s v="April"/>
    <x v="0"/>
    <n v="4"/>
    <d v="2026-04-16T00:00:00"/>
    <x v="2"/>
    <s v="Jennifer Cruz"/>
    <s v="NovaHealth Lakeside Medical Center"/>
    <s v="Female"/>
    <n v="74"/>
    <x v="2"/>
    <n v="3"/>
    <x v="7"/>
    <x v="7"/>
    <n v="8213.25"/>
    <n v="6330.87"/>
    <n v="11.1"/>
    <x v="1"/>
    <x v="1"/>
  </r>
  <r>
    <s v="NHM-2025-102464"/>
    <s v="June"/>
    <x v="11"/>
    <n v="6"/>
    <d v="2026-06-09T00:00:00"/>
    <x v="2"/>
    <s v="Rachel Hicks"/>
    <s v="NovaHealth Lakeside Medical Center"/>
    <s v="Female"/>
    <n v="89"/>
    <x v="0"/>
    <n v="2"/>
    <x v="3"/>
    <x v="3"/>
    <n v="7833.34"/>
    <n v="4628.9399999999996"/>
    <n v="10.7"/>
    <x v="1"/>
    <x v="1"/>
  </r>
  <r>
    <s v="NHM-2026-101004"/>
    <s v="August"/>
    <x v="10"/>
    <n v="8"/>
    <d v="2024-08-01T00:00:00"/>
    <x v="0"/>
    <s v="Joshua Owens"/>
    <s v="NovaHealth Lakeside Medical Center"/>
    <s v="Male"/>
    <n v="57"/>
    <x v="1"/>
    <n v="3"/>
    <x v="4"/>
    <x v="4"/>
    <n v="16760.900000000001"/>
    <n v="10317.75"/>
    <n v="11.7"/>
    <x v="1"/>
    <x v="0"/>
  </r>
  <r>
    <s v="NHM-2025-101789"/>
    <s v="January"/>
    <x v="3"/>
    <n v="1"/>
    <d v="2024-01-29T00:00:00"/>
    <x v="0"/>
    <s v="Donna Richardson"/>
    <s v="NovaHealth Northside Hospital"/>
    <s v="Female"/>
    <n v="90"/>
    <x v="0"/>
    <n v="1"/>
    <x v="3"/>
    <x v="3"/>
    <n v="7836.63"/>
    <n v="5073.84"/>
    <n v="7.3"/>
    <x v="0"/>
    <x v="1"/>
  </r>
  <r>
    <s v="NHM-2023-101529"/>
    <s v="December"/>
    <x v="6"/>
    <n v="12"/>
    <d v="2024-12-22T00:00:00"/>
    <x v="0"/>
    <s v="Scott Gonzales"/>
    <s v="NovaHealth River Valley Hospital"/>
    <s v="Male"/>
    <n v="69"/>
    <x v="2"/>
    <n v="5"/>
    <x v="2"/>
    <x v="2"/>
    <n v="5600.06"/>
    <n v="3831.24"/>
    <n v="9.9"/>
    <x v="2"/>
    <x v="1"/>
  </r>
  <r>
    <s v="NHM-2024-100523"/>
    <s v="February"/>
    <x v="2"/>
    <n v="2"/>
    <d v="2026-02-23T00:00:00"/>
    <x v="2"/>
    <s v="Benjamin Watson"/>
    <s v="NovaHealth Greenfield Clinic"/>
    <s v="Male"/>
    <n v="8"/>
    <x v="0"/>
    <n v="3"/>
    <x v="6"/>
    <x v="6"/>
    <n v="2751.91"/>
    <n v="1947.94"/>
    <n v="2.7"/>
    <x v="1"/>
    <x v="2"/>
  </r>
  <r>
    <s v="NHM-2024-100469"/>
    <s v="March"/>
    <x v="1"/>
    <n v="3"/>
    <d v="2026-03-03T00:00:00"/>
    <x v="2"/>
    <s v="Christine Scott"/>
    <s v="NovaHealth Lakeside Medical Center"/>
    <s v="Female"/>
    <n v="19"/>
    <x v="0"/>
    <n v="2"/>
    <x v="2"/>
    <x v="2"/>
    <n v="1417.55"/>
    <n v="1102.81"/>
    <n v="8.5"/>
    <x v="1"/>
    <x v="0"/>
  </r>
  <r>
    <s v="NHM-2023-101315"/>
    <s v="June"/>
    <x v="11"/>
    <n v="6"/>
    <d v="2026-06-12T00:00:00"/>
    <x v="2"/>
    <s v="Patricia Gutierrez"/>
    <s v="NovaHealth Greenfield Clinic"/>
    <s v="Female"/>
    <n v="13"/>
    <x v="0"/>
    <n v="2"/>
    <x v="6"/>
    <x v="6"/>
    <n v="2484.29"/>
    <n v="1902.46"/>
    <n v="1.8"/>
    <x v="1"/>
    <x v="2"/>
  </r>
  <r>
    <s v="NHM-2026-101159"/>
    <s v="October"/>
    <x v="5"/>
    <n v="10"/>
    <d v="2023-10-04T00:00:00"/>
    <x v="3"/>
    <s v="Valerie Powell"/>
    <s v="NovaHealth River Valley Hospital"/>
    <s v="Male"/>
    <n v="86"/>
    <x v="0"/>
    <n v="5"/>
    <x v="4"/>
    <x v="4"/>
    <n v="13944.22"/>
    <n v="8221.25"/>
    <n v="16.7"/>
    <x v="2"/>
    <x v="1"/>
  </r>
  <r>
    <s v="NHM-2026-101472"/>
    <s v="March"/>
    <x v="1"/>
    <n v="3"/>
    <d v="2024-03-26T00:00:00"/>
    <x v="0"/>
    <s v="Jeremy Morris"/>
    <s v="NovaHealth Northside Hospital"/>
    <s v="Female"/>
    <n v="3"/>
    <x v="0"/>
    <n v="2"/>
    <x v="6"/>
    <x v="6"/>
    <n v="2679.89"/>
    <n v="1643.53"/>
    <n v="1.1000000000000001"/>
    <x v="1"/>
    <x v="2"/>
  </r>
  <r>
    <s v="NHM-2025-101246"/>
    <s v="December"/>
    <x v="6"/>
    <n v="12"/>
    <d v="2025-12-02T00:00:00"/>
    <x v="1"/>
    <s v="Andrew Coleman"/>
    <s v="NovaHealth Greenfield Clinic"/>
    <s v="Female"/>
    <n v="39"/>
    <x v="0"/>
    <n v="1"/>
    <x v="2"/>
    <x v="2"/>
    <n v="1715.98"/>
    <n v="1155.03"/>
    <n v="7.1"/>
    <x v="0"/>
    <x v="0"/>
  </r>
  <r>
    <s v="NHM-2024-101733"/>
    <s v="December"/>
    <x v="6"/>
    <n v="12"/>
    <d v="2025-12-20T00:00:00"/>
    <x v="1"/>
    <s v="Jean Hamilton"/>
    <s v="NovaHealth Lakeside Medical Center"/>
    <s v="Female"/>
    <n v="55"/>
    <x v="1"/>
    <n v="4"/>
    <x v="4"/>
    <x v="4"/>
    <n v="16894.95"/>
    <n v="11460.42"/>
    <n v="17.600000000000001"/>
    <x v="2"/>
    <x v="0"/>
  </r>
  <r>
    <s v="NHM-2025-100229"/>
    <s v="August"/>
    <x v="10"/>
    <n v="8"/>
    <d v="2023-08-29T00:00:00"/>
    <x v="3"/>
    <s v="Joan Campbell"/>
    <s v="NovaHealth River Valley Hospital"/>
    <s v="Male"/>
    <n v="80"/>
    <x v="2"/>
    <n v="2"/>
    <x v="1"/>
    <x v="1"/>
    <n v="5899.64"/>
    <n v="4147.3500000000004"/>
    <n v="2.2000000000000002"/>
    <x v="1"/>
    <x v="1"/>
  </r>
  <r>
    <s v="NHM-2024-100214"/>
    <s v="May"/>
    <x v="9"/>
    <n v="5"/>
    <d v="2025-05-13T00:00:00"/>
    <x v="1"/>
    <s v="Emily Alexander"/>
    <s v="NovaHealth Chicago Medical Center"/>
    <s v="Female"/>
    <n v="75"/>
    <x v="1"/>
    <n v="5"/>
    <x v="5"/>
    <x v="5"/>
    <n v="15354.11"/>
    <n v="11254.1"/>
    <n v="5.7"/>
    <x v="2"/>
    <x v="1"/>
  </r>
  <r>
    <s v="NHM-2024-100763"/>
    <s v="March"/>
    <x v="1"/>
    <n v="3"/>
    <d v="2026-03-20T00:00:00"/>
    <x v="2"/>
    <s v="Frank Green"/>
    <s v="NovaHealth Northside Hospital"/>
    <s v="Female"/>
    <n v="54"/>
    <x v="0"/>
    <n v="2"/>
    <x v="7"/>
    <x v="7"/>
    <n v="10392.26"/>
    <n v="7986.92"/>
    <n v="11.1"/>
    <x v="1"/>
    <x v="0"/>
  </r>
  <r>
    <s v="NHM-2026-100802"/>
    <s v="December"/>
    <x v="6"/>
    <n v="12"/>
    <d v="2023-12-18T00:00:00"/>
    <x v="3"/>
    <s v="Lawrence Richardson"/>
    <s v="NovaHealth Northside Hospital"/>
    <s v="Male"/>
    <n v="57"/>
    <x v="2"/>
    <n v="2"/>
    <x v="3"/>
    <x v="3"/>
    <n v="6306.54"/>
    <n v="3710.59"/>
    <n v="6.6"/>
    <x v="1"/>
    <x v="0"/>
  </r>
  <r>
    <s v="NHM-2026-100509"/>
    <s v="November"/>
    <x v="4"/>
    <n v="11"/>
    <d v="2024-11-27T00:00:00"/>
    <x v="0"/>
    <s v="Edward Crawford"/>
    <s v="NovaHealth Greenfield Clinic"/>
    <s v="Female"/>
    <n v="39"/>
    <x v="1"/>
    <n v="4"/>
    <x v="0"/>
    <x v="0"/>
    <n v="12656.24"/>
    <n v="7790.71"/>
    <n v="8.8000000000000007"/>
    <x v="2"/>
    <x v="0"/>
  </r>
  <r>
    <s v="NHM-2025-101515"/>
    <s v="March"/>
    <x v="1"/>
    <n v="3"/>
    <d v="2026-03-16T00:00:00"/>
    <x v="2"/>
    <s v="Andrea Thompson"/>
    <s v="NovaHealth Lakeside Medical Center"/>
    <s v="Female"/>
    <n v="88"/>
    <x v="1"/>
    <n v="4"/>
    <x v="4"/>
    <x v="4"/>
    <n v="19256.11"/>
    <n v="12414.31"/>
    <n v="11.3"/>
    <x v="2"/>
    <x v="1"/>
  </r>
  <r>
    <s v="NHM-2023-101377"/>
    <s v="July"/>
    <x v="8"/>
    <n v="7"/>
    <d v="2025-07-08T00:00:00"/>
    <x v="1"/>
    <s v="Zachary Gonzales"/>
    <s v="NovaHealth Lakeside Medical Center"/>
    <s v="Female"/>
    <n v="31"/>
    <x v="0"/>
    <n v="1"/>
    <x v="2"/>
    <x v="2"/>
    <n v="2853.91"/>
    <n v="1980.12"/>
    <n v="8.5"/>
    <x v="0"/>
    <x v="0"/>
  </r>
  <r>
    <s v="NHM-2023-101190"/>
    <s v="April"/>
    <x v="0"/>
    <n v="4"/>
    <d v="2026-04-23T00:00:00"/>
    <x v="2"/>
    <s v="Victoria Torres"/>
    <s v="NovaHealth Greenfield Clinic"/>
    <s v="Male"/>
    <n v="76"/>
    <x v="0"/>
    <n v="3"/>
    <x v="7"/>
    <x v="7"/>
    <n v="9818.9699999999993"/>
    <n v="7061.28"/>
    <n v="23.5"/>
    <x v="1"/>
    <x v="1"/>
  </r>
  <r>
    <s v="NHM-2023-100317"/>
    <s v="September"/>
    <x v="7"/>
    <n v="9"/>
    <d v="2025-09-11T00:00:00"/>
    <x v="1"/>
    <s v="Jason Sanders"/>
    <s v="NovaHealth Chicago Medical Center"/>
    <s v="Female"/>
    <n v="59"/>
    <x v="0"/>
    <n v="2"/>
    <x v="3"/>
    <x v="3"/>
    <n v="9476.48"/>
    <n v="6945.03"/>
    <n v="3.4"/>
    <x v="1"/>
    <x v="0"/>
  </r>
  <r>
    <s v="NHM-2024-102028"/>
    <s v="March"/>
    <x v="1"/>
    <n v="3"/>
    <d v="2026-03-12T00:00:00"/>
    <x v="2"/>
    <s v="Megan Patterson"/>
    <s v="NovaHealth Midtown Medical Center"/>
    <s v="Female"/>
    <n v="29"/>
    <x v="0"/>
    <n v="1"/>
    <x v="7"/>
    <x v="7"/>
    <n v="3550.91"/>
    <n v="2803.49"/>
    <n v="13.1"/>
    <x v="0"/>
    <x v="0"/>
  </r>
  <r>
    <s v="NHM-2026-100679"/>
    <s v="April"/>
    <x v="0"/>
    <n v="4"/>
    <d v="2024-04-18T00:00:00"/>
    <x v="0"/>
    <s v="Jennifer Dixon"/>
    <s v="NovaHealth River Valley Hospital"/>
    <s v="Female"/>
    <n v="66"/>
    <x v="2"/>
    <n v="4"/>
    <x v="4"/>
    <x v="4"/>
    <n v="12332.29"/>
    <n v="7264.73"/>
    <n v="14"/>
    <x v="2"/>
    <x v="1"/>
  </r>
  <r>
    <s v="NHM-2026-100439"/>
    <s v="March"/>
    <x v="1"/>
    <n v="3"/>
    <d v="2024-03-15T00:00:00"/>
    <x v="0"/>
    <s v="Kelly Griffin"/>
    <s v="NovaHealth Midtown Medical Center"/>
    <s v="Male"/>
    <n v="27"/>
    <x v="0"/>
    <n v="3"/>
    <x v="5"/>
    <x v="5"/>
    <n v="18358.22"/>
    <n v="11220.11"/>
    <n v="2.7"/>
    <x v="1"/>
    <x v="0"/>
  </r>
  <r>
    <s v="NHM-2024-100578"/>
    <s v="November"/>
    <x v="4"/>
    <n v="11"/>
    <d v="2024-11-25T00:00:00"/>
    <x v="0"/>
    <s v="Angela Owens"/>
    <s v="NovaHealth Lakeside Medical Center"/>
    <s v="Female"/>
    <n v="54"/>
    <x v="2"/>
    <n v="2"/>
    <x v="0"/>
    <x v="0"/>
    <n v="9055.3700000000008"/>
    <n v="5860.24"/>
    <n v="8.1"/>
    <x v="1"/>
    <x v="0"/>
  </r>
  <r>
    <s v="NHM-2025-102234"/>
    <s v="April"/>
    <x v="0"/>
    <n v="4"/>
    <d v="2025-04-17T00:00:00"/>
    <x v="1"/>
    <s v="Alice Bryant"/>
    <s v="NovaHealth Greenfield Clinic"/>
    <s v="Male"/>
    <n v="72"/>
    <x v="1"/>
    <n v="4"/>
    <x v="7"/>
    <x v="7"/>
    <n v="5339.79"/>
    <n v="3733.66"/>
    <n v="19.5"/>
    <x v="2"/>
    <x v="1"/>
  </r>
  <r>
    <s v="NHM-2026-102048"/>
    <s v="October"/>
    <x v="5"/>
    <n v="10"/>
    <d v="2025-10-02T00:00:00"/>
    <x v="1"/>
    <s v="Rachel Davis"/>
    <s v="NovaHealth Northside Hospital"/>
    <s v="Male"/>
    <n v="35"/>
    <x v="2"/>
    <n v="4"/>
    <x v="0"/>
    <x v="0"/>
    <n v="8128.49"/>
    <n v="5737.94"/>
    <n v="6"/>
    <x v="2"/>
    <x v="0"/>
  </r>
  <r>
    <s v="NHM-2023-101325"/>
    <s v="April"/>
    <x v="0"/>
    <n v="4"/>
    <d v="2024-04-02T00:00:00"/>
    <x v="0"/>
    <s v="Denise Morales"/>
    <s v="NovaHealth Lakeside Medical Center"/>
    <s v="Male"/>
    <n v="65"/>
    <x v="0"/>
    <n v="5"/>
    <x v="5"/>
    <x v="5"/>
    <n v="13481.68"/>
    <n v="9934.43"/>
    <n v="11.6"/>
    <x v="2"/>
    <x v="1"/>
  </r>
  <r>
    <s v="NHM-2024-102220"/>
    <s v="November"/>
    <x v="4"/>
    <n v="11"/>
    <d v="2023-11-30T00:00:00"/>
    <x v="3"/>
    <s v="Lauren Thomas"/>
    <s v="NovaHealth Lakeside Medical Center"/>
    <s v="Male"/>
    <n v="24"/>
    <x v="0"/>
    <n v="2"/>
    <x v="1"/>
    <x v="1"/>
    <n v="6039.36"/>
    <n v="4661.1099999999997"/>
    <n v="8.9"/>
    <x v="1"/>
    <x v="0"/>
  </r>
  <r>
    <s v="NHM-2025-100811"/>
    <s v="July"/>
    <x v="8"/>
    <n v="7"/>
    <d v="2024-07-30T00:00:00"/>
    <x v="0"/>
    <s v="Joyce Ramirez"/>
    <s v="NovaHealth Chicago Medical Center"/>
    <s v="Female"/>
    <n v="91"/>
    <x v="1"/>
    <n v="4"/>
    <x v="3"/>
    <x v="3"/>
    <n v="11720.12"/>
    <n v="6854.47"/>
    <n v="7.1"/>
    <x v="2"/>
    <x v="1"/>
  </r>
  <r>
    <s v="NHM-2026-101533"/>
    <s v="June"/>
    <x v="11"/>
    <n v="6"/>
    <d v="2026-06-02T00:00:00"/>
    <x v="2"/>
    <s v="Virginia Bailey"/>
    <s v="NovaHealth River Valley Hospital"/>
    <s v="Female"/>
    <n v="33"/>
    <x v="0"/>
    <n v="4"/>
    <x v="5"/>
    <x v="5"/>
    <n v="17042.72"/>
    <n v="10480.86"/>
    <n v="10.6"/>
    <x v="2"/>
    <x v="0"/>
  </r>
  <r>
    <s v="NHM-2023-100628"/>
    <s v="June"/>
    <x v="11"/>
    <n v="6"/>
    <d v="2024-06-11T00:00:00"/>
    <x v="0"/>
    <s v="Emily Hughes"/>
    <s v="NovaHealth Midtown Medical Center"/>
    <s v="Female"/>
    <n v="72"/>
    <x v="2"/>
    <n v="3"/>
    <x v="1"/>
    <x v="1"/>
    <n v="13940.93"/>
    <n v="9010.2000000000007"/>
    <n v="11"/>
    <x v="1"/>
    <x v="1"/>
  </r>
  <r>
    <s v="NHM-2023-100210"/>
    <s v="December"/>
    <x v="6"/>
    <n v="12"/>
    <d v="2025-12-14T00:00:00"/>
    <x v="1"/>
    <s v="Amanda Rodriguez"/>
    <s v="NovaHealth Midtown Medical Center"/>
    <s v="Male"/>
    <n v="56"/>
    <x v="0"/>
    <n v="2"/>
    <x v="0"/>
    <x v="0"/>
    <n v="10056.959999999999"/>
    <n v="6820.56"/>
    <n v="10.3"/>
    <x v="1"/>
    <x v="0"/>
  </r>
  <r>
    <s v="NHM-2023-101272"/>
    <s v="October"/>
    <x v="5"/>
    <n v="10"/>
    <d v="2024-10-03T00:00:00"/>
    <x v="0"/>
    <s v="Maria Jimenez"/>
    <s v="NovaHealth Lakeshore Regional Center"/>
    <s v="Female"/>
    <n v="76"/>
    <x v="1"/>
    <n v="3"/>
    <x v="2"/>
    <x v="2"/>
    <n v="4473.67"/>
    <n v="3207.57"/>
    <n v="9.5"/>
    <x v="1"/>
    <x v="1"/>
  </r>
  <r>
    <s v="NHM-2025-101910"/>
    <s v="September"/>
    <x v="7"/>
    <n v="9"/>
    <d v="2024-09-16T00:00:00"/>
    <x v="0"/>
    <s v="Julia Johnson"/>
    <s v="NovaHealth Greenfield Clinic"/>
    <s v="Male"/>
    <n v="83"/>
    <x v="0"/>
    <n v="3"/>
    <x v="0"/>
    <x v="0"/>
    <n v="13677.67"/>
    <n v="10038.299999999999"/>
    <n v="6.7"/>
    <x v="1"/>
    <x v="1"/>
  </r>
  <r>
    <s v="NHM-2026-100822"/>
    <s v="May"/>
    <x v="9"/>
    <n v="5"/>
    <d v="2024-05-02T00:00:00"/>
    <x v="0"/>
    <s v="Austin Crawford"/>
    <s v="NovaHealth Lakeside Medical Center"/>
    <s v="Male"/>
    <n v="11"/>
    <x v="0"/>
    <n v="1"/>
    <x v="6"/>
    <x v="6"/>
    <n v="820.03"/>
    <n v="628.82000000000005"/>
    <n v="0.7"/>
    <x v="0"/>
    <x v="2"/>
  </r>
  <r>
    <s v="NHM-2026-100516"/>
    <s v="November"/>
    <x v="4"/>
    <n v="11"/>
    <d v="2025-11-10T00:00:00"/>
    <x v="1"/>
    <s v="Jeffrey Coleman"/>
    <s v="NovaHealth Chicago Medical Center"/>
    <s v="Female"/>
    <n v="49"/>
    <x v="0"/>
    <n v="1"/>
    <x v="2"/>
    <x v="2"/>
    <n v="4176.07"/>
    <n v="2483.7199999999998"/>
    <n v="7.7"/>
    <x v="0"/>
    <x v="0"/>
  </r>
  <r>
    <s v="NHM-2025-102052"/>
    <s v="November"/>
    <x v="4"/>
    <n v="11"/>
    <d v="2024-11-12T00:00:00"/>
    <x v="0"/>
    <s v="Maria Gonzalez"/>
    <s v="NovaHealth Lakeside Medical Center"/>
    <s v="Female"/>
    <n v="30"/>
    <x v="0"/>
    <n v="2"/>
    <x v="2"/>
    <x v="2"/>
    <n v="4520.24"/>
    <n v="2802.15"/>
    <n v="5.6"/>
    <x v="1"/>
    <x v="0"/>
  </r>
  <r>
    <s v="NHM-2023-102396"/>
    <s v="April"/>
    <x v="0"/>
    <n v="4"/>
    <d v="2024-04-05T00:00:00"/>
    <x v="0"/>
    <s v="Christine Barnes"/>
    <s v="NovaHealth Northside Hospital"/>
    <s v="Male"/>
    <n v="70"/>
    <x v="0"/>
    <n v="4"/>
    <x v="4"/>
    <x v="4"/>
    <n v="15650.26"/>
    <n v="10148.969999999999"/>
    <n v="16.600000000000001"/>
    <x v="2"/>
    <x v="1"/>
  </r>
  <r>
    <s v="NHM-2025-101999"/>
    <s v="December"/>
    <x v="6"/>
    <n v="12"/>
    <d v="2025-12-24T00:00:00"/>
    <x v="1"/>
    <s v="Linda Powell"/>
    <s v="NovaHealth Northside Hospital"/>
    <s v="Male"/>
    <n v="74"/>
    <x v="0"/>
    <n v="2"/>
    <x v="0"/>
    <x v="0"/>
    <n v="12139.44"/>
    <n v="8151.02"/>
    <n v="2.2000000000000002"/>
    <x v="1"/>
    <x v="1"/>
  </r>
  <r>
    <s v="NHM-2026-102049"/>
    <s v="May"/>
    <x v="9"/>
    <n v="5"/>
    <d v="2024-05-07T00:00:00"/>
    <x v="0"/>
    <s v="Beverly Cole"/>
    <s v="NovaHealth Lakeside Medical Center"/>
    <s v="Female"/>
    <n v="34"/>
    <x v="2"/>
    <n v="3"/>
    <x v="7"/>
    <x v="7"/>
    <n v="6812.12"/>
    <n v="4928.4799999999996"/>
    <n v="20"/>
    <x v="1"/>
    <x v="0"/>
  </r>
  <r>
    <s v="NHM-2024-100673"/>
    <s v="June"/>
    <x v="11"/>
    <n v="6"/>
    <d v="2026-06-26T00:00:00"/>
    <x v="2"/>
    <s v="Patrick Adams"/>
    <s v="NovaHealth Chicago Medical Center"/>
    <s v="Female"/>
    <n v="61"/>
    <x v="2"/>
    <n v="4"/>
    <x v="5"/>
    <x v="5"/>
    <n v="19823.29"/>
    <n v="14538.2"/>
    <n v="8.4"/>
    <x v="2"/>
    <x v="0"/>
  </r>
  <r>
    <s v="NHM-2025-101637"/>
    <s v="May"/>
    <x v="9"/>
    <n v="5"/>
    <d v="2024-05-30T00:00:00"/>
    <x v="0"/>
    <s v="Anna Flores"/>
    <s v="NovaHealth Greenfield Clinic"/>
    <s v="Female"/>
    <n v="81"/>
    <x v="1"/>
    <n v="4"/>
    <x v="5"/>
    <x v="5"/>
    <n v="15440.07"/>
    <n v="11810.45"/>
    <n v="9.5"/>
    <x v="2"/>
    <x v="1"/>
  </r>
  <r>
    <s v="NHM-2023-100659"/>
    <s v="June"/>
    <x v="11"/>
    <n v="6"/>
    <d v="2026-06-15T00:00:00"/>
    <x v="2"/>
    <s v="Jordan Gonzales"/>
    <s v="NovaHealth Chicago Medical Center"/>
    <s v="Female"/>
    <n v="83"/>
    <x v="2"/>
    <n v="5"/>
    <x v="0"/>
    <x v="0"/>
    <n v="13009.8"/>
    <n v="7594.48"/>
    <n v="6.1"/>
    <x v="2"/>
    <x v="1"/>
  </r>
  <r>
    <s v="NHM-2023-102026"/>
    <s v="September"/>
    <x v="7"/>
    <n v="9"/>
    <d v="2023-09-06T00:00:00"/>
    <x v="3"/>
    <s v="Willie Coleman"/>
    <s v="NovaHealth Chicago Medical Center"/>
    <s v="Male"/>
    <n v="4"/>
    <x v="2"/>
    <n v="3"/>
    <x v="6"/>
    <x v="6"/>
    <n v="1065.98"/>
    <n v="686.25"/>
    <n v="4.5"/>
    <x v="1"/>
    <x v="2"/>
  </r>
  <r>
    <s v="NHM-2023-102435"/>
    <s v="December"/>
    <x v="6"/>
    <n v="12"/>
    <d v="2023-12-06T00:00:00"/>
    <x v="3"/>
    <s v="Christian Lee"/>
    <s v="NovaHealth Greenfield Clinic"/>
    <s v="Male"/>
    <n v="25"/>
    <x v="1"/>
    <n v="4"/>
    <x v="2"/>
    <x v="2"/>
    <n v="6513.31"/>
    <n v="4214.12"/>
    <n v="5.7"/>
    <x v="2"/>
    <x v="0"/>
  </r>
  <r>
    <s v="NHM-2023-101071"/>
    <s v="May"/>
    <x v="9"/>
    <n v="5"/>
    <d v="2026-05-14T00:00:00"/>
    <x v="2"/>
    <s v="Jason Ramos"/>
    <s v="NovaHealth Midtown Medical Center"/>
    <s v="Female"/>
    <n v="72"/>
    <x v="2"/>
    <n v="3"/>
    <x v="7"/>
    <x v="7"/>
    <n v="6589.46"/>
    <n v="4502.1400000000003"/>
    <n v="10.9"/>
    <x v="1"/>
    <x v="1"/>
  </r>
  <r>
    <s v="NHM-2025-102170"/>
    <s v="May"/>
    <x v="9"/>
    <n v="5"/>
    <d v="2024-05-17T00:00:00"/>
    <x v="0"/>
    <s v="Virginia Morgan"/>
    <s v="NovaHealth Chicago Medical Center"/>
    <s v="Female"/>
    <n v="37"/>
    <x v="2"/>
    <n v="5"/>
    <x v="5"/>
    <x v="5"/>
    <n v="13624.5"/>
    <n v="9607.5499999999993"/>
    <n v="8.8000000000000007"/>
    <x v="2"/>
    <x v="0"/>
  </r>
  <r>
    <s v="NHM-2025-100315"/>
    <s v="March"/>
    <x v="1"/>
    <n v="3"/>
    <d v="2024-03-28T00:00:00"/>
    <x v="0"/>
    <s v="Joshua White"/>
    <s v="NovaHealth Lakeside Medical Center"/>
    <s v="Male"/>
    <n v="93"/>
    <x v="1"/>
    <n v="5"/>
    <x v="3"/>
    <x v="3"/>
    <n v="12001.95"/>
    <n v="8792.6200000000008"/>
    <n v="3.9"/>
    <x v="2"/>
    <x v="1"/>
  </r>
  <r>
    <s v="NHM-2023-101815"/>
    <s v="October"/>
    <x v="5"/>
    <n v="10"/>
    <d v="2025-10-30T00:00:00"/>
    <x v="1"/>
    <s v="Zachary Marshall"/>
    <s v="NovaHealth Northside Hospital"/>
    <s v="Female"/>
    <n v="55"/>
    <x v="0"/>
    <n v="3"/>
    <x v="1"/>
    <x v="1"/>
    <n v="10494.34"/>
    <n v="8070.1"/>
    <n v="11.8"/>
    <x v="1"/>
    <x v="0"/>
  </r>
  <r>
    <s v="NHM-2024-101574"/>
    <s v="June"/>
    <x v="11"/>
    <n v="6"/>
    <d v="2025-06-18T00:00:00"/>
    <x v="1"/>
    <s v="Jordan Lewis"/>
    <s v="NovaHealth Oakridge Community Hospital"/>
    <s v="Male"/>
    <n v="48"/>
    <x v="0"/>
    <n v="2"/>
    <x v="2"/>
    <x v="2"/>
    <n v="3839.25"/>
    <n v="2266.7600000000002"/>
    <n v="5"/>
    <x v="1"/>
    <x v="0"/>
  </r>
  <r>
    <s v="NHM-2026-101755"/>
    <s v="June"/>
    <x v="11"/>
    <n v="6"/>
    <d v="2026-06-26T00:00:00"/>
    <x v="2"/>
    <s v="Elijah Murphy"/>
    <s v="NovaHealth Midtown Medical Center"/>
    <s v="Female"/>
    <n v="89"/>
    <x v="1"/>
    <n v="4"/>
    <x v="4"/>
    <x v="4"/>
    <n v="10355.91"/>
    <n v="6450.71"/>
    <n v="16.7"/>
    <x v="2"/>
    <x v="1"/>
  </r>
  <r>
    <s v="NHM-2024-102151"/>
    <s v="October"/>
    <x v="5"/>
    <n v="10"/>
    <d v="2025-10-24T00:00:00"/>
    <x v="1"/>
    <s v="Katherine Hamilton"/>
    <s v="NovaHealth Northside Hospital"/>
    <s v="Male"/>
    <n v="90"/>
    <x v="2"/>
    <n v="4"/>
    <x v="4"/>
    <x v="4"/>
    <n v="15446.04"/>
    <n v="9969.4699999999993"/>
    <n v="10.5"/>
    <x v="2"/>
    <x v="1"/>
  </r>
  <r>
    <s v="NHM-2024-101683"/>
    <s v="January"/>
    <x v="3"/>
    <n v="1"/>
    <d v="2026-01-02T00:00:00"/>
    <x v="2"/>
    <s v="Kyle Kim"/>
    <s v="NovaHealth Chicago Medical Center"/>
    <s v="Female"/>
    <n v="80"/>
    <x v="0"/>
    <n v="3"/>
    <x v="1"/>
    <x v="1"/>
    <n v="11165.57"/>
    <n v="7529.73"/>
    <n v="6.1"/>
    <x v="1"/>
    <x v="1"/>
  </r>
  <r>
    <s v="NHM-2023-100749"/>
    <s v="July"/>
    <x v="8"/>
    <n v="7"/>
    <d v="2025-07-31T00:00:00"/>
    <x v="1"/>
    <s v="Donna Gomez"/>
    <s v="NovaHealth Northside Hospital"/>
    <s v="Female"/>
    <n v="54"/>
    <x v="0"/>
    <n v="1"/>
    <x v="1"/>
    <x v="1"/>
    <n v="8926.2000000000007"/>
    <n v="6298.74"/>
    <n v="6.3"/>
    <x v="0"/>
    <x v="0"/>
  </r>
  <r>
    <s v="NHM-2023-100355"/>
    <s v="April"/>
    <x v="0"/>
    <n v="4"/>
    <d v="2025-04-22T00:00:00"/>
    <x v="1"/>
    <s v="Bryan Hughes"/>
    <s v="NovaHealth Northside Hospital"/>
    <s v="Female"/>
    <n v="16"/>
    <x v="2"/>
    <n v="1"/>
    <x v="6"/>
    <x v="6"/>
    <n v="1812.76"/>
    <n v="1358.51"/>
    <n v="4.4000000000000004"/>
    <x v="0"/>
    <x v="2"/>
  </r>
  <r>
    <s v="NHM-2023-100809"/>
    <s v="March"/>
    <x v="1"/>
    <n v="3"/>
    <d v="2026-03-13T00:00:00"/>
    <x v="2"/>
    <s v="Samuel Gutierrez"/>
    <s v="NovaHealth Chicago Medical Center"/>
    <s v="Male"/>
    <n v="42"/>
    <x v="0"/>
    <n v="1"/>
    <x v="7"/>
    <x v="7"/>
    <n v="7863.95"/>
    <n v="6072.6"/>
    <n v="12"/>
    <x v="0"/>
    <x v="0"/>
  </r>
  <r>
    <s v="NHM-2025-102219"/>
    <s v="May"/>
    <x v="9"/>
    <n v="5"/>
    <d v="2024-05-28T00:00:00"/>
    <x v="0"/>
    <s v="Anna Warren"/>
    <s v="NovaHealth Lakeside Medical Center"/>
    <s v="Male"/>
    <n v="29"/>
    <x v="2"/>
    <n v="5"/>
    <x v="2"/>
    <x v="2"/>
    <n v="6172.23"/>
    <n v="3624.69"/>
    <n v="5.6"/>
    <x v="2"/>
    <x v="0"/>
  </r>
  <r>
    <s v="NHM-2023-100717"/>
    <s v="June"/>
    <x v="11"/>
    <n v="6"/>
    <d v="2024-06-06T00:00:00"/>
    <x v="0"/>
    <s v="Lisa Stevens"/>
    <s v="NovaHealth Midtown Medical Center"/>
    <s v="Female"/>
    <n v="91"/>
    <x v="0"/>
    <n v="3"/>
    <x v="3"/>
    <x v="3"/>
    <n v="7487.64"/>
    <n v="4601.0600000000004"/>
    <n v="4.2"/>
    <x v="1"/>
    <x v="1"/>
  </r>
  <r>
    <s v="NHM-2025-101334"/>
    <s v="July"/>
    <x v="8"/>
    <n v="7"/>
    <d v="2026-07-13T00:00:00"/>
    <x v="2"/>
    <s v="Janice Rodriguez"/>
    <s v="NovaHealth Oakridge Community Hospital"/>
    <s v="Female"/>
    <n v="73"/>
    <x v="2"/>
    <n v="5"/>
    <x v="7"/>
    <x v="7"/>
    <n v="14580.74"/>
    <n v="9521.27"/>
    <n v="23.7"/>
    <x v="2"/>
    <x v="1"/>
  </r>
  <r>
    <s v="NHM-2024-102083"/>
    <s v="May"/>
    <x v="9"/>
    <n v="5"/>
    <d v="2025-05-02T00:00:00"/>
    <x v="1"/>
    <s v="Sharon Evans"/>
    <s v="NovaHealth Metro General Hospital"/>
    <s v="Female"/>
    <n v="60"/>
    <x v="2"/>
    <n v="4"/>
    <x v="4"/>
    <x v="4"/>
    <n v="13777.41"/>
    <n v="9336.4599999999991"/>
    <n v="13.2"/>
    <x v="2"/>
    <x v="0"/>
  </r>
  <r>
    <s v="NHM-2025-101594"/>
    <s v="April"/>
    <x v="0"/>
    <n v="4"/>
    <d v="2025-04-15T00:00:00"/>
    <x v="1"/>
    <s v="Carolyn Morales"/>
    <s v="NovaHealth Chicago Medical Center"/>
    <s v="Male"/>
    <n v="92"/>
    <x v="0"/>
    <n v="2"/>
    <x v="3"/>
    <x v="3"/>
    <n v="8821.9"/>
    <n v="6206.53"/>
    <n v="3.9"/>
    <x v="1"/>
    <x v="1"/>
  </r>
  <r>
    <s v="NHM-2023-102104"/>
    <s v="August"/>
    <x v="10"/>
    <n v="8"/>
    <d v="2025-08-05T00:00:00"/>
    <x v="1"/>
    <s v="Albert Wallace"/>
    <s v="NovaHealth Chicago Medical Center"/>
    <s v="Male"/>
    <n v="66"/>
    <x v="0"/>
    <n v="3"/>
    <x v="0"/>
    <x v="0"/>
    <n v="8075.31"/>
    <n v="5918.18"/>
    <n v="2.9"/>
    <x v="1"/>
    <x v="1"/>
  </r>
  <r>
    <s v="NHM-2024-101043"/>
    <s v="August"/>
    <x v="10"/>
    <n v="8"/>
    <d v="2024-08-27T00:00:00"/>
    <x v="0"/>
    <s v="Willie Murphy"/>
    <s v="NovaHealth Midtown Medical Center"/>
    <s v="Female"/>
    <n v="32"/>
    <x v="0"/>
    <n v="4"/>
    <x v="2"/>
    <x v="2"/>
    <n v="2537.31"/>
    <n v="1998.76"/>
    <n v="8.8000000000000007"/>
    <x v="2"/>
    <x v="0"/>
  </r>
  <r>
    <s v="NHM-2026-102484"/>
    <s v="June"/>
    <x v="11"/>
    <n v="6"/>
    <d v="2026-06-25T00:00:00"/>
    <x v="2"/>
    <s v="Deborah Miller"/>
    <s v="NovaHealth Lakeside Medical Center"/>
    <s v="Male"/>
    <n v="17"/>
    <x v="0"/>
    <n v="1"/>
    <x v="6"/>
    <x v="6"/>
    <n v="1960.14"/>
    <n v="1140.8800000000001"/>
    <n v="0.5"/>
    <x v="0"/>
    <x v="2"/>
  </r>
  <r>
    <s v="NHM-2023-101040"/>
    <s v="June"/>
    <x v="11"/>
    <n v="6"/>
    <d v="2025-06-19T00:00:00"/>
    <x v="1"/>
    <s v="Peter Morales"/>
    <s v="NovaHealth Metro General Hospital"/>
    <s v="Male"/>
    <n v="51"/>
    <x v="0"/>
    <n v="1"/>
    <x v="7"/>
    <x v="7"/>
    <n v="3009.59"/>
    <n v="1963.05"/>
    <n v="15.9"/>
    <x v="0"/>
    <x v="0"/>
  </r>
  <r>
    <s v="NHM-2023-101042"/>
    <s v="May"/>
    <x v="9"/>
    <n v="5"/>
    <d v="2026-05-08T00:00:00"/>
    <x v="2"/>
    <s v="Carol Mendoza"/>
    <s v="NovaHealth Lakeside Medical Center"/>
    <s v="Male"/>
    <n v="72"/>
    <x v="0"/>
    <n v="2"/>
    <x v="7"/>
    <x v="7"/>
    <n v="6935.95"/>
    <n v="4555.8100000000004"/>
    <n v="14.6"/>
    <x v="1"/>
    <x v="1"/>
  </r>
  <r>
    <s v="NHM-2023-100206"/>
    <s v="December"/>
    <x v="6"/>
    <n v="12"/>
    <d v="2025-12-30T00:00:00"/>
    <x v="1"/>
    <s v="Donna James"/>
    <s v="NovaHealth Northside Hospital"/>
    <s v="Male"/>
    <n v="94"/>
    <x v="0"/>
    <n v="5"/>
    <x v="4"/>
    <x v="4"/>
    <n v="16853.47"/>
    <n v="11433.42"/>
    <n v="17.7"/>
    <x v="2"/>
    <x v="1"/>
  </r>
  <r>
    <s v="NHM-2026-100959"/>
    <s v="April"/>
    <x v="0"/>
    <n v="4"/>
    <d v="2024-04-03T00:00:00"/>
    <x v="0"/>
    <s v="Maria Baker"/>
    <s v="NovaHealth Lakeside Medical Center"/>
    <s v="Male"/>
    <n v="36"/>
    <x v="2"/>
    <n v="3"/>
    <x v="5"/>
    <x v="5"/>
    <n v="14954.12"/>
    <n v="10494.28"/>
    <n v="3.3"/>
    <x v="1"/>
    <x v="0"/>
  </r>
  <r>
    <s v="NHM-2025-100571"/>
    <s v="October"/>
    <x v="5"/>
    <n v="10"/>
    <d v="2023-10-19T00:00:00"/>
    <x v="3"/>
    <s v="Joyce Sanders"/>
    <s v="NovaHealth Metro General Hospital"/>
    <s v="Female"/>
    <n v="3"/>
    <x v="0"/>
    <n v="2"/>
    <x v="6"/>
    <x v="6"/>
    <n v="781.71"/>
    <n v="615.45000000000005"/>
    <n v="5.6"/>
    <x v="1"/>
    <x v="2"/>
  </r>
  <r>
    <s v="NHM-2026-101717"/>
    <s v="October"/>
    <x v="5"/>
    <n v="10"/>
    <d v="2025-10-17T00:00:00"/>
    <x v="1"/>
    <s v="Elizabeth Perez"/>
    <s v="NovaHealth Chicago Medical Center"/>
    <s v="Female"/>
    <n v="13"/>
    <x v="0"/>
    <n v="2"/>
    <x v="6"/>
    <x v="6"/>
    <n v="1927.74"/>
    <n v="1476.28"/>
    <n v="1.4"/>
    <x v="1"/>
    <x v="2"/>
  </r>
  <r>
    <s v="NHM-2025-100391"/>
    <s v="June"/>
    <x v="11"/>
    <n v="6"/>
    <d v="2024-06-21T00:00:00"/>
    <x v="0"/>
    <s v="Bruce Taylor"/>
    <s v="NovaHealth Lakeside Medical Center"/>
    <s v="Male"/>
    <n v="86"/>
    <x v="0"/>
    <n v="3"/>
    <x v="5"/>
    <x v="5"/>
    <n v="16864.759999999998"/>
    <n v="9801.56"/>
    <n v="2.5"/>
    <x v="1"/>
    <x v="1"/>
  </r>
  <r>
    <s v="NHM-2024-101897"/>
    <s v="December"/>
    <x v="6"/>
    <n v="12"/>
    <d v="2023-12-15T00:00:00"/>
    <x v="3"/>
    <s v="Ethan Woods"/>
    <s v="NovaHealth River Valley Hospital"/>
    <s v="Male"/>
    <n v="0"/>
    <x v="0"/>
    <n v="1"/>
    <x v="6"/>
    <x v="6"/>
    <n v="1454.11"/>
    <n v="921.41"/>
    <n v="4.3"/>
    <x v="0"/>
    <x v="2"/>
  </r>
  <r>
    <s v="NHM-2023-102480"/>
    <s v="December"/>
    <x v="6"/>
    <n v="12"/>
    <d v="2023-12-22T00:00:00"/>
    <x v="3"/>
    <s v="Daniel Campbell"/>
    <s v="NovaHealth River Valley Hospital"/>
    <s v="Male"/>
    <n v="47"/>
    <x v="0"/>
    <n v="1"/>
    <x v="3"/>
    <x v="3"/>
    <n v="6044.9"/>
    <n v="3936.74"/>
    <n v="8.5"/>
    <x v="0"/>
    <x v="0"/>
  </r>
  <r>
    <s v="NHM-2024-102213"/>
    <s v="October"/>
    <x v="5"/>
    <n v="10"/>
    <d v="2024-10-11T00:00:00"/>
    <x v="0"/>
    <s v="Joe Chavez"/>
    <s v="NovaHealth Greenfield Clinic"/>
    <s v="Female"/>
    <n v="74"/>
    <x v="0"/>
    <n v="5"/>
    <x v="0"/>
    <x v="0"/>
    <n v="17505.2"/>
    <n v="11771.68"/>
    <n v="5.4"/>
    <x v="2"/>
    <x v="1"/>
  </r>
  <r>
    <s v="NHM-2026-100494"/>
    <s v="February"/>
    <x v="2"/>
    <n v="2"/>
    <d v="2025-02-25T00:00:00"/>
    <x v="1"/>
    <s v="Martha Rogers"/>
    <s v="NovaHealth Midtown Medical Center"/>
    <s v="Female"/>
    <n v="60"/>
    <x v="0"/>
    <n v="1"/>
    <x v="7"/>
    <x v="7"/>
    <n v="4615.08"/>
    <n v="3379.36"/>
    <n v="18.600000000000001"/>
    <x v="0"/>
    <x v="0"/>
  </r>
  <r>
    <s v="NHM-2026-101934"/>
    <s v="July"/>
    <x v="8"/>
    <n v="7"/>
    <d v="2024-07-23T00:00:00"/>
    <x v="0"/>
    <s v="Jean Lewis"/>
    <s v="NovaHealth Lakeside Medical Center"/>
    <s v="Female"/>
    <n v="58"/>
    <x v="1"/>
    <n v="4"/>
    <x v="5"/>
    <x v="5"/>
    <n v="21186.13"/>
    <n v="15522.67"/>
    <n v="7.1"/>
    <x v="2"/>
    <x v="0"/>
  </r>
  <r>
    <s v="NHM-2023-101635"/>
    <s v="April"/>
    <x v="0"/>
    <n v="4"/>
    <d v="2025-04-24T00:00:00"/>
    <x v="1"/>
    <s v="Patricia Gomez"/>
    <s v="NovaHealth Greenfield Clinic"/>
    <s v="Male"/>
    <n v="13"/>
    <x v="2"/>
    <n v="1"/>
    <x v="6"/>
    <x v="6"/>
    <n v="2140.2800000000002"/>
    <n v="1647.41"/>
    <n v="2.6"/>
    <x v="0"/>
    <x v="2"/>
  </r>
  <r>
    <s v="NHM-2024-101968"/>
    <s v="November"/>
    <x v="4"/>
    <n v="11"/>
    <d v="2023-11-03T00:00:00"/>
    <x v="3"/>
    <s v="Jordan Martin"/>
    <s v="NovaHealth Chicago Medical Center"/>
    <s v="Female"/>
    <n v="46"/>
    <x v="0"/>
    <n v="1"/>
    <x v="2"/>
    <x v="2"/>
    <n v="2126.39"/>
    <n v="1290.1099999999999"/>
    <n v="7.1"/>
    <x v="0"/>
    <x v="0"/>
  </r>
  <r>
    <s v="NHM-2026-101262"/>
    <s v="September"/>
    <x v="7"/>
    <n v="9"/>
    <d v="2025-09-01T00:00:00"/>
    <x v="1"/>
    <s v="Daniel Simmons"/>
    <s v="NovaHealth Chicago Medical Center"/>
    <s v="Female"/>
    <n v="6"/>
    <x v="0"/>
    <n v="1"/>
    <x v="6"/>
    <x v="6"/>
    <n v="964.49"/>
    <n v="626.74"/>
    <n v="4.8"/>
    <x v="0"/>
    <x v="2"/>
  </r>
  <r>
    <s v="NHM-2024-102370"/>
    <s v="March"/>
    <x v="1"/>
    <n v="3"/>
    <d v="2026-03-12T00:00:00"/>
    <x v="2"/>
    <s v="Martha Wells"/>
    <s v="NovaHealth Metro General Hospital"/>
    <s v="Male"/>
    <n v="11"/>
    <x v="2"/>
    <n v="4"/>
    <x v="6"/>
    <x v="6"/>
    <n v="1279.3900000000001"/>
    <n v="818.81"/>
    <n v="0"/>
    <x v="2"/>
    <x v="2"/>
  </r>
  <r>
    <s v="NHM-2023-100273"/>
    <s v="March"/>
    <x v="1"/>
    <n v="3"/>
    <d v="2024-03-25T00:00:00"/>
    <x v="0"/>
    <s v="Dorothy Allen"/>
    <s v="NovaHealth Northside Hospital"/>
    <s v="Female"/>
    <n v="60"/>
    <x v="0"/>
    <n v="3"/>
    <x v="2"/>
    <x v="2"/>
    <n v="1927.81"/>
    <n v="1371.63"/>
    <n v="10"/>
    <x v="1"/>
    <x v="0"/>
  </r>
  <r>
    <s v="NHM-2023-101164"/>
    <s v="April"/>
    <x v="0"/>
    <n v="4"/>
    <d v="2025-04-09T00:00:00"/>
    <x v="1"/>
    <s v="Dylan Murphy"/>
    <s v="NovaHealth Greenfield Clinic"/>
    <s v="Female"/>
    <n v="76"/>
    <x v="1"/>
    <n v="5"/>
    <x v="2"/>
    <x v="2"/>
    <n v="2696.95"/>
    <n v="1951.86"/>
    <n v="8"/>
    <x v="2"/>
    <x v="1"/>
  </r>
  <r>
    <s v="NHM-2023-102458"/>
    <s v="October"/>
    <x v="5"/>
    <n v="10"/>
    <d v="2025-10-30T00:00:00"/>
    <x v="1"/>
    <s v="Rebecca Parker"/>
    <s v="NovaHealth Metro General Hospital"/>
    <s v="Male"/>
    <n v="61"/>
    <x v="0"/>
    <n v="1"/>
    <x v="7"/>
    <x v="7"/>
    <n v="5431.83"/>
    <n v="4151.6400000000003"/>
    <n v="23.3"/>
    <x v="0"/>
    <x v="0"/>
  </r>
  <r>
    <s v="NHM-2023-100434"/>
    <s v="December"/>
    <x v="6"/>
    <n v="12"/>
    <d v="2025-12-29T00:00:00"/>
    <x v="1"/>
    <s v="Cynthia White"/>
    <s v="NovaHealth Chicago Medical Center"/>
    <s v="Male"/>
    <n v="17"/>
    <x v="0"/>
    <n v="1"/>
    <x v="6"/>
    <x v="6"/>
    <n v="587.73"/>
    <n v="469.07"/>
    <n v="2.8"/>
    <x v="0"/>
    <x v="2"/>
  </r>
  <r>
    <s v="NHM-2024-101124"/>
    <s v="May"/>
    <x v="9"/>
    <n v="5"/>
    <d v="2025-05-30T00:00:00"/>
    <x v="1"/>
    <s v="Gloria Richardson"/>
    <s v="NovaHealth Northside Hospital"/>
    <s v="Male"/>
    <n v="78"/>
    <x v="1"/>
    <n v="5"/>
    <x v="1"/>
    <x v="1"/>
    <n v="18504.3"/>
    <n v="10758.09"/>
    <n v="3.2"/>
    <x v="2"/>
    <x v="1"/>
  </r>
  <r>
    <s v="NHM-2025-100805"/>
    <s v="December"/>
    <x v="6"/>
    <n v="12"/>
    <d v="2023-12-17T00:00:00"/>
    <x v="3"/>
    <s v="Justin Long"/>
    <s v="NovaHealth Lakeshore Regional Center"/>
    <s v="Female"/>
    <n v="63"/>
    <x v="0"/>
    <n v="1"/>
    <x v="2"/>
    <x v="2"/>
    <n v="1991.06"/>
    <n v="1280.1500000000001"/>
    <n v="8.1999999999999993"/>
    <x v="0"/>
    <x v="0"/>
  </r>
  <r>
    <s v="NHM-2023-101041"/>
    <s v="January"/>
    <x v="3"/>
    <n v="1"/>
    <d v="2025-01-24T00:00:00"/>
    <x v="1"/>
    <s v="Betty Perry"/>
    <s v="NovaHealth Midtown Medical Center"/>
    <s v="Female"/>
    <n v="84"/>
    <x v="1"/>
    <n v="4"/>
    <x v="3"/>
    <x v="3"/>
    <n v="5953.05"/>
    <n v="3903.55"/>
    <n v="11.7"/>
    <x v="2"/>
    <x v="1"/>
  </r>
  <r>
    <s v="NHM-2023-100156"/>
    <s v="October"/>
    <x v="5"/>
    <n v="10"/>
    <d v="2024-10-17T00:00:00"/>
    <x v="0"/>
    <s v="Jerry James"/>
    <s v="NovaHealth River Valley Hospital"/>
    <s v="Male"/>
    <n v="74"/>
    <x v="0"/>
    <n v="2"/>
    <x v="7"/>
    <x v="7"/>
    <n v="6892.46"/>
    <n v="4617.95"/>
    <m/>
    <x v="1"/>
    <x v="1"/>
  </r>
  <r>
    <s v="NHM-2023-100048"/>
    <s v="October"/>
    <x v="5"/>
    <n v="10"/>
    <d v="2024-10-04T00:00:00"/>
    <x v="0"/>
    <s v="Sandra Ross"/>
    <s v="NovaHealth Midtown Medical Center"/>
    <s v="Male"/>
    <n v="17"/>
    <x v="2"/>
    <n v="1"/>
    <x v="6"/>
    <x v="6"/>
    <n v="2344.48"/>
    <n v="1662.74"/>
    <n v="2.7"/>
    <x v="0"/>
    <x v="2"/>
  </r>
  <r>
    <s v="NHM-2026-101803"/>
    <s v="August"/>
    <x v="10"/>
    <n v="8"/>
    <d v="2024-08-26T00:00:00"/>
    <x v="0"/>
    <s v="Patricia Peterson"/>
    <s v="NovaHealth Chicago Medical Center"/>
    <s v="Female"/>
    <n v="74"/>
    <x v="1"/>
    <n v="5"/>
    <x v="2"/>
    <x v="2"/>
    <n v="3433.07"/>
    <n v="2562.14"/>
    <n v="7"/>
    <x v="2"/>
    <x v="1"/>
  </r>
  <r>
    <s v="NHM-2024-101981"/>
    <s v="April"/>
    <x v="0"/>
    <n v="4"/>
    <d v="2024-04-29T00:00:00"/>
    <x v="0"/>
    <s v="Joan Ford"/>
    <s v="NovaHealth Lakeside Medical Center"/>
    <s v="Female"/>
    <n v="49"/>
    <x v="0"/>
    <n v="2"/>
    <x v="3"/>
    <x v="3"/>
    <n v="8559.2099999999991"/>
    <n v="6588.2"/>
    <n v="10.4"/>
    <x v="1"/>
    <x v="0"/>
  </r>
  <r>
    <s v="NHM-2025-102494"/>
    <s v="October"/>
    <x v="5"/>
    <n v="10"/>
    <d v="2025-10-09T00:00:00"/>
    <x v="1"/>
    <s v="Stephanie Woods"/>
    <s v="NovaHealth Lakeside Medical Center"/>
    <s v="Male"/>
    <n v="71"/>
    <x v="0"/>
    <n v="3"/>
    <x v="3"/>
    <x v="3"/>
    <n v="8328.09"/>
    <n v="4902.29"/>
    <n v="9"/>
    <x v="1"/>
    <x v="1"/>
  </r>
  <r>
    <s v="NHM-2025-100750"/>
    <s v="November"/>
    <x v="4"/>
    <n v="11"/>
    <d v="2023-11-20T00:00:00"/>
    <x v="3"/>
    <s v="Ralph Hunter"/>
    <s v="NovaHealth River Valley Hospital"/>
    <s v="Male"/>
    <n v="33"/>
    <x v="0"/>
    <n v="2"/>
    <x v="1"/>
    <x v="1"/>
    <n v="12368.97"/>
    <n v="7564.27"/>
    <n v="2.4"/>
    <x v="1"/>
    <x v="0"/>
  </r>
  <r>
    <s v="NHM-2024-100915"/>
    <s v="January"/>
    <x v="3"/>
    <n v="1"/>
    <d v="2026-01-22T00:00:00"/>
    <x v="2"/>
    <s v="Jason Hill"/>
    <s v="NovaHealth Lakeside Medical Center"/>
    <s v="Female"/>
    <n v="30"/>
    <x v="0"/>
    <n v="1"/>
    <x v="2"/>
    <x v="2"/>
    <n v="3283.97"/>
    <n v="2141.7399999999998"/>
    <n v="5"/>
    <x v="0"/>
    <x v="0"/>
  </r>
  <r>
    <s v="NHM-2025-100334"/>
    <s v="May"/>
    <x v="9"/>
    <n v="5"/>
    <d v="2024-05-21T00:00:00"/>
    <x v="0"/>
    <s v="Rebecca Gutierrez"/>
    <s v="NovaHealth Greenfield Clinic"/>
    <s v="Female"/>
    <n v="4"/>
    <x v="0"/>
    <n v="2"/>
    <x v="6"/>
    <x v="6"/>
    <n v="1210.67"/>
    <n v="815.95"/>
    <n v="0.6"/>
    <x v="1"/>
    <x v="2"/>
  </r>
  <r>
    <s v="NHM-2023-101861"/>
    <s v="July"/>
    <x v="8"/>
    <n v="7"/>
    <d v="2024-07-23T00:00:00"/>
    <x v="0"/>
    <s v="Alexander White"/>
    <s v="NovaHealth Metro General Hospital"/>
    <s v="Female"/>
    <n v="88"/>
    <x v="1"/>
    <n v="5"/>
    <x v="5"/>
    <x v="5"/>
    <n v="24529.31"/>
    <n v="17254.52"/>
    <n v="10.5"/>
    <x v="2"/>
    <x v="1"/>
  </r>
  <r>
    <s v="NHM-2023-101151"/>
    <s v="February"/>
    <x v="2"/>
    <n v="2"/>
    <d v="2025-02-01T00:00:00"/>
    <x v="1"/>
    <s v="Joseph Carter"/>
    <s v="NovaHealth Northside Hospital"/>
    <s v="Female"/>
    <n v="50"/>
    <x v="2"/>
    <n v="5"/>
    <x v="3"/>
    <x v="3"/>
    <n v="9854.9500000000007"/>
    <n v="7274.11"/>
    <n v="10"/>
    <x v="2"/>
    <x v="0"/>
  </r>
  <r>
    <s v="NHM-2023-100687"/>
    <s v="April"/>
    <x v="0"/>
    <n v="4"/>
    <d v="2026-04-10T00:00:00"/>
    <x v="2"/>
    <s v="Lauren Stevens"/>
    <s v="NovaHealth Northside Hospital"/>
    <s v="Male"/>
    <n v="45"/>
    <x v="2"/>
    <n v="3"/>
    <x v="1"/>
    <x v="1"/>
    <n v="12700.87"/>
    <n v="9720.66"/>
    <n v="8.5"/>
    <x v="1"/>
    <x v="0"/>
  </r>
  <r>
    <s v="NHM-2025-101519"/>
    <s v="July"/>
    <x v="8"/>
    <n v="7"/>
    <d v="2024-07-11T00:00:00"/>
    <x v="0"/>
    <s v="Brenda Martinez"/>
    <s v="NovaHealth Chicago Medical Center"/>
    <s v="Male"/>
    <n v="81"/>
    <x v="0"/>
    <n v="5"/>
    <x v="5"/>
    <x v="5"/>
    <n v="21750.09"/>
    <n v="12682.25"/>
    <n v="8.4"/>
    <x v="2"/>
    <x v="1"/>
  </r>
  <r>
    <s v="NHM-2024-102171"/>
    <s v="June"/>
    <x v="11"/>
    <n v="6"/>
    <d v="2025-06-19T00:00:00"/>
    <x v="1"/>
    <s v="Jose Marshall"/>
    <s v="NovaHealth Greenfield Clinic"/>
    <s v="Female"/>
    <n v="85"/>
    <x v="0"/>
    <n v="5"/>
    <x v="5"/>
    <x v="5"/>
    <n v="24326.67"/>
    <n v="14888.07"/>
    <n v="6.1"/>
    <x v="2"/>
    <x v="1"/>
  </r>
  <r>
    <s v="NHM-2026-100405"/>
    <s v="December"/>
    <x v="6"/>
    <n v="12"/>
    <d v="2023-12-11T00:00:00"/>
    <x v="3"/>
    <s v="Amy Young"/>
    <s v="NovaHealth Chicago Medical Center"/>
    <s v="Female"/>
    <n v="28"/>
    <x v="0"/>
    <n v="2"/>
    <x v="1"/>
    <x v="1"/>
    <n v="8361.7999999999993"/>
    <n v="5381.15"/>
    <n v="3.7"/>
    <x v="1"/>
    <x v="0"/>
  </r>
  <r>
    <s v="NHM-2026-101453"/>
    <s v="May"/>
    <x v="9"/>
    <n v="5"/>
    <d v="2025-05-06T00:00:00"/>
    <x v="1"/>
    <s v="Roger Kennedy"/>
    <s v="NovaHealth Northside Hospital"/>
    <s v="Male"/>
    <n v="60"/>
    <x v="1"/>
    <n v="5"/>
    <x v="4"/>
    <x v="4"/>
    <n v="11574.63"/>
    <n v="7822.2"/>
    <n v="8.4"/>
    <x v="2"/>
    <x v="0"/>
  </r>
  <r>
    <s v="NHM-2026-100370"/>
    <s v="May"/>
    <x v="9"/>
    <n v="5"/>
    <d v="2026-05-29T00:00:00"/>
    <x v="2"/>
    <s v="Heather Ramos"/>
    <s v="NovaHealth Northside Hospital"/>
    <s v="Male"/>
    <n v="43"/>
    <x v="0"/>
    <n v="1"/>
    <x v="1"/>
    <x v="1"/>
    <n v="9235.9699999999993"/>
    <n v="6543.58"/>
    <n v="9.8000000000000007"/>
    <x v="0"/>
    <x v="0"/>
  </r>
  <r>
    <s v="NHM-2023-100910"/>
    <s v="August"/>
    <x v="10"/>
    <n v="8"/>
    <d v="2025-08-31T00:00:00"/>
    <x v="1"/>
    <s v="Elizabeth Cook"/>
    <s v="NovaHealth Greenfield Clinic"/>
    <s v="Male"/>
    <n v="65"/>
    <x v="2"/>
    <n v="3"/>
    <x v="2"/>
    <x v="2"/>
    <n v="4294.29"/>
    <n v="3196.43"/>
    <n v="7.7"/>
    <x v="1"/>
    <x v="1"/>
  </r>
  <r>
    <s v="NHM-2023-101679"/>
    <s v="June"/>
    <x v="11"/>
    <n v="6"/>
    <d v="2025-06-09T00:00:00"/>
    <x v="1"/>
    <s v="Mark Ramirez"/>
    <s v="NovaHealth Chicago Medical Center"/>
    <s v="Female"/>
    <n v="53"/>
    <x v="2"/>
    <n v="1"/>
    <x v="2"/>
    <x v="2"/>
    <n v="3188.19"/>
    <n v="2487.02"/>
    <n v="8"/>
    <x v="0"/>
    <x v="0"/>
  </r>
  <r>
    <s v="NHM-2024-101281"/>
    <s v="November"/>
    <x v="4"/>
    <n v="11"/>
    <d v="2024-11-21T00:00:00"/>
    <x v="0"/>
    <s v="Austin Walker"/>
    <s v="NovaHealth Midtown Medical Center"/>
    <s v="Female"/>
    <n v="38"/>
    <x v="2"/>
    <n v="4"/>
    <x v="0"/>
    <x v="0"/>
    <n v="8017.9"/>
    <n v="4694.38"/>
    <n v="5.5"/>
    <x v="2"/>
    <x v="0"/>
  </r>
  <r>
    <s v="NHM-2025-102208"/>
    <s v="December"/>
    <x v="6"/>
    <n v="12"/>
    <d v="2025-12-02T00:00:00"/>
    <x v="1"/>
    <s v="Sonia Murphy"/>
    <s v="NovaHealth Chicago Medical Center"/>
    <s v="Male"/>
    <n v="54"/>
    <x v="2"/>
    <n v="5"/>
    <x v="5"/>
    <x v="5"/>
    <n v="24539.39"/>
    <n v="15012.23"/>
    <n v="5.4"/>
    <x v="2"/>
    <x v="0"/>
  </r>
  <r>
    <s v="NHM-2025-100934"/>
    <s v="March"/>
    <x v="1"/>
    <n v="3"/>
    <d v="2024-03-04T00:00:00"/>
    <x v="0"/>
    <s v="Dennis Alvarez"/>
    <s v="NovaHealth River Valley Hospital"/>
    <s v="Female"/>
    <n v="79"/>
    <x v="0"/>
    <n v="2"/>
    <x v="1"/>
    <x v="1"/>
    <n v="12113.4"/>
    <n v="7792.58"/>
    <n v="5"/>
    <x v="1"/>
    <x v="1"/>
  </r>
  <r>
    <s v="NHM-2026-100112"/>
    <s v="August"/>
    <x v="10"/>
    <n v="8"/>
    <d v="2025-08-13T00:00:00"/>
    <x v="1"/>
    <s v="John Ward"/>
    <s v="NovaHealth Northside Hospital"/>
    <s v="Male"/>
    <n v="50"/>
    <x v="0"/>
    <n v="1"/>
    <x v="1"/>
    <x v="1"/>
    <n v="7482.27"/>
    <n v="5062.72"/>
    <n v="6.2"/>
    <x v="0"/>
    <x v="0"/>
  </r>
  <r>
    <s v="NHM-2026-100028"/>
    <s v="July"/>
    <x v="8"/>
    <n v="7"/>
    <d v="2025-07-08T00:00:00"/>
    <x v="1"/>
    <s v="Jeffrey Boyd"/>
    <s v="NovaHealth Northside Hospital"/>
    <s v="Female"/>
    <n v="11"/>
    <x v="0"/>
    <n v="1"/>
    <x v="6"/>
    <x v="6"/>
    <n v="1600.97"/>
    <n v="1120.68"/>
    <m/>
    <x v="0"/>
    <x v="2"/>
  </r>
  <r>
    <s v="NHM-2023-100039"/>
    <s v="July"/>
    <x v="8"/>
    <n v="7"/>
    <d v="2025-07-07T00:00:00"/>
    <x v="1"/>
    <s v="Christopher Freeman"/>
    <s v="NovaHealth Lakeside Medical Center"/>
    <s v="Female"/>
    <n v="27"/>
    <x v="2"/>
    <n v="3"/>
    <x v="5"/>
    <x v="5"/>
    <n v="10074"/>
    <n v="7383.62"/>
    <n v="3.7"/>
    <x v="1"/>
    <x v="0"/>
  </r>
  <r>
    <s v="NHM-2025-100217"/>
    <s v="September"/>
    <x v="7"/>
    <n v="9"/>
    <d v="2025-09-05T00:00:00"/>
    <x v="1"/>
    <s v="Nicole Rodriguez"/>
    <s v="NovaHealth River Valley Hospital"/>
    <s v="Female"/>
    <n v="81"/>
    <x v="2"/>
    <n v="2"/>
    <x v="7"/>
    <x v="7"/>
    <n v="7526.85"/>
    <n v="5808.41"/>
    <n v="11"/>
    <x v="1"/>
    <x v="1"/>
  </r>
  <r>
    <s v="NHM-2023-101699"/>
    <s v="April"/>
    <x v="0"/>
    <n v="4"/>
    <d v="2025-04-21T00:00:00"/>
    <x v="1"/>
    <s v="Billy Cook"/>
    <s v="NovaHealth River Valley Hospital"/>
    <s v="Female"/>
    <n v="42"/>
    <x v="0"/>
    <n v="2"/>
    <x v="1"/>
    <x v="1"/>
    <n v="9082.31"/>
    <n v="5346.14"/>
    <n v="9.8000000000000007"/>
    <x v="1"/>
    <x v="0"/>
  </r>
  <r>
    <s v="NHM-2023-102249"/>
    <s v="November"/>
    <x v="4"/>
    <n v="11"/>
    <d v="2024-11-18T00:00:00"/>
    <x v="0"/>
    <s v="Heather Smith"/>
    <s v="NovaHealth Lakeside Medical Center"/>
    <s v="Male"/>
    <n v="2"/>
    <x v="0"/>
    <n v="1"/>
    <x v="6"/>
    <x v="6"/>
    <n v="2296.9699999999998"/>
    <n v="1420.35"/>
    <n v="2.4"/>
    <x v="0"/>
    <x v="2"/>
  </r>
  <r>
    <s v="NHM-2024-101750"/>
    <s v="April"/>
    <x v="0"/>
    <n v="4"/>
    <d v="2026-04-27T00:00:00"/>
    <x v="2"/>
    <s v="Matthew Ortiz"/>
    <s v="NovaHealth Oakridge Community Hospital"/>
    <s v="Female"/>
    <n v="25"/>
    <x v="0"/>
    <n v="2"/>
    <x v="7"/>
    <x v="7"/>
    <n v="9398.27"/>
    <n v="6101.29"/>
    <n v="10.8"/>
    <x v="1"/>
    <x v="0"/>
  </r>
  <r>
    <s v="NHM-2025-102425"/>
    <s v="September"/>
    <x v="7"/>
    <n v="9"/>
    <d v="2023-09-16T00:00:00"/>
    <x v="3"/>
    <s v="Andrew Ramos"/>
    <s v="NovaHealth River Valley Hospital"/>
    <s v="Female"/>
    <n v="57"/>
    <x v="2"/>
    <n v="3"/>
    <x v="4"/>
    <x v="4"/>
    <n v="19842.8"/>
    <n v="13425.08"/>
    <n v="16.3"/>
    <x v="1"/>
    <x v="0"/>
  </r>
  <r>
    <s v="NHM-2025-101835"/>
    <s v="August"/>
    <x v="10"/>
    <n v="8"/>
    <d v="2025-08-06T00:00:00"/>
    <x v="1"/>
    <s v="Judy Brooks"/>
    <s v="NovaHealth Metro General Hospital"/>
    <s v="Female"/>
    <n v="1"/>
    <x v="0"/>
    <n v="1"/>
    <x v="6"/>
    <x v="6"/>
    <n v="1464.5"/>
    <n v="1049.1500000000001"/>
    <n v="3"/>
    <x v="0"/>
    <x v="2"/>
  </r>
  <r>
    <s v="NHM-2024-101067"/>
    <s v="February"/>
    <x v="2"/>
    <n v="2"/>
    <d v="2026-02-26T00:00:00"/>
    <x v="2"/>
    <s v="William Porter"/>
    <s v="NovaHealth River Valley Hospital"/>
    <s v="Female"/>
    <n v="23"/>
    <x v="0"/>
    <n v="2"/>
    <x v="0"/>
    <x v="0"/>
    <n v="10483.9"/>
    <n v="7744.45"/>
    <n v="11.4"/>
    <x v="1"/>
    <x v="0"/>
  </r>
  <r>
    <s v="NHM-2024-101696"/>
    <s v="January"/>
    <x v="3"/>
    <n v="1"/>
    <d v="2025-01-02T00:00:00"/>
    <x v="1"/>
    <s v="Adam Castillo"/>
    <s v="NovaHealth Lakeside Medical Center"/>
    <s v="Female"/>
    <n v="40"/>
    <x v="0"/>
    <n v="1"/>
    <x v="1"/>
    <x v="1"/>
    <n v="11300.82"/>
    <n v="8634.2199999999993"/>
    <n v="5.7"/>
    <x v="0"/>
    <x v="0"/>
  </r>
  <r>
    <s v="NHM-2026-101113"/>
    <s v="January"/>
    <x v="3"/>
    <n v="1"/>
    <d v="2025-01-09T00:00:00"/>
    <x v="1"/>
    <s v="Jacob Porter"/>
    <s v="NovaHealth Lakeside Medical Center"/>
    <s v="Female"/>
    <n v="71"/>
    <x v="2"/>
    <n v="4"/>
    <x v="4"/>
    <x v="4"/>
    <n v="22570.39"/>
    <n v="13159.63"/>
    <n v="8.6"/>
    <x v="2"/>
    <x v="1"/>
  </r>
  <r>
    <s v="NHM-2023-101737"/>
    <s v="June"/>
    <x v="11"/>
    <n v="6"/>
    <d v="2025-06-16T00:00:00"/>
    <x v="1"/>
    <s v="Diane Marshall"/>
    <s v="NovaHealth Oakridge Community Hospital"/>
    <s v="Female"/>
    <n v="78"/>
    <x v="0"/>
    <n v="1"/>
    <x v="3"/>
    <x v="3"/>
    <n v="8735.23"/>
    <n v="5373.29"/>
    <n v="5.6"/>
    <x v="0"/>
    <x v="1"/>
  </r>
  <r>
    <s v="NHM-2026-101833"/>
    <s v="April"/>
    <x v="0"/>
    <n v="4"/>
    <d v="2024-04-17T00:00:00"/>
    <x v="0"/>
    <s v="Bruce Gonzalez"/>
    <s v="NovaHealth Midtown Medical Center"/>
    <s v="Female"/>
    <n v="88"/>
    <x v="2"/>
    <n v="2"/>
    <x v="3"/>
    <x v="3"/>
    <n v="9635.64"/>
    <n v="6204.41"/>
    <n v="4.7"/>
    <x v="1"/>
    <x v="1"/>
  </r>
  <r>
    <s v="NHM-2024-101866"/>
    <s v="October"/>
    <x v="5"/>
    <n v="10"/>
    <d v="2025-10-27T00:00:00"/>
    <x v="1"/>
    <s v="Samuel Owens"/>
    <s v="NovaHealth Chicago Medical Center"/>
    <s v="Male"/>
    <n v="93"/>
    <x v="2"/>
    <n v="3"/>
    <x v="4"/>
    <x v="4"/>
    <n v="17605.54"/>
    <n v="11892.51"/>
    <n v="12.1"/>
    <x v="1"/>
    <x v="1"/>
  </r>
  <r>
    <s v="NHM-2025-100916"/>
    <s v="February"/>
    <x v="2"/>
    <n v="2"/>
    <d v="2025-02-04T00:00:00"/>
    <x v="1"/>
    <s v="George Parker"/>
    <s v="NovaHealth Northside Hospital"/>
    <s v="Male"/>
    <n v="48"/>
    <x v="1"/>
    <n v="3"/>
    <x v="2"/>
    <x v="2"/>
    <n v="3006.53"/>
    <n v="2170.9699999999998"/>
    <n v="8.3000000000000007"/>
    <x v="1"/>
    <x v="0"/>
  </r>
  <r>
    <s v="NHM-2023-100722"/>
    <s v="March"/>
    <x v="1"/>
    <n v="3"/>
    <d v="2025-03-30T00:00:00"/>
    <x v="1"/>
    <s v="Ashley Rodriguez"/>
    <s v="NovaHealth Northside Hospital"/>
    <s v="Male"/>
    <n v="91"/>
    <x v="0"/>
    <n v="3"/>
    <x v="4"/>
    <x v="4"/>
    <n v="12552.51"/>
    <n v="9246.5300000000007"/>
    <n v="10.4"/>
    <x v="1"/>
    <x v="1"/>
  </r>
  <r>
    <s v="NHM-2023-102067"/>
    <s v="September"/>
    <x v="7"/>
    <n v="9"/>
    <d v="2024-09-26T00:00:00"/>
    <x v="0"/>
    <s v="Madison Perez"/>
    <s v="NovaHealth Lakeside Medical Center"/>
    <s v="Male"/>
    <n v="79"/>
    <x v="2"/>
    <n v="3"/>
    <x v="2"/>
    <x v="2"/>
    <n v="6245.09"/>
    <n v="4785.47"/>
    <n v="4.9000000000000004"/>
    <x v="1"/>
    <x v="1"/>
  </r>
  <r>
    <s v="NHM-2024-101327"/>
    <s v="March"/>
    <x v="1"/>
    <n v="3"/>
    <d v="2024-03-12T00:00:00"/>
    <x v="0"/>
    <s v="Joseph Harrison"/>
    <s v="NovaHealth Midtown Medical Center"/>
    <s v="Female"/>
    <n v="72"/>
    <x v="2"/>
    <n v="4"/>
    <x v="3"/>
    <x v="3"/>
    <n v="6414.14"/>
    <n v="3764.2"/>
    <n v="5.5"/>
    <x v="2"/>
    <x v="1"/>
  </r>
  <r>
    <s v="NHM-2025-101105"/>
    <s v="August"/>
    <x v="10"/>
    <n v="8"/>
    <d v="2024-08-05T00:00:00"/>
    <x v="0"/>
    <s v="Janet Tucker"/>
    <s v="NovaHealth River Valley Hospital"/>
    <s v="Male"/>
    <n v="5"/>
    <x v="2"/>
    <n v="3"/>
    <x v="6"/>
    <x v="6"/>
    <n v="1817.33"/>
    <n v="1117.3699999999999"/>
    <n v="1.1000000000000001"/>
    <x v="1"/>
    <x v="2"/>
  </r>
  <r>
    <s v="NHM-2023-100729"/>
    <s v="September"/>
    <x v="7"/>
    <n v="9"/>
    <d v="2023-09-13T00:00:00"/>
    <x v="3"/>
    <s v="Christina Clark"/>
    <s v="NovaHealth Greenfield Clinic"/>
    <s v="Female"/>
    <n v="62"/>
    <x v="1"/>
    <n v="5"/>
    <x v="4"/>
    <x v="4"/>
    <n v="20094.310000000001"/>
    <n v="12986.76"/>
    <n v="15.8"/>
    <x v="2"/>
    <x v="0"/>
  </r>
  <r>
    <s v="NHM-2025-101309"/>
    <s v="January"/>
    <x v="3"/>
    <n v="1"/>
    <d v="2024-01-10T00:00:00"/>
    <x v="0"/>
    <s v="Sara Porter"/>
    <s v="NovaHealth Chicago Medical Center"/>
    <s v="Female"/>
    <n v="12"/>
    <x v="1"/>
    <n v="3"/>
    <x v="6"/>
    <x v="6"/>
    <n v="2584.58"/>
    <n v="1775.67"/>
    <n v="5.5"/>
    <x v="1"/>
    <x v="2"/>
  </r>
  <r>
    <s v="NHM-2024-100736"/>
    <s v="November"/>
    <x v="4"/>
    <n v="11"/>
    <d v="2024-11-07T00:00:00"/>
    <x v="0"/>
    <s v="Angela Jackson"/>
    <s v="NovaHealth Northside Hospital"/>
    <s v="Female"/>
    <n v="82"/>
    <x v="2"/>
    <n v="3"/>
    <x v="7"/>
    <x v="7"/>
    <n v="5790.72"/>
    <n v="4181.5"/>
    <n v="16"/>
    <x v="1"/>
    <x v="1"/>
  </r>
  <r>
    <s v="NHM-2023-101551"/>
    <s v="January"/>
    <x v="3"/>
    <n v="1"/>
    <d v="2026-01-13T00:00:00"/>
    <x v="2"/>
    <s v="Jack Murray"/>
    <s v="NovaHealth Midtown Medical Center"/>
    <s v="Male"/>
    <n v="3"/>
    <x v="0"/>
    <n v="1"/>
    <x v="6"/>
    <x v="6"/>
    <n v="638.54"/>
    <n v="494.93"/>
    <n v="3.6"/>
    <x v="0"/>
    <x v="2"/>
  </r>
  <r>
    <s v="NHM-2024-101561"/>
    <s v="March"/>
    <x v="1"/>
    <n v="3"/>
    <d v="2024-03-28T00:00:00"/>
    <x v="0"/>
    <s v="Joe Morales"/>
    <s v="NovaHealth Midtown Medical Center"/>
    <s v="Female"/>
    <n v="72"/>
    <x v="0"/>
    <n v="2"/>
    <x v="1"/>
    <x v="1"/>
    <n v="6684.95"/>
    <n v="5170.96"/>
    <n v="11.3"/>
    <x v="1"/>
    <x v="1"/>
  </r>
  <r>
    <s v="NHM-2026-100295"/>
    <s v="October"/>
    <x v="5"/>
    <n v="10"/>
    <d v="2024-10-23T00:00:00"/>
    <x v="0"/>
    <s v="Scott Kennedy"/>
    <s v="NovaHealth Northside Hospital"/>
    <s v="Male"/>
    <n v="62"/>
    <x v="0"/>
    <n v="1"/>
    <x v="3"/>
    <x v="3"/>
    <n v="3577.79"/>
    <n v="2167.12"/>
    <n v="11.5"/>
    <x v="0"/>
    <x v="0"/>
  </r>
  <r>
    <s v="NHM-2025-100753"/>
    <s v="February"/>
    <x v="2"/>
    <n v="2"/>
    <d v="2026-02-05T00:00:00"/>
    <x v="2"/>
    <s v="Anna Peterson"/>
    <s v="NovaHealth Chicago Medical Center"/>
    <s v="Female"/>
    <n v="19"/>
    <x v="0"/>
    <n v="1"/>
    <x v="1"/>
    <x v="1"/>
    <n v="8411.0300000000007"/>
    <n v="5194.7299999999996"/>
    <n v="8"/>
    <x v="0"/>
    <x v="0"/>
  </r>
  <r>
    <s v="NHM-2023-101882"/>
    <s v="January"/>
    <x v="3"/>
    <n v="1"/>
    <d v="2024-01-23T00:00:00"/>
    <x v="0"/>
    <s v="Amanda Castillo"/>
    <s v="NovaHealth Chicago Medical Center"/>
    <s v="Female"/>
    <n v="78"/>
    <x v="2"/>
    <n v="4"/>
    <x v="7"/>
    <x v="7"/>
    <n v="10148.99"/>
    <n v="6664.95"/>
    <n v="21.2"/>
    <x v="2"/>
    <x v="1"/>
  </r>
  <r>
    <s v="NHM-2023-101905"/>
    <s v="July"/>
    <x v="8"/>
    <n v="7"/>
    <d v="2024-07-08T00:00:00"/>
    <x v="0"/>
    <s v="Julie Ramos"/>
    <s v="NovaHealth Lakeside Medical Center"/>
    <s v="Male"/>
    <n v="42"/>
    <x v="0"/>
    <n v="3"/>
    <x v="1"/>
    <x v="1"/>
    <n v="6421.54"/>
    <n v="4361.63"/>
    <n v="7.4"/>
    <x v="1"/>
    <x v="0"/>
  </r>
  <r>
    <s v="NHM-2024-102361"/>
    <s v="October"/>
    <x v="5"/>
    <n v="10"/>
    <d v="2023-10-16T00:00:00"/>
    <x v="3"/>
    <s v="Nicole Price"/>
    <s v="NovaHealth River Valley Hospital"/>
    <s v="Female"/>
    <n v="35"/>
    <x v="0"/>
    <n v="1"/>
    <x v="2"/>
    <x v="2"/>
    <n v="3478.84"/>
    <n v="2512.79"/>
    <n v="9.6999999999999993"/>
    <x v="0"/>
    <x v="0"/>
  </r>
  <r>
    <s v="NHM-2025-102463"/>
    <s v="March"/>
    <x v="1"/>
    <n v="3"/>
    <d v="2026-03-26T00:00:00"/>
    <x v="2"/>
    <s v="Andrew Long"/>
    <s v="NovaHealth Chicago Medical Center"/>
    <s v="Male"/>
    <n v="23"/>
    <x v="0"/>
    <n v="1"/>
    <x v="2"/>
    <x v="2"/>
    <n v="3870.41"/>
    <n v="2895"/>
    <n v="8.6999999999999993"/>
    <x v="0"/>
    <x v="0"/>
  </r>
  <r>
    <s v="NHM-2023-102258"/>
    <s v="July"/>
    <x v="8"/>
    <n v="7"/>
    <d v="2025-07-08T00:00:00"/>
    <x v="1"/>
    <s v="Randy Green"/>
    <s v="NovaHealth Oakridge Community Hospital"/>
    <s v="Male"/>
    <n v="31"/>
    <x v="0"/>
    <n v="1"/>
    <x v="7"/>
    <x v="7"/>
    <n v="7349.14"/>
    <n v="5668.55"/>
    <n v="10.4"/>
    <x v="0"/>
    <x v="0"/>
  </r>
  <r>
    <s v="NHM-2024-100920"/>
    <s v="November"/>
    <x v="4"/>
    <n v="11"/>
    <d v="2023-11-14T00:00:00"/>
    <x v="3"/>
    <s v="Christopher Sanders"/>
    <s v="NovaHealth Lakeside Medical Center"/>
    <s v="Male"/>
    <n v="31"/>
    <x v="2"/>
    <n v="5"/>
    <x v="0"/>
    <x v="0"/>
    <n v="8541.2000000000007"/>
    <n v="4970.7"/>
    <n v="2.1"/>
    <x v="2"/>
    <x v="0"/>
  </r>
  <r>
    <s v="NHM-2023-102024"/>
    <s v="February"/>
    <x v="2"/>
    <n v="2"/>
    <d v="2024-02-24T00:00:00"/>
    <x v="0"/>
    <s v="Jordan Porter"/>
    <s v="NovaHealth Midtown Medical Center"/>
    <s v="Male"/>
    <n v="81"/>
    <x v="2"/>
    <n v="4"/>
    <x v="3"/>
    <x v="3"/>
    <n v="7253.59"/>
    <n v="4424.6899999999996"/>
    <m/>
    <x v="2"/>
    <x v="1"/>
  </r>
  <r>
    <s v="NHM-2023-101832"/>
    <s v="August"/>
    <x v="10"/>
    <n v="8"/>
    <d v="2024-08-27T00:00:00"/>
    <x v="0"/>
    <s v="Kyle Hamilton"/>
    <s v="NovaHealth Midtown Medical Center"/>
    <s v="Female"/>
    <n v="26"/>
    <x v="2"/>
    <n v="3"/>
    <x v="1"/>
    <x v="1"/>
    <n v="9209.89"/>
    <n v="5988.73"/>
    <n v="11.8"/>
    <x v="1"/>
    <x v="0"/>
  </r>
  <r>
    <s v="NHM-2023-100476"/>
    <s v="December"/>
    <x v="6"/>
    <n v="12"/>
    <d v="2025-12-10T00:00:00"/>
    <x v="1"/>
    <s v="Keith Foster"/>
    <s v="NovaHealth Chicago Medical Center"/>
    <s v="Female"/>
    <n v="76"/>
    <x v="1"/>
    <n v="5"/>
    <x v="3"/>
    <x v="3"/>
    <n v="12596.47"/>
    <n v="8461.23"/>
    <n v="2.7"/>
    <x v="2"/>
    <x v="1"/>
  </r>
  <r>
    <s v="NHM-2025-102373"/>
    <s v="October"/>
    <x v="5"/>
    <n v="10"/>
    <d v="2025-10-31T00:00:00"/>
    <x v="1"/>
    <s v="Beverly Harris"/>
    <s v="NovaHealth Northside Hospital"/>
    <s v="Female"/>
    <n v="69"/>
    <x v="0"/>
    <n v="3"/>
    <x v="5"/>
    <x v="5"/>
    <n v="17423.759999999998"/>
    <n v="12215.03"/>
    <n v="2.2999999999999998"/>
    <x v="1"/>
    <x v="1"/>
  </r>
  <r>
    <s v="NHM-2023-102413"/>
    <s v="March"/>
    <x v="1"/>
    <n v="3"/>
    <d v="2026-03-09T00:00:00"/>
    <x v="2"/>
    <s v="Joan Moore"/>
    <s v="NovaHealth Metro General Hospital"/>
    <s v="Female"/>
    <n v="79"/>
    <x v="1"/>
    <n v="5"/>
    <x v="5"/>
    <x v="5"/>
    <n v="16035.22"/>
    <n v="11783.31"/>
    <n v="9.6999999999999993"/>
    <x v="2"/>
    <x v="1"/>
  </r>
  <r>
    <s v="NHM-2023-100556"/>
    <s v="December"/>
    <x v="6"/>
    <n v="12"/>
    <d v="2025-12-04T00:00:00"/>
    <x v="1"/>
    <s v="Billy Gutierrez"/>
    <s v="NovaHealth Lakeshore Regional Center"/>
    <s v="Female"/>
    <n v="47"/>
    <x v="0"/>
    <n v="2"/>
    <x v="0"/>
    <x v="0"/>
    <n v="10146.200000000001"/>
    <n v="7787.91"/>
    <n v="9.6"/>
    <x v="1"/>
    <x v="0"/>
  </r>
  <r>
    <s v="NHM-2025-102146"/>
    <s v="November"/>
    <x v="4"/>
    <n v="11"/>
    <d v="2025-11-03T00:00:00"/>
    <x v="1"/>
    <s v="Thomas Hamilton"/>
    <s v="NovaHealth Midtown Medical Center"/>
    <s v="Male"/>
    <n v="38"/>
    <x v="2"/>
    <n v="1"/>
    <x v="7"/>
    <x v="7"/>
    <n v="4408.07"/>
    <n v="2642.28"/>
    <n v="10.7"/>
    <x v="0"/>
    <x v="0"/>
  </r>
  <r>
    <s v="NHM-2023-102327"/>
    <s v="January"/>
    <x v="3"/>
    <n v="1"/>
    <d v="2024-01-05T00:00:00"/>
    <x v="0"/>
    <s v="Abigail Price"/>
    <s v="NovaHealth Greenfield Clinic"/>
    <s v="Female"/>
    <n v="20"/>
    <x v="2"/>
    <n v="3"/>
    <x v="1"/>
    <x v="1"/>
    <n v="11516.11"/>
    <n v="7118.43"/>
    <n v="11.7"/>
    <x v="1"/>
    <x v="0"/>
  </r>
  <r>
    <s v="NHM-2025-101933"/>
    <s v="November"/>
    <x v="4"/>
    <n v="11"/>
    <d v="2023-11-30T00:00:00"/>
    <x v="3"/>
    <s v="Angela Castillo"/>
    <s v="NovaHealth River Valley Hospital"/>
    <s v="Male"/>
    <n v="26"/>
    <x v="1"/>
    <n v="4"/>
    <x v="0"/>
    <x v="0"/>
    <n v="12753.52"/>
    <n v="8250.25"/>
    <n v="11"/>
    <x v="2"/>
    <x v="0"/>
  </r>
  <r>
    <s v="NHM-2024-100280"/>
    <s v="January"/>
    <x v="3"/>
    <n v="1"/>
    <d v="2024-01-24T00:00:00"/>
    <x v="0"/>
    <s v="Lisa Parker"/>
    <s v="NovaHealth Lakeshore Regional Center"/>
    <s v="Male"/>
    <n v="78"/>
    <x v="2"/>
    <n v="3"/>
    <x v="0"/>
    <x v="0"/>
    <n v="13448.32"/>
    <n v="9035.17"/>
    <n v="3.1"/>
    <x v="1"/>
    <x v="1"/>
  </r>
  <r>
    <s v="NHM-2023-100847"/>
    <s v="April"/>
    <x v="0"/>
    <n v="4"/>
    <d v="2024-04-02T00:00:00"/>
    <x v="0"/>
    <s v="Raymond Perry"/>
    <s v="NovaHealth Greenfield Clinic"/>
    <s v="Male"/>
    <n v="58"/>
    <x v="0"/>
    <n v="3"/>
    <x v="7"/>
    <x v="7"/>
    <n v="7618.69"/>
    <n v="5482.68"/>
    <n v="18.7"/>
    <x v="1"/>
    <x v="0"/>
  </r>
  <r>
    <s v="NHM-2025-101097"/>
    <s v="May"/>
    <x v="9"/>
    <n v="5"/>
    <d v="2025-05-07T00:00:00"/>
    <x v="1"/>
    <s v="Sara Lopez"/>
    <s v="NovaHealth Oakridge Community Hospital"/>
    <s v="Male"/>
    <n v="44"/>
    <x v="0"/>
    <n v="1"/>
    <x v="7"/>
    <x v="7"/>
    <n v="4290.2299999999996"/>
    <n v="3263.87"/>
    <n v="16.5"/>
    <x v="0"/>
    <x v="0"/>
  </r>
  <r>
    <s v="NHM-2024-102303"/>
    <s v="February"/>
    <x v="2"/>
    <n v="2"/>
    <d v="2024-02-22T00:00:00"/>
    <x v="0"/>
    <s v="Beverly Evans"/>
    <s v="NovaHealth Chicago Medical Center"/>
    <s v="Female"/>
    <n v="58"/>
    <x v="0"/>
    <n v="2"/>
    <x v="3"/>
    <x v="3"/>
    <n v="7323.43"/>
    <n v="5629.01"/>
    <n v="7.9"/>
    <x v="1"/>
    <x v="0"/>
  </r>
  <r>
    <s v="NHM-2024-102042"/>
    <s v="March"/>
    <x v="1"/>
    <n v="3"/>
    <d v="2025-03-27T00:00:00"/>
    <x v="1"/>
    <s v="Ethan Harrison"/>
    <s v="NovaHealth Northside Hospital"/>
    <s v="Male"/>
    <n v="5"/>
    <x v="0"/>
    <n v="2"/>
    <x v="6"/>
    <x v="6"/>
    <n v="2651.92"/>
    <n v="1580.51"/>
    <n v="5.3"/>
    <x v="1"/>
    <x v="2"/>
  </r>
  <r>
    <s v="NHM-2025-101895"/>
    <s v="February"/>
    <x v="2"/>
    <n v="2"/>
    <d v="2026-02-10T00:00:00"/>
    <x v="2"/>
    <s v="Matthew Morales"/>
    <s v="NovaHealth Lakeside Medical Center"/>
    <s v="Male"/>
    <n v="70"/>
    <x v="0"/>
    <n v="3"/>
    <x v="0"/>
    <x v="0"/>
    <n v="11016"/>
    <n v="6771.76"/>
    <n v="6.5"/>
    <x v="1"/>
    <x v="1"/>
  </r>
  <r>
    <s v="NHM-2023-100077"/>
    <s v="October"/>
    <x v="5"/>
    <n v="10"/>
    <d v="2023-10-31T00:00:00"/>
    <x v="3"/>
    <s v="Jonathan Perry"/>
    <s v="NovaHealth Chicago Medical Center"/>
    <s v="Male"/>
    <n v="26"/>
    <x v="2"/>
    <n v="1"/>
    <x v="7"/>
    <x v="7"/>
    <n v="7298.07"/>
    <n v="4821.96"/>
    <n v="18.899999999999999"/>
    <x v="0"/>
    <x v="0"/>
  </r>
  <r>
    <s v="NHM-2026-100425"/>
    <s v="November"/>
    <x v="4"/>
    <n v="11"/>
    <d v="2024-11-21T00:00:00"/>
    <x v="0"/>
    <s v="Nicholas Cole"/>
    <s v="NovaHealth Lakeshore Regional Center"/>
    <s v="Male"/>
    <n v="38"/>
    <x v="0"/>
    <n v="1"/>
    <x v="0"/>
    <x v="0"/>
    <n v="6136.2"/>
    <n v="4144.05"/>
    <n v="4.0999999999999996"/>
    <x v="0"/>
    <x v="0"/>
  </r>
  <r>
    <s v="NHM-2024-102160"/>
    <s v="June"/>
    <x v="11"/>
    <n v="6"/>
    <d v="2024-06-03T00:00:00"/>
    <x v="0"/>
    <s v="Scott Myers"/>
    <s v="NovaHealth Midtown Medical Center"/>
    <s v="Female"/>
    <n v="49"/>
    <x v="0"/>
    <n v="2"/>
    <x v="1"/>
    <x v="1"/>
    <n v="12277.47"/>
    <n v="8680.6299999999992"/>
    <n v="10.8"/>
    <x v="1"/>
    <x v="0"/>
  </r>
  <r>
    <s v="NHM-2026-101350"/>
    <s v="November"/>
    <x v="4"/>
    <n v="11"/>
    <d v="2025-11-06T00:00:00"/>
    <x v="1"/>
    <s v="Aaron Myers"/>
    <s v="NovaHealth Greenfield Clinic"/>
    <s v="Female"/>
    <n v="16"/>
    <x v="0"/>
    <n v="1"/>
    <x v="6"/>
    <x v="6"/>
    <n v="579.02"/>
    <n v="469.88"/>
    <n v="5.9"/>
    <x v="0"/>
    <x v="2"/>
  </r>
  <r>
    <s v="NHM-2023-100700"/>
    <s v="April"/>
    <x v="0"/>
    <n v="4"/>
    <d v="2025-04-24T00:00:00"/>
    <x v="1"/>
    <s v="Raymond Ruiz"/>
    <s v="NovaHealth Chicago Medical Center"/>
    <s v="Female"/>
    <n v="75"/>
    <x v="0"/>
    <n v="2"/>
    <x v="1"/>
    <x v="1"/>
    <n v="6890.04"/>
    <n v="5253.23"/>
    <n v="2.1"/>
    <x v="1"/>
    <x v="1"/>
  </r>
  <r>
    <s v="NHM-2023-101943"/>
    <s v="June"/>
    <x v="11"/>
    <n v="6"/>
    <d v="2024-06-19T00:00:00"/>
    <x v="0"/>
    <s v="Gregory Thomas"/>
    <s v="NovaHealth Northside Hospital"/>
    <s v="Female"/>
    <n v="70"/>
    <x v="2"/>
    <n v="3"/>
    <x v="0"/>
    <x v="0"/>
    <n v="12149.6"/>
    <n v="7072.37"/>
    <n v="3.2"/>
    <x v="1"/>
    <x v="1"/>
  </r>
  <r>
    <s v="NHM-2023-100310"/>
    <s v="April"/>
    <x v="0"/>
    <n v="4"/>
    <d v="2025-04-30T00:00:00"/>
    <x v="1"/>
    <s v="Jessica Kim"/>
    <s v="NovaHealth Chicago Medical Center"/>
    <s v="Male"/>
    <n v="69"/>
    <x v="0"/>
    <n v="3"/>
    <x v="3"/>
    <x v="3"/>
    <n v="6973.53"/>
    <n v="4318.6499999999996"/>
    <n v="8.1"/>
    <x v="1"/>
    <x v="1"/>
  </r>
  <r>
    <s v="NHM-2024-102068"/>
    <s v="October"/>
    <x v="5"/>
    <n v="10"/>
    <d v="2025-10-01T00:00:00"/>
    <x v="1"/>
    <s v="Daniel Jenkins"/>
    <s v="NovaHealth Lakeside Medical Center"/>
    <s v="Male"/>
    <n v="80"/>
    <x v="0"/>
    <n v="1"/>
    <x v="3"/>
    <x v="3"/>
    <n v="5158.78"/>
    <n v="3347.22"/>
    <n v="5.7"/>
    <x v="0"/>
    <x v="1"/>
  </r>
  <r>
    <s v="NHM-2024-102072"/>
    <s v="September"/>
    <x v="7"/>
    <n v="9"/>
    <d v="2023-09-20T00:00:00"/>
    <x v="3"/>
    <s v="Dorothy Sullivan"/>
    <s v="NovaHealth Oakridge Community Hospital"/>
    <s v="Female"/>
    <n v="88"/>
    <x v="2"/>
    <n v="3"/>
    <x v="4"/>
    <x v="4"/>
    <n v="9610.25"/>
    <n v="6534.07"/>
    <n v="11.9"/>
    <x v="1"/>
    <x v="1"/>
  </r>
  <r>
    <s v="NHM-2026-102127"/>
    <s v="June"/>
    <x v="11"/>
    <n v="6"/>
    <d v="2024-06-13T00:00:00"/>
    <x v="0"/>
    <s v="Stephanie Wood"/>
    <s v="NovaHealth Northside Hospital"/>
    <s v="Male"/>
    <n v="6"/>
    <x v="1"/>
    <n v="3"/>
    <x v="6"/>
    <x v="6"/>
    <n v="1305.26"/>
    <n v="947.28"/>
    <n v="4.2"/>
    <x v="1"/>
    <x v="2"/>
  </r>
  <r>
    <s v="NHM-2023-102313"/>
    <s v="May"/>
    <x v="9"/>
    <n v="5"/>
    <d v="2024-05-07T00:00:00"/>
    <x v="0"/>
    <s v="Lauren Jordan"/>
    <s v="NovaHealth Midtown Medical Center"/>
    <s v="Female"/>
    <n v="73"/>
    <x v="2"/>
    <n v="3"/>
    <x v="2"/>
    <x v="2"/>
    <n v="3582.36"/>
    <n v="2691.12"/>
    <n v="9.5"/>
    <x v="1"/>
    <x v="1"/>
  </r>
  <r>
    <s v="NHM-2026-101131"/>
    <s v="November"/>
    <x v="4"/>
    <n v="11"/>
    <d v="2023-11-22T00:00:00"/>
    <x v="3"/>
    <s v="Robert Dixon"/>
    <s v="NovaHealth River Valley Hospital"/>
    <s v="Male"/>
    <n v="32"/>
    <x v="0"/>
    <n v="1"/>
    <x v="7"/>
    <x v="7"/>
    <n v="8374.5300000000007"/>
    <n v="6457.44"/>
    <n v="11.6"/>
    <x v="0"/>
    <x v="0"/>
  </r>
  <r>
    <s v="NHM-2026-101542"/>
    <s v="September"/>
    <x v="7"/>
    <n v="9"/>
    <d v="2023-09-08T00:00:00"/>
    <x v="3"/>
    <s v="Ethan Hamilton"/>
    <s v="NovaHealth Greenfield Clinic"/>
    <s v="Male"/>
    <n v="57"/>
    <x v="1"/>
    <n v="3"/>
    <x v="1"/>
    <x v="1"/>
    <n v="8479.2900000000009"/>
    <n v="4942.79"/>
    <n v="3.1"/>
    <x v="1"/>
    <x v="0"/>
  </r>
  <r>
    <s v="NHM-2024-102340"/>
    <s v="November"/>
    <x v="4"/>
    <n v="11"/>
    <d v="2025-11-13T00:00:00"/>
    <x v="1"/>
    <s v="Hannah Russell"/>
    <s v="NovaHealth River Valley Hospital"/>
    <s v="Male"/>
    <n v="54"/>
    <x v="2"/>
    <n v="4"/>
    <x v="1"/>
    <x v="1"/>
    <n v="14178.39"/>
    <n v="8717.6200000000008"/>
    <n v="8.6"/>
    <x v="2"/>
    <x v="0"/>
  </r>
  <r>
    <s v="NHM-2026-100929"/>
    <s v="February"/>
    <x v="2"/>
    <n v="2"/>
    <d v="2024-02-19T00:00:00"/>
    <x v="0"/>
    <s v="Denise Russell"/>
    <s v="NovaHealth Chicago Medical Center"/>
    <s v="Female"/>
    <n v="63"/>
    <x v="0"/>
    <n v="1"/>
    <x v="1"/>
    <x v="1"/>
    <n v="7845.45"/>
    <n v="5077.09"/>
    <n v="7"/>
    <x v="0"/>
    <x v="0"/>
  </r>
  <r>
    <s v="NHM-2024-101261"/>
    <s v="May"/>
    <x v="9"/>
    <n v="5"/>
    <d v="2025-05-14T00:00:00"/>
    <x v="1"/>
    <s v="Katherine Kennedy"/>
    <s v="NovaHealth Midtown Medical Center"/>
    <s v="Male"/>
    <n v="47"/>
    <x v="2"/>
    <n v="4"/>
    <x v="5"/>
    <x v="5"/>
    <n v="16633.11"/>
    <n v="11165.78"/>
    <n v="2.7"/>
    <x v="2"/>
    <x v="0"/>
  </r>
  <r>
    <s v="NHM-2025-102352"/>
    <s v="November"/>
    <x v="4"/>
    <n v="11"/>
    <d v="2024-11-01T00:00:00"/>
    <x v="0"/>
    <s v="Ryan Baker"/>
    <s v="NovaHealth Chicago Medical Center"/>
    <s v="Male"/>
    <n v="26"/>
    <x v="0"/>
    <n v="2"/>
    <x v="1"/>
    <x v="1"/>
    <n v="9678.6200000000008"/>
    <n v="6823.83"/>
    <n v="6.1"/>
    <x v="1"/>
    <x v="0"/>
  </r>
  <r>
    <s v="NHM-2024-100108"/>
    <s v="July"/>
    <x v="8"/>
    <n v="7"/>
    <d v="2026-07-13T00:00:00"/>
    <x v="2"/>
    <s v="Olivia Gibson"/>
    <s v="NovaHealth Lakeside Medical Center"/>
    <s v="Female"/>
    <n v="52"/>
    <x v="0"/>
    <n v="2"/>
    <x v="2"/>
    <x v="2"/>
    <n v="4469.43"/>
    <n v="3262.68"/>
    <m/>
    <x v="1"/>
    <x v="0"/>
  </r>
  <r>
    <s v="NHM-2026-102442"/>
    <s v="January"/>
    <x v="3"/>
    <n v="1"/>
    <d v="2025-01-27T00:00:00"/>
    <x v="1"/>
    <s v="Julie Lewis"/>
    <s v="NovaHealth Chicago Medical Center"/>
    <s v="Female"/>
    <n v="33"/>
    <x v="0"/>
    <n v="1"/>
    <x v="2"/>
    <x v="2"/>
    <n v="1844.52"/>
    <n v="1441.84"/>
    <n v="5"/>
    <x v="0"/>
    <x v="0"/>
  </r>
  <r>
    <s v="NHM-2023-100674"/>
    <s v="September"/>
    <x v="7"/>
    <n v="9"/>
    <d v="2024-09-29T00:00:00"/>
    <x v="0"/>
    <s v="Mary Sanchez"/>
    <s v="NovaHealth Metro General Hospital"/>
    <s v="Male"/>
    <n v="73"/>
    <x v="1"/>
    <n v="3"/>
    <x v="7"/>
    <x v="7"/>
    <n v="8580.11"/>
    <n v="5099.66"/>
    <n v="15.4"/>
    <x v="1"/>
    <x v="1"/>
  </r>
  <r>
    <s v="NHM-2023-100342"/>
    <s v="December"/>
    <x v="6"/>
    <n v="12"/>
    <d v="2023-12-18T00:00:00"/>
    <x v="3"/>
    <s v="Eugene Webb"/>
    <s v="NovaHealth Lakeside Medical Center"/>
    <s v="Female"/>
    <n v="38"/>
    <x v="1"/>
    <n v="2"/>
    <x v="2"/>
    <x v="2"/>
    <n v="3202.3"/>
    <n v="2011"/>
    <n v="7.2"/>
    <x v="1"/>
    <x v="0"/>
  </r>
  <r>
    <s v="NHM-2023-101184"/>
    <s v="March"/>
    <x v="1"/>
    <n v="3"/>
    <d v="2026-03-30T00:00:00"/>
    <x v="2"/>
    <s v="Stephanie Hughes"/>
    <s v="NovaHealth Chicago Medical Center"/>
    <s v="Female"/>
    <n v="76"/>
    <x v="0"/>
    <n v="2"/>
    <x v="7"/>
    <x v="7"/>
    <n v="5673.48"/>
    <n v="3770.23"/>
    <n v="17.399999999999999"/>
    <x v="1"/>
    <x v="1"/>
  </r>
  <r>
    <s v="NHM-2023-102355"/>
    <s v="January"/>
    <x v="3"/>
    <n v="1"/>
    <d v="2024-01-25T00:00:00"/>
    <x v="0"/>
    <s v="Cheryl Butler"/>
    <s v="NovaHealth Chicago Medical Center"/>
    <s v="Male"/>
    <n v="92"/>
    <x v="2"/>
    <n v="5"/>
    <x v="3"/>
    <x v="3"/>
    <n v="14501.05"/>
    <n v="9802.1"/>
    <n v="10.8"/>
    <x v="2"/>
    <x v="1"/>
  </r>
  <r>
    <s v="NHM-2023-101480"/>
    <s v="April"/>
    <x v="0"/>
    <n v="4"/>
    <d v="2025-04-15T00:00:00"/>
    <x v="1"/>
    <s v="Justin Harrison"/>
    <s v="NovaHealth Chicago Medical Center"/>
    <s v="Male"/>
    <n v="65"/>
    <x v="2"/>
    <n v="2"/>
    <x v="0"/>
    <x v="0"/>
    <n v="8014.87"/>
    <n v="5636.81"/>
    <n v="3.3"/>
    <x v="1"/>
    <x v="1"/>
  </r>
  <r>
    <s v="NHM-2025-101336"/>
    <s v="May"/>
    <x v="9"/>
    <n v="5"/>
    <d v="2026-05-22T00:00:00"/>
    <x v="2"/>
    <s v="Roy Thomas"/>
    <s v="NovaHealth River Valley Hospital"/>
    <s v="Female"/>
    <n v="55"/>
    <x v="2"/>
    <n v="5"/>
    <x v="5"/>
    <x v="5"/>
    <n v="16792.060000000001"/>
    <n v="12307"/>
    <n v="6.1"/>
    <x v="2"/>
    <x v="0"/>
  </r>
  <r>
    <s v="NHM-2024-101713"/>
    <s v="December"/>
    <x v="6"/>
    <n v="12"/>
    <d v="2024-12-21T00:00:00"/>
    <x v="0"/>
    <s v="Lawrence Foster"/>
    <s v="NovaHealth Northside Hospital"/>
    <s v="Female"/>
    <n v="47"/>
    <x v="0"/>
    <n v="1"/>
    <x v="1"/>
    <x v="1"/>
    <n v="5623.53"/>
    <n v="4323.4799999999996"/>
    <n v="6.2"/>
    <x v="0"/>
    <x v="0"/>
  </r>
  <r>
    <s v="NHM-2024-102120"/>
    <s v="January"/>
    <x v="3"/>
    <n v="1"/>
    <d v="2024-01-18T00:00:00"/>
    <x v="0"/>
    <s v="Ronald Perez"/>
    <s v="NovaHealth Chicago Medical Center"/>
    <s v="Female"/>
    <n v="41"/>
    <x v="0"/>
    <n v="1"/>
    <x v="7"/>
    <x v="7"/>
    <n v="7456.03"/>
    <n v="4409.3"/>
    <n v="10.6"/>
    <x v="0"/>
    <x v="0"/>
  </r>
  <r>
    <s v="NHM-2026-101885"/>
    <s v="May"/>
    <x v="9"/>
    <n v="5"/>
    <d v="2025-05-16T00:00:00"/>
    <x v="1"/>
    <s v="Nicholas Jimenez"/>
    <s v="NovaHealth Greenfield Clinic"/>
    <s v="Female"/>
    <n v="6"/>
    <x v="0"/>
    <n v="1"/>
    <x v="6"/>
    <x v="6"/>
    <n v="1472.35"/>
    <n v="903.73"/>
    <n v="0.7"/>
    <x v="0"/>
    <x v="2"/>
  </r>
  <r>
    <s v="NHM-2024-100592"/>
    <s v="January"/>
    <x v="3"/>
    <n v="1"/>
    <d v="2026-01-22T00:00:00"/>
    <x v="2"/>
    <s v="Jesse Coleman"/>
    <s v="NovaHealth Midtown Medical Center"/>
    <s v="Male"/>
    <n v="29"/>
    <x v="2"/>
    <n v="4"/>
    <x v="0"/>
    <x v="0"/>
    <n v="14216.94"/>
    <n v="9128.44"/>
    <n v="3.7"/>
    <x v="2"/>
    <x v="0"/>
  </r>
  <r>
    <s v="NHM-2024-101306"/>
    <s v="August"/>
    <x v="10"/>
    <n v="8"/>
    <d v="2024-08-08T00:00:00"/>
    <x v="0"/>
    <s v="Katherine Warren"/>
    <s v="NovaHealth Northside Hospital"/>
    <s v="Male"/>
    <n v="58"/>
    <x v="0"/>
    <n v="2"/>
    <x v="3"/>
    <x v="3"/>
    <n v="5832.83"/>
    <n v="3977.6"/>
    <n v="8.6999999999999993"/>
    <x v="1"/>
    <x v="0"/>
  </r>
  <r>
    <s v="NHM-2025-100266"/>
    <s v="September"/>
    <x v="7"/>
    <n v="9"/>
    <d v="2023-09-07T00:00:00"/>
    <x v="3"/>
    <s v="Andrew Griffin"/>
    <s v="NovaHealth Midtown Medical Center"/>
    <s v="Male"/>
    <n v="67"/>
    <x v="0"/>
    <n v="3"/>
    <x v="3"/>
    <x v="3"/>
    <n v="6321.2"/>
    <n v="4512.84"/>
    <n v="11"/>
    <x v="1"/>
    <x v="1"/>
  </r>
  <r>
    <s v="NHM-2025-100572"/>
    <s v="September"/>
    <x v="7"/>
    <n v="9"/>
    <d v="2025-09-03T00:00:00"/>
    <x v="1"/>
    <s v="Julie Powell"/>
    <s v="NovaHealth Chicago Medical Center"/>
    <s v="Male"/>
    <n v="78"/>
    <x v="2"/>
    <n v="2"/>
    <x v="3"/>
    <x v="3"/>
    <n v="9196.89"/>
    <n v="6784.93"/>
    <n v="8.9"/>
    <x v="1"/>
    <x v="1"/>
  </r>
  <r>
    <s v="NHM-2026-100298"/>
    <s v="May"/>
    <x v="9"/>
    <n v="5"/>
    <d v="2024-05-30T00:00:00"/>
    <x v="0"/>
    <s v="Debra Ross"/>
    <s v="NovaHealth Northside Hospital"/>
    <s v="Female"/>
    <n v="47"/>
    <x v="0"/>
    <n v="3"/>
    <x v="1"/>
    <x v="1"/>
    <n v="15310.89"/>
    <n v="11652.28"/>
    <n v="2"/>
    <x v="1"/>
    <x v="0"/>
  </r>
  <r>
    <s v="NHM-2026-100455"/>
    <s v="July"/>
    <x v="8"/>
    <n v="7"/>
    <d v="2025-07-08T00:00:00"/>
    <x v="1"/>
    <s v="John Murray"/>
    <s v="NovaHealth Oakridge Community Hospital"/>
    <s v="Female"/>
    <n v="78"/>
    <x v="1"/>
    <n v="5"/>
    <x v="5"/>
    <x v="5"/>
    <n v="22176.33"/>
    <n v="12924.67"/>
    <n v="7.8"/>
    <x v="2"/>
    <x v="1"/>
  </r>
  <r>
    <s v="NHM-2023-100663"/>
    <s v="May"/>
    <x v="9"/>
    <n v="5"/>
    <d v="2026-05-07T00:00:00"/>
    <x v="2"/>
    <s v="Alexander Woods"/>
    <s v="NovaHealth River Valley Hospital"/>
    <s v="Male"/>
    <n v="80"/>
    <x v="0"/>
    <n v="3"/>
    <x v="1"/>
    <x v="1"/>
    <n v="9254.83"/>
    <n v="5671.85"/>
    <n v="3.3"/>
    <x v="1"/>
    <x v="1"/>
  </r>
  <r>
    <s v="NHM-2024-100183"/>
    <s v="April"/>
    <x v="0"/>
    <n v="4"/>
    <d v="2026-04-02T00:00:00"/>
    <x v="2"/>
    <s v="Judith Watson"/>
    <s v="NovaHealth Chicago Medical Center"/>
    <s v="Female"/>
    <n v="81"/>
    <x v="0"/>
    <n v="2"/>
    <x v="7"/>
    <x v="7"/>
    <n v="7446.71"/>
    <n v="4871.49"/>
    <n v="13.2"/>
    <x v="1"/>
    <x v="1"/>
  </r>
  <r>
    <s v="NHM-2025-101730"/>
    <s v="February"/>
    <x v="2"/>
    <n v="2"/>
    <d v="2026-02-26T00:00:00"/>
    <x v="2"/>
    <s v="Aaron Wilson"/>
    <s v="NovaHealth Greenfield Clinic"/>
    <s v="Male"/>
    <n v="27"/>
    <x v="0"/>
    <n v="1"/>
    <x v="1"/>
    <x v="1"/>
    <n v="4825.75"/>
    <n v="3259.65"/>
    <n v="3.3"/>
    <x v="0"/>
    <x v="0"/>
  </r>
  <r>
    <s v="NHM-2026-100433"/>
    <s v="September"/>
    <x v="7"/>
    <n v="9"/>
    <d v="2025-09-01T00:00:00"/>
    <x v="1"/>
    <s v="Ann Boyd"/>
    <s v="NovaHealth Lakeshore Regional Center"/>
    <s v="Female"/>
    <n v="66"/>
    <x v="1"/>
    <n v="5"/>
    <x v="4"/>
    <x v="4"/>
    <n v="24773.64"/>
    <n v="17421.55"/>
    <n v="10"/>
    <x v="2"/>
    <x v="1"/>
  </r>
  <r>
    <s v="NHM-2026-101745"/>
    <s v="May"/>
    <x v="9"/>
    <n v="5"/>
    <d v="2025-05-15T00:00:00"/>
    <x v="1"/>
    <s v="Andrea Gonzales"/>
    <s v="NovaHealth Greenfield Clinic"/>
    <s v="Female"/>
    <n v="36"/>
    <x v="0"/>
    <n v="2"/>
    <x v="2"/>
    <x v="2"/>
    <n v="4626.96"/>
    <n v="3430.48"/>
    <n v="6.6"/>
    <x v="1"/>
    <x v="0"/>
  </r>
  <r>
    <s v="NHM-2023-100106"/>
    <s v="May"/>
    <x v="9"/>
    <n v="5"/>
    <d v="2026-05-22T00:00:00"/>
    <x v="2"/>
    <s v="Kyle Ford"/>
    <s v="NovaHealth Northside Hospital"/>
    <s v="Female"/>
    <n v="55"/>
    <x v="2"/>
    <n v="3"/>
    <x v="4"/>
    <x v="4"/>
    <n v="16833.259999999998"/>
    <n v="12884.48"/>
    <n v="11.4"/>
    <x v="1"/>
    <x v="0"/>
  </r>
  <r>
    <s v="NHM-2024-100446"/>
    <s v="February"/>
    <x v="2"/>
    <n v="2"/>
    <d v="2024-02-12T00:00:00"/>
    <x v="0"/>
    <s v="Thomas West"/>
    <s v="NovaHealth Midtown Medical Center"/>
    <s v="Female"/>
    <n v="68"/>
    <x v="1"/>
    <n v="4"/>
    <x v="4"/>
    <x v="4"/>
    <n v="11729.69"/>
    <n v="6879.22"/>
    <n v="9.5"/>
    <x v="2"/>
    <x v="1"/>
  </r>
  <r>
    <s v="NHM-2026-102073"/>
    <s v="March"/>
    <x v="1"/>
    <n v="3"/>
    <d v="2025-03-25T00:00:00"/>
    <x v="1"/>
    <s v="Kelly Cook"/>
    <s v="NovaHealth Oakridge Community Hospital"/>
    <s v="Female"/>
    <n v="70"/>
    <x v="0"/>
    <n v="5"/>
    <x v="7"/>
    <x v="7"/>
    <n v="12939.41"/>
    <n v="8004.24"/>
    <n v="13.9"/>
    <x v="2"/>
    <x v="1"/>
  </r>
  <r>
    <s v="NHM-2026-102175"/>
    <s v="June"/>
    <x v="11"/>
    <n v="6"/>
    <d v="2024-06-10T00:00:00"/>
    <x v="0"/>
    <s v="Barbara Russell"/>
    <s v="NovaHealth Metro General Hospital"/>
    <s v="Female"/>
    <n v="65"/>
    <x v="0"/>
    <n v="2"/>
    <x v="2"/>
    <x v="2"/>
    <n v="3943.42"/>
    <n v="2594.19"/>
    <n v="8.8000000000000007"/>
    <x v="1"/>
    <x v="1"/>
  </r>
  <r>
    <s v="NHM-2024-101883"/>
    <s v="October"/>
    <x v="5"/>
    <n v="10"/>
    <d v="2024-10-04T00:00:00"/>
    <x v="0"/>
    <s v="Alice Gonzalez"/>
    <s v="NovaHealth Midtown Medical Center"/>
    <s v="Male"/>
    <n v="31"/>
    <x v="1"/>
    <n v="4"/>
    <x v="5"/>
    <x v="5"/>
    <n v="12003.93"/>
    <n v="8104.23"/>
    <n v="7.7"/>
    <x v="2"/>
    <x v="0"/>
  </r>
  <r>
    <s v="NHM-2025-101142"/>
    <s v="February"/>
    <x v="2"/>
    <n v="2"/>
    <d v="2025-02-18T00:00:00"/>
    <x v="1"/>
    <s v="Heather Sullivan"/>
    <s v="NovaHealth Chicago Medical Center"/>
    <s v="Female"/>
    <n v="62"/>
    <x v="2"/>
    <n v="4"/>
    <x v="4"/>
    <x v="4"/>
    <n v="16142.89"/>
    <n v="11372.82"/>
    <n v="9.1"/>
    <x v="2"/>
    <x v="0"/>
  </r>
  <r>
    <s v="NHM-2026-100305"/>
    <s v="February"/>
    <x v="2"/>
    <n v="2"/>
    <d v="2024-02-01T00:00:00"/>
    <x v="0"/>
    <s v="Katherine Bennett"/>
    <s v="NovaHealth Chicago Medical Center"/>
    <s v="Female"/>
    <n v="2"/>
    <x v="0"/>
    <n v="1"/>
    <x v="6"/>
    <x v="6"/>
    <n v="783.67"/>
    <n v="579.28"/>
    <n v="0.9"/>
    <x v="0"/>
    <x v="2"/>
  </r>
  <r>
    <s v="NHM-2026-100874"/>
    <s v="January"/>
    <x v="3"/>
    <n v="1"/>
    <d v="2024-01-30T00:00:00"/>
    <x v="0"/>
    <s v="Hannah Baker"/>
    <s v="NovaHealth Northside Hospital"/>
    <s v="Female"/>
    <n v="48"/>
    <x v="0"/>
    <n v="1"/>
    <x v="7"/>
    <x v="7"/>
    <n v="3758.05"/>
    <n v="2950.52"/>
    <n v="11.8"/>
    <x v="0"/>
    <x v="0"/>
  </r>
  <r>
    <s v="NHM-2024-100502"/>
    <s v="October"/>
    <x v="5"/>
    <n v="10"/>
    <d v="2023-10-06T00:00:00"/>
    <x v="3"/>
    <s v="Amy Bennett"/>
    <s v="NovaHealth Lakeside Medical Center"/>
    <s v="Female"/>
    <n v="0"/>
    <x v="0"/>
    <n v="1"/>
    <x v="6"/>
    <x v="6"/>
    <n v="1518.35"/>
    <n v="888.64"/>
    <n v="1"/>
    <x v="0"/>
    <x v="2"/>
  </r>
  <r>
    <s v="NHM-2026-100836"/>
    <s v="July"/>
    <x v="8"/>
    <n v="7"/>
    <d v="2026-07-02T00:00:00"/>
    <x v="2"/>
    <s v="Rachel Turner"/>
    <s v="NovaHealth Greenfield Clinic"/>
    <s v="Male"/>
    <n v="79"/>
    <x v="1"/>
    <n v="4"/>
    <x v="4"/>
    <x v="4"/>
    <n v="18814.5"/>
    <n v="11544.05"/>
    <n v="8.4"/>
    <x v="2"/>
    <x v="1"/>
  </r>
  <r>
    <s v="NHM-2024-102229"/>
    <s v="October"/>
    <x v="5"/>
    <n v="10"/>
    <d v="2023-10-31T00:00:00"/>
    <x v="3"/>
    <s v="Theresa Thomas"/>
    <s v="NovaHealth River Valley Hospital"/>
    <s v="Male"/>
    <n v="39"/>
    <x v="2"/>
    <n v="1"/>
    <x v="7"/>
    <x v="7"/>
    <n v="7186.89"/>
    <n v="4780.41"/>
    <n v="22.6"/>
    <x v="0"/>
    <x v="0"/>
  </r>
  <r>
    <s v="NHM-2026-100409"/>
    <s v="December"/>
    <x v="6"/>
    <n v="12"/>
    <d v="2025-12-05T00:00:00"/>
    <x v="1"/>
    <s v="Anthony Henry"/>
    <s v="NovaHealth River Valley Hospital"/>
    <s v="Female"/>
    <n v="73"/>
    <x v="2"/>
    <n v="1"/>
    <x v="7"/>
    <x v="7"/>
    <n v="9115.4699999999993"/>
    <n v="6287.36"/>
    <n v="22.5"/>
    <x v="0"/>
    <x v="1"/>
  </r>
  <r>
    <s v="NHM-2026-101764"/>
    <s v="November"/>
    <x v="4"/>
    <n v="11"/>
    <d v="2024-11-06T00:00:00"/>
    <x v="0"/>
    <s v="Eric Gomez"/>
    <s v="NovaHealth Midtown Medical Center"/>
    <s v="Female"/>
    <n v="46"/>
    <x v="0"/>
    <n v="1"/>
    <x v="1"/>
    <x v="1"/>
    <n v="6259.97"/>
    <n v="4407.58"/>
    <n v="3.2"/>
    <x v="0"/>
    <x v="0"/>
  </r>
  <r>
    <s v="NHM-2026-101751"/>
    <s v="April"/>
    <x v="0"/>
    <n v="4"/>
    <d v="2026-04-21T00:00:00"/>
    <x v="2"/>
    <s v="Dylan Richardson"/>
    <s v="NovaHealth Lakeside Medical Center"/>
    <s v="Female"/>
    <n v="75"/>
    <x v="0"/>
    <n v="3"/>
    <x v="0"/>
    <x v="0"/>
    <n v="13630.2"/>
    <n v="10000.450000000001"/>
    <n v="6.3"/>
    <x v="1"/>
    <x v="1"/>
  </r>
  <r>
    <s v="NHM-2025-101088"/>
    <s v="June"/>
    <x v="11"/>
    <n v="6"/>
    <d v="2024-06-28T00:00:00"/>
    <x v="0"/>
    <s v="Denise Griffin"/>
    <s v="NovaHealth Oakridge Community Hospital"/>
    <s v="Female"/>
    <n v="55"/>
    <x v="0"/>
    <n v="1"/>
    <x v="7"/>
    <x v="7"/>
    <n v="3900.32"/>
    <n v="3145.84"/>
    <n v="22.7"/>
    <x v="0"/>
    <x v="0"/>
  </r>
  <r>
    <s v="NHM-2023-100937"/>
    <s v="September"/>
    <x v="7"/>
    <n v="9"/>
    <d v="2025-09-16T00:00:00"/>
    <x v="1"/>
    <s v="Andrea Walker"/>
    <s v="NovaHealth Northside Hospital"/>
    <s v="Male"/>
    <n v="70"/>
    <x v="2"/>
    <n v="5"/>
    <x v="3"/>
    <x v="3"/>
    <n v="10390.94"/>
    <n v="6108.35"/>
    <n v="10.199999999999999"/>
    <x v="2"/>
    <x v="1"/>
  </r>
  <r>
    <s v="NHM-2023-102339"/>
    <s v="April"/>
    <x v="0"/>
    <n v="4"/>
    <d v="2025-04-15T00:00:00"/>
    <x v="1"/>
    <s v="Ryan Ortiz"/>
    <s v=""/>
    <s v="Female"/>
    <n v="76"/>
    <x v="1"/>
    <n v="3"/>
    <x v="3"/>
    <x v="3"/>
    <n v="5710.07"/>
    <n v="3483.14"/>
    <m/>
    <x v="1"/>
    <x v="1"/>
  </r>
  <r>
    <s v="NHM-2023-101920"/>
    <s v="May"/>
    <x v="9"/>
    <n v="5"/>
    <d v="2024-05-29T00:00:00"/>
    <x v="0"/>
    <s v="Heather Jimenez"/>
    <s v="NovaHealth Lakeside Medical Center"/>
    <s v="Male"/>
    <n v="73"/>
    <x v="0"/>
    <n v="1"/>
    <x v="0"/>
    <x v="0"/>
    <n v="5939.61"/>
    <n v="3893.35"/>
    <n v="11.5"/>
    <x v="0"/>
    <x v="1"/>
  </r>
  <r>
    <s v="NHM-2025-101437"/>
    <s v="April"/>
    <x v="0"/>
    <n v="4"/>
    <d v="2026-04-06T00:00:00"/>
    <x v="2"/>
    <s v="Jonathan Warren"/>
    <s v="NovaHealth Greenfield Clinic"/>
    <s v="Female"/>
    <n v="22"/>
    <x v="0"/>
    <n v="2"/>
    <x v="1"/>
    <x v="1"/>
    <n v="6412.82"/>
    <n v="4333.3900000000003"/>
    <n v="4.5999999999999996"/>
    <x v="1"/>
    <x v="0"/>
  </r>
  <r>
    <s v="NHM-2026-102371"/>
    <s v="November"/>
    <x v="4"/>
    <n v="11"/>
    <d v="2025-11-18T00:00:00"/>
    <x v="1"/>
    <s v="Scott Thomas"/>
    <s v="NovaHealth Metro General Hospital"/>
    <s v="Female"/>
    <n v="3"/>
    <x v="0"/>
    <n v="2"/>
    <x v="6"/>
    <x v="6"/>
    <n v="1169.05"/>
    <n v="831.93"/>
    <n v="1.7"/>
    <x v="1"/>
    <x v="2"/>
  </r>
  <r>
    <s v="NHM-2023-101445"/>
    <s v="September"/>
    <x v="7"/>
    <n v="9"/>
    <d v="2025-09-12T00:00:00"/>
    <x v="1"/>
    <s v="Beverly Wood"/>
    <s v="NovaHealth Chicago Medical Center"/>
    <s v="Female"/>
    <n v="73"/>
    <x v="2"/>
    <n v="4"/>
    <x v="4"/>
    <x v="4"/>
    <n v="16472.3"/>
    <n v="12095.98"/>
    <n v="8.9"/>
    <x v="2"/>
    <x v="1"/>
  </r>
  <r>
    <s v="NHM-2026-102149"/>
    <s v="June"/>
    <x v="11"/>
    <n v="6"/>
    <d v="2026-06-22T00:00:00"/>
    <x v="2"/>
    <s v="Theresa Russell"/>
    <s v="NovaHealth Lakeside Medical Center"/>
    <s v="Male"/>
    <n v="33"/>
    <x v="0"/>
    <n v="1"/>
    <x v="0"/>
    <x v="0"/>
    <n v="7648.88"/>
    <n v="5889.15"/>
    <n v="9.5"/>
    <x v="0"/>
    <x v="0"/>
  </r>
  <r>
    <s v="NHM-2025-102324"/>
    <s v="September"/>
    <x v="7"/>
    <n v="9"/>
    <d v="2023-09-19T00:00:00"/>
    <x v="3"/>
    <s v="Janet Butler"/>
    <s v="NovaHealth Midtown Medical Center"/>
    <s v="Male"/>
    <n v="40"/>
    <x v="0"/>
    <n v="1"/>
    <x v="7"/>
    <x v="7"/>
    <n v="8672.3799999999992"/>
    <n v="5137.18"/>
    <n v="13.4"/>
    <x v="0"/>
    <x v="0"/>
  </r>
  <r>
    <s v="NHM-2024-102020"/>
    <s v="December"/>
    <x v="6"/>
    <n v="12"/>
    <d v="2024-12-30T00:00:00"/>
    <x v="0"/>
    <s v="Mary Wright"/>
    <s v="NovaHealth Lakeshore Regional Center"/>
    <s v="Female"/>
    <n v="59"/>
    <x v="2"/>
    <n v="4"/>
    <x v="4"/>
    <x v="4"/>
    <n v="15231.64"/>
    <n v="9389.7000000000007"/>
    <n v="12.3"/>
    <x v="2"/>
    <x v="0"/>
  </r>
  <r>
    <s v="NHM-2023-101444"/>
    <s v="August"/>
    <x v="10"/>
    <n v="8"/>
    <d v="2024-08-02T00:00:00"/>
    <x v="0"/>
    <s v="Peter Powell"/>
    <s v="NovaHealth Metro General Hospital"/>
    <s v="Female"/>
    <n v="13"/>
    <x v="0"/>
    <n v="1"/>
    <x v="6"/>
    <x v="6"/>
    <n v="2052.25"/>
    <n v="1324.64"/>
    <n v="1.4"/>
    <x v="0"/>
    <x v="2"/>
  </r>
  <r>
    <s v="NHM-2025-102111"/>
    <s v="July"/>
    <x v="8"/>
    <n v="7"/>
    <d v="2026-07-16T00:00:00"/>
    <x v="2"/>
    <s v="Aaron Mason"/>
    <s v="NovaHealth Lakeshore Regional Center"/>
    <s v="Male"/>
    <n v="17"/>
    <x v="0"/>
    <n v="1"/>
    <x v="6"/>
    <x v="6"/>
    <n v="1414.08"/>
    <n v="988.23"/>
    <n v="5.0999999999999996"/>
    <x v="0"/>
    <x v="2"/>
  </r>
  <r>
    <s v="NHM-2026-100897"/>
    <s v="June"/>
    <x v="11"/>
    <n v="6"/>
    <d v="2024-06-11T00:00:00"/>
    <x v="0"/>
    <s v="Sharon Alexander"/>
    <s v="NovaHealth Northside Hospital"/>
    <s v="Male"/>
    <n v="68"/>
    <x v="1"/>
    <n v="4"/>
    <x v="7"/>
    <x v="7"/>
    <n v="4069.09"/>
    <n v="2936.36"/>
    <n v="11"/>
    <x v="2"/>
    <x v="1"/>
  </r>
  <r>
    <s v="NHM-2026-101008"/>
    <s v="February"/>
    <x v="2"/>
    <n v="2"/>
    <d v="2026-02-27T00:00:00"/>
    <x v="2"/>
    <s v="Gerald Ramirez"/>
    <s v="NovaHealth Northside Hospital"/>
    <s v="Female"/>
    <n v="32"/>
    <x v="2"/>
    <n v="1"/>
    <x v="7"/>
    <x v="7"/>
    <n v="7913.15"/>
    <n v="5897.4"/>
    <n v="15.1"/>
    <x v="0"/>
    <x v="0"/>
  </r>
  <r>
    <s v="NHM-2023-102025"/>
    <s v="May"/>
    <x v="9"/>
    <n v="5"/>
    <d v="2026-05-15T00:00:00"/>
    <x v="2"/>
    <s v="Joan Nguyen"/>
    <s v="NovaHealth River Valley Hospital"/>
    <s v="Female"/>
    <n v="76"/>
    <x v="0"/>
    <n v="2"/>
    <x v="0"/>
    <x v="0"/>
    <n v="9200.99"/>
    <n v="7074.35"/>
    <n v="10.199999999999999"/>
    <x v="1"/>
    <x v="1"/>
  </r>
  <r>
    <s v="NHM-2024-101029"/>
    <s v="September"/>
    <x v="7"/>
    <n v="9"/>
    <d v="2025-09-01T00:00:00"/>
    <x v="1"/>
    <s v="Nicholas Thomas"/>
    <s v="NovaHealth Chicago Medical Center"/>
    <s v="Female"/>
    <n v="61"/>
    <x v="0"/>
    <n v="5"/>
    <x v="2"/>
    <x v="2"/>
    <n v="5289.35"/>
    <n v="3103.02"/>
    <n v="4.4000000000000004"/>
    <x v="2"/>
    <x v="0"/>
  </r>
  <r>
    <s v="NHM-2023-102479"/>
    <s v="February"/>
    <x v="2"/>
    <n v="2"/>
    <d v="2025-02-20T00:00:00"/>
    <x v="1"/>
    <s v="Emma Alexander"/>
    <s v="NovaHealth River Valley Hospital"/>
    <s v="Female"/>
    <n v="61"/>
    <x v="0"/>
    <n v="1"/>
    <x v="3"/>
    <x v="3"/>
    <n v="6736.41"/>
    <n v="4154.01"/>
    <n v="5.6"/>
    <x v="0"/>
    <x v="0"/>
  </r>
  <r>
    <s v="NHM-2023-100752"/>
    <s v="September"/>
    <x v="7"/>
    <n v="9"/>
    <d v="2025-09-23T00:00:00"/>
    <x v="1"/>
    <s v="Donald Rivera"/>
    <s v="NovaHealth Greenfield Clinic"/>
    <s v="Female"/>
    <n v="62"/>
    <x v="0"/>
    <n v="1"/>
    <x v="7"/>
    <x v="7"/>
    <n v="6453.78"/>
    <n v="4267.22"/>
    <n v="17.100000000000001"/>
    <x v="0"/>
    <x v="0"/>
  </r>
  <r>
    <s v="NHM-2024-100531"/>
    <s v="December"/>
    <x v="6"/>
    <n v="12"/>
    <d v="2024-12-20T00:00:00"/>
    <x v="0"/>
    <s v="Janet Hughes"/>
    <s v="NovaHealth Chicago Medical Center"/>
    <s v="Female"/>
    <n v="71"/>
    <x v="0"/>
    <n v="2"/>
    <x v="3"/>
    <x v="3"/>
    <n v="8812.64"/>
    <n v="5986.87"/>
    <n v="10.3"/>
    <x v="1"/>
    <x v="1"/>
  </r>
  <r>
    <s v="NHM-2025-101481"/>
    <s v="November"/>
    <x v="4"/>
    <n v="11"/>
    <d v="2023-11-24T00:00:00"/>
    <x v="3"/>
    <s v="Douglas Murphy"/>
    <s v="NovaHealth River Valley Hospital"/>
    <s v="Male"/>
    <n v="52"/>
    <x v="2"/>
    <n v="5"/>
    <x v="0"/>
    <x v="0"/>
    <n v="13321.63"/>
    <n v="9375.5400000000009"/>
    <n v="6.3"/>
    <x v="2"/>
    <x v="0"/>
  </r>
  <r>
    <s v="NHM-2025-102310"/>
    <s v="October"/>
    <x v="5"/>
    <n v="10"/>
    <d v="2024-10-25T00:00:00"/>
    <x v="0"/>
    <s v="Terry Bailey"/>
    <s v="NovaHealth Northside Hospital"/>
    <s v="Female"/>
    <n v="8"/>
    <x v="0"/>
    <n v="1"/>
    <x v="6"/>
    <x v="6"/>
    <n v="923.66"/>
    <n v="693.47"/>
    <n v="2.4"/>
    <x v="0"/>
    <x v="2"/>
  </r>
  <r>
    <s v="NHM-2025-101338"/>
    <s v="March"/>
    <x v="1"/>
    <n v="3"/>
    <d v="2026-03-17T00:00:00"/>
    <x v="2"/>
    <s v="Peter Kelly"/>
    <s v="NovaHealth Greenfield Clinic"/>
    <s v="Female"/>
    <n v="94"/>
    <x v="0"/>
    <n v="3"/>
    <x v="4"/>
    <x v="4"/>
    <n v="19500.310000000001"/>
    <n v="14949.84"/>
    <n v="16.2"/>
    <x v="1"/>
    <x v="1"/>
  </r>
  <r>
    <s v="NHM-2024-100649"/>
    <s v="December"/>
    <x v="6"/>
    <n v="12"/>
    <d v="2023-12-02T00:00:00"/>
    <x v="3"/>
    <s v="Emma Alvarez"/>
    <s v="NovaHealth Metro General Hospital"/>
    <s v="Male"/>
    <n v="38"/>
    <x v="0"/>
    <n v="1"/>
    <x v="7"/>
    <x v="7"/>
    <n v="5598.44"/>
    <n v="3363.9"/>
    <n v="14.6"/>
    <x v="0"/>
    <x v="0"/>
  </r>
  <r>
    <s v="NHM-2025-100982"/>
    <s v="June"/>
    <x v="11"/>
    <n v="6"/>
    <d v="2025-06-22T00:00:00"/>
    <x v="1"/>
    <s v="Arthur Murray"/>
    <s v="NovaHealth Northside Hospital"/>
    <s v="Female"/>
    <n v="92"/>
    <x v="0"/>
    <n v="2"/>
    <x v="3"/>
    <x v="3"/>
    <n v="4859.08"/>
    <n v="3048.04"/>
    <n v="10.5"/>
    <x v="1"/>
    <x v="1"/>
  </r>
  <r>
    <s v="NHM-2025-100426"/>
    <s v="March"/>
    <x v="1"/>
    <n v="3"/>
    <d v="2025-03-11T00:00:00"/>
    <x v="1"/>
    <s v="Jason Cook"/>
    <s v="NovaHealth Greenfield Clinic"/>
    <s v="Male"/>
    <n v="91"/>
    <x v="2"/>
    <n v="4"/>
    <x v="4"/>
    <x v="4"/>
    <n v="19937.580000000002"/>
    <n v="12836.05"/>
    <n v="9.5"/>
    <x v="2"/>
    <x v="1"/>
  </r>
  <r>
    <s v="NHM-2025-101161"/>
    <s v="February"/>
    <x v="2"/>
    <n v="2"/>
    <d v="2025-02-18T00:00:00"/>
    <x v="1"/>
    <s v="Eugene Nelson"/>
    <s v="NovaHealth Lakeside Medical Center"/>
    <s v="Female"/>
    <n v="42"/>
    <x v="0"/>
    <n v="2"/>
    <x v="1"/>
    <x v="1"/>
    <n v="8481.5300000000007"/>
    <n v="5739.43"/>
    <n v="7.1"/>
    <x v="1"/>
    <x v="0"/>
  </r>
  <r>
    <s v="NHM-2026-101799"/>
    <s v="August"/>
    <x v="10"/>
    <n v="8"/>
    <d v="2024-08-19T00:00:00"/>
    <x v="0"/>
    <s v="Angela Kelly"/>
    <s v="NovaHealth Oakridge Community Hospital"/>
    <s v="Male"/>
    <n v="80"/>
    <x v="2"/>
    <n v="5"/>
    <x v="4"/>
    <x v="4"/>
    <n v="18179.28"/>
    <n v="12790.3"/>
    <n v="8.1"/>
    <x v="2"/>
    <x v="1"/>
  </r>
  <r>
    <s v="NHM-2023-100318"/>
    <s v="October"/>
    <x v="5"/>
    <n v="10"/>
    <d v="2025-10-08T00:00:00"/>
    <x v="1"/>
    <s v="Madison Hall"/>
    <s v="NovaHealth Metro General Hospital"/>
    <s v="Male"/>
    <n v="92"/>
    <x v="2"/>
    <n v="4"/>
    <x v="4"/>
    <x v="4"/>
    <n v="17012.57"/>
    <n v="12487.98"/>
    <n v="8.6"/>
    <x v="2"/>
    <x v="1"/>
  </r>
  <r>
    <s v="NHM-2024-102040"/>
    <s v="October"/>
    <x v="5"/>
    <n v="10"/>
    <d v="2025-10-07T00:00:00"/>
    <x v="1"/>
    <s v="Jennifer Myers"/>
    <s v="NovaHealth Chicago Medical Center"/>
    <s v="Female"/>
    <n v="23"/>
    <x v="2"/>
    <n v="4"/>
    <x v="7"/>
    <x v="7"/>
    <n v="10102.18"/>
    <n v="7851.26"/>
    <n v="21.7"/>
    <x v="2"/>
    <x v="0"/>
  </r>
  <r>
    <s v="NHM-2023-101915"/>
    <s v="November"/>
    <x v="4"/>
    <n v="11"/>
    <d v="2024-11-27T00:00:00"/>
    <x v="0"/>
    <s v="Patricia Jenkins"/>
    <s v="NovaHealth River Valley Hospital"/>
    <s v="Female"/>
    <n v="21"/>
    <x v="2"/>
    <n v="1"/>
    <x v="0"/>
    <x v="0"/>
    <n v="9115.17"/>
    <n v="5342"/>
    <n v="6.9"/>
    <x v="0"/>
    <x v="0"/>
  </r>
  <r>
    <s v="NHM-2024-101093"/>
    <s v="July"/>
    <x v="8"/>
    <n v="7"/>
    <d v="2026-07-21T00:00:00"/>
    <x v="2"/>
    <s v="Austin Jordan"/>
    <s v="NovaHealth Northside Hospital"/>
    <s v="Female"/>
    <n v="15"/>
    <x v="2"/>
    <n v="1"/>
    <x v="6"/>
    <x v="6"/>
    <n v="1739.03"/>
    <n v="1077.6099999999999"/>
    <n v="2.1"/>
    <x v="0"/>
    <x v="2"/>
  </r>
  <r>
    <s v="NHM-2025-101148"/>
    <s v="August"/>
    <x v="10"/>
    <n v="8"/>
    <d v="2025-08-04T00:00:00"/>
    <x v="1"/>
    <s v="Arthur Robinson"/>
    <s v="NovaHealth Northside Hospital"/>
    <s v="Male"/>
    <n v="3"/>
    <x v="0"/>
    <n v="1"/>
    <x v="6"/>
    <x v="6"/>
    <n v="1431.74"/>
    <n v="949.91"/>
    <n v="4.2"/>
    <x v="0"/>
    <x v="2"/>
  </r>
  <r>
    <s v="NHM-2026-100958"/>
    <s v="May"/>
    <x v="9"/>
    <n v="5"/>
    <d v="2026-05-22T00:00:00"/>
    <x v="2"/>
    <s v="Logan Martin"/>
    <s v="NovaHealth Northside Hospital"/>
    <s v="Male"/>
    <n v="76"/>
    <x v="1"/>
    <n v="4"/>
    <x v="5"/>
    <x v="5"/>
    <n v="12219.17"/>
    <n v="8209.24"/>
    <n v="2.8"/>
    <x v="2"/>
    <x v="1"/>
  </r>
  <r>
    <s v="NHM-2024-102233"/>
    <s v="May"/>
    <x v="9"/>
    <n v="5"/>
    <d v="2026-05-12T00:00:00"/>
    <x v="2"/>
    <s v="Denise Hernandez"/>
    <s v="NovaHealth Northside Hospital"/>
    <s v="Female"/>
    <n v="67"/>
    <x v="2"/>
    <n v="5"/>
    <x v="4"/>
    <x v="4"/>
    <n v="22996.16"/>
    <n v="16179.71"/>
    <n v="10.3"/>
    <x v="2"/>
    <x v="1"/>
  </r>
  <r>
    <s v="NHM-2023-101409"/>
    <s v="September"/>
    <x v="7"/>
    <n v="9"/>
    <d v="2023-09-11T00:00:00"/>
    <x v="3"/>
    <s v="Stephen Powell"/>
    <s v="NovaHealth Greenfield Clinic"/>
    <s v="Male"/>
    <n v="24"/>
    <x v="0"/>
    <n v="1"/>
    <x v="2"/>
    <x v="2"/>
    <n v="1444.15"/>
    <n v="1128.6300000000001"/>
    <n v="9.3000000000000007"/>
    <x v="0"/>
    <x v="0"/>
  </r>
  <r>
    <s v="NHM-2024-101617"/>
    <s v="February"/>
    <x v="2"/>
    <n v="2"/>
    <d v="2024-02-02T00:00:00"/>
    <x v="0"/>
    <s v="Diane Howard"/>
    <s v="NovaHealth Lakeside Medical Center"/>
    <s v="Male"/>
    <n v="82"/>
    <x v="1"/>
    <n v="5"/>
    <x v="3"/>
    <x v="3"/>
    <n v="12046.22"/>
    <n v="9183.1299999999992"/>
    <n v="3.5"/>
    <x v="2"/>
    <x v="1"/>
  </r>
  <r>
    <s v="NHM-2025-100886"/>
    <s v="July"/>
    <x v="8"/>
    <n v="7"/>
    <d v="2026-07-17T00:00:00"/>
    <x v="2"/>
    <s v="Bryan Scott"/>
    <s v=""/>
    <s v="Male"/>
    <n v="71"/>
    <x v="0"/>
    <n v="1"/>
    <x v="1"/>
    <x v="1"/>
    <n v="6504.21"/>
    <n v="3792.44"/>
    <n v="2.5"/>
    <x v="0"/>
    <x v="1"/>
  </r>
  <r>
    <s v="NHM-2025-101364"/>
    <s v="March"/>
    <x v="1"/>
    <n v="3"/>
    <d v="2025-03-26T00:00:00"/>
    <x v="1"/>
    <s v="Steven Simpson"/>
    <s v="NovaHealth Northside Hospital"/>
    <s v="Female"/>
    <n v="1"/>
    <x v="1"/>
    <n v="3"/>
    <x v="6"/>
    <x v="6"/>
    <n v="908.9"/>
    <n v="600.83000000000004"/>
    <n v="5.8"/>
    <x v="1"/>
    <x v="2"/>
  </r>
  <r>
    <s v="NHM-2026-100070"/>
    <s v="November"/>
    <x v="4"/>
    <n v="11"/>
    <d v="2024-11-04T00:00:00"/>
    <x v="0"/>
    <s v="Raymond Phillips"/>
    <s v="NovaHealth Greenfield Clinic"/>
    <s v="Female"/>
    <n v="95"/>
    <x v="1"/>
    <n v="4"/>
    <x v="4"/>
    <x v="4"/>
    <n v="10275.77"/>
    <n v="6694.89"/>
    <n v="14.8"/>
    <x v="2"/>
    <x v="1"/>
  </r>
  <r>
    <s v="NHM-2026-100459"/>
    <s v="July"/>
    <x v="8"/>
    <n v="7"/>
    <d v="2024-07-01T00:00:00"/>
    <x v="0"/>
    <s v="Hannah Russell"/>
    <s v="NovaHealth Northside Hospital"/>
    <s v="Male"/>
    <n v="55"/>
    <x v="1"/>
    <n v="5"/>
    <x v="4"/>
    <x v="4"/>
    <n v="16182.71"/>
    <n v="10954.42"/>
    <n v="14"/>
    <x v="2"/>
    <x v="0"/>
  </r>
  <r>
    <s v="NHM-2023-100503"/>
    <s v="December"/>
    <x v="6"/>
    <n v="12"/>
    <d v="2025-12-25T00:00:00"/>
    <x v="1"/>
    <s v="Jeffrey Mendoza"/>
    <s v="NovaHealth Greenfield Clinic"/>
    <s v="Male"/>
    <n v="47"/>
    <x v="1"/>
    <n v="5"/>
    <x v="3"/>
    <x v="3"/>
    <n v="9810.84"/>
    <n v="6953.99"/>
    <n v="10.8"/>
    <x v="2"/>
    <x v="0"/>
  </r>
  <r>
    <s v="NHM-2026-100138"/>
    <s v="May"/>
    <x v="9"/>
    <n v="5"/>
    <d v="2026-05-11T00:00:00"/>
    <x v="2"/>
    <s v="Rachel Henry"/>
    <s v="NovaHealth Lakeside Medical Center"/>
    <s v="Female"/>
    <n v="71"/>
    <x v="2"/>
    <n v="4"/>
    <x v="2"/>
    <x v="2"/>
    <n v="2319.94"/>
    <n v="1764.76"/>
    <n v="8.9"/>
    <x v="2"/>
    <x v="1"/>
  </r>
  <r>
    <s v="NHM-2024-101620"/>
    <s v="May"/>
    <x v="9"/>
    <n v="5"/>
    <d v="2026-05-05T00:00:00"/>
    <x v="2"/>
    <s v="Christina Torres"/>
    <s v="NovaHealth Chicago Medical Center"/>
    <s v="Male"/>
    <n v="93"/>
    <x v="2"/>
    <n v="4"/>
    <x v="4"/>
    <x v="4"/>
    <n v="11036.6"/>
    <n v="8524.6200000000008"/>
    <n v="17.100000000000001"/>
    <x v="2"/>
    <x v="1"/>
  </r>
  <r>
    <s v="NHM-2025-101292"/>
    <s v="May"/>
    <x v="9"/>
    <n v="5"/>
    <d v="2026-05-06T00:00:00"/>
    <x v="2"/>
    <s v="Samantha Tucker"/>
    <s v="NovaHealth Lakeside Medical Center"/>
    <s v="Female"/>
    <n v="17"/>
    <x v="0"/>
    <n v="1"/>
    <x v="6"/>
    <x v="6"/>
    <n v="1146.0899999999999"/>
    <n v="695.13"/>
    <n v="3.8"/>
    <x v="0"/>
    <x v="2"/>
  </r>
  <r>
    <s v="NHM-2023-101564"/>
    <s v="December"/>
    <x v="6"/>
    <n v="12"/>
    <d v="2025-12-17T00:00:00"/>
    <x v="1"/>
    <s v="David Jordan"/>
    <s v="NovaHealth Chicago Medical Center"/>
    <s v="Female"/>
    <n v="70"/>
    <x v="1"/>
    <n v="3"/>
    <x v="3"/>
    <x v="3"/>
    <n v="8427.85"/>
    <n v="5221.79"/>
    <n v="10.1"/>
    <x v="1"/>
    <x v="1"/>
  </r>
  <r>
    <s v="NHM-2024-100113"/>
    <s v="October"/>
    <x v="5"/>
    <n v="10"/>
    <d v="2023-10-13T00:00:00"/>
    <x v="3"/>
    <s v="Sara Sanders"/>
    <s v="NovaHealth Chicago Medical Center"/>
    <s v="Male"/>
    <n v="82"/>
    <x v="1"/>
    <n v="4"/>
    <x v="2"/>
    <x v="2"/>
    <n v="2559.39"/>
    <n v="1709.21"/>
    <n v="8.9"/>
    <x v="2"/>
    <x v="1"/>
  </r>
  <r>
    <s v="NHM-2026-101122"/>
    <s v="January"/>
    <x v="3"/>
    <n v="1"/>
    <d v="2025-01-09T00:00:00"/>
    <x v="1"/>
    <s v="Sharon Graham"/>
    <s v="NovaHealth Greenfield Clinic"/>
    <s v="Male"/>
    <n v="52"/>
    <x v="1"/>
    <n v="4"/>
    <x v="5"/>
    <x v="5"/>
    <n v="14110.96"/>
    <n v="9479.94"/>
    <n v="3.2"/>
    <x v="2"/>
    <x v="0"/>
  </r>
  <r>
    <s v="NHM-2024-101495"/>
    <s v="November"/>
    <x v="4"/>
    <n v="11"/>
    <d v="2023-11-25T00:00:00"/>
    <x v="3"/>
    <s v="Richard Ramos"/>
    <s v="NovaHealth Metro General Hospital"/>
    <s v="Female"/>
    <n v="74"/>
    <x v="1"/>
    <n v="3"/>
    <x v="3"/>
    <x v="3"/>
    <n v="8458.57"/>
    <n v="5982.6"/>
    <n v="7.7"/>
    <x v="1"/>
    <x v="1"/>
  </r>
  <r>
    <s v="NHM-2024-102440"/>
    <s v="July"/>
    <x v="8"/>
    <n v="7"/>
    <d v="2024-07-23T00:00:00"/>
    <x v="0"/>
    <s v="Jordan Johnson"/>
    <s v="NovaHealth River Valley Hospital"/>
    <s v="Male"/>
    <n v="18"/>
    <x v="0"/>
    <n v="1"/>
    <x v="7"/>
    <x v="7"/>
    <n v="8713.08"/>
    <n v="6492.55"/>
    <n v="16.5"/>
    <x v="0"/>
    <x v="2"/>
  </r>
  <r>
    <s v="NHM-2024-101946"/>
    <s v="May"/>
    <x v="9"/>
    <n v="5"/>
    <d v="2024-05-30T00:00:00"/>
    <x v="0"/>
    <s v="Adam Gomez"/>
    <s v="NovaHealth Northside Hospital"/>
    <s v="Male"/>
    <n v="43"/>
    <x v="2"/>
    <n v="2"/>
    <x v="2"/>
    <x v="2"/>
    <n v="3945.7"/>
    <n v="3078.73"/>
    <n v="10"/>
    <x v="1"/>
    <x v="0"/>
  </r>
  <r>
    <s v="NHM-2024-102114"/>
    <s v="July"/>
    <x v="8"/>
    <n v="7"/>
    <d v="2026-07-13T00:00:00"/>
    <x v="2"/>
    <s v="Ruth Turner"/>
    <s v="NovaHealth Lakeside Medical Center"/>
    <s v="Male"/>
    <n v="56"/>
    <x v="0"/>
    <n v="1"/>
    <x v="7"/>
    <x v="7"/>
    <n v="3047.44"/>
    <n v="1900.32"/>
    <n v="16.600000000000001"/>
    <x v="0"/>
    <x v="0"/>
  </r>
  <r>
    <s v="NHM-2024-102471"/>
    <s v="November"/>
    <x v="4"/>
    <n v="11"/>
    <d v="2023-11-17T00:00:00"/>
    <x v="3"/>
    <s v="Sean Collins"/>
    <s v="NovaHealth Lakeshore Regional Center"/>
    <s v="Female"/>
    <n v="62"/>
    <x v="1"/>
    <n v="4"/>
    <x v="3"/>
    <x v="3"/>
    <n v="7006.47"/>
    <n v="4298.75"/>
    <n v="3.1"/>
    <x v="2"/>
    <x v="0"/>
  </r>
  <r>
    <s v="NHM-2025-101692"/>
    <s v="June"/>
    <x v="11"/>
    <n v="6"/>
    <d v="2024-06-24T00:00:00"/>
    <x v="0"/>
    <s v="Susan Wilson"/>
    <s v="NovaHealth Chicago Medical Center"/>
    <s v="Male"/>
    <n v="73"/>
    <x v="0"/>
    <n v="4"/>
    <x v="5"/>
    <x v="5"/>
    <n v="12144.34"/>
    <n v="7818.78"/>
    <n v="5.8"/>
    <x v="2"/>
    <x v="1"/>
  </r>
  <r>
    <s v="NHM-2025-101625"/>
    <s v="December"/>
    <x v="6"/>
    <n v="12"/>
    <d v="2023-12-21T00:00:00"/>
    <x v="3"/>
    <s v="Juan Hamilton"/>
    <s v="NovaHealth Lakeshore Regional Center"/>
    <s v="Female"/>
    <n v="30"/>
    <x v="2"/>
    <n v="1"/>
    <x v="0"/>
    <x v="0"/>
    <n v="9179.5"/>
    <n v="6207.86"/>
    <n v="7.2"/>
    <x v="0"/>
    <x v="0"/>
  </r>
  <r>
    <s v="NHM-2026-101388"/>
    <s v="October"/>
    <x v="5"/>
    <n v="10"/>
    <d v="2023-10-06T00:00:00"/>
    <x v="3"/>
    <s v="Madison Wells"/>
    <s v="NovaHealth Northside Hospital"/>
    <s v="Female"/>
    <n v="6"/>
    <x v="0"/>
    <n v="2"/>
    <x v="6"/>
    <x v="6"/>
    <n v="1769.05"/>
    <n v="1239.1300000000001"/>
    <n v="0.1"/>
    <x v="1"/>
    <x v="2"/>
  </r>
  <r>
    <s v="NHM-2025-102244"/>
    <s v="March"/>
    <x v="1"/>
    <n v="3"/>
    <d v="2025-03-31T00:00:00"/>
    <x v="1"/>
    <s v="Olivia Coleman"/>
    <s v=""/>
    <s v="Male"/>
    <n v="60"/>
    <x v="0"/>
    <n v="1"/>
    <x v="3"/>
    <x v="3"/>
    <n v="8046.19"/>
    <n v="5893.72"/>
    <n v="2.5"/>
    <x v="0"/>
    <x v="0"/>
  </r>
  <r>
    <s v="NHM-2023-102188"/>
    <s v="February"/>
    <x v="2"/>
    <n v="2"/>
    <d v="2024-02-20T00:00:00"/>
    <x v="0"/>
    <s v="Carolyn Williams"/>
    <s v="NovaHealth Midtown Medical Center"/>
    <s v="Female"/>
    <n v="3"/>
    <x v="0"/>
    <n v="2"/>
    <x v="6"/>
    <x v="6"/>
    <n v="2378.2800000000002"/>
    <n v="1845.89"/>
    <n v="4.8"/>
    <x v="1"/>
    <x v="2"/>
  </r>
  <r>
    <s v="NHM-2024-101488"/>
    <s v="November"/>
    <x v="4"/>
    <n v="11"/>
    <d v="2024-11-14T00:00:00"/>
    <x v="0"/>
    <s v="Sarah Ellis"/>
    <s v="NovaHealth Northside Hospital"/>
    <s v="Male"/>
    <n v="58"/>
    <x v="1"/>
    <n v="4"/>
    <x v="5"/>
    <x v="5"/>
    <n v="21352.91"/>
    <n v="12402.29"/>
    <n v="2.2000000000000002"/>
    <x v="2"/>
    <x v="0"/>
  </r>
  <r>
    <s v="NHM-2024-101858"/>
    <s v="March"/>
    <x v="1"/>
    <n v="3"/>
    <d v="2026-03-05T00:00:00"/>
    <x v="2"/>
    <s v="Marilyn Thompson"/>
    <s v="NovaHealth Northside Hospital"/>
    <s v="Female"/>
    <n v="7"/>
    <x v="1"/>
    <n v="4"/>
    <x v="6"/>
    <x v="6"/>
    <n v="3838.76"/>
    <n v="2355.2399999999998"/>
    <n v="1.7"/>
    <x v="2"/>
    <x v="2"/>
  </r>
  <r>
    <s v="NHM-2025-102287"/>
    <s v="April"/>
    <x v="0"/>
    <n v="4"/>
    <d v="2026-04-20T00:00:00"/>
    <x v="2"/>
    <s v="Carl Powell"/>
    <s v="NovaHealth Chicago Medical Center"/>
    <s v="Female"/>
    <n v="23"/>
    <x v="0"/>
    <n v="3"/>
    <x v="1"/>
    <x v="1"/>
    <n v="8081.13"/>
    <n v="5259.12"/>
    <n v="10.9"/>
    <x v="1"/>
    <x v="0"/>
  </r>
  <r>
    <s v="NHM-2025-100431"/>
    <s v="May"/>
    <x v="9"/>
    <n v="5"/>
    <d v="2026-05-11T00:00:00"/>
    <x v="2"/>
    <s v="Hannah Powell"/>
    <s v="NovaHealth Greenfield Clinic"/>
    <s v="Male"/>
    <n v="79"/>
    <x v="1"/>
    <n v="4"/>
    <x v="5"/>
    <x v="5"/>
    <n v="15851.84"/>
    <n v="10679.13"/>
    <n v="7.3"/>
    <x v="2"/>
    <x v="1"/>
  </r>
  <r>
    <s v="NHM-2026-101494"/>
    <s v="August"/>
    <x v="10"/>
    <n v="8"/>
    <d v="2024-08-12T00:00:00"/>
    <x v="0"/>
    <s v="Diane Patterson"/>
    <s v="NovaHealth Chicago Medical Center"/>
    <s v="Male"/>
    <n v="83"/>
    <x v="0"/>
    <n v="3"/>
    <x v="0"/>
    <x v="0"/>
    <n v="8178.47"/>
    <n v="5770.53"/>
    <n v="5.7"/>
    <x v="1"/>
    <x v="1"/>
  </r>
  <r>
    <s v="NHM-2023-101442"/>
    <s v="November"/>
    <x v="4"/>
    <n v="11"/>
    <d v="2024-11-20T00:00:00"/>
    <x v="0"/>
    <s v="Daniel Ward"/>
    <s v="NovaHealth Lakeside Medical Center"/>
    <s v="Female"/>
    <n v="87"/>
    <x v="2"/>
    <n v="3"/>
    <x v="3"/>
    <x v="3"/>
    <n v="8727.85"/>
    <n v="6395.33"/>
    <n v="3"/>
    <x v="1"/>
    <x v="1"/>
  </r>
  <r>
    <s v="NHM-2023-100218"/>
    <s v="December"/>
    <x v="6"/>
    <n v="12"/>
    <d v="2025-12-17T00:00:00"/>
    <x v="1"/>
    <s v="Ashley Diaz"/>
    <s v="NovaHealth Greenfield Clinic"/>
    <s v="Male"/>
    <n v="71"/>
    <x v="2"/>
    <n v="4"/>
    <x v="4"/>
    <x v="4"/>
    <n v="14394.94"/>
    <n v="11075.35"/>
    <n v="16.899999999999999"/>
    <x v="2"/>
    <x v="1"/>
  </r>
  <r>
    <s v="NHM-2025-100670"/>
    <s v="September"/>
    <x v="7"/>
    <n v="9"/>
    <d v="2024-09-04T00:00:00"/>
    <x v="0"/>
    <s v="Matthew Reyes"/>
    <s v="NovaHealth Chicago Medical Center"/>
    <s v="Female"/>
    <n v="5"/>
    <x v="0"/>
    <n v="1"/>
    <x v="6"/>
    <x v="6"/>
    <n v="1033.77"/>
    <n v="613.19000000000005"/>
    <n v="1.7"/>
    <x v="0"/>
    <x v="2"/>
  </r>
  <r>
    <s v="NHM-2024-102294"/>
    <s v="July"/>
    <x v="8"/>
    <n v="7"/>
    <d v="2026-07-10T00:00:00"/>
    <x v="2"/>
    <s v="Jennifer Howard"/>
    <s v="NovaHealth Chicago Medical Center"/>
    <s v="Male"/>
    <n v="3"/>
    <x v="0"/>
    <n v="1"/>
    <x v="6"/>
    <x v="6"/>
    <n v="1800.64"/>
    <n v="1107.19"/>
    <n v="1.1000000000000001"/>
    <x v="0"/>
    <x v="2"/>
  </r>
  <r>
    <s v="NHM-2023-100800"/>
    <s v="February"/>
    <x v="2"/>
    <n v="2"/>
    <d v="2025-02-20T00:00:00"/>
    <x v="1"/>
    <s v="Elizabeth Ramos"/>
    <s v="NovaHealth Northside Hospital"/>
    <s v="Female"/>
    <n v="39"/>
    <x v="0"/>
    <n v="1"/>
    <x v="1"/>
    <x v="1"/>
    <n v="9167.8799999999992"/>
    <n v="5911.44"/>
    <n v="5.5"/>
    <x v="0"/>
    <x v="0"/>
  </r>
  <r>
    <s v="NHM-2024-102057"/>
    <s v="August"/>
    <x v="10"/>
    <n v="8"/>
    <d v="2024-08-06T00:00:00"/>
    <x v="0"/>
    <s v="Robert Ruiz"/>
    <s v="NovaHealth Lakeside Medical Center"/>
    <s v="Female"/>
    <n v="60"/>
    <x v="0"/>
    <n v="4"/>
    <x v="5"/>
    <x v="5"/>
    <n v="12817.11"/>
    <n v="8678.66"/>
    <n v="11.4"/>
    <x v="2"/>
    <x v="0"/>
  </r>
  <r>
    <s v="NHM-2023-102279"/>
    <s v="July"/>
    <x v="8"/>
    <n v="7"/>
    <d v="2025-07-30T00:00:00"/>
    <x v="1"/>
    <s v="Christopher Hernandez"/>
    <s v="NovaHealth Lakeshore Regional Center"/>
    <s v="Male"/>
    <n v="70"/>
    <x v="1"/>
    <n v="3"/>
    <x v="3"/>
    <x v="3"/>
    <n v="11700.62"/>
    <n v="8244.0300000000007"/>
    <n v="6.7"/>
    <x v="1"/>
    <x v="1"/>
  </r>
  <r>
    <s v="NHM-2024-101836"/>
    <s v="January"/>
    <x v="3"/>
    <n v="1"/>
    <d v="2024-01-16T00:00:00"/>
    <x v="0"/>
    <s v="Logan Boyd"/>
    <s v="NovaHealth Midtown Medical Center"/>
    <s v="Male"/>
    <n v="18"/>
    <x v="0"/>
    <n v="1"/>
    <x v="0"/>
    <x v="0"/>
    <n v="6307.65"/>
    <n v="4678.9799999999996"/>
    <n v="9.3000000000000007"/>
    <x v="0"/>
    <x v="2"/>
  </r>
  <r>
    <s v="NHM-2024-101110"/>
    <s v="December"/>
    <x v="6"/>
    <n v="12"/>
    <d v="2024-12-11T00:00:00"/>
    <x v="0"/>
    <s v="Joshua Martinez"/>
    <s v="NovaHealth Chicago Medical Center"/>
    <s v="Female"/>
    <n v="60"/>
    <x v="0"/>
    <n v="1"/>
    <x v="0"/>
    <x v="0"/>
    <n v="7302.33"/>
    <n v="5596.97"/>
    <n v="5.9"/>
    <x v="0"/>
    <x v="0"/>
  </r>
  <r>
    <s v="NHM-2025-101661"/>
    <s v="April"/>
    <x v="0"/>
    <n v="4"/>
    <d v="2024-04-07T00:00:00"/>
    <x v="0"/>
    <s v="Amy Griffin"/>
    <s v=""/>
    <s v="Male"/>
    <n v="78"/>
    <x v="0"/>
    <n v="2"/>
    <x v="3"/>
    <x v="3"/>
    <n v="7848.78"/>
    <n v="4587.49"/>
    <n v="4.4000000000000004"/>
    <x v="1"/>
    <x v="1"/>
  </r>
  <r>
    <s v="NHM-2024-100594"/>
    <s v="June"/>
    <x v="11"/>
    <n v="6"/>
    <d v="2026-06-26T00:00:00"/>
    <x v="2"/>
    <s v="Keith Simpson"/>
    <s v="NovaHealth Midtown Medical Center"/>
    <s v="Male"/>
    <n v="69"/>
    <x v="0"/>
    <n v="2"/>
    <x v="3"/>
    <x v="3"/>
    <n v="9740.2800000000007"/>
    <n v="5963.17"/>
    <n v="2.7"/>
    <x v="1"/>
    <x v="1"/>
  </r>
  <r>
    <s v="NHM-2026-101521"/>
    <s v="March"/>
    <x v="1"/>
    <n v="3"/>
    <d v="2024-03-13T00:00:00"/>
    <x v="0"/>
    <s v="Donald Rogers"/>
    <s v="NovaHealth River Valley Hospital"/>
    <s v="Female"/>
    <n v="58"/>
    <x v="0"/>
    <n v="1"/>
    <x v="3"/>
    <x v="3"/>
    <n v="5604.61"/>
    <n v="3643.75"/>
    <n v="7.1"/>
    <x v="0"/>
    <x v="0"/>
  </r>
  <r>
    <s v="NHM-2024-101639"/>
    <s v="August"/>
    <x v="10"/>
    <n v="8"/>
    <d v="2024-08-26T00:00:00"/>
    <x v="0"/>
    <s v="Valerie Ortiz"/>
    <s v="NovaHealth Lakeside Medical Center"/>
    <s v="Female"/>
    <n v="40"/>
    <x v="1"/>
    <n v="4"/>
    <x v="1"/>
    <x v="1"/>
    <n v="14519.34"/>
    <n v="9803.16"/>
    <n v="9.4"/>
    <x v="2"/>
    <x v="0"/>
  </r>
  <r>
    <s v="NHM-2026-101563"/>
    <s v="April"/>
    <x v="0"/>
    <n v="4"/>
    <d v="2026-04-29T00:00:00"/>
    <x v="2"/>
    <s v="Emma Walker"/>
    <s v="NovaHealth Chicago Medical Center"/>
    <s v="Male"/>
    <n v="49"/>
    <x v="1"/>
    <n v="5"/>
    <x v="5"/>
    <x v="5"/>
    <n v="12881.62"/>
    <n v="9063.5300000000007"/>
    <n v="5.8"/>
    <x v="2"/>
    <x v="0"/>
  </r>
  <r>
    <s v="NHM-2023-101604"/>
    <s v="November"/>
    <x v="4"/>
    <n v="11"/>
    <d v="2023-11-16T00:00:00"/>
    <x v="3"/>
    <s v="Megan Patel"/>
    <s v="NovaHealth Midtown Medical Center"/>
    <s v="Male"/>
    <n v="2"/>
    <x v="0"/>
    <n v="2"/>
    <x v="6"/>
    <x v="6"/>
    <n v="1355.41"/>
    <n v="1003.85"/>
    <n v="1.8"/>
    <x v="1"/>
    <x v="2"/>
  </r>
  <r>
    <s v="NHM-2023-101180"/>
    <s v="June"/>
    <x v="11"/>
    <n v="6"/>
    <d v="2026-06-24T00:00:00"/>
    <x v="2"/>
    <s v="Jacqueline Alvarez"/>
    <s v="NovaHealth Greenfield Clinic"/>
    <s v="Female"/>
    <n v="79"/>
    <x v="2"/>
    <n v="1"/>
    <x v="1"/>
    <x v="1"/>
    <n v="8552.14"/>
    <n v="6548.43"/>
    <n v="6.1"/>
    <x v="0"/>
    <x v="1"/>
  </r>
  <r>
    <s v="NHM-2026-102389"/>
    <s v="April"/>
    <x v="0"/>
    <n v="4"/>
    <d v="2024-04-25T00:00:00"/>
    <x v="0"/>
    <s v="Laura Kelly"/>
    <s v="NovaHealth Greenfield Clinic"/>
    <s v="Male"/>
    <n v="3"/>
    <x v="2"/>
    <n v="4"/>
    <x v="6"/>
    <x v="6"/>
    <n v="2928.9"/>
    <n v="1720.36"/>
    <n v="2.7"/>
    <x v="2"/>
    <x v="2"/>
  </r>
  <r>
    <s v="NHM-2025-102271"/>
    <s v="March"/>
    <x v="1"/>
    <n v="3"/>
    <d v="2024-03-06T00:00:00"/>
    <x v="0"/>
    <s v="Rebecca Baker"/>
    <s v="NovaHealth Midtown Medical Center"/>
    <s v="Female"/>
    <n v="66"/>
    <x v="1"/>
    <n v="5"/>
    <x v="5"/>
    <x v="5"/>
    <n v="15368.56"/>
    <n v="9403.6200000000008"/>
    <n v="3.6"/>
    <x v="2"/>
    <x v="1"/>
  </r>
  <r>
    <s v="NHM-2025-100876"/>
    <s v="May"/>
    <x v="9"/>
    <n v="5"/>
    <d v="2026-05-12T00:00:00"/>
    <x v="2"/>
    <s v="Jennifer Collins"/>
    <s v="NovaHealth Lakeside Medical Center"/>
    <s v="Male"/>
    <n v="10"/>
    <x v="0"/>
    <n v="1"/>
    <x v="6"/>
    <x v="6"/>
    <n v="1676.62"/>
    <n v="1093.8399999999999"/>
    <n v="2.6"/>
    <x v="0"/>
    <x v="2"/>
  </r>
  <r>
    <s v="NHM-2025-100867"/>
    <s v="May"/>
    <x v="9"/>
    <n v="5"/>
    <d v="2024-05-21T00:00:00"/>
    <x v="0"/>
    <s v="Jeffrey Martinez"/>
    <s v="NovaHealth Chicago Medical Center"/>
    <s v="Male"/>
    <n v="55"/>
    <x v="2"/>
    <n v="3"/>
    <x v="1"/>
    <x v="1"/>
    <n v="11774.51"/>
    <n v="7967.32"/>
    <n v="9.8000000000000007"/>
    <x v="1"/>
    <x v="0"/>
  </r>
  <r>
    <s v="NHM-2025-101784"/>
    <s v="August"/>
    <x v="10"/>
    <n v="8"/>
    <d v="2023-08-31T00:00:00"/>
    <x v="3"/>
    <s v="Emily Sanchez"/>
    <s v="NovaHealth Metro General Hospital"/>
    <s v="Male"/>
    <n v="57"/>
    <x v="0"/>
    <n v="3"/>
    <x v="5"/>
    <x v="5"/>
    <n v="10145.92"/>
    <n v="7134.94"/>
    <n v="4.0999999999999996"/>
    <x v="1"/>
    <x v="0"/>
  </r>
  <r>
    <s v="NHM-2023-100921"/>
    <s v="January"/>
    <x v="3"/>
    <n v="1"/>
    <d v="2026-01-28T00:00:00"/>
    <x v="2"/>
    <s v="Ralph Campbell"/>
    <s v="NovaHealth Chicago Medical Center"/>
    <s v="Male"/>
    <n v="91"/>
    <x v="0"/>
    <n v="4"/>
    <x v="4"/>
    <x v="4"/>
    <n v="10899.97"/>
    <n v="8084.98"/>
    <n v="16"/>
    <x v="2"/>
    <x v="1"/>
  </r>
  <r>
    <s v="NHM-2024-100033"/>
    <s v="January"/>
    <x v="3"/>
    <n v="1"/>
    <d v="2026-01-06T00:00:00"/>
    <x v="2"/>
    <s v="Helen Russell"/>
    <s v="NovaHealth Metro General Hospital"/>
    <s v="Female"/>
    <n v="37"/>
    <x v="0"/>
    <n v="2"/>
    <x v="1"/>
    <x v="1"/>
    <n v="6574.67"/>
    <n v="5076.75"/>
    <n v="10"/>
    <x v="1"/>
    <x v="0"/>
  </r>
  <r>
    <s v="NHM-2026-101721"/>
    <s v="September"/>
    <x v="7"/>
    <n v="9"/>
    <d v="2025-09-25T00:00:00"/>
    <x v="1"/>
    <s v="Gregory Rogers"/>
    <s v=""/>
    <s v="Male"/>
    <n v="35"/>
    <x v="2"/>
    <n v="5"/>
    <x v="5"/>
    <x v="5"/>
    <n v="19397.37"/>
    <n v="11303.27"/>
    <n v="6.6"/>
    <x v="2"/>
    <x v="0"/>
  </r>
  <r>
    <s v="NHM-2025-100205"/>
    <s v="January"/>
    <x v="3"/>
    <n v="1"/>
    <d v="2026-01-23T00:00:00"/>
    <x v="2"/>
    <s v="Kathryn Price"/>
    <s v="NovaHealth Chicago Medical Center"/>
    <s v="Female"/>
    <n v="17"/>
    <x v="0"/>
    <n v="2"/>
    <x v="6"/>
    <x v="6"/>
    <n v="2558.6799999999998"/>
    <n v="1575.19"/>
    <n v="1.8"/>
    <x v="1"/>
    <x v="2"/>
  </r>
  <r>
    <s v="NHM-2025-100668"/>
    <s v="December"/>
    <x v="6"/>
    <n v="12"/>
    <d v="2024-12-10T00:00:00"/>
    <x v="0"/>
    <s v="Abigail Ramos"/>
    <s v="NovaHealth River Valley Hospital"/>
    <s v="Female"/>
    <n v="44"/>
    <x v="0"/>
    <n v="2"/>
    <x v="2"/>
    <x v="2"/>
    <n v="1848.04"/>
    <n v="1238.75"/>
    <n v="7"/>
    <x v="1"/>
    <x v="0"/>
  </r>
  <r>
    <s v="NHM-2025-100946"/>
    <s v="May"/>
    <x v="9"/>
    <n v="5"/>
    <d v="2026-05-12T00:00:00"/>
    <x v="2"/>
    <s v="Beverly Chavez"/>
    <s v="NovaHealth Lakeside Medical Center"/>
    <s v="Male"/>
    <n v="66"/>
    <x v="2"/>
    <n v="5"/>
    <x v="4"/>
    <x v="4"/>
    <n v="14379.07"/>
    <n v="9717.98"/>
    <n v="10.5"/>
    <x v="2"/>
    <x v="1"/>
  </r>
  <r>
    <s v="NHM-2024-100364"/>
    <s v="October"/>
    <x v="5"/>
    <n v="10"/>
    <d v="2025-10-17T00:00:00"/>
    <x v="1"/>
    <s v="Sean Sanders"/>
    <s v="NovaHealth Chicago Medical Center"/>
    <s v="Female"/>
    <n v="63"/>
    <x v="0"/>
    <n v="1"/>
    <x v="2"/>
    <x v="2"/>
    <n v="2087.04"/>
    <n v="1524.13"/>
    <n v="7.9"/>
    <x v="0"/>
    <x v="0"/>
  </r>
  <r>
    <s v="NHM-2024-101138"/>
    <s v="August"/>
    <x v="10"/>
    <n v="8"/>
    <d v="2025-08-15T00:00:00"/>
    <x v="1"/>
    <s v="Ryan Jones"/>
    <s v="NovaHealth Greenfield Clinic"/>
    <s v="Male"/>
    <n v="79"/>
    <x v="1"/>
    <n v="5"/>
    <x v="3"/>
    <x v="3"/>
    <n v="12980.57"/>
    <n v="9519.82"/>
    <n v="5.5"/>
    <x v="2"/>
    <x v="1"/>
  </r>
  <r>
    <s v="NHM-2026-101393"/>
    <s v="January"/>
    <x v="3"/>
    <n v="1"/>
    <d v="2025-01-31T00:00:00"/>
    <x v="1"/>
    <s v="Daniel Boyd"/>
    <s v="NovaHealth Midtown Medical Center"/>
    <s v="Male"/>
    <n v="73"/>
    <x v="1"/>
    <n v="2"/>
    <x v="0"/>
    <x v="0"/>
    <n v="6666.17"/>
    <n v="5103.09"/>
    <n v="4.5999999999999996"/>
    <x v="1"/>
    <x v="1"/>
  </r>
  <r>
    <s v="NHM-2024-101668"/>
    <s v="February"/>
    <x v="2"/>
    <n v="2"/>
    <d v="2024-02-16T00:00:00"/>
    <x v="0"/>
    <s v="Frank Cruz"/>
    <s v="NovaHealth River Valley Hospital"/>
    <s v="Female"/>
    <n v="84"/>
    <x v="1"/>
    <n v="3"/>
    <x v="5"/>
    <x v="5"/>
    <n v="10034.32"/>
    <n v="5895.11"/>
    <n v="9.4"/>
    <x v="1"/>
    <x v="1"/>
  </r>
  <r>
    <s v="NHM-2026-100579"/>
    <s v="March"/>
    <x v="1"/>
    <n v="3"/>
    <d v="2025-03-31T00:00:00"/>
    <x v="1"/>
    <s v="Sara Cooper"/>
    <s v="NovaHealth Greenfield Clinic"/>
    <s v="Male"/>
    <n v="54"/>
    <x v="1"/>
    <n v="2"/>
    <x v="7"/>
    <x v="7"/>
    <n v="4045.14"/>
    <n v="2559.54"/>
    <n v="11.5"/>
    <x v="1"/>
    <x v="0"/>
  </r>
  <r>
    <s v="NHM-2024-101786"/>
    <s v="December"/>
    <x v="6"/>
    <n v="12"/>
    <d v="2025-12-12T00:00:00"/>
    <x v="1"/>
    <s v="Lisa Sullivan"/>
    <s v="NovaHealth Chicago Medical Center"/>
    <s v="Female"/>
    <n v="81"/>
    <x v="2"/>
    <n v="3"/>
    <x v="4"/>
    <x v="4"/>
    <n v="15575.64"/>
    <n v="10044.41"/>
    <n v="9.5"/>
    <x v="1"/>
    <x v="1"/>
  </r>
  <r>
    <s v="NHM-2023-101796"/>
    <s v="February"/>
    <x v="2"/>
    <n v="2"/>
    <d v="2025-02-06T00:00:00"/>
    <x v="1"/>
    <s v="Heather Chavez"/>
    <s v="NovaHealth Greenfield Clinic"/>
    <s v="Female"/>
    <n v="80"/>
    <x v="0"/>
    <n v="1"/>
    <x v="1"/>
    <x v="1"/>
    <n v="6397"/>
    <n v="4368.3900000000003"/>
    <n v="10.3"/>
    <x v="0"/>
    <x v="1"/>
  </r>
  <r>
    <s v="NHM-2026-100817"/>
    <s v="September"/>
    <x v="7"/>
    <n v="9"/>
    <d v="2024-09-19T00:00:00"/>
    <x v="0"/>
    <s v="Lauren Watson"/>
    <s v="NovaHealth Northside Hospital"/>
    <s v="Female"/>
    <n v="58"/>
    <x v="0"/>
    <n v="3"/>
    <x v="0"/>
    <x v="0"/>
    <n v="8864.24"/>
    <n v="6294.57"/>
    <n v="11.2"/>
    <x v="1"/>
    <x v="0"/>
  </r>
  <r>
    <s v="NHM-2024-100794"/>
    <s v="September"/>
    <x v="7"/>
    <n v="9"/>
    <d v="2023-09-12T00:00:00"/>
    <x v="3"/>
    <s v="Cynthia Edwards"/>
    <s v="NovaHealth River Valley Hospital"/>
    <s v="Female"/>
    <n v="63"/>
    <x v="2"/>
    <n v="3"/>
    <x v="1"/>
    <x v="1"/>
    <n v="9159.9500000000007"/>
    <n v="6723.56"/>
    <n v="4.5999999999999996"/>
    <x v="1"/>
    <x v="0"/>
  </r>
  <r>
    <s v="NHM-2024-101420"/>
    <s v="April"/>
    <x v="0"/>
    <n v="4"/>
    <d v="2024-04-26T00:00:00"/>
    <x v="0"/>
    <s v="Anthony Butler"/>
    <s v=""/>
    <s v="Male"/>
    <n v="68"/>
    <x v="2"/>
    <n v="4"/>
    <x v="5"/>
    <x v="5"/>
    <n v="21694.75"/>
    <n v="16558.41"/>
    <n v="8.8000000000000007"/>
    <x v="2"/>
    <x v="1"/>
  </r>
  <r>
    <s v="NHM-2025-101293"/>
    <s v="September"/>
    <x v="7"/>
    <n v="9"/>
    <d v="2023-09-12T00:00:00"/>
    <x v="3"/>
    <s v="Lauren Washington"/>
    <s v="NovaHealth Metro General Hospital"/>
    <s v="Female"/>
    <n v="59"/>
    <x v="1"/>
    <n v="4"/>
    <x v="4"/>
    <x v="4"/>
    <n v="16798.84"/>
    <n v="9866.5300000000007"/>
    <n v="15.4"/>
    <x v="2"/>
    <x v="0"/>
  </r>
  <r>
    <s v="NHM-2025-102036"/>
    <s v="June"/>
    <x v="11"/>
    <n v="6"/>
    <d v="2025-06-05T00:00:00"/>
    <x v="1"/>
    <s v="Sharon Kelly"/>
    <s v="NovaHealth River Valley Hospital"/>
    <s v="Female"/>
    <n v="75"/>
    <x v="1"/>
    <n v="5"/>
    <x v="5"/>
    <x v="5"/>
    <n v="20509.400000000001"/>
    <n v="12528.33"/>
    <n v="2.2000000000000002"/>
    <x v="2"/>
    <x v="1"/>
  </r>
  <r>
    <s v="NHM-2023-101368"/>
    <s v="July"/>
    <x v="8"/>
    <n v="7"/>
    <d v="2024-07-10T00:00:00"/>
    <x v="0"/>
    <s v="Juan Cruz"/>
    <s v="NovaHealth Midtown Medical Center"/>
    <s v="Female"/>
    <n v="35"/>
    <x v="2"/>
    <n v="4"/>
    <x v="5"/>
    <x v="5"/>
    <n v="16455.93"/>
    <n v="10552.6"/>
    <n v="2.6"/>
    <x v="2"/>
    <x v="0"/>
  </r>
  <r>
    <s v="NHM-2024-100428"/>
    <s v="January"/>
    <x v="3"/>
    <n v="1"/>
    <d v="2025-01-29T00:00:00"/>
    <x v="1"/>
    <s v="Terry Morgan"/>
    <s v="NovaHealth Oakridge Community Hospital"/>
    <s v="Female"/>
    <n v="38"/>
    <x v="0"/>
    <n v="1"/>
    <x v="0"/>
    <x v="0"/>
    <n v="8474.43"/>
    <n v="5742.67"/>
    <n v="8.1"/>
    <x v="0"/>
    <x v="0"/>
  </r>
  <r>
    <s v="NHM-2026-101904"/>
    <s v="February"/>
    <x v="2"/>
    <n v="2"/>
    <d v="2025-02-14T00:00:00"/>
    <x v="1"/>
    <s v="Samuel Flores"/>
    <s v="NovaHealth Lakeside Medical Center"/>
    <s v="Male"/>
    <n v="5"/>
    <x v="0"/>
    <n v="1"/>
    <x v="6"/>
    <x v="6"/>
    <n v="620.79999999999995"/>
    <n v="454.56"/>
    <n v="2.5"/>
    <x v="0"/>
    <x v="2"/>
  </r>
  <r>
    <s v="NHM-2026-100240"/>
    <s v="January"/>
    <x v="3"/>
    <n v="1"/>
    <d v="2026-01-12T00:00:00"/>
    <x v="2"/>
    <s v="Michelle Anderson"/>
    <s v="NovaHealth Northside Hospital"/>
    <s v="Female"/>
    <n v="38"/>
    <x v="2"/>
    <n v="4"/>
    <x v="5"/>
    <x v="5"/>
    <n v="11970.36"/>
    <n v="8789.56"/>
    <n v="6.4"/>
    <x v="2"/>
    <x v="0"/>
  </r>
  <r>
    <s v="NHM-2026-100299"/>
    <s v="September"/>
    <x v="7"/>
    <n v="9"/>
    <d v="2025-09-15T00:00:00"/>
    <x v="1"/>
    <s v="Peter Gonzalez"/>
    <s v="NovaHealth Metro General Hospital"/>
    <s v="Male"/>
    <n v="92"/>
    <x v="2"/>
    <n v="4"/>
    <x v="4"/>
    <x v="4"/>
    <n v="17830.75"/>
    <n v="13675.37"/>
    <n v="15.5"/>
    <x v="2"/>
    <x v="1"/>
  </r>
  <r>
    <s v="NHM-2024-100593"/>
    <s v="November"/>
    <x v="4"/>
    <n v="11"/>
    <d v="2025-11-19T00:00:00"/>
    <x v="1"/>
    <s v="Peter Gonzalez"/>
    <s v="NovaHealth Chicago Medical Center"/>
    <s v="Male"/>
    <n v="75"/>
    <x v="1"/>
    <n v="4"/>
    <x v="4"/>
    <x v="4"/>
    <n v="16945.490000000002"/>
    <n v="9936.3799999999992"/>
    <n v="13.5"/>
    <x v="2"/>
    <x v="1"/>
  </r>
  <r>
    <s v="NHM-2026-101681"/>
    <s v="May"/>
    <x v="9"/>
    <n v="5"/>
    <d v="2026-05-13T00:00:00"/>
    <x v="2"/>
    <s v="Joshua Cruz"/>
    <s v=""/>
    <s v="Female"/>
    <n v="75"/>
    <x v="1"/>
    <n v="1"/>
    <x v="0"/>
    <x v="0"/>
    <n v="10455.17"/>
    <n v="6431.25"/>
    <n v="6.7"/>
    <x v="0"/>
    <x v="1"/>
  </r>
  <r>
    <s v="NHM-2026-100491"/>
    <s v="August"/>
    <x v="10"/>
    <n v="8"/>
    <d v="2024-08-29T00:00:00"/>
    <x v="0"/>
    <s v="Janet Jenkins"/>
    <s v="NovaHealth Lakeside Medical Center"/>
    <s v="Female"/>
    <n v="58"/>
    <x v="1"/>
    <n v="3"/>
    <x v="4"/>
    <x v="4"/>
    <n v="17692.72"/>
    <n v="11433.74"/>
    <n v="13.8"/>
    <x v="1"/>
    <x v="0"/>
  </r>
  <r>
    <s v="NHM-2025-101741"/>
    <s v="September"/>
    <x v="7"/>
    <n v="9"/>
    <d v="2025-09-25T00:00:00"/>
    <x v="1"/>
    <s v="Shirley Brown"/>
    <s v="NovaHealth Northside Hospital"/>
    <s v="Male"/>
    <n v="66"/>
    <x v="1"/>
    <n v="1"/>
    <x v="2"/>
    <x v="2"/>
    <n v="1383.55"/>
    <n v="974.18"/>
    <n v="5.9"/>
    <x v="0"/>
    <x v="1"/>
  </r>
  <r>
    <s v="NHM-2026-101168"/>
    <s v="May"/>
    <x v="9"/>
    <n v="5"/>
    <d v="2026-05-15T00:00:00"/>
    <x v="2"/>
    <s v="James Johnson"/>
    <s v="NovaHealth Lakeshore Regional Center"/>
    <s v="Female"/>
    <n v="87"/>
    <x v="0"/>
    <n v="2"/>
    <x v="3"/>
    <x v="3"/>
    <n v="8214.84"/>
    <n v="5788.79"/>
    <n v="4.8"/>
    <x v="1"/>
    <x v="1"/>
  </r>
  <r>
    <s v="NHM-2023-101415"/>
    <s v="January"/>
    <x v="3"/>
    <n v="1"/>
    <d v="2025-01-29T00:00:00"/>
    <x v="1"/>
    <s v="Judy Marshall"/>
    <s v="NovaHealth Metro General Hospital"/>
    <s v="Male"/>
    <n v="60"/>
    <x v="2"/>
    <n v="5"/>
    <x v="5"/>
    <x v="5"/>
    <n v="18381.48"/>
    <n v="13511.28"/>
    <n v="11.6"/>
    <x v="2"/>
    <x v="0"/>
  </r>
  <r>
    <s v="NHM-2025-101189"/>
    <s v="November"/>
    <x v="4"/>
    <n v="11"/>
    <d v="2025-11-21T00:00:00"/>
    <x v="1"/>
    <s v="Gabriel Ortiz"/>
    <s v="NovaHealth Lakeshore Regional Center"/>
    <s v="Female"/>
    <n v="63"/>
    <x v="0"/>
    <n v="1"/>
    <x v="1"/>
    <x v="1"/>
    <n v="5571.31"/>
    <n v="4269.3999999999996"/>
    <n v="4.4000000000000004"/>
    <x v="0"/>
    <x v="0"/>
  </r>
  <r>
    <s v="NHM-2024-101562"/>
    <s v="June"/>
    <x v="11"/>
    <n v="6"/>
    <d v="2024-06-06T00:00:00"/>
    <x v="0"/>
    <s v="Nicole Thomas"/>
    <s v="NovaHealth Lakeside Medical Center"/>
    <s v="Female"/>
    <n v="62"/>
    <x v="2"/>
    <n v="3"/>
    <x v="7"/>
    <x v="7"/>
    <n v="9157.35"/>
    <n v="5413.66"/>
    <n v="12.8"/>
    <x v="1"/>
    <x v="0"/>
  </r>
  <r>
    <s v="NHM-2023-100672"/>
    <s v="July"/>
    <x v="8"/>
    <n v="7"/>
    <d v="2024-07-25T00:00:00"/>
    <x v="0"/>
    <s v="Teresa Foster"/>
    <s v="NovaHealth Lakeside Medical Center"/>
    <s v="Female"/>
    <n v="92"/>
    <x v="1"/>
    <n v="3"/>
    <x v="4"/>
    <x v="4"/>
    <n v="16853.41"/>
    <n v="10423.780000000001"/>
    <n v="17.899999999999999"/>
    <x v="1"/>
    <x v="1"/>
  </r>
  <r>
    <s v="NHM-2024-100287"/>
    <s v="March"/>
    <x v="1"/>
    <n v="3"/>
    <d v="2024-03-21T00:00:00"/>
    <x v="0"/>
    <s v="Margaret Hunter"/>
    <s v="NovaHealth Metro General Hospital"/>
    <s v="Female"/>
    <n v="51"/>
    <x v="0"/>
    <n v="1"/>
    <x v="7"/>
    <x v="7"/>
    <n v="7703.38"/>
    <n v="5117.3599999999997"/>
    <n v="23.4"/>
    <x v="0"/>
    <x v="0"/>
  </r>
  <r>
    <s v="NHM-2026-100891"/>
    <s v="July"/>
    <x v="8"/>
    <n v="7"/>
    <d v="2025-07-22T00:00:00"/>
    <x v="1"/>
    <s v="Ruth White"/>
    <s v="NovaHealth River Valley Hospital"/>
    <s v="Female"/>
    <n v="55"/>
    <x v="2"/>
    <n v="1"/>
    <x v="1"/>
    <x v="1"/>
    <n v="5681.41"/>
    <n v="3901.74"/>
    <n v="11.9"/>
    <x v="0"/>
    <x v="0"/>
  </r>
  <r>
    <s v="NHM-2026-102134"/>
    <s v="December"/>
    <x v="6"/>
    <n v="12"/>
    <d v="2023-12-13T00:00:00"/>
    <x v="3"/>
    <s v="Ruth Brooks"/>
    <s v="NovaHealth Chicago Medical Center"/>
    <s v="Male"/>
    <n v="71"/>
    <x v="0"/>
    <n v="3"/>
    <x v="2"/>
    <x v="2"/>
    <n v="1960.42"/>
    <n v="1437.89"/>
    <n v="8.1999999999999993"/>
    <x v="1"/>
    <x v="1"/>
  </r>
  <r>
    <s v="NHM-2025-100833"/>
    <s v="July"/>
    <x v="8"/>
    <n v="7"/>
    <d v="2024-07-23T00:00:00"/>
    <x v="0"/>
    <s v="Sonia Hall"/>
    <s v="NovaHealth Chicago Medical Center"/>
    <s v="Female"/>
    <n v="56"/>
    <x v="0"/>
    <n v="4"/>
    <x v="4"/>
    <x v="4"/>
    <n v="12464.58"/>
    <n v="9202.34"/>
    <n v="12.9"/>
    <x v="2"/>
    <x v="0"/>
  </r>
  <r>
    <s v="NHM-2024-100474"/>
    <s v="September"/>
    <x v="7"/>
    <n v="9"/>
    <d v="2023-09-08T00:00:00"/>
    <x v="3"/>
    <s v="Billy Hernandez"/>
    <s v="NovaHealth Greenfield Clinic"/>
    <s v="Female"/>
    <n v="36"/>
    <x v="2"/>
    <n v="4"/>
    <x v="5"/>
    <x v="5"/>
    <n v="17535.93"/>
    <n v="13410.51"/>
    <n v="10.4"/>
    <x v="2"/>
    <x v="0"/>
  </r>
  <r>
    <s v="NHM-2024-101638"/>
    <s v="April"/>
    <x v="0"/>
    <n v="4"/>
    <d v="2026-04-20T00:00:00"/>
    <x v="2"/>
    <s v="Douglas Evans"/>
    <s v="NovaHealth Chicago Medical Center"/>
    <s v="Female"/>
    <n v="67"/>
    <x v="2"/>
    <n v="4"/>
    <x v="1"/>
    <x v="1"/>
    <n v="14617.9"/>
    <n v="8524.7800000000007"/>
    <n v="5.8"/>
    <x v="2"/>
    <x v="1"/>
  </r>
  <r>
    <s v="NHM-2026-100371"/>
    <s v="February"/>
    <x v="2"/>
    <n v="2"/>
    <d v="2026-02-05T00:00:00"/>
    <x v="2"/>
    <s v="Kevin Owens"/>
    <s v="NovaHealth Midtown Medical Center"/>
    <s v="Female"/>
    <n v="42"/>
    <x v="0"/>
    <n v="2"/>
    <x v="7"/>
    <x v="7"/>
    <n v="9139.11"/>
    <n v="5662.86"/>
    <n v="11"/>
    <x v="1"/>
    <x v="0"/>
  </r>
  <r>
    <s v="NHM-2024-100052"/>
    <s v="February"/>
    <x v="2"/>
    <n v="2"/>
    <d v="2024-02-25T00:00:00"/>
    <x v="0"/>
    <s v="Nathan Ortiz"/>
    <s v="NovaHealth Greenfield Clinic"/>
    <s v="Female"/>
    <n v="83"/>
    <x v="0"/>
    <n v="2"/>
    <x v="7"/>
    <x v="7"/>
    <n v="6223.28"/>
    <n v="4133.3"/>
    <n v="18.8"/>
    <x v="1"/>
    <x v="1"/>
  </r>
  <r>
    <s v="NHM-2025-100482"/>
    <s v="November"/>
    <x v="4"/>
    <n v="11"/>
    <d v="2024-11-25T00:00:00"/>
    <x v="0"/>
    <s v="Jean Perry"/>
    <s v="NovaHealth Northside Hospital"/>
    <s v="Male"/>
    <n v="25"/>
    <x v="0"/>
    <n v="2"/>
    <x v="0"/>
    <x v="0"/>
    <n v="11719.01"/>
    <n v="7916.54"/>
    <n v="8.1"/>
    <x v="1"/>
    <x v="0"/>
  </r>
  <r>
    <s v="NHM-2026-100146"/>
    <s v="September"/>
    <x v="7"/>
    <n v="9"/>
    <d v="2025-09-26T00:00:00"/>
    <x v="1"/>
    <s v="Randy Jenkins"/>
    <s v="NovaHealth Midtown Medical Center"/>
    <s v="Female"/>
    <n v="75"/>
    <x v="0"/>
    <n v="2"/>
    <x v="0"/>
    <x v="0"/>
    <n v="8881.89"/>
    <n v="6238.92"/>
    <n v="2.7"/>
    <x v="1"/>
    <x v="1"/>
  </r>
  <r>
    <s v="NHM-2026-102342"/>
    <s v="February"/>
    <x v="2"/>
    <n v="2"/>
    <d v="2024-02-08T00:00:00"/>
    <x v="0"/>
    <s v="Emily Freeman"/>
    <s v="NovaHealth Chicago Medical Center"/>
    <s v="Female"/>
    <n v="63"/>
    <x v="0"/>
    <n v="2"/>
    <x v="0"/>
    <x v="0"/>
    <n v="11302.13"/>
    <n v="8319.35"/>
    <n v="8.6"/>
    <x v="1"/>
    <x v="0"/>
  </r>
  <r>
    <s v="NHM-2023-101443"/>
    <s v="November"/>
    <x v="4"/>
    <n v="11"/>
    <d v="2023-11-14T00:00:00"/>
    <x v="3"/>
    <s v="Alice Bailey"/>
    <s v="NovaHealth Lakeside Medical Center"/>
    <s v="Female"/>
    <n v="55"/>
    <x v="0"/>
    <n v="1"/>
    <x v="1"/>
    <x v="1"/>
    <n v="6692.5"/>
    <n v="5140.7"/>
    <n v="6.8"/>
    <x v="0"/>
    <x v="0"/>
  </r>
  <r>
    <s v="NHM-2026-102420"/>
    <s v="October"/>
    <x v="5"/>
    <n v="10"/>
    <d v="2025-10-24T00:00:00"/>
    <x v="1"/>
    <s v="Heather Warren"/>
    <s v="NovaHealth Metro General Hospital"/>
    <s v="Male"/>
    <n v="59"/>
    <x v="0"/>
    <n v="3"/>
    <x v="1"/>
    <x v="1"/>
    <n v="14073.82"/>
    <n v="8242.02"/>
    <n v="9.9"/>
    <x v="1"/>
    <x v="0"/>
  </r>
  <r>
    <s v="NHM-2024-100116"/>
    <s v="November"/>
    <x v="4"/>
    <n v="11"/>
    <d v="2025-11-26T00:00:00"/>
    <x v="1"/>
    <s v="Peter Moore"/>
    <s v="NovaHealth Metro General Hospital"/>
    <s v="Female"/>
    <n v="43"/>
    <x v="2"/>
    <n v="1"/>
    <x v="7"/>
    <x v="7"/>
    <n v="3077.35"/>
    <n v="1972.38"/>
    <n v="11.9"/>
    <x v="0"/>
    <x v="0"/>
  </r>
  <r>
    <s v="NHM-2026-101373"/>
    <s v="August"/>
    <x v="10"/>
    <n v="8"/>
    <d v="2024-08-21T00:00:00"/>
    <x v="0"/>
    <s v="Jerry Cox"/>
    <s v="NovaHealth Midtown Medical Center"/>
    <s v="Male"/>
    <n v="81"/>
    <x v="2"/>
    <n v="3"/>
    <x v="3"/>
    <x v="3"/>
    <n v="4891.68"/>
    <n v="3222.68"/>
    <n v="11.5"/>
    <x v="1"/>
    <x v="1"/>
  </r>
  <r>
    <s v="NHM-2025-101125"/>
    <s v="October"/>
    <x v="5"/>
    <n v="10"/>
    <d v="2024-10-15T00:00:00"/>
    <x v="0"/>
    <s v="Dennis Thomas"/>
    <s v="NovaHealth Chicago Medical Center"/>
    <s v="Female"/>
    <n v="77"/>
    <x v="0"/>
    <n v="1"/>
    <x v="1"/>
    <x v="1"/>
    <n v="7415.05"/>
    <n v="5012.88"/>
    <n v="5.6"/>
    <x v="0"/>
    <x v="1"/>
  </r>
  <r>
    <s v="NHM-2024-101822"/>
    <s v="July"/>
    <x v="8"/>
    <n v="7"/>
    <d v="2026-07-09T00:00:00"/>
    <x v="2"/>
    <s v="Diane Carter"/>
    <s v="NovaHealth Lakeside Medical Center"/>
    <s v="Female"/>
    <n v="65"/>
    <x v="0"/>
    <n v="2"/>
    <x v="7"/>
    <x v="7"/>
    <n v="10457.379999999999"/>
    <n v="7481.77"/>
    <n v="20.2"/>
    <x v="1"/>
    <x v="1"/>
  </r>
  <r>
    <s v="NHM-2024-101069"/>
    <s v="July"/>
    <x v="8"/>
    <n v="7"/>
    <d v="2026-07-20T00:00:00"/>
    <x v="2"/>
    <s v="Brandon Butler"/>
    <s v="NovaHealth Northside Hospital"/>
    <s v="Male"/>
    <n v="63"/>
    <x v="2"/>
    <n v="5"/>
    <x v="5"/>
    <x v="5"/>
    <n v="25107.279999999999"/>
    <n v="18344.310000000001"/>
    <n v="2"/>
    <x v="2"/>
    <x v="0"/>
  </r>
  <r>
    <s v="NHM-2023-101580"/>
    <s v="November"/>
    <x v="4"/>
    <n v="11"/>
    <d v="2023-11-10T00:00:00"/>
    <x v="3"/>
    <s v="Jerry Washington"/>
    <s v="NovaHealth Lakeside Medical Center"/>
    <s v="Male"/>
    <n v="37"/>
    <x v="1"/>
    <n v="4"/>
    <x v="1"/>
    <x v="1"/>
    <n v="11630.22"/>
    <n v="8878.17"/>
    <n v="4.9000000000000004"/>
    <x v="2"/>
    <x v="0"/>
  </r>
  <r>
    <s v="NHM-2023-102223"/>
    <s v="September"/>
    <x v="7"/>
    <n v="9"/>
    <d v="2025-09-03T00:00:00"/>
    <x v="1"/>
    <s v="Katherine Evans"/>
    <s v="NovaHealth Midtown Medical Center"/>
    <s v="Male"/>
    <n v="60"/>
    <x v="1"/>
    <n v="4"/>
    <x v="4"/>
    <x v="4"/>
    <n v="10716.51"/>
    <n v="6333.18"/>
    <n v="14.7"/>
    <x v="2"/>
    <x v="0"/>
  </r>
  <r>
    <s v="NHM-2023-100015"/>
    <s v="December"/>
    <x v="6"/>
    <n v="12"/>
    <d v="2024-12-30T00:00:00"/>
    <x v="0"/>
    <s v="Sara Garcia"/>
    <s v="NovaHealth Midtown Medical Center"/>
    <s v="Male"/>
    <n v="33"/>
    <x v="1"/>
    <n v="1"/>
    <x v="2"/>
    <x v="2"/>
    <n v="2474.5500000000002"/>
    <n v="1572.68"/>
    <n v="7.9"/>
    <x v="0"/>
    <x v="0"/>
  </r>
  <r>
    <s v="NHM-2026-100136"/>
    <s v="August"/>
    <x v="10"/>
    <n v="8"/>
    <d v="2023-08-29T00:00:00"/>
    <x v="3"/>
    <s v="Mark Myers"/>
    <s v="NovaHealth Chicago Medical Center"/>
    <s v="Male"/>
    <n v="57"/>
    <x v="0"/>
    <n v="1"/>
    <x v="0"/>
    <x v="0"/>
    <n v="8162.46"/>
    <n v="5269.57"/>
    <n v="5.7"/>
    <x v="0"/>
    <x v="0"/>
  </r>
  <r>
    <s v="NHM-2024-101756"/>
    <s v="July"/>
    <x v="8"/>
    <n v="7"/>
    <d v="2024-07-16T00:00:00"/>
    <x v="0"/>
    <s v="Megan Mitchell"/>
    <s v="NovaHealth River Valley Hospital"/>
    <s v="Female"/>
    <n v="61"/>
    <x v="0"/>
    <n v="1"/>
    <x v="3"/>
    <x v="3"/>
    <n v="8050.87"/>
    <n v="5425.28"/>
    <n v="3.9"/>
    <x v="0"/>
    <x v="0"/>
  </r>
  <r>
    <s v="NHM-2025-101809"/>
    <s v="February"/>
    <x v="2"/>
    <n v="2"/>
    <d v="2024-02-22T00:00:00"/>
    <x v="0"/>
    <s v="Roy Tucker"/>
    <s v="NovaHealth Northside Hospital"/>
    <s v="Female"/>
    <n v="31"/>
    <x v="0"/>
    <n v="1"/>
    <x v="1"/>
    <x v="1"/>
    <n v="9603.09"/>
    <n v="6815.76"/>
    <n v="11.7"/>
    <x v="0"/>
    <x v="0"/>
  </r>
  <r>
    <s v="NHM-2025-101548"/>
    <s v="August"/>
    <x v="10"/>
    <n v="8"/>
    <d v="2025-08-21T00:00:00"/>
    <x v="1"/>
    <s v="Patrick Martin"/>
    <s v="NovaHealth Greenfield Clinic"/>
    <s v="Female"/>
    <n v="27"/>
    <x v="0"/>
    <n v="2"/>
    <x v="1"/>
    <x v="1"/>
    <n v="10657.05"/>
    <n v="7848.45"/>
    <n v="8.6"/>
    <x v="1"/>
    <x v="0"/>
  </r>
  <r>
    <s v="NHM-2024-100154"/>
    <s v="January"/>
    <x v="3"/>
    <n v="1"/>
    <d v="2024-01-16T00:00:00"/>
    <x v="0"/>
    <s v="Jeffrey Mason"/>
    <s v="NovaHealth Chicago Medical Center"/>
    <s v="Male"/>
    <n v="62"/>
    <x v="0"/>
    <n v="2"/>
    <x v="7"/>
    <x v="7"/>
    <n v="9947.5300000000007"/>
    <n v="7703.32"/>
    <n v="17.899999999999999"/>
    <x v="1"/>
    <x v="0"/>
  </r>
  <r>
    <s v="NHM-2026-101204"/>
    <s v="February"/>
    <x v="2"/>
    <n v="2"/>
    <d v="2024-02-29T00:00:00"/>
    <x v="0"/>
    <s v="Megan James"/>
    <s v="NovaHealth River Valley Hospital"/>
    <s v="Female"/>
    <n v="73"/>
    <x v="1"/>
    <n v="4"/>
    <x v="4"/>
    <x v="4"/>
    <n v="20973.35"/>
    <n v="12240.54"/>
    <n v="9.5"/>
    <x v="2"/>
    <x v="1"/>
  </r>
  <r>
    <s v="NHM-2023-102230"/>
    <s v="April"/>
    <x v="0"/>
    <n v="4"/>
    <d v="2025-04-02T00:00:00"/>
    <x v="1"/>
    <s v="Frances Perry"/>
    <s v="NovaHealth Greenfield Clinic"/>
    <s v="Female"/>
    <n v="75"/>
    <x v="2"/>
    <n v="4"/>
    <x v="5"/>
    <x v="5"/>
    <n v="13703.5"/>
    <n v="8450.34"/>
    <n v="11.4"/>
    <x v="2"/>
    <x v="1"/>
  </r>
  <r>
    <s v="NHM-2024-100306"/>
    <s v="March"/>
    <x v="1"/>
    <n v="3"/>
    <d v="2025-03-17T00:00:00"/>
    <x v="1"/>
    <s v="Jordan Marshall"/>
    <s v="NovaHealth Lakeside Medical Center"/>
    <s v="Male"/>
    <n v="39"/>
    <x v="2"/>
    <n v="5"/>
    <x v="5"/>
    <x v="5"/>
    <n v="23295.46"/>
    <n v="14969.09"/>
    <n v="7.5"/>
    <x v="2"/>
    <x v="0"/>
  </r>
  <r>
    <s v="NHM-2024-100980"/>
    <s v="December"/>
    <x v="6"/>
    <n v="12"/>
    <d v="2024-12-04T00:00:00"/>
    <x v="0"/>
    <s v="Joan James"/>
    <s v="NovaHealth Chicago Medical Center"/>
    <s v="Male"/>
    <n v="49"/>
    <x v="2"/>
    <n v="1"/>
    <x v="7"/>
    <x v="7"/>
    <n v="7735.78"/>
    <n v="5282.17"/>
    <n v="12.4"/>
    <x v="0"/>
    <x v="0"/>
  </r>
  <r>
    <s v="NHM-2026-100485"/>
    <s v="September"/>
    <x v="7"/>
    <n v="9"/>
    <d v="2024-09-30T00:00:00"/>
    <x v="0"/>
    <s v="Olivia Ward"/>
    <s v="NovaHealth Chicago Medical Center"/>
    <s v="Male"/>
    <n v="61"/>
    <x v="1"/>
    <n v="4"/>
    <x v="4"/>
    <x v="4"/>
    <n v="20241.11"/>
    <n v="14291.18"/>
    <n v="15.3"/>
    <x v="2"/>
    <x v="0"/>
  </r>
  <r>
    <s v="NHM-2024-101917"/>
    <s v="March"/>
    <x v="1"/>
    <n v="3"/>
    <d v="2026-03-17T00:00:00"/>
    <x v="2"/>
    <s v="Teresa Butler"/>
    <s v="NovaHealth Chicago Medical Center"/>
    <s v="Male"/>
    <n v="57"/>
    <x v="0"/>
    <n v="3"/>
    <x v="0"/>
    <x v="0"/>
    <n v="12129.09"/>
    <n v="8927.84"/>
    <n v="9.1999999999999993"/>
    <x v="1"/>
    <x v="0"/>
  </r>
  <r>
    <s v="NHM-2023-101303"/>
    <s v="December"/>
    <x v="6"/>
    <n v="12"/>
    <d v="2025-12-03T00:00:00"/>
    <x v="1"/>
    <s v="Gloria Moore"/>
    <s v="NovaHealth Chicago Medical Center"/>
    <s v="Female"/>
    <n v="14"/>
    <x v="0"/>
    <n v="2"/>
    <x v="6"/>
    <x v="6"/>
    <n v="2429.1"/>
    <n v="1893.32"/>
    <n v="5.9"/>
    <x v="1"/>
    <x v="2"/>
  </r>
  <r>
    <s v="NHM-2026-100704"/>
    <s v="September"/>
    <x v="7"/>
    <n v="9"/>
    <d v="2023-09-07T00:00:00"/>
    <x v="3"/>
    <s v="Robert Phillips"/>
    <s v="NovaHealth Oakridge Community Hospital"/>
    <s v="Male"/>
    <n v="10"/>
    <x v="0"/>
    <n v="2"/>
    <x v="6"/>
    <x v="6"/>
    <n v="2893.49"/>
    <n v="1710.22"/>
    <n v="4"/>
    <x v="1"/>
    <x v="2"/>
  </r>
  <r>
    <s v="NHM-2024-100525"/>
    <s v="February"/>
    <x v="2"/>
    <n v="2"/>
    <d v="2025-02-13T00:00:00"/>
    <x v="1"/>
    <s v="Gloria Walker"/>
    <s v="NovaHealth Chicago Medical Center"/>
    <s v="Male"/>
    <n v="38"/>
    <x v="0"/>
    <n v="1"/>
    <x v="2"/>
    <x v="2"/>
    <n v="4025.53"/>
    <n v="2488.37"/>
    <n v="4.0999999999999996"/>
    <x v="0"/>
    <x v="0"/>
  </r>
  <r>
    <s v="NHM-2026-100224"/>
    <s v="August"/>
    <x v="10"/>
    <n v="8"/>
    <d v="2024-08-21T00:00:00"/>
    <x v="0"/>
    <s v="Roy Myers"/>
    <s v="NovaHealth Chicago Medical Center"/>
    <s v="Female"/>
    <n v="42"/>
    <x v="1"/>
    <n v="3"/>
    <x v="5"/>
    <x v="5"/>
    <n v="16633.98"/>
    <n v="10663.35"/>
    <n v="2.2000000000000002"/>
    <x v="1"/>
    <x v="0"/>
  </r>
  <r>
    <s v="NHM-2024-100150"/>
    <s v="December"/>
    <x v="6"/>
    <n v="12"/>
    <d v="2025-12-09T00:00:00"/>
    <x v="1"/>
    <s v="Kimberly James"/>
    <s v="NovaHealth Greenfield Clinic"/>
    <s v="Male"/>
    <n v="44"/>
    <x v="0"/>
    <n v="1"/>
    <x v="7"/>
    <x v="7"/>
    <n v="7643.34"/>
    <n v="5285.04"/>
    <n v="20.5"/>
    <x v="0"/>
    <x v="0"/>
  </r>
  <r>
    <s v="NHM-2023-102248"/>
    <s v="June"/>
    <x v="11"/>
    <n v="6"/>
    <d v="2026-06-30T00:00:00"/>
    <x v="2"/>
    <s v="Madison Patterson"/>
    <s v="NovaHealth Chicago Medical Center"/>
    <s v="Male"/>
    <n v="62"/>
    <x v="0"/>
    <n v="1"/>
    <x v="0"/>
    <x v="0"/>
    <n v="5420.82"/>
    <n v="3834.57"/>
    <n v="5"/>
    <x v="0"/>
    <x v="0"/>
  </r>
  <r>
    <s v="NHM-2024-100063"/>
    <s v="April"/>
    <x v="0"/>
    <n v="4"/>
    <d v="2024-04-03T00:00:00"/>
    <x v="0"/>
    <s v="Eugene Miller"/>
    <s v="NovaHealth Lakeside Medical Center"/>
    <s v="Female"/>
    <n v="24"/>
    <x v="1"/>
    <n v="1"/>
    <x v="1"/>
    <x v="1"/>
    <n v="8977.02"/>
    <n v="6582.02"/>
    <n v="3.6"/>
    <x v="0"/>
    <x v="0"/>
  </r>
  <r>
    <s v="NHM-2025-102056"/>
    <s v="January"/>
    <x v="3"/>
    <n v="1"/>
    <d v="2024-01-24T00:00:00"/>
    <x v="0"/>
    <s v="Christian Cox"/>
    <s v="NovaHealth River Valley Hospital"/>
    <s v="Female"/>
    <n v="75"/>
    <x v="1"/>
    <n v="4"/>
    <x v="4"/>
    <x v="4"/>
    <n v="16202.14"/>
    <n v="12431.23"/>
    <n v="14.7"/>
    <x v="2"/>
    <x v="1"/>
  </r>
  <r>
    <s v="NHM-2024-101754"/>
    <s v="June"/>
    <x v="11"/>
    <n v="6"/>
    <d v="2026-06-24T00:00:00"/>
    <x v="2"/>
    <s v="Kimberly Alexander"/>
    <s v="NovaHealth Northside Hospital"/>
    <s v="Female"/>
    <n v="71"/>
    <x v="0"/>
    <n v="5"/>
    <x v="1"/>
    <x v="1"/>
    <n v="10031.92"/>
    <n v="5852.91"/>
    <n v="4.3"/>
    <x v="2"/>
    <x v="1"/>
  </r>
  <r>
    <s v="NHM-2025-100719"/>
    <s v="April"/>
    <x v="0"/>
    <n v="4"/>
    <d v="2025-04-22T00:00:00"/>
    <x v="1"/>
    <s v="Margaret Flores"/>
    <s v="NovaHealth Chicago Medical Center"/>
    <s v="Male"/>
    <n v="85"/>
    <x v="0"/>
    <n v="3"/>
    <x v="0"/>
    <x v="0"/>
    <n v="5738.46"/>
    <n v="3561.26"/>
    <n v="7.6"/>
    <x v="1"/>
    <x v="1"/>
  </r>
  <r>
    <s v="NHM-2023-101538"/>
    <s v="July"/>
    <x v="8"/>
    <n v="7"/>
    <d v="2025-07-25T00:00:00"/>
    <x v="1"/>
    <s v="Carl Murphy"/>
    <s v="NovaHealth Chicago Medical Center"/>
    <s v="Female"/>
    <n v="62"/>
    <x v="1"/>
    <n v="1"/>
    <x v="0"/>
    <x v="0"/>
    <n v="9944.31"/>
    <n v="6432.36"/>
    <n v="8.5"/>
    <x v="0"/>
    <x v="0"/>
  </r>
  <r>
    <s v="NHM-2024-102289"/>
    <s v="April"/>
    <x v="0"/>
    <n v="4"/>
    <d v="2024-04-24T00:00:00"/>
    <x v="0"/>
    <s v="Rachel Cooper"/>
    <s v="NovaHealth Greenfield Clinic"/>
    <s v="Male"/>
    <n v="83"/>
    <x v="2"/>
    <n v="3"/>
    <x v="4"/>
    <x v="4"/>
    <n v="16068.98"/>
    <n v="10831.02"/>
    <n v="8.1"/>
    <x v="1"/>
    <x v="1"/>
  </r>
  <r>
    <s v="NHM-2024-101371"/>
    <s v="July"/>
    <x v="8"/>
    <n v="7"/>
    <d v="2026-07-15T00:00:00"/>
    <x v="2"/>
    <s v="Betty Williams"/>
    <s v="NovaHealth River Valley Hospital"/>
    <s v="Female"/>
    <n v="39"/>
    <x v="1"/>
    <n v="1"/>
    <x v="0"/>
    <x v="0"/>
    <n v="9553.14"/>
    <n v="6705.6"/>
    <n v="2.2999999999999998"/>
    <x v="0"/>
    <x v="0"/>
  </r>
  <r>
    <s v="NHM-2026-100902"/>
    <s v="February"/>
    <x v="2"/>
    <n v="2"/>
    <d v="2025-02-06T00:00:00"/>
    <x v="1"/>
    <s v="Janice Coleman"/>
    <s v="NovaHealth Metro General Hospital"/>
    <s v="Female"/>
    <n v="83"/>
    <x v="2"/>
    <n v="4"/>
    <x v="0"/>
    <x v="0"/>
    <n v="9784.9"/>
    <n v="7227.78"/>
    <n v="10.6"/>
    <x v="2"/>
    <x v="1"/>
  </r>
  <r>
    <s v="NHM-2026-101552"/>
    <s v="January"/>
    <x v="3"/>
    <n v="1"/>
    <d v="2025-01-22T00:00:00"/>
    <x v="1"/>
    <s v="Lauren Green"/>
    <s v="NovaHealth Chicago Medical Center"/>
    <s v="Male"/>
    <n v="68"/>
    <x v="1"/>
    <n v="4"/>
    <x v="5"/>
    <x v="5"/>
    <n v="19920.599999999999"/>
    <n v="15230.06"/>
    <n v="11.3"/>
    <x v="2"/>
    <x v="1"/>
  </r>
  <r>
    <s v="NHM-2024-101824"/>
    <s v="February"/>
    <x v="2"/>
    <n v="2"/>
    <d v="2026-02-20T00:00:00"/>
    <x v="2"/>
    <s v="Teresa Martin"/>
    <s v="NovaHealth Lakeshore Regional Center"/>
    <s v="Female"/>
    <n v="35"/>
    <x v="0"/>
    <n v="1"/>
    <x v="0"/>
    <x v="0"/>
    <n v="8656.0300000000007"/>
    <n v="5040.5"/>
    <n v="2.5"/>
    <x v="0"/>
    <x v="0"/>
  </r>
  <r>
    <s v="NHM-2025-100468"/>
    <s v="October"/>
    <x v="5"/>
    <n v="10"/>
    <d v="2025-10-09T00:00:00"/>
    <x v="1"/>
    <s v="Amanda Jenkins"/>
    <s v="NovaHealth Greenfield Clinic"/>
    <s v="Male"/>
    <n v="47"/>
    <x v="0"/>
    <n v="2"/>
    <x v="0"/>
    <x v="0"/>
    <n v="7987.56"/>
    <n v="4925.21"/>
    <n v="6.6"/>
    <x v="1"/>
    <x v="0"/>
  </r>
  <r>
    <s v="NHM-2025-102434"/>
    <s v="May"/>
    <x v="9"/>
    <n v="5"/>
    <d v="2026-05-15T00:00:00"/>
    <x v="2"/>
    <s v="Scott Cooper"/>
    <s v="NovaHealth Chicago Medical Center"/>
    <s v="Female"/>
    <n v="66"/>
    <x v="0"/>
    <n v="2"/>
    <x v="1"/>
    <x v="1"/>
    <n v="11517.4"/>
    <n v="7407.14"/>
    <n v="4.5"/>
    <x v="1"/>
    <x v="1"/>
  </r>
  <r>
    <s v="NHM-2023-100953"/>
    <s v="January"/>
    <x v="3"/>
    <n v="1"/>
    <d v="2025-01-08T00:00:00"/>
    <x v="1"/>
    <s v="Christian Murray"/>
    <s v="NovaHealth Chicago Medical Center"/>
    <s v="Female"/>
    <n v="29"/>
    <x v="0"/>
    <n v="1"/>
    <x v="7"/>
    <x v="7"/>
    <n v="3311.01"/>
    <n v="2349.58"/>
    <n v="16.399999999999999"/>
    <x v="0"/>
    <x v="0"/>
  </r>
  <r>
    <s v="NHM-2024-102500"/>
    <s v="July"/>
    <x v="8"/>
    <n v="7"/>
    <d v="2025-07-24T00:00:00"/>
    <x v="1"/>
    <s v="Steven Foster"/>
    <s v="NovaHealth Chicago Medical Center"/>
    <s v="Male"/>
    <n v="81"/>
    <x v="1"/>
    <n v="4"/>
    <x v="4"/>
    <x v="4"/>
    <n v="14518.1"/>
    <n v="10238.67"/>
    <n v="9.5"/>
    <x v="2"/>
    <x v="1"/>
  </r>
  <r>
    <s v="NHM-2026-101478"/>
    <s v="March"/>
    <x v="1"/>
    <n v="3"/>
    <d v="2026-03-25T00:00:00"/>
    <x v="2"/>
    <s v="Jeffrey Davis"/>
    <s v="NovaHealth Midtown Medical Center"/>
    <s v="Female"/>
    <n v="78"/>
    <x v="2"/>
    <n v="5"/>
    <x v="0"/>
    <x v="0"/>
    <n v="8376.3700000000008"/>
    <n v="6140.35"/>
    <n v="3.2"/>
    <x v="2"/>
    <x v="1"/>
  </r>
  <r>
    <s v="NHM-2025-101787"/>
    <s v="October"/>
    <x v="5"/>
    <n v="10"/>
    <d v="2023-10-24T00:00:00"/>
    <x v="3"/>
    <s v="Charles Bailey"/>
    <s v="NovaHealth Chicago Medical Center"/>
    <s v="Male"/>
    <n v="70"/>
    <x v="1"/>
    <n v="4"/>
    <x v="1"/>
    <x v="1"/>
    <n v="17467.32"/>
    <n v="13357.56"/>
    <n v="10.3"/>
    <x v="2"/>
    <x v="1"/>
  </r>
  <r>
    <s v="NHM-2026-101483"/>
    <s v="May"/>
    <x v="9"/>
    <n v="5"/>
    <d v="2026-05-12T00:00:00"/>
    <x v="2"/>
    <s v="Alice Ramos"/>
    <s v="NovaHealth Lakeside Medical Center"/>
    <s v="Female"/>
    <n v="25"/>
    <x v="0"/>
    <n v="2"/>
    <x v="1"/>
    <x v="1"/>
    <n v="6637.39"/>
    <n v="3932.89"/>
    <n v="10.4"/>
    <x v="1"/>
    <x v="0"/>
  </r>
  <r>
    <s v="NHM-2024-101967"/>
    <s v="April"/>
    <x v="0"/>
    <n v="4"/>
    <d v="2024-04-23T00:00:00"/>
    <x v="0"/>
    <s v="Janice Powell"/>
    <s v="NovaHealth Midtown Medical Center"/>
    <s v="Female"/>
    <n v="27"/>
    <x v="0"/>
    <n v="1"/>
    <x v="7"/>
    <x v="7"/>
    <n v="6706.27"/>
    <n v="4220.42"/>
    <n v="16.2"/>
    <x v="0"/>
    <x v="0"/>
  </r>
  <r>
    <s v="NHM-2025-101153"/>
    <s v="February"/>
    <x v="2"/>
    <n v="2"/>
    <d v="2025-02-07T00:00:00"/>
    <x v="1"/>
    <s v="Anthony Warren"/>
    <s v="NovaHealth Lakeshore Regional Center"/>
    <s v="Male"/>
    <n v="35"/>
    <x v="2"/>
    <n v="3"/>
    <x v="7"/>
    <x v="7"/>
    <n v="9076.23"/>
    <n v="5910.39"/>
    <n v="12.7"/>
    <x v="1"/>
    <x v="0"/>
  </r>
  <r>
    <s v="NHM-2023-101765"/>
    <s v="November"/>
    <x v="4"/>
    <n v="11"/>
    <d v="2024-11-22T00:00:00"/>
    <x v="0"/>
    <s v="Dylan Thomas"/>
    <s v="NovaHealth Northside Hospital"/>
    <s v="Male"/>
    <n v="83"/>
    <x v="0"/>
    <n v="3"/>
    <x v="0"/>
    <x v="0"/>
    <n v="13554.21"/>
    <n v="9122.1200000000008"/>
    <n v="5.0999999999999996"/>
    <x v="1"/>
    <x v="1"/>
  </r>
  <r>
    <s v="NHM-2023-101051"/>
    <s v="December"/>
    <x v="6"/>
    <n v="12"/>
    <d v="2024-12-11T00:00:00"/>
    <x v="0"/>
    <s v="Eric Roberts"/>
    <s v="NovaHealth Greenfield Clinic"/>
    <s v="Male"/>
    <n v="80"/>
    <x v="2"/>
    <n v="1"/>
    <x v="2"/>
    <x v="2"/>
    <n v="1213.8900000000001"/>
    <n v="912.92"/>
    <n v="7.9"/>
    <x v="0"/>
    <x v="1"/>
  </r>
  <r>
    <s v="NHM-2025-100490"/>
    <s v="June"/>
    <x v="11"/>
    <n v="6"/>
    <d v="2025-06-05T00:00:00"/>
    <x v="1"/>
    <s v="Gerald Cooper"/>
    <s v="NovaHealth Northside Hospital"/>
    <s v="Male"/>
    <n v="79"/>
    <x v="2"/>
    <n v="5"/>
    <x v="4"/>
    <x v="4"/>
    <n v="25330.44"/>
    <n v="18584.02"/>
    <n v="11.6"/>
    <x v="2"/>
    <x v="1"/>
  </r>
  <r>
    <s v="NHM-2023-100172"/>
    <s v="July"/>
    <x v="8"/>
    <n v="7"/>
    <d v="2026-07-21T00:00:00"/>
    <x v="2"/>
    <s v="Edward Sanders"/>
    <s v="NovaHealth Midtown Medical Center"/>
    <s v="Female"/>
    <n v="69"/>
    <x v="2"/>
    <n v="4"/>
    <x v="1"/>
    <x v="1"/>
    <n v="16650.68"/>
    <n v="12674.52"/>
    <n v="2.5"/>
    <x v="2"/>
    <x v="1"/>
  </r>
  <r>
    <s v="NHM-2023-102144"/>
    <s v="February"/>
    <x v="2"/>
    <n v="2"/>
    <d v="2025-02-18T00:00:00"/>
    <x v="1"/>
    <s v="Jeffrey Wilson"/>
    <s v="NovaHealth Chicago Medical Center"/>
    <s v="Female"/>
    <n v="45"/>
    <x v="0"/>
    <n v="1"/>
    <x v="1"/>
    <x v="1"/>
    <n v="8295.1299999999992"/>
    <n v="4834.38"/>
    <n v="2.9"/>
    <x v="0"/>
    <x v="0"/>
  </r>
  <r>
    <s v="NHM-2023-101616"/>
    <s v="July"/>
    <x v="8"/>
    <n v="7"/>
    <d v="2025-07-29T00:00:00"/>
    <x v="1"/>
    <s v="Steven Ellis"/>
    <s v="NovaHealth Oakridge Community Hospital"/>
    <s v="Male"/>
    <n v="34"/>
    <x v="2"/>
    <n v="5"/>
    <x v="5"/>
    <x v="5"/>
    <n v="14232.01"/>
    <n v="8771.1299999999992"/>
    <n v="11.2"/>
    <x v="2"/>
    <x v="0"/>
  </r>
  <r>
    <s v="NHM-2025-101959"/>
    <s v="January"/>
    <x v="3"/>
    <n v="1"/>
    <d v="2024-01-31T00:00:00"/>
    <x v="0"/>
    <s v="Helen Flores"/>
    <s v="NovaHealth Chicago Medical Center"/>
    <s v="Male"/>
    <n v="79"/>
    <x v="2"/>
    <n v="4"/>
    <x v="0"/>
    <x v="0"/>
    <n v="10416.459999999999"/>
    <n v="6701.73"/>
    <n v="4.4000000000000004"/>
    <x v="2"/>
    <x v="1"/>
  </r>
  <r>
    <s v="NHM-2026-100701"/>
    <s v="August"/>
    <x v="10"/>
    <n v="8"/>
    <d v="2024-08-28T00:00:00"/>
    <x v="0"/>
    <s v="Judy Warren"/>
    <s v="NovaHealth Chicago Medical Center"/>
    <s v="Male"/>
    <n v="3"/>
    <x v="1"/>
    <n v="1"/>
    <x v="6"/>
    <x v="6"/>
    <n v="1541.21"/>
    <n v="1045.4100000000001"/>
    <n v="1.6"/>
    <x v="0"/>
    <x v="2"/>
  </r>
  <r>
    <s v="NHM-2023-100940"/>
    <s v="April"/>
    <x v="0"/>
    <n v="4"/>
    <d v="2026-04-30T00:00:00"/>
    <x v="2"/>
    <s v="Evelyn Gonzales"/>
    <s v="NovaHealth Oakridge Community Hospital"/>
    <s v="Male"/>
    <n v="55"/>
    <x v="2"/>
    <n v="4"/>
    <x v="4"/>
    <x v="4"/>
    <n v="19244.66"/>
    <n v="13554.46"/>
    <n v="10.4"/>
    <x v="2"/>
    <x v="0"/>
  </r>
  <r>
    <s v="NHM-2023-100157"/>
    <s v="October"/>
    <x v="5"/>
    <n v="10"/>
    <d v="2024-10-10T00:00:00"/>
    <x v="0"/>
    <s v="Wayne Parker"/>
    <s v="NovaHealth Metro General Hospital"/>
    <s v="Male"/>
    <n v="40"/>
    <x v="2"/>
    <n v="5"/>
    <x v="5"/>
    <x v="5"/>
    <n v="16443.54"/>
    <n v="12066.18"/>
    <n v="7.8"/>
    <x v="2"/>
    <x v="0"/>
  </r>
  <r>
    <s v="NHM-2023-101888"/>
    <s v="October"/>
    <x v="5"/>
    <n v="10"/>
    <d v="2024-10-17T00:00:00"/>
    <x v="0"/>
    <s v="Willie Mendoza"/>
    <s v="NovaHealth Chicago Medical Center"/>
    <s v="Male"/>
    <n v="70"/>
    <x v="2"/>
    <n v="3"/>
    <x v="1"/>
    <x v="1"/>
    <n v="13579.71"/>
    <n v="10340.58"/>
    <n v="2.5"/>
    <x v="1"/>
    <x v="1"/>
  </r>
  <r>
    <s v="NHM-2026-100368"/>
    <s v="January"/>
    <x v="3"/>
    <n v="1"/>
    <d v="2025-01-21T00:00:00"/>
    <x v="1"/>
    <s v="Heather Miller"/>
    <s v="NovaHealth Greenfield Clinic"/>
    <s v="Male"/>
    <n v="18"/>
    <x v="0"/>
    <n v="1"/>
    <x v="2"/>
    <x v="2"/>
    <n v="1223.17"/>
    <n v="742.24"/>
    <n v="4.0999999999999996"/>
    <x v="0"/>
    <x v="2"/>
  </r>
  <r>
    <s v="NHM-2026-100264"/>
    <s v="August"/>
    <x v="10"/>
    <n v="8"/>
    <d v="2025-08-27T00:00:00"/>
    <x v="1"/>
    <s v="Jesse Gonzales"/>
    <s v="NovaHealth Chicago Medical Center"/>
    <s v="Male"/>
    <n v="67"/>
    <x v="0"/>
    <n v="1"/>
    <x v="3"/>
    <x v="3"/>
    <n v="3540.57"/>
    <n v="2179.75"/>
    <n v="2.5"/>
    <x v="0"/>
    <x v="1"/>
  </r>
  <r>
    <s v="NHM-2024-102247"/>
    <s v="April"/>
    <x v="0"/>
    <n v="4"/>
    <d v="2024-04-30T00:00:00"/>
    <x v="0"/>
    <s v="Rachel Morgan"/>
    <s v="NovaHealth Midtown Medical Center"/>
    <s v="Male"/>
    <n v="46"/>
    <x v="0"/>
    <n v="2"/>
    <x v="2"/>
    <x v="2"/>
    <n v="5402.2"/>
    <n v="3510.21"/>
    <n v="6.6"/>
    <x v="1"/>
    <x v="0"/>
  </r>
  <r>
    <s v="NHM-2025-101757"/>
    <s v="February"/>
    <x v="2"/>
    <n v="2"/>
    <d v="2024-02-05T00:00:00"/>
    <x v="0"/>
    <s v="Andrea Roberts"/>
    <s v="NovaHealth Chicago Medical Center"/>
    <s v="Male"/>
    <n v="77"/>
    <x v="0"/>
    <n v="2"/>
    <x v="0"/>
    <x v="0"/>
    <n v="6450.86"/>
    <n v="4394.08"/>
    <n v="9"/>
    <x v="1"/>
    <x v="1"/>
  </r>
  <r>
    <s v="NHM-2024-100438"/>
    <s v="June"/>
    <x v="11"/>
    <n v="6"/>
    <d v="2026-06-02T00:00:00"/>
    <x v="2"/>
    <s v="Larry Cole"/>
    <s v="NovaHealth Northside Hospital"/>
    <s v="Male"/>
    <n v="51"/>
    <x v="0"/>
    <n v="1"/>
    <x v="7"/>
    <x v="7"/>
    <n v="3750.71"/>
    <n v="2728.7"/>
    <n v="12.9"/>
    <x v="0"/>
    <x v="0"/>
  </r>
  <r>
    <s v="NHM-2026-100796"/>
    <s v="September"/>
    <x v="7"/>
    <n v="9"/>
    <d v="2023-09-11T00:00:00"/>
    <x v="3"/>
    <s v="Lauren Jackson"/>
    <s v="NovaHealth Chicago Medical Center"/>
    <s v="Male"/>
    <n v="64"/>
    <x v="0"/>
    <n v="1"/>
    <x v="2"/>
    <x v="2"/>
    <n v="2975.91"/>
    <n v="2206.81"/>
    <n v="4.3"/>
    <x v="0"/>
    <x v="0"/>
  </r>
  <r>
    <s v="NHM-2024-100542"/>
    <s v="November"/>
    <x v="4"/>
    <n v="11"/>
    <d v="2023-11-23T00:00:00"/>
    <x v="3"/>
    <s v="Abigail Foster"/>
    <s v="NovaHealth Lakeside Medical Center"/>
    <s v="Male"/>
    <n v="35"/>
    <x v="0"/>
    <n v="1"/>
    <x v="2"/>
    <x v="2"/>
    <n v="2265.0100000000002"/>
    <n v="1793.41"/>
    <n v="9"/>
    <x v="0"/>
    <x v="0"/>
  </r>
  <r>
    <s v="NHM-2023-102365"/>
    <s v="May"/>
    <x v="9"/>
    <n v="5"/>
    <d v="2026-05-12T00:00:00"/>
    <x v="2"/>
    <s v="Anna Tucker"/>
    <s v="NovaHealth River Valley Hospital"/>
    <s v="Female"/>
    <n v="21"/>
    <x v="0"/>
    <n v="2"/>
    <x v="2"/>
    <x v="2"/>
    <n v="3345.14"/>
    <n v="1992.18"/>
    <n v="6.5"/>
    <x v="1"/>
    <x v="0"/>
  </r>
  <r>
    <s v="NHM-2025-101214"/>
    <s v="June"/>
    <x v="11"/>
    <n v="6"/>
    <d v="2026-06-02T00:00:00"/>
    <x v="2"/>
    <s v="Willie Ramos"/>
    <s v="NovaHealth Midtown Medical Center"/>
    <s v="Female"/>
    <n v="62"/>
    <x v="1"/>
    <n v="4"/>
    <x v="0"/>
    <x v="0"/>
    <n v="15801.29"/>
    <n v="9683.59"/>
    <n v="5.6"/>
    <x v="2"/>
    <x v="0"/>
  </r>
  <r>
    <s v="NHM-2026-100923"/>
    <s v="March"/>
    <x v="1"/>
    <n v="3"/>
    <d v="2025-03-13T00:00:00"/>
    <x v="1"/>
    <s v="Michelle Foster"/>
    <s v="NovaHealth Oakridge Community Hospital"/>
    <s v="Female"/>
    <n v="13"/>
    <x v="0"/>
    <n v="2"/>
    <x v="6"/>
    <x v="6"/>
    <n v="1988.62"/>
    <n v="1319.12"/>
    <n v="5.8"/>
    <x v="1"/>
    <x v="2"/>
  </r>
  <r>
    <s v="NHM-2024-101504"/>
    <s v="July"/>
    <x v="8"/>
    <n v="7"/>
    <d v="2026-07-10T00:00:00"/>
    <x v="2"/>
    <s v="Denise Henry"/>
    <s v="NovaHealth Chicago Medical Center"/>
    <s v="Female"/>
    <n v="5"/>
    <x v="0"/>
    <n v="2"/>
    <x v="6"/>
    <x v="6"/>
    <n v="2648.74"/>
    <n v="1821.86"/>
    <n v="5.9"/>
    <x v="1"/>
    <x v="2"/>
  </r>
  <r>
    <s v="NHM-2023-100524"/>
    <s v="March"/>
    <x v="1"/>
    <n v="3"/>
    <d v="2025-03-24T00:00:00"/>
    <x v="1"/>
    <s v="Emma Evans"/>
    <s v="NovaHealth Metro General Hospital"/>
    <s v="Female"/>
    <n v="18"/>
    <x v="0"/>
    <n v="2"/>
    <x v="7"/>
    <x v="7"/>
    <n v="8506.01"/>
    <n v="6137.41"/>
    <n v="22.9"/>
    <x v="1"/>
    <x v="2"/>
  </r>
  <r>
    <s v="NHM-2023-100816"/>
    <s v="November"/>
    <x v="4"/>
    <n v="11"/>
    <d v="2025-11-20T00:00:00"/>
    <x v="1"/>
    <s v="Billy Mcdonald"/>
    <s v="NovaHealth Midtown Medical Center"/>
    <s v="Female"/>
    <n v="62"/>
    <x v="0"/>
    <n v="2"/>
    <x v="0"/>
    <x v="0"/>
    <n v="11035.69"/>
    <n v="8104.85"/>
    <n v="6.1"/>
    <x v="1"/>
    <x v="0"/>
  </r>
  <r>
    <s v="NHM-2024-100087"/>
    <s v="November"/>
    <x v="4"/>
    <n v="11"/>
    <d v="2024-11-25T00:00:00"/>
    <x v="0"/>
    <s v="Diane Ortiz"/>
    <s v="NovaHealth Chicago Medical Center"/>
    <s v="Female"/>
    <n v="12"/>
    <x v="0"/>
    <n v="3"/>
    <x v="6"/>
    <x v="6"/>
    <n v="838.18"/>
    <n v="682.62"/>
    <n v="5.7"/>
    <x v="1"/>
    <x v="2"/>
  </r>
  <r>
    <s v="NHM-2025-102401"/>
    <s v="May"/>
    <x v="9"/>
    <n v="5"/>
    <d v="2024-05-17T00:00:00"/>
    <x v="0"/>
    <s v="Dennis Perez"/>
    <s v="NovaHealth Northside Hospital"/>
    <s v="Male"/>
    <n v="43"/>
    <x v="0"/>
    <n v="2"/>
    <x v="2"/>
    <x v="2"/>
    <n v="3661.17"/>
    <n v="2160.2800000000002"/>
    <n v="4.5999999999999996"/>
    <x v="1"/>
    <x v="0"/>
  </r>
  <r>
    <s v="NHM-2024-100095"/>
    <s v="November"/>
    <x v="4"/>
    <n v="11"/>
    <d v="2023-11-03T00:00:00"/>
    <x v="3"/>
    <s v="Kyle Ramirez"/>
    <s v="NovaHealth Midtown Medical Center"/>
    <s v="Female"/>
    <n v="83"/>
    <x v="0"/>
    <n v="2"/>
    <x v="3"/>
    <x v="3"/>
    <n v="9618.5"/>
    <n v="5885.68"/>
    <n v="2.2999999999999998"/>
    <x v="1"/>
    <x v="1"/>
  </r>
  <r>
    <s v="NHM-2023-100967"/>
    <s v="June"/>
    <x v="11"/>
    <n v="6"/>
    <d v="2026-06-23T00:00:00"/>
    <x v="2"/>
    <s v="Donald Anderson"/>
    <s v="NovaHealth Northside Hospital"/>
    <s v="Female"/>
    <n v="86"/>
    <x v="0"/>
    <n v="5"/>
    <x v="4"/>
    <x v="4"/>
    <n v="16872.009999999998"/>
    <n v="10928.49"/>
    <n v="16.3"/>
    <x v="2"/>
    <x v="1"/>
  </r>
  <r>
    <s v="NHM-2026-100302"/>
    <s v="August"/>
    <x v="10"/>
    <n v="8"/>
    <d v="2024-08-20T00:00:00"/>
    <x v="0"/>
    <s v="Jonathan Flores"/>
    <s v="NovaHealth Midtown Medical Center"/>
    <s v="Female"/>
    <n v="1"/>
    <x v="0"/>
    <n v="1"/>
    <x v="6"/>
    <x v="6"/>
    <n v="606.82000000000005"/>
    <n v="414.57"/>
    <n v="1"/>
    <x v="0"/>
    <x v="2"/>
  </r>
  <r>
    <s v="NHM-2023-100189"/>
    <s v="September"/>
    <x v="7"/>
    <n v="9"/>
    <d v="2023-09-15T00:00:00"/>
    <x v="3"/>
    <s v="Eugene Ortiz"/>
    <s v="NovaHealth Chicago Medical Center"/>
    <s v="Male"/>
    <n v="74"/>
    <x v="2"/>
    <n v="4"/>
    <x v="4"/>
    <x v="4"/>
    <n v="17496.22"/>
    <n v="12366.55"/>
    <n v="14.9"/>
    <x v="2"/>
    <x v="1"/>
  </r>
  <r>
    <s v="NHM-2026-101145"/>
    <s v="September"/>
    <x v="7"/>
    <n v="9"/>
    <d v="2023-09-22T00:00:00"/>
    <x v="3"/>
    <s v="Diane Simmons"/>
    <s v="NovaHealth Northside Hospital"/>
    <s v="Male"/>
    <n v="94"/>
    <x v="2"/>
    <n v="3"/>
    <x v="4"/>
    <x v="4"/>
    <n v="18112.72"/>
    <n v="13323.09"/>
    <n v="12.6"/>
    <x v="1"/>
    <x v="1"/>
  </r>
  <r>
    <s v="NHM-2024-102216"/>
    <s v="March"/>
    <x v="1"/>
    <n v="3"/>
    <d v="2024-03-22T00:00:00"/>
    <x v="0"/>
    <s v="Christopher Miller"/>
    <s v="NovaHealth Lakeside Medical Center"/>
    <s v="Male"/>
    <n v="19"/>
    <x v="0"/>
    <n v="3"/>
    <x v="1"/>
    <x v="1"/>
    <n v="7998.79"/>
    <n v="6147.08"/>
    <n v="8.5"/>
    <x v="1"/>
    <x v="0"/>
  </r>
  <r>
    <s v="NHM-2026-100864"/>
    <s v="June"/>
    <x v="11"/>
    <n v="6"/>
    <d v="2025-06-25T00:00:00"/>
    <x v="1"/>
    <s v="Dylan Reed"/>
    <s v="NovaHealth Greenfield Clinic"/>
    <s v="Male"/>
    <n v="68"/>
    <x v="2"/>
    <n v="5"/>
    <x v="5"/>
    <x v="5"/>
    <n v="19324.34"/>
    <n v="11234.52"/>
    <n v="3.3"/>
    <x v="2"/>
    <x v="1"/>
  </r>
  <r>
    <s v="NHM-2024-101646"/>
    <s v="February"/>
    <x v="2"/>
    <n v="2"/>
    <d v="2025-02-10T00:00:00"/>
    <x v="1"/>
    <s v="Scott Wright"/>
    <s v="NovaHealth River Valley Hospital"/>
    <s v="Male"/>
    <n v="76"/>
    <x v="1"/>
    <n v="5"/>
    <x v="0"/>
    <x v="0"/>
    <n v="6885.72"/>
    <n v="4242.6899999999996"/>
    <n v="5.3"/>
    <x v="2"/>
    <x v="1"/>
  </r>
  <r>
    <s v="NHM-2023-100858"/>
    <s v="December"/>
    <x v="6"/>
    <n v="12"/>
    <d v="2024-12-26T00:00:00"/>
    <x v="0"/>
    <s v="Jennifer Kennedy"/>
    <s v="NovaHealth Chicago Medical Center"/>
    <s v="Male"/>
    <n v="27"/>
    <x v="0"/>
    <n v="2"/>
    <x v="2"/>
    <x v="2"/>
    <n v="3389.1"/>
    <n v="2248.2199999999998"/>
    <n v="9.9"/>
    <x v="1"/>
    <x v="0"/>
  </r>
  <r>
    <s v="NHM-2024-101257"/>
    <s v="July"/>
    <x v="8"/>
    <n v="7"/>
    <d v="2025-07-31T00:00:00"/>
    <x v="1"/>
    <s v="Margaret Webb"/>
    <s v="NovaHealth Lakeside Medical Center"/>
    <s v="Female"/>
    <n v="4"/>
    <x v="0"/>
    <n v="2"/>
    <x v="6"/>
    <x v="6"/>
    <n v="2024.99"/>
    <n v="1387.14"/>
    <n v="3.8"/>
    <x v="1"/>
    <x v="2"/>
  </r>
  <r>
    <s v="NHM-2024-100009"/>
    <s v="September"/>
    <x v="7"/>
    <n v="9"/>
    <d v="2025-09-16T00:00:00"/>
    <x v="1"/>
    <s v="Judy Owens"/>
    <s v="NovaHealth Greenfield Clinic"/>
    <s v="Female"/>
    <n v="79"/>
    <x v="2"/>
    <n v="3"/>
    <x v="3"/>
    <x v="3"/>
    <n v="6957.79"/>
    <n v="4907.25"/>
    <n v="4.5999999999999996"/>
    <x v="1"/>
    <x v="1"/>
  </r>
  <r>
    <s v="NHM-2025-100662"/>
    <s v="September"/>
    <x v="7"/>
    <n v="9"/>
    <d v="2025-09-29T00:00:00"/>
    <x v="1"/>
    <s v="Samuel Nguyen"/>
    <s v="NovaHealth Metro General Hospital"/>
    <s v="Male"/>
    <n v="87"/>
    <x v="1"/>
    <n v="4"/>
    <x v="5"/>
    <x v="5"/>
    <n v="19367.14"/>
    <n v="14200.41"/>
    <n v="7.8"/>
    <x v="2"/>
    <x v="1"/>
  </r>
  <r>
    <s v="NHM-2023-100375"/>
    <s v="May"/>
    <x v="9"/>
    <n v="5"/>
    <d v="2024-05-23T00:00:00"/>
    <x v="0"/>
    <s v="Carolyn Kelly"/>
    <s v="NovaHealth Lakeside Medical Center"/>
    <s v="Male"/>
    <n v="83"/>
    <x v="0"/>
    <n v="4"/>
    <x v="5"/>
    <x v="5"/>
    <n v="18615.330000000002"/>
    <n v="14214.85"/>
    <n v="8.4"/>
    <x v="2"/>
    <x v="1"/>
  </r>
  <r>
    <s v="NHM-2023-100633"/>
    <s v="December"/>
    <x v="6"/>
    <n v="12"/>
    <d v="2024-12-09T00:00:00"/>
    <x v="0"/>
    <s v="Billy Freeman"/>
    <s v="NovaHealth Northside Hospital"/>
    <s v="Male"/>
    <n v="83"/>
    <x v="0"/>
    <n v="3"/>
    <x v="4"/>
    <x v="4"/>
    <n v="13203.23"/>
    <n v="7738.67"/>
    <n v="10.1"/>
    <x v="1"/>
    <x v="1"/>
  </r>
  <r>
    <s v="NHM-2026-100955"/>
    <s v="March"/>
    <x v="1"/>
    <n v="3"/>
    <d v="2024-03-20T00:00:00"/>
    <x v="0"/>
    <s v="Roy Bell"/>
    <s v="NovaHealth Oakridge Community Hospital"/>
    <s v="Female"/>
    <n v="25"/>
    <x v="2"/>
    <n v="1"/>
    <x v="2"/>
    <x v="2"/>
    <n v="3936.09"/>
    <n v="2452.21"/>
    <n v="6.4"/>
    <x v="0"/>
    <x v="0"/>
  </r>
  <r>
    <s v="NHM-2023-100069"/>
    <s v="March"/>
    <x v="1"/>
    <n v="3"/>
    <d v="2025-03-03T00:00:00"/>
    <x v="1"/>
    <s v="Joe Brooks"/>
    <s v="NovaHealth Midtown Medical Center"/>
    <s v="Female"/>
    <n v="23"/>
    <x v="0"/>
    <n v="1"/>
    <x v="1"/>
    <x v="1"/>
    <n v="9519.85"/>
    <n v="6147.9"/>
    <n v="6.9"/>
    <x v="0"/>
    <x v="0"/>
  </r>
  <r>
    <s v="NHM-2024-100419"/>
    <s v="December"/>
    <x v="6"/>
    <n v="12"/>
    <d v="2024-12-23T00:00:00"/>
    <x v="0"/>
    <s v="Jessica Ramos"/>
    <s v="NovaHealth Midtown Medical Center"/>
    <s v="Female"/>
    <n v="71"/>
    <x v="0"/>
    <n v="3"/>
    <x v="1"/>
    <x v="1"/>
    <n v="7811.45"/>
    <n v="5328.07"/>
    <n v="11.8"/>
    <x v="1"/>
    <x v="1"/>
  </r>
  <r>
    <s v="NHM-2026-102161"/>
    <s v="January"/>
    <x v="3"/>
    <n v="1"/>
    <d v="2026-01-30T00:00:00"/>
    <x v="2"/>
    <s v="Keith Owens"/>
    <s v="NovaHealth Chicago Medical Center"/>
    <s v="Female"/>
    <n v="73"/>
    <x v="2"/>
    <n v="2"/>
    <x v="2"/>
    <x v="2"/>
    <n v="4520.82"/>
    <n v="3222.17"/>
    <n v="7.2"/>
    <x v="1"/>
    <x v="1"/>
  </r>
  <r>
    <s v="NHM-2025-101837"/>
    <s v="October"/>
    <x v="5"/>
    <n v="10"/>
    <d v="2025-10-17T00:00:00"/>
    <x v="1"/>
    <s v="Kathleen Porter"/>
    <s v="NovaHealth Chicago Medical Center"/>
    <s v="Female"/>
    <n v="2"/>
    <x v="0"/>
    <n v="1"/>
    <x v="6"/>
    <x v="6"/>
    <n v="1363.33"/>
    <n v="1032.03"/>
    <n v="4.5999999999999996"/>
    <x v="0"/>
    <x v="2"/>
  </r>
  <r>
    <s v="NHM-2025-100399"/>
    <s v="October"/>
    <x v="5"/>
    <n v="10"/>
    <d v="2024-10-03T00:00:00"/>
    <x v="0"/>
    <s v="Angela Torres"/>
    <s v="NovaHealth Northside Hospital"/>
    <s v="Male"/>
    <n v="27"/>
    <x v="2"/>
    <n v="3"/>
    <x v="5"/>
    <x v="5"/>
    <n v="16823.759999999998"/>
    <n v="12842.06"/>
    <n v="7"/>
    <x v="1"/>
    <x v="0"/>
  </r>
  <r>
    <s v="NHM-2026-101827"/>
    <s v="June"/>
    <x v="11"/>
    <n v="6"/>
    <d v="2026-06-17T00:00:00"/>
    <x v="2"/>
    <s v="Tyler Hamilton"/>
    <s v="NovaHealth Midtown Medical Center"/>
    <s v="Female"/>
    <n v="20"/>
    <x v="2"/>
    <n v="4"/>
    <x v="2"/>
    <x v="2"/>
    <n v="3383.22"/>
    <n v="2005.47"/>
    <n v="5.4"/>
    <x v="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74377D4-E156-4617-9E3D-F0025FEAAC2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Month">
  <location ref="A18:B31" firstHeaderRow="1" firstDataRow="1" firstDataCol="1"/>
  <pivotFields count="19">
    <pivotField dataField="1" showAll="0"/>
    <pivotField showAll="0"/>
    <pivotField axis="axisRow" showAll="0">
      <items count="13">
        <item x="3"/>
        <item x="2"/>
        <item x="1"/>
        <item x="0"/>
        <item x="9"/>
        <item x="11"/>
        <item x="8"/>
        <item x="10"/>
        <item x="7"/>
        <item x="5"/>
        <item x="4"/>
        <item x="6"/>
        <item t="default"/>
      </items>
    </pivotField>
    <pivotField showAll="0"/>
    <pivotField numFmtId="14" showAll="0"/>
    <pivotField showAll="0">
      <items count="5">
        <item x="3"/>
        <item x="0"/>
        <item x="1"/>
        <item x="2"/>
        <item t="default"/>
      </items>
    </pivotField>
    <pivotField showAll="0"/>
    <pivotField showAll="0"/>
    <pivotField showAll="0"/>
    <pivotField showAll="0"/>
    <pivotField showAll="0"/>
    <pivotField showAll="0"/>
    <pivotField showAll="0"/>
    <pivotField showAll="0">
      <items count="9">
        <item x="1"/>
        <item x="7"/>
        <item x="2"/>
        <item x="4"/>
        <item x="0"/>
        <item x="3"/>
        <item x="6"/>
        <item x="5"/>
        <item t="default"/>
      </items>
    </pivotField>
    <pivotField numFmtId="165" showAll="0"/>
    <pivotField numFmtId="165" showAll="0"/>
    <pivotField showAll="0"/>
    <pivotField showAll="0">
      <items count="4">
        <item x="2"/>
        <item x="0"/>
        <item x="1"/>
        <item t="default"/>
      </items>
    </pivotField>
    <pivotField showAll="0">
      <items count="4">
        <item x="0"/>
        <item x="1"/>
        <item x="2"/>
        <item t="default"/>
      </items>
    </pivotField>
  </pivotFields>
  <rowFields count="1">
    <field x="2"/>
  </rowFields>
  <rowItems count="13">
    <i>
      <x/>
    </i>
    <i>
      <x v="1"/>
    </i>
    <i>
      <x v="2"/>
    </i>
    <i>
      <x v="3"/>
    </i>
    <i>
      <x v="4"/>
    </i>
    <i>
      <x v="5"/>
    </i>
    <i>
      <x v="6"/>
    </i>
    <i>
      <x v="7"/>
    </i>
    <i>
      <x v="8"/>
    </i>
    <i>
      <x v="9"/>
    </i>
    <i>
      <x v="10"/>
    </i>
    <i>
      <x v="11"/>
    </i>
    <i t="grand">
      <x/>
    </i>
  </rowItems>
  <colItems count="1">
    <i/>
  </colItems>
  <dataFields count="1">
    <dataField name="Count of Patient_ID" fld="0" subtotal="count" baseField="0" baseItem="0"/>
  </dataFields>
  <chartFormats count="1">
    <chartFormat chart="2"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07AABD9-FA6F-4F1D-93A6-544DDAC1C9C9}" name="Total_Revenu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E4" firstHeaderRow="1" firstDataRow="1" firstDataCol="0"/>
  <pivotFields count="19">
    <pivotField showAll="0"/>
    <pivotField showAll="0"/>
    <pivotField showAll="0">
      <items count="13">
        <item x="3"/>
        <item x="2"/>
        <item x="1"/>
        <item x="0"/>
        <item x="9"/>
        <item x="11"/>
        <item x="8"/>
        <item x="10"/>
        <item x="7"/>
        <item x="5"/>
        <item x="4"/>
        <item x="6"/>
        <item t="default"/>
      </items>
    </pivotField>
    <pivotField showAll="0"/>
    <pivotField numFmtId="14" showAll="0"/>
    <pivotField showAll="0">
      <items count="5">
        <item x="3"/>
        <item x="0"/>
        <item x="1"/>
        <item x="2"/>
        <item t="default"/>
      </items>
    </pivotField>
    <pivotField showAll="0"/>
    <pivotField showAll="0"/>
    <pivotField showAll="0"/>
    <pivotField showAll="0"/>
    <pivotField showAll="0"/>
    <pivotField showAll="0"/>
    <pivotField showAll="0"/>
    <pivotField showAll="0">
      <items count="9">
        <item x="1"/>
        <item x="7"/>
        <item x="2"/>
        <item x="4"/>
        <item x="0"/>
        <item x="3"/>
        <item x="6"/>
        <item x="5"/>
        <item t="default"/>
      </items>
    </pivotField>
    <pivotField dataField="1" numFmtId="165" showAll="0"/>
    <pivotField numFmtId="165" showAll="0"/>
    <pivotField showAll="0"/>
    <pivotField showAll="0">
      <items count="4">
        <item x="2"/>
        <item x="0"/>
        <item x="1"/>
        <item t="default"/>
      </items>
    </pivotField>
    <pivotField showAll="0">
      <items count="4">
        <item x="0"/>
        <item x="1"/>
        <item x="2"/>
        <item t="default"/>
      </items>
    </pivotField>
  </pivotFields>
  <rowItems count="1">
    <i/>
  </rowItems>
  <colItems count="1">
    <i/>
  </colItems>
  <dataFields count="1">
    <dataField name="Total Revenue" fld="14" baseField="0" baseItem="0" numFmtId="165"/>
  </dataField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007AB68-7F91-4F28-A12A-2FC0AB36E76B}" name="Patient_By_ClinicalStatus"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rowHeaderCaption="Clinical Status">
  <location ref="M17:N20" firstHeaderRow="1" firstDataRow="1" firstDataCol="1"/>
  <pivotFields count="19">
    <pivotField dataField="1" showAll="0"/>
    <pivotField showAll="0"/>
    <pivotField showAll="0">
      <items count="13">
        <item x="3"/>
        <item x="2"/>
        <item x="1"/>
        <item x="0"/>
        <item x="9"/>
        <item x="11"/>
        <item x="8"/>
        <item x="10"/>
        <item x="7"/>
        <item x="5"/>
        <item x="4"/>
        <item x="6"/>
        <item t="default"/>
      </items>
    </pivotField>
    <pivotField showAll="0"/>
    <pivotField numFmtId="14" showAll="0"/>
    <pivotField showAll="0">
      <items count="5">
        <item x="3"/>
        <item x="0"/>
        <item x="1"/>
        <item x="2"/>
        <item t="default"/>
      </items>
    </pivotField>
    <pivotField showAll="0"/>
    <pivotField showAll="0"/>
    <pivotField showAll="0"/>
    <pivotField showAll="0"/>
    <pivotField axis="axisRow" showAll="0">
      <items count="4">
        <item x="0"/>
        <item x="2"/>
        <item x="1"/>
        <item t="default"/>
      </items>
    </pivotField>
    <pivotField showAll="0"/>
    <pivotField showAll="0"/>
    <pivotField showAll="0">
      <items count="9">
        <item x="1"/>
        <item x="7"/>
        <item x="2"/>
        <item x="4"/>
        <item x="0"/>
        <item x="3"/>
        <item x="6"/>
        <item x="5"/>
        <item t="default"/>
      </items>
    </pivotField>
    <pivotField numFmtId="165" showAll="0"/>
    <pivotField numFmtId="165" showAll="0"/>
    <pivotField showAll="0"/>
    <pivotField showAll="0">
      <items count="4">
        <item x="2"/>
        <item x="0"/>
        <item x="1"/>
        <item t="default"/>
      </items>
    </pivotField>
    <pivotField showAll="0">
      <items count="4">
        <item x="0"/>
        <item x="1"/>
        <item x="2"/>
        <item t="default"/>
      </items>
    </pivotField>
  </pivotFields>
  <rowFields count="1">
    <field x="10"/>
  </rowFields>
  <rowItems count="3">
    <i>
      <x/>
    </i>
    <i>
      <x v="1"/>
    </i>
    <i>
      <x v="2"/>
    </i>
  </rowItems>
  <colItems count="1">
    <i/>
  </colItems>
  <dataFields count="1">
    <dataField name="Total Appointment" fld="0" subtotal="count" showDataAs="percentOfTotal" baseField="9" baseItem="0" numFmtId="166"/>
  </dataFields>
  <formats count="1">
    <format dxfId="2">
      <pivotArea outline="0" collapsedLevelsAreSubtotals="1" fieldPosition="0"/>
    </format>
  </formats>
  <chartFormats count="4">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0" count="1" selected="0">
            <x v="0"/>
          </reference>
        </references>
      </pivotArea>
    </chartFormat>
    <chartFormat chart="2" format="7">
      <pivotArea type="data" outline="0" fieldPosition="0">
        <references count="2">
          <reference field="4294967294" count="1" selected="0">
            <x v="0"/>
          </reference>
          <reference field="10" count="1" selected="0">
            <x v="1"/>
          </reference>
        </references>
      </pivotArea>
    </chartFormat>
    <chartFormat chart="2" format="8">
      <pivotArea type="data" outline="0" fieldPosition="0">
        <references count="2">
          <reference field="4294967294" count="1" selected="0">
            <x v="0"/>
          </reference>
          <reference field="10" count="1" selected="0">
            <x v="2"/>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23EFC7B-869A-4A64-8732-6DE273310165}" name="Total_Operating_Cos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I4" firstHeaderRow="1" firstDataRow="1" firstDataCol="0"/>
  <pivotFields count="19">
    <pivotField showAll="0"/>
    <pivotField showAll="0"/>
    <pivotField showAll="0">
      <items count="13">
        <item x="3"/>
        <item x="2"/>
        <item x="1"/>
        <item x="0"/>
        <item x="9"/>
        <item x="11"/>
        <item x="8"/>
        <item x="10"/>
        <item x="7"/>
        <item x="5"/>
        <item x="4"/>
        <item x="6"/>
        <item t="default"/>
      </items>
    </pivotField>
    <pivotField showAll="0"/>
    <pivotField numFmtId="14" showAll="0"/>
    <pivotField showAll="0">
      <items count="5">
        <item x="3"/>
        <item x="0"/>
        <item x="1"/>
        <item x="2"/>
        <item t="default"/>
      </items>
    </pivotField>
    <pivotField showAll="0"/>
    <pivotField showAll="0"/>
    <pivotField showAll="0"/>
    <pivotField showAll="0"/>
    <pivotField showAll="0"/>
    <pivotField showAll="0"/>
    <pivotField showAll="0"/>
    <pivotField showAll="0">
      <items count="9">
        <item x="1"/>
        <item x="7"/>
        <item x="2"/>
        <item x="4"/>
        <item x="0"/>
        <item x="3"/>
        <item x="6"/>
        <item x="5"/>
        <item t="default"/>
      </items>
    </pivotField>
    <pivotField numFmtId="165" showAll="0"/>
    <pivotField dataField="1" numFmtId="165" showAll="0"/>
    <pivotField showAll="0"/>
    <pivotField showAll="0">
      <items count="4">
        <item x="2"/>
        <item x="0"/>
        <item x="1"/>
        <item t="default"/>
      </items>
    </pivotField>
    <pivotField showAll="0">
      <items count="4">
        <item x="0"/>
        <item x="1"/>
        <item x="2"/>
        <item t="default"/>
      </items>
    </pivotField>
  </pivotFields>
  <rowItems count="1">
    <i/>
  </rowItems>
  <colItems count="1">
    <i/>
  </colItems>
  <dataFields count="1">
    <dataField name="Total Operational Cost" fld="15" baseField="0" baseItem="0" numFmtId="165"/>
  </dataField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2901DC8-D706-452B-A9FA-B5F2F90A123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Year">
  <location ref="L23:N28" firstHeaderRow="0" firstDataRow="1" firstDataCol="1"/>
  <pivotFields count="19">
    <pivotField showAll="0"/>
    <pivotField showAll="0"/>
    <pivotField showAll="0">
      <items count="13">
        <item x="3"/>
        <item x="2"/>
        <item x="1"/>
        <item x="0"/>
        <item x="9"/>
        <item x="11"/>
        <item x="8"/>
        <item x="10"/>
        <item x="7"/>
        <item x="5"/>
        <item x="4"/>
        <item x="6"/>
        <item t="default"/>
      </items>
    </pivotField>
    <pivotField showAll="0"/>
    <pivotField numFmtId="14" showAll="0"/>
    <pivotField axis="axisRow" showAll="0" sortType="descending">
      <items count="5">
        <item x="2"/>
        <item x="1"/>
        <item x="0"/>
        <item x="3"/>
        <item t="default"/>
      </items>
    </pivotField>
    <pivotField showAll="0"/>
    <pivotField showAll="0"/>
    <pivotField showAll="0"/>
    <pivotField showAll="0"/>
    <pivotField showAll="0"/>
    <pivotField showAll="0"/>
    <pivotField showAll="0"/>
    <pivotField showAll="0">
      <items count="9">
        <item x="1"/>
        <item x="7"/>
        <item x="2"/>
        <item x="4"/>
        <item x="0"/>
        <item x="3"/>
        <item x="6"/>
        <item x="5"/>
        <item t="default"/>
      </items>
    </pivotField>
    <pivotField dataField="1" numFmtId="165" showAll="0"/>
    <pivotField dataField="1" numFmtId="165" showAll="0"/>
    <pivotField showAll="0"/>
    <pivotField showAll="0">
      <items count="4">
        <item x="2"/>
        <item x="0"/>
        <item x="1"/>
        <item t="default"/>
      </items>
    </pivotField>
    <pivotField showAll="0">
      <items count="4">
        <item x="0"/>
        <item x="1"/>
        <item x="2"/>
        <item t="default"/>
      </items>
    </pivotField>
  </pivotFields>
  <rowFields count="1">
    <field x="5"/>
  </rowFields>
  <rowItems count="5">
    <i>
      <x/>
    </i>
    <i>
      <x v="1"/>
    </i>
    <i>
      <x v="2"/>
    </i>
    <i>
      <x v="3"/>
    </i>
    <i t="grand">
      <x/>
    </i>
  </rowItems>
  <colFields count="1">
    <field x="-2"/>
  </colFields>
  <colItems count="2">
    <i>
      <x/>
    </i>
    <i i="1">
      <x v="1"/>
    </i>
  </colItems>
  <dataFields count="2">
    <dataField name="Operational Cost" fld="15" baseField="5" baseItem="0" numFmtId="165"/>
    <dataField name="Revenue" fld="14" baseField="5" baseItem="0" numFmtId="165"/>
  </dataFields>
  <chartFormats count="2">
    <chartFormat chart="2" format="4" series="1">
      <pivotArea type="data" outline="0" fieldPosition="0">
        <references count="1">
          <reference field="4294967294" count="1" selected="0">
            <x v="1"/>
          </reference>
        </references>
      </pivotArea>
    </chartFormat>
    <chartFormat chart="2" format="5"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847BA4A-B872-4D81-B103-478D3F6C34D0}" name="Age_Group_Appointments"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Age Group">
  <location ref="M8:N11" firstHeaderRow="1" firstDataRow="1" firstDataCol="1"/>
  <pivotFields count="19">
    <pivotField dataField="1" showAll="0"/>
    <pivotField showAll="0"/>
    <pivotField showAll="0">
      <items count="13">
        <item x="3"/>
        <item x="2"/>
        <item x="1"/>
        <item x="0"/>
        <item x="9"/>
        <item x="11"/>
        <item x="8"/>
        <item x="10"/>
        <item x="7"/>
        <item x="5"/>
        <item x="4"/>
        <item x="6"/>
        <item t="default"/>
      </items>
    </pivotField>
    <pivotField showAll="0"/>
    <pivotField numFmtId="14" showAll="0"/>
    <pivotField showAll="0">
      <items count="5">
        <item x="3"/>
        <item x="0"/>
        <item x="1"/>
        <item x="2"/>
        <item t="default"/>
      </items>
    </pivotField>
    <pivotField showAll="0"/>
    <pivotField showAll="0"/>
    <pivotField showAll="0"/>
    <pivotField showAll="0"/>
    <pivotField showAll="0"/>
    <pivotField showAll="0"/>
    <pivotField showAll="0"/>
    <pivotField showAll="0">
      <items count="9">
        <item x="1"/>
        <item x="7"/>
        <item x="2"/>
        <item x="4"/>
        <item x="0"/>
        <item x="3"/>
        <item x="6"/>
        <item x="5"/>
        <item t="default"/>
      </items>
    </pivotField>
    <pivotField numFmtId="165" showAll="0"/>
    <pivotField numFmtId="165" showAll="0"/>
    <pivotField showAll="0"/>
    <pivotField showAll="0">
      <items count="4">
        <item x="2"/>
        <item x="0"/>
        <item x="1"/>
        <item t="default"/>
      </items>
    </pivotField>
    <pivotField axis="axisRow" showAll="0">
      <items count="4">
        <item x="0"/>
        <item x="1"/>
        <item x="2"/>
        <item t="default"/>
      </items>
    </pivotField>
  </pivotFields>
  <rowFields count="1">
    <field x="18"/>
  </rowFields>
  <rowItems count="3">
    <i>
      <x/>
    </i>
    <i>
      <x v="1"/>
    </i>
    <i>
      <x v="2"/>
    </i>
  </rowItems>
  <colItems count="1">
    <i/>
  </colItems>
  <dataFields count="1">
    <dataField name="Total Appointment" fld="0" subtotal="count" baseField="0" baseItem="0"/>
  </dataField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DEADF54-CE77-40C5-9BD3-483CBAA4B8A3}" name="Total_Appointme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9">
    <pivotField dataField="1" showAll="0"/>
    <pivotField showAll="0"/>
    <pivotField showAll="0">
      <items count="13">
        <item x="3"/>
        <item x="2"/>
        <item x="1"/>
        <item x="0"/>
        <item x="9"/>
        <item x="11"/>
        <item x="8"/>
        <item x="10"/>
        <item x="7"/>
        <item x="5"/>
        <item x="4"/>
        <item x="6"/>
        <item t="default"/>
      </items>
    </pivotField>
    <pivotField showAll="0"/>
    <pivotField numFmtId="14" showAll="0"/>
    <pivotField showAll="0">
      <items count="5">
        <item x="3"/>
        <item x="0"/>
        <item x="1"/>
        <item x="2"/>
        <item t="default"/>
      </items>
    </pivotField>
    <pivotField showAll="0"/>
    <pivotField showAll="0"/>
    <pivotField showAll="0"/>
    <pivotField showAll="0"/>
    <pivotField showAll="0"/>
    <pivotField showAll="0"/>
    <pivotField showAll="0"/>
    <pivotField showAll="0">
      <items count="9">
        <item x="1"/>
        <item x="7"/>
        <item x="2"/>
        <item x="4"/>
        <item x="0"/>
        <item x="3"/>
        <item x="6"/>
        <item x="5"/>
        <item t="default"/>
      </items>
    </pivotField>
    <pivotField numFmtId="165" showAll="0"/>
    <pivotField numFmtId="165" showAll="0"/>
    <pivotField showAll="0"/>
    <pivotField showAll="0">
      <items count="4">
        <item x="2"/>
        <item x="0"/>
        <item x="1"/>
        <item t="default"/>
      </items>
    </pivotField>
    <pivotField showAll="0">
      <items count="4">
        <item x="0"/>
        <item x="1"/>
        <item x="2"/>
        <item t="default"/>
      </items>
    </pivotField>
  </pivotFields>
  <rowItems count="1">
    <i/>
  </rowItems>
  <colItems count="1">
    <i/>
  </colItems>
  <dataFields count="1">
    <dataField name="Total Appointment" fld="0" subtotal="count" baseField="0" baseItem="0"/>
  </dataField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64A6E4E-A2C4-44DA-B0AE-464C2D3F8551}" name="Patients_By_Department"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rowHeaderCaption="Department">
  <location ref="A8:B16" firstHeaderRow="1" firstDataRow="1" firstDataCol="1"/>
  <pivotFields count="19">
    <pivotField dataField="1" showAll="0"/>
    <pivotField showAll="0"/>
    <pivotField showAll="0">
      <items count="13">
        <item x="3"/>
        <item x="2"/>
        <item x="1"/>
        <item x="0"/>
        <item x="9"/>
        <item x="11"/>
        <item x="8"/>
        <item x="10"/>
        <item x="7"/>
        <item x="5"/>
        <item x="4"/>
        <item x="6"/>
        <item t="default"/>
      </items>
    </pivotField>
    <pivotField showAll="0"/>
    <pivotField numFmtId="14" showAll="0"/>
    <pivotField showAll="0">
      <items count="5">
        <item x="3"/>
        <item x="0"/>
        <item x="1"/>
        <item x="2"/>
        <item t="default"/>
      </items>
    </pivotField>
    <pivotField showAll="0"/>
    <pivotField showAll="0"/>
    <pivotField showAll="0"/>
    <pivotField showAll="0"/>
    <pivotField showAll="0"/>
    <pivotField showAll="0"/>
    <pivotField showAll="0" sortType="descending">
      <autoSortScope>
        <pivotArea dataOnly="0" outline="0" fieldPosition="0">
          <references count="1">
            <reference field="4294967294" count="1" selected="0">
              <x v="0"/>
            </reference>
          </references>
        </pivotArea>
      </autoSortScope>
    </pivotField>
    <pivotField axis="axisRow" showAll="0" sortType="descending">
      <items count="9">
        <item x="1"/>
        <item x="7"/>
        <item x="2"/>
        <item x="4"/>
        <item x="0"/>
        <item x="3"/>
        <item x="6"/>
        <item x="5"/>
        <item t="default"/>
      </items>
      <autoSortScope>
        <pivotArea dataOnly="0" outline="0" fieldPosition="0">
          <references count="1">
            <reference field="4294967294" count="1" selected="0">
              <x v="0"/>
            </reference>
          </references>
        </pivotArea>
      </autoSortScope>
    </pivotField>
    <pivotField numFmtId="165" showAll="0"/>
    <pivotField numFmtId="165" showAll="0"/>
    <pivotField showAll="0"/>
    <pivotField showAll="0">
      <items count="4">
        <item x="2"/>
        <item x="0"/>
        <item x="1"/>
        <item t="default"/>
      </items>
    </pivotField>
    <pivotField showAll="0">
      <items count="4">
        <item x="0"/>
        <item x="1"/>
        <item x="2"/>
        <item t="default"/>
      </items>
    </pivotField>
  </pivotFields>
  <rowFields count="1">
    <field x="13"/>
  </rowFields>
  <rowItems count="8">
    <i>
      <x/>
    </i>
    <i>
      <x v="3"/>
    </i>
    <i>
      <x v="4"/>
    </i>
    <i>
      <x v="1"/>
    </i>
    <i>
      <x v="6"/>
    </i>
    <i>
      <x v="7"/>
    </i>
    <i>
      <x v="2"/>
    </i>
    <i>
      <x v="5"/>
    </i>
  </rowItems>
  <colItems count="1">
    <i/>
  </colItems>
  <dataFields count="1">
    <dataField name="Total Appointment" fld="0" subtotal="count"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3D82AB0-C1D0-4E30-9B4D-56981E239CA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I20:J25" firstHeaderRow="1" firstDataRow="1" firstDataCol="1"/>
  <pivotFields count="19">
    <pivotField showAll="0"/>
    <pivotField showAll="0"/>
    <pivotField showAll="0">
      <items count="13">
        <item x="3"/>
        <item x="2"/>
        <item x="1"/>
        <item x="0"/>
        <item x="9"/>
        <item x="11"/>
        <item x="8"/>
        <item x="10"/>
        <item x="7"/>
        <item x="5"/>
        <item x="4"/>
        <item x="6"/>
        <item t="default"/>
      </items>
    </pivotField>
    <pivotField showAll="0"/>
    <pivotField numFmtId="14" showAll="0"/>
    <pivotField axis="axisRow" showAll="0">
      <items count="5">
        <item x="3"/>
        <item x="0"/>
        <item x="1"/>
        <item x="2"/>
        <item t="default"/>
      </items>
    </pivotField>
    <pivotField showAll="0"/>
    <pivotField showAll="0"/>
    <pivotField showAll="0"/>
    <pivotField showAll="0"/>
    <pivotField showAll="0"/>
    <pivotField showAll="0"/>
    <pivotField showAll="0"/>
    <pivotField showAll="0">
      <items count="9">
        <item x="1"/>
        <item x="7"/>
        <item x="2"/>
        <item x="4"/>
        <item x="0"/>
        <item x="3"/>
        <item x="6"/>
        <item x="5"/>
        <item t="default"/>
      </items>
    </pivotField>
    <pivotField numFmtId="165" showAll="0"/>
    <pivotField numFmtId="165" showAll="0"/>
    <pivotField dataField="1" showAll="0"/>
    <pivotField showAll="0">
      <items count="4">
        <item x="2"/>
        <item x="0"/>
        <item x="1"/>
        <item t="default"/>
      </items>
    </pivotField>
    <pivotField showAll="0">
      <items count="4">
        <item x="0"/>
        <item x="1"/>
        <item x="2"/>
        <item t="default"/>
      </items>
    </pivotField>
  </pivotFields>
  <rowFields count="1">
    <field x="5"/>
  </rowFields>
  <rowItems count="5">
    <i>
      <x/>
    </i>
    <i>
      <x v="1"/>
    </i>
    <i>
      <x v="2"/>
    </i>
    <i>
      <x v="3"/>
    </i>
    <i t="grand">
      <x/>
    </i>
  </rowItems>
  <colItems count="1">
    <i/>
  </colItems>
  <dataFields count="1">
    <dataField name="Sum of Staff_Overtime_Hrs" fld="16" baseField="0" baseItem="0"/>
  </dataFields>
  <chartFormats count="2">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5"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BF59565-1000-45BE-913A-DDF0FAF54D7B}" name="Monthly_Revenue"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7" rowHeaderCaption="Months">
  <location ref="E8:F20" firstHeaderRow="1" firstDataRow="1" firstDataCol="1"/>
  <pivotFields count="19">
    <pivotField showAll="0"/>
    <pivotField showAll="0"/>
    <pivotField axis="axisRow" showAll="0">
      <items count="13">
        <item x="3"/>
        <item x="2"/>
        <item x="1"/>
        <item x="0"/>
        <item x="9"/>
        <item x="11"/>
        <item x="8"/>
        <item x="10"/>
        <item x="7"/>
        <item x="5"/>
        <item x="4"/>
        <item x="6"/>
        <item t="default"/>
      </items>
    </pivotField>
    <pivotField showAll="0"/>
    <pivotField numFmtId="14" showAll="0"/>
    <pivotField showAll="0">
      <items count="5">
        <item x="3"/>
        <item x="0"/>
        <item x="1"/>
        <item x="2"/>
        <item t="default"/>
      </items>
    </pivotField>
    <pivotField showAll="0"/>
    <pivotField showAll="0"/>
    <pivotField showAll="0"/>
    <pivotField showAll="0"/>
    <pivotField showAll="0"/>
    <pivotField showAll="0"/>
    <pivotField showAll="0"/>
    <pivotField showAll="0">
      <items count="9">
        <item x="1"/>
        <item x="7"/>
        <item x="2"/>
        <item x="4"/>
        <item x="0"/>
        <item x="3"/>
        <item x="6"/>
        <item x="5"/>
        <item t="default"/>
      </items>
    </pivotField>
    <pivotField dataField="1" numFmtId="165" showAll="0"/>
    <pivotField numFmtId="165" showAll="0"/>
    <pivotField showAll="0"/>
    <pivotField showAll="0">
      <items count="4">
        <item x="2"/>
        <item x="0"/>
        <item x="1"/>
        <item t="default"/>
      </items>
    </pivotField>
    <pivotField showAll="0">
      <items count="4">
        <item x="0"/>
        <item x="1"/>
        <item x="2"/>
        <item t="default"/>
      </items>
    </pivotField>
  </pivotFields>
  <rowFields count="1">
    <field x="2"/>
  </rowFields>
  <rowItems count="12">
    <i>
      <x/>
    </i>
    <i>
      <x v="1"/>
    </i>
    <i>
      <x v="2"/>
    </i>
    <i>
      <x v="3"/>
    </i>
    <i>
      <x v="4"/>
    </i>
    <i>
      <x v="5"/>
    </i>
    <i>
      <x v="6"/>
    </i>
    <i>
      <x v="7"/>
    </i>
    <i>
      <x v="8"/>
    </i>
    <i>
      <x v="9"/>
    </i>
    <i>
      <x v="10"/>
    </i>
    <i>
      <x v="11"/>
    </i>
  </rowItems>
  <colItems count="1">
    <i/>
  </colItems>
  <dataFields count="1">
    <dataField name="Total Revenue" fld="14" baseField="0" baseItem="0" numFmtId="167"/>
  </dataFields>
  <formats count="1">
    <format dxfId="3">
      <pivotArea outline="0" collapsedLevelsAreSubtotals="1" fieldPosition="0"/>
    </format>
  </formats>
  <chartFormats count="13">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2" count="1" selected="0">
            <x v="10"/>
          </reference>
        </references>
      </pivotArea>
    </chartFormat>
    <chartFormat chart="2" format="4">
      <pivotArea type="data" outline="0" fieldPosition="0">
        <references count="2">
          <reference field="4294967294" count="1" selected="0">
            <x v="0"/>
          </reference>
          <reference field="2" count="1" selected="0">
            <x v="9"/>
          </reference>
        </references>
      </pivotArea>
    </chartFormat>
    <chartFormat chart="2" format="5">
      <pivotArea type="data" outline="0" fieldPosition="0">
        <references count="2">
          <reference field="4294967294" count="1" selected="0">
            <x v="0"/>
          </reference>
          <reference field="2" count="1" selected="0">
            <x v="8"/>
          </reference>
        </references>
      </pivotArea>
    </chartFormat>
    <chartFormat chart="2" format="6">
      <pivotArea type="data" outline="0" fieldPosition="0">
        <references count="2">
          <reference field="4294967294" count="1" selected="0">
            <x v="0"/>
          </reference>
          <reference field="2" count="1" selected="0">
            <x v="6"/>
          </reference>
        </references>
      </pivotArea>
    </chartFormat>
    <chartFormat chart="2" format="7">
      <pivotArea type="data" outline="0" fieldPosition="0">
        <references count="2">
          <reference field="4294967294" count="1" selected="0">
            <x v="0"/>
          </reference>
          <reference field="2" count="1" selected="0">
            <x v="3"/>
          </reference>
        </references>
      </pivotArea>
    </chartFormat>
    <chartFormat chart="2" format="8">
      <pivotArea type="data" outline="0" fieldPosition="0">
        <references count="2">
          <reference field="4294967294" count="1" selected="0">
            <x v="0"/>
          </reference>
          <reference field="2" count="1" selected="0">
            <x v="2"/>
          </reference>
        </references>
      </pivotArea>
    </chartFormat>
    <chartFormat chart="2" format="9">
      <pivotArea type="data" outline="0" fieldPosition="0">
        <references count="2">
          <reference field="4294967294" count="1" selected="0">
            <x v="0"/>
          </reference>
          <reference field="2" count="1" selected="0">
            <x v="1"/>
          </reference>
        </references>
      </pivotArea>
    </chartFormat>
    <chartFormat chart="2" format="10">
      <pivotArea type="data" outline="0" fieldPosition="0">
        <references count="2">
          <reference field="4294967294" count="1" selected="0">
            <x v="0"/>
          </reference>
          <reference field="2" count="1" selected="0">
            <x v="0"/>
          </reference>
        </references>
      </pivotArea>
    </chartFormat>
    <chartFormat chart="2" format="11">
      <pivotArea type="data" outline="0" fieldPosition="0">
        <references count="2">
          <reference field="4294967294" count="1" selected="0">
            <x v="0"/>
          </reference>
          <reference field="2" count="1" selected="0">
            <x v="11"/>
          </reference>
        </references>
      </pivotArea>
    </chartFormat>
    <chartFormat chart="2" format="12">
      <pivotArea type="data" outline="0" fieldPosition="0">
        <references count="2">
          <reference field="4294967294" count="1" selected="0">
            <x v="0"/>
          </reference>
          <reference field="2" count="1" selected="0">
            <x v="7"/>
          </reference>
        </references>
      </pivotArea>
    </chartFormat>
    <chartFormat chart="2" format="13">
      <pivotArea type="data" outline="0" fieldPosition="0">
        <references count="2">
          <reference field="4294967294" count="1" selected="0">
            <x v="0"/>
          </reference>
          <reference field="2" count="1" selected="0">
            <x v="4"/>
          </reference>
        </references>
      </pivotArea>
    </chartFormat>
    <chartFormat chart="2" format="14">
      <pivotArea type="data" outline="0" fieldPosition="0">
        <references count="2">
          <reference field="4294967294" count="1" selected="0">
            <x v="0"/>
          </reference>
          <reference field="2" count="1" selected="0">
            <x v="5"/>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CC02C77-0394-4DC6-83D1-8586A149CF6E}" name="Total_Overtim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3:M4" firstHeaderRow="1" firstDataRow="1" firstDataCol="0"/>
  <pivotFields count="19">
    <pivotField showAll="0"/>
    <pivotField showAll="0"/>
    <pivotField showAll="0">
      <items count="13">
        <item x="3"/>
        <item x="2"/>
        <item x="1"/>
        <item x="0"/>
        <item x="9"/>
        <item x="11"/>
        <item x="8"/>
        <item x="10"/>
        <item x="7"/>
        <item x="5"/>
        <item x="4"/>
        <item x="6"/>
        <item t="default"/>
      </items>
    </pivotField>
    <pivotField showAll="0"/>
    <pivotField numFmtId="14" showAll="0"/>
    <pivotField showAll="0">
      <items count="5">
        <item x="3"/>
        <item x="0"/>
        <item x="1"/>
        <item x="2"/>
        <item t="default"/>
      </items>
    </pivotField>
    <pivotField showAll="0"/>
    <pivotField showAll="0"/>
    <pivotField showAll="0"/>
    <pivotField showAll="0"/>
    <pivotField showAll="0"/>
    <pivotField showAll="0"/>
    <pivotField showAll="0"/>
    <pivotField showAll="0">
      <items count="9">
        <item x="1"/>
        <item x="7"/>
        <item x="2"/>
        <item x="4"/>
        <item x="0"/>
        <item x="3"/>
        <item x="6"/>
        <item x="5"/>
        <item t="default"/>
      </items>
    </pivotField>
    <pivotField numFmtId="165" showAll="0"/>
    <pivotField numFmtId="165" showAll="0"/>
    <pivotField dataField="1" showAll="0"/>
    <pivotField showAll="0">
      <items count="4">
        <item x="2"/>
        <item x="0"/>
        <item x="1"/>
        <item t="default"/>
      </items>
    </pivotField>
    <pivotField showAll="0">
      <items count="4">
        <item x="0"/>
        <item x="1"/>
        <item x="2"/>
        <item t="default"/>
      </items>
    </pivotField>
  </pivotFields>
  <rowItems count="1">
    <i/>
  </rowItems>
  <colItems count="1">
    <i/>
  </colItems>
  <dataFields count="1">
    <dataField name="Total Overtime Hours" fld="16" baseField="0" baseItem="0"/>
  </dataField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59C4D7C-867E-47BF-B26E-0384FA767FB3}" name="Revenue_By_Department"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Department">
  <location ref="I8:J16" firstHeaderRow="1" firstDataRow="1" firstDataCol="1"/>
  <pivotFields count="19">
    <pivotField showAll="0"/>
    <pivotField showAll="0"/>
    <pivotField showAll="0">
      <items count="13">
        <item x="3"/>
        <item x="2"/>
        <item x="1"/>
        <item x="0"/>
        <item x="9"/>
        <item x="11"/>
        <item x="8"/>
        <item x="10"/>
        <item x="7"/>
        <item x="5"/>
        <item x="4"/>
        <item x="6"/>
        <item t="default"/>
      </items>
    </pivotField>
    <pivotField showAll="0"/>
    <pivotField numFmtId="14" showAll="0"/>
    <pivotField showAll="0">
      <items count="5">
        <item x="3"/>
        <item x="0"/>
        <item x="1"/>
        <item x="2"/>
        <item t="default"/>
      </items>
    </pivotField>
    <pivotField showAll="0"/>
    <pivotField showAll="0"/>
    <pivotField showAll="0"/>
    <pivotField showAll="0"/>
    <pivotField showAll="0"/>
    <pivotField showAll="0"/>
    <pivotField axis="axisRow" showAll="0">
      <items count="9">
        <item x="1"/>
        <item x="7"/>
        <item x="2"/>
        <item x="4"/>
        <item x="0"/>
        <item x="3"/>
        <item x="6"/>
        <item x="5"/>
        <item t="default"/>
      </items>
    </pivotField>
    <pivotField showAll="0">
      <items count="9">
        <item x="1"/>
        <item x="7"/>
        <item x="2"/>
        <item x="4"/>
        <item x="0"/>
        <item x="3"/>
        <item x="6"/>
        <item x="5"/>
        <item t="default"/>
      </items>
    </pivotField>
    <pivotField dataField="1" numFmtId="165" showAll="0"/>
    <pivotField numFmtId="165" showAll="0"/>
    <pivotField showAll="0"/>
    <pivotField showAll="0">
      <items count="4">
        <item x="2"/>
        <item x="0"/>
        <item x="1"/>
        <item t="default"/>
      </items>
    </pivotField>
    <pivotField showAll="0">
      <items count="4">
        <item x="0"/>
        <item x="1"/>
        <item x="2"/>
        <item t="default"/>
      </items>
    </pivotField>
  </pivotFields>
  <rowFields count="1">
    <field x="12"/>
  </rowFields>
  <rowItems count="8">
    <i>
      <x/>
    </i>
    <i>
      <x v="1"/>
    </i>
    <i>
      <x v="2"/>
    </i>
    <i>
      <x v="3"/>
    </i>
    <i>
      <x v="4"/>
    </i>
    <i>
      <x v="5"/>
    </i>
    <i>
      <x v="6"/>
    </i>
    <i>
      <x v="7"/>
    </i>
  </rowItems>
  <colItems count="1">
    <i/>
  </colItems>
  <dataFields count="1">
    <dataField name="Total Revenue" fld="14" baseField="0" baseItem="0" numFmtId="165"/>
  </dataField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D_Short" xr10:uid="{8F3F5503-040C-4528-A84C-DE3B7EAA0464}" sourceName="MD_Short">
  <pivotTables>
    <pivotTable tabId="4" name="Patients_By_Department"/>
    <pivotTable tabId="4" name="Age_Group_Appointments"/>
    <pivotTable tabId="4" name="Monthly_Revenue"/>
    <pivotTable tabId="4" name="Patient_By_ClinicalStatus"/>
    <pivotTable tabId="4" name="PivotTable1"/>
    <pivotTable tabId="4" name="PivotTable2"/>
    <pivotTable tabId="4" name="PivotTable3"/>
    <pivotTable tabId="4" name="Revenue_By_Department"/>
    <pivotTable tabId="4" name="Total_Appointment"/>
    <pivotTable tabId="4" name="Total_Operating_Cost"/>
    <pivotTable tabId="4" name="Total_Overtime"/>
    <pivotTable tabId="4" name="Total_Revenue"/>
  </pivotTables>
  <data>
    <tabular pivotCacheId="1043420931">
      <items count="8">
        <i x="1" s="1"/>
        <i x="7" s="1"/>
        <i x="2" s="1"/>
        <i x="4" s="1"/>
        <i x="0" s="1"/>
        <i x="3" s="1"/>
        <i x="6" s="1"/>
        <i x="5"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Year" xr10:uid="{7B99AAF4-4DC5-4E70-B7B8-FB401B88A1C0}" sourceName="Date_Year">
  <pivotTables>
    <pivotTable tabId="4" name="Patients_By_Department"/>
    <pivotTable tabId="4" name="Age_Group_Appointments"/>
    <pivotTable tabId="4" name="Monthly_Revenue"/>
    <pivotTable tabId="4" name="Patient_By_ClinicalStatus"/>
    <pivotTable tabId="4" name="PivotTable1"/>
    <pivotTable tabId="4" name="PivotTable2"/>
    <pivotTable tabId="4" name="PivotTable3"/>
    <pivotTable tabId="4" name="Revenue_By_Department"/>
    <pivotTable tabId="4" name="Total_Appointment"/>
    <pivotTable tabId="4" name="Total_Operating_Cost"/>
    <pivotTable tabId="4" name="Total_Overtime"/>
    <pivotTable tabId="4" name="Total_Revenue"/>
  </pivotTables>
  <data>
    <tabular pivotCacheId="1043420931">
      <items count="4">
        <i x="3" s="1"/>
        <i x="0" s="1"/>
        <i x="1" s="1"/>
        <i x="2"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_Class" xr10:uid="{03F9DAFB-22D0-441D-8349-A8D269C41D38}" sourceName="Age_Group_Class">
  <pivotTables>
    <pivotTable tabId="4" name="Age_Group_Appointments"/>
    <pivotTable tabId="4" name="Monthly_Revenue"/>
    <pivotTable tabId="4" name="Patient_By_ClinicalStatus"/>
    <pivotTable tabId="4" name="Patients_By_Department"/>
    <pivotTable tabId="4" name="PivotTable1"/>
    <pivotTable tabId="4" name="PivotTable2"/>
    <pivotTable tabId="4" name="PivotTable3"/>
    <pivotTable tabId="4" name="Revenue_By_Department"/>
    <pivotTable tabId="4" name="Total_Appointment"/>
    <pivotTable tabId="4" name="Total_Operating_Cost"/>
    <pivotTable tabId="4" name="Total_Overtime"/>
    <pivotTable tabId="4" name="Total_Revenue"/>
  </pivotTables>
  <data>
    <tabular pivotCacheId="1043420931">
      <items count="3">
        <i x="0" s="1"/>
        <i x="1" s="1"/>
        <i x="2" s="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isk_Tier" xr10:uid="{0C960C26-3F33-4580-BED3-285F88C3784B}" sourceName="Risk_Tier">
  <pivotTables>
    <pivotTable tabId="4" name="Patient_By_ClinicalStatus"/>
    <pivotTable tabId="4" name="Age_Group_Appointments"/>
    <pivotTable tabId="4" name="Monthly_Revenue"/>
    <pivotTable tabId="4" name="Patients_By_Department"/>
    <pivotTable tabId="4" name="PivotTable1"/>
    <pivotTable tabId="4" name="PivotTable2"/>
    <pivotTable tabId="4" name="PivotTable3"/>
    <pivotTable tabId="4" name="Revenue_By_Department"/>
    <pivotTable tabId="4" name="Total_Appointment"/>
    <pivotTable tabId="4" name="Total_Operating_Cost"/>
    <pivotTable tabId="4" name="Total_Overtime"/>
    <pivotTable tabId="4" name="Total_Revenue"/>
  </pivotTables>
  <data>
    <tabular pivotCacheId="1043420931">
      <items count="3">
        <i x="2" s="1"/>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ort_Month" xr10:uid="{2598148C-B95B-4358-85AC-22D2502C0DFF}" sourceName="Short_Month">
  <pivotTables>
    <pivotTable tabId="4" name="PivotTable1"/>
    <pivotTable tabId="4" name="Age_Group_Appointments"/>
    <pivotTable tabId="4" name="Monthly_Revenue"/>
    <pivotTable tabId="4" name="Patient_By_ClinicalStatus"/>
    <pivotTable tabId="4" name="Patients_By_Department"/>
    <pivotTable tabId="4" name="PivotTable2"/>
    <pivotTable tabId="4" name="PivotTable3"/>
    <pivotTable tabId="4" name="Revenue_By_Department"/>
    <pivotTable tabId="4" name="Total_Appointment"/>
    <pivotTable tabId="4" name="Total_Operating_Cost"/>
    <pivotTable tabId="4" name="Total_Overtime"/>
    <pivotTable tabId="4" name="Total_Revenue"/>
  </pivotTables>
  <data>
    <tabular pivotCacheId="1043420931">
      <items count="12">
        <i x="3" s="1"/>
        <i x="2" s="1"/>
        <i x="1" s="1"/>
        <i x="0" s="1"/>
        <i x="9" s="1"/>
        <i x="11" s="1"/>
        <i x="8" s="1"/>
        <i x="10" s="1"/>
        <i x="7" s="1"/>
        <i x="5" s="1"/>
        <i x="4" s="1"/>
        <i x="6"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D_Short" xr10:uid="{BCCF1DBB-B6EC-4B01-8082-D32CD67C30AD}" cache="Slicer_MD_Short" caption="MD_Short" columnCount="2" showCaption="0" style="Slicer Style 1" rowHeight="241300"/>
  <slicer name="Date_Year" xr10:uid="{F3CE4DDC-9A68-4DF1-8A09-71FE74CEE375}" cache="Slicer_Date_Year" caption="Date_Year" columnCount="2" showCaption="0" style="Slicer Style 1" rowHeight="241300"/>
  <slicer name="Age_Group_Class" xr10:uid="{CE471074-0598-4F13-A1A8-5E840F55C98F}" cache="Slicer_Age_Group_Class" caption="Age_Group_Class" showCaption="0" style="Slicer Style 1" rowHeight="241300"/>
  <slicer name="Risk_Tier" xr10:uid="{83F0E989-D050-4A1D-AE82-94073D2771E2}" cache="Slicer_Risk_Tier" caption="Risk_Tier" showCaption="0" style="Slicer Style 1" rowHeight="241300"/>
  <slicer name="Short_Month" xr10:uid="{B5E6E009-CD0D-4538-B4AE-EE0EE3C65EF0}" cache="Slicer_Short_Month" caption="Short_Month" columnCount="12" showCaption="0" style="Slicer Style 1" rowHeight="216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Patient_Data" displayName="Patient_Data" ref="A1:S2506">
  <tableColumns count="19">
    <tableColumn id="1" xr3:uid="{00000000-0010-0000-0000-000001000000}" name="Patient_ID"/>
    <tableColumn id="2" xr3:uid="{00000000-0010-0000-0000-000002000000}" name="Month"/>
    <tableColumn id="3" xr3:uid="{00000000-0010-0000-0000-000003000000}" name="Short_Month"/>
    <tableColumn id="4" xr3:uid="{00000000-0010-0000-0000-000004000000}" name="Month_Num"/>
    <tableColumn id="5" xr3:uid="{00000000-0010-0000-0000-000005000000}" name="Admission_Date"/>
    <tableColumn id="19" xr3:uid="{3FD773DD-ED0E-4349-AA6B-6E737C0C6CA4}" name="Date_Year" dataDxfId="1">
      <calculatedColumnFormula>TEXT(Patient_Data[[#This Row],[Admission_Date]],"YYYY")</calculatedColumnFormula>
    </tableColumn>
    <tableColumn id="6" xr3:uid="{00000000-0010-0000-0000-000006000000}" name="Patient_Name"/>
    <tableColumn id="7" xr3:uid="{00000000-0010-0000-0000-000007000000}" name="Facility_Name"/>
    <tableColumn id="8" xr3:uid="{00000000-0010-0000-0000-000008000000}" name="Gender"/>
    <tableColumn id="9" xr3:uid="{00000000-0010-0000-0000-000009000000}" name="Age"/>
    <tableColumn id="10" xr3:uid="{00000000-0010-0000-0000-00000A000000}" name="Clinical_Status"/>
    <tableColumn id="11" xr3:uid="{00000000-0010-0000-0000-00000B000000}" name="CareStage"/>
    <tableColumn id="12" xr3:uid="{00000000-0010-0000-0000-00000C000000}" name="Medical_Department"/>
    <tableColumn id="13" xr3:uid="{00000000-0010-0000-0000-00000D000000}" name="MD_Short"/>
    <tableColumn id="14" xr3:uid="{00000000-0010-0000-0000-00000E000000}" name="Patient_Bill"/>
    <tableColumn id="15" xr3:uid="{00000000-0010-0000-0000-00000F000000}" name="Operational_Cost"/>
    <tableColumn id="16" xr3:uid="{00000000-0010-0000-0000-000010000000}" name="Staff_Overtime_Hrs"/>
    <tableColumn id="17" xr3:uid="{00000000-0010-0000-0000-000011000000}" name="Risk_Tier" dataDxfId="0"/>
    <tableColumn id="18" xr3:uid="{00000000-0010-0000-0000-000012000000}" name="Age_Group_Class">
      <calculatedColumnFormula>IF(Patient_Data[[#This Row],[Age]]&lt;=18,"Pediatric",IF(Patient_Data[[#This Row],[Age]]&lt;=64,"Adult","Geriatric"))</calculatedColumnFormula>
    </tableColumn>
  </tableColumns>
  <tableStyleInfo name="Patient_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B8B05B-C378-4BAA-BF31-9B5F1775D2CD}">
  <dimension ref="A3:N31"/>
  <sheetViews>
    <sheetView topLeftCell="A19" zoomScale="160" zoomScaleNormal="160" workbookViewId="0">
      <selection activeCell="A3" sqref="A3"/>
    </sheetView>
  </sheetViews>
  <sheetFormatPr defaultRowHeight="14.4" x14ac:dyDescent="0.3"/>
  <cols>
    <col min="1" max="2" width="16.33203125" bestFit="1" customWidth="1"/>
    <col min="3" max="3" width="2.5546875" customWidth="1"/>
    <col min="4" max="4" width="2.77734375" customWidth="1"/>
    <col min="5" max="5" width="13.77734375" bestFit="1" customWidth="1"/>
    <col min="6" max="6" width="12.6640625" bestFit="1" customWidth="1"/>
    <col min="7" max="7" width="18.21875" bestFit="1" customWidth="1"/>
    <col min="8" max="8" width="4.21875" customWidth="1"/>
    <col min="9" max="9" width="19.6640625" bestFit="1" customWidth="1"/>
    <col min="10" max="10" width="12.6640625" bestFit="1" customWidth="1"/>
    <col min="11" max="11" width="13.21875" bestFit="1" customWidth="1"/>
    <col min="12" max="12" width="10.5546875" bestFit="1" customWidth="1"/>
    <col min="13" max="13" width="18.6640625" bestFit="1" customWidth="1"/>
    <col min="14" max="14" width="13.77734375" bestFit="1" customWidth="1"/>
    <col min="15" max="15" width="8.5546875" bestFit="1" customWidth="1"/>
    <col min="16" max="16" width="13.77734375" bestFit="1" customWidth="1"/>
  </cols>
  <sheetData>
    <row r="3" spans="1:14" x14ac:dyDescent="0.3">
      <c r="A3" t="s">
        <v>4959</v>
      </c>
      <c r="E3" t="s">
        <v>4960</v>
      </c>
      <c r="I3" t="s">
        <v>4961</v>
      </c>
      <c r="M3" t="s">
        <v>4962</v>
      </c>
    </row>
    <row r="4" spans="1:14" x14ac:dyDescent="0.3">
      <c r="A4">
        <v>2505</v>
      </c>
      <c r="E4" s="16">
        <v>22826272.360000003</v>
      </c>
      <c r="I4" s="16">
        <v>15473834.899999984</v>
      </c>
      <c r="M4">
        <v>21025.399999999976</v>
      </c>
    </row>
    <row r="5" spans="1:14" x14ac:dyDescent="0.3">
      <c r="G5" t="s">
        <v>5007</v>
      </c>
    </row>
    <row r="8" spans="1:14" x14ac:dyDescent="0.3">
      <c r="A8" s="17" t="s">
        <v>4968</v>
      </c>
      <c r="B8" t="s">
        <v>4959</v>
      </c>
      <c r="E8" s="17" t="s">
        <v>4970</v>
      </c>
      <c r="F8" t="s">
        <v>4960</v>
      </c>
      <c r="I8" s="17" t="s">
        <v>4968</v>
      </c>
      <c r="J8" t="s">
        <v>4960</v>
      </c>
      <c r="M8" s="17" t="s">
        <v>4974</v>
      </c>
      <c r="N8" t="s">
        <v>4959</v>
      </c>
    </row>
    <row r="9" spans="1:14" x14ac:dyDescent="0.3">
      <c r="A9" s="18" t="s">
        <v>4981</v>
      </c>
      <c r="B9">
        <v>342</v>
      </c>
      <c r="E9" s="18" t="s">
        <v>4993</v>
      </c>
      <c r="F9" s="65">
        <v>1749341.2799999993</v>
      </c>
      <c r="I9" s="18" t="s">
        <v>36</v>
      </c>
      <c r="J9" s="16">
        <v>3245463.5199999968</v>
      </c>
      <c r="M9" s="18" t="s">
        <v>4971</v>
      </c>
      <c r="N9">
        <v>1287</v>
      </c>
    </row>
    <row r="10" spans="1:14" x14ac:dyDescent="0.3">
      <c r="A10" s="18" t="s">
        <v>4984</v>
      </c>
      <c r="B10">
        <v>341</v>
      </c>
      <c r="E10" s="18" t="s">
        <v>4994</v>
      </c>
      <c r="F10" s="65">
        <v>1846072.2999999998</v>
      </c>
      <c r="I10" s="18" t="s">
        <v>83</v>
      </c>
      <c r="J10" s="16">
        <v>2190568.7099999981</v>
      </c>
      <c r="M10" s="18" t="s">
        <v>4972</v>
      </c>
      <c r="N10">
        <v>900</v>
      </c>
    </row>
    <row r="11" spans="1:14" x14ac:dyDescent="0.3">
      <c r="A11" s="18" t="s">
        <v>4985</v>
      </c>
      <c r="B11">
        <v>330</v>
      </c>
      <c r="E11" s="18" t="s">
        <v>4995</v>
      </c>
      <c r="F11" s="65">
        <v>1996281.7199999995</v>
      </c>
      <c r="I11" s="18" t="s">
        <v>39</v>
      </c>
      <c r="J11" s="16">
        <v>1009094.8000000002</v>
      </c>
      <c r="M11" s="18" t="s">
        <v>4973</v>
      </c>
      <c r="N11">
        <v>318</v>
      </c>
    </row>
    <row r="12" spans="1:14" x14ac:dyDescent="0.3">
      <c r="A12" s="18" t="s">
        <v>4982</v>
      </c>
      <c r="B12">
        <v>319</v>
      </c>
      <c r="E12" s="18" t="s">
        <v>4996</v>
      </c>
      <c r="F12" s="65">
        <v>2008475.2600000005</v>
      </c>
      <c r="I12" s="18" t="s">
        <v>50</v>
      </c>
      <c r="J12" s="16">
        <v>5587597.8199999966</v>
      </c>
    </row>
    <row r="13" spans="1:14" x14ac:dyDescent="0.3">
      <c r="A13" s="18" t="s">
        <v>4987</v>
      </c>
      <c r="B13">
        <v>301</v>
      </c>
      <c r="E13" s="18" t="s">
        <v>4969</v>
      </c>
      <c r="F13" s="65">
        <v>2188857.8499999996</v>
      </c>
      <c r="I13" s="18" t="s">
        <v>31</v>
      </c>
      <c r="J13" s="16">
        <v>3006250.4499999993</v>
      </c>
    </row>
    <row r="14" spans="1:14" x14ac:dyDescent="0.3">
      <c r="A14" s="18" t="s">
        <v>72</v>
      </c>
      <c r="B14">
        <v>298</v>
      </c>
      <c r="E14" s="18" t="s">
        <v>4997</v>
      </c>
      <c r="F14" s="65">
        <v>2162640.2399999998</v>
      </c>
      <c r="I14" s="18" t="s">
        <v>46</v>
      </c>
      <c r="J14" s="16">
        <v>2201025.689999999</v>
      </c>
    </row>
    <row r="15" spans="1:14" x14ac:dyDescent="0.3">
      <c r="A15" s="18" t="s">
        <v>4983</v>
      </c>
      <c r="B15">
        <v>293</v>
      </c>
      <c r="E15" s="18" t="s">
        <v>4998</v>
      </c>
      <c r="F15" s="65">
        <v>2007985.1599999988</v>
      </c>
      <c r="I15" s="18" t="s">
        <v>79</v>
      </c>
      <c r="J15" s="16">
        <v>522488.67000000004</v>
      </c>
    </row>
    <row r="16" spans="1:14" x14ac:dyDescent="0.3">
      <c r="A16" s="18" t="s">
        <v>4986</v>
      </c>
      <c r="B16">
        <v>281</v>
      </c>
      <c r="E16" s="18" t="s">
        <v>4999</v>
      </c>
      <c r="F16" s="65">
        <v>1235909.0200000005</v>
      </c>
      <c r="I16" s="18" t="s">
        <v>72</v>
      </c>
      <c r="J16" s="16">
        <v>5063782.6999999993</v>
      </c>
    </row>
    <row r="17" spans="1:14" x14ac:dyDescent="0.3">
      <c r="E17" s="18" t="s">
        <v>5000</v>
      </c>
      <c r="F17" s="65">
        <v>1749732.0299999998</v>
      </c>
      <c r="M17" s="17" t="s">
        <v>4975</v>
      </c>
      <c r="N17" t="s">
        <v>4959</v>
      </c>
    </row>
    <row r="18" spans="1:14" x14ac:dyDescent="0.3">
      <c r="A18" s="50" t="s">
        <v>9</v>
      </c>
      <c r="B18" s="49" t="s">
        <v>4979</v>
      </c>
      <c r="E18" s="18" t="s">
        <v>5001</v>
      </c>
      <c r="F18" s="65">
        <v>2014370.1700000009</v>
      </c>
      <c r="M18" s="18" t="s">
        <v>30</v>
      </c>
      <c r="N18" s="19">
        <v>0.54730538922155691</v>
      </c>
    </row>
    <row r="19" spans="1:14" x14ac:dyDescent="0.3">
      <c r="A19" s="51" t="s">
        <v>4993</v>
      </c>
      <c r="B19" s="49">
        <v>209</v>
      </c>
      <c r="E19" s="18" t="s">
        <v>5002</v>
      </c>
      <c r="F19" s="65">
        <v>1817058.9400000009</v>
      </c>
      <c r="M19" s="18" t="s">
        <v>54</v>
      </c>
      <c r="N19" s="19">
        <v>0.28303393213572853</v>
      </c>
    </row>
    <row r="20" spans="1:14" x14ac:dyDescent="0.3">
      <c r="A20" s="52" t="s">
        <v>4994</v>
      </c>
      <c r="B20" s="66">
        <v>214</v>
      </c>
      <c r="E20" s="18" t="s">
        <v>5003</v>
      </c>
      <c r="F20" s="65">
        <v>2049548.3899999997</v>
      </c>
      <c r="I20" s="50" t="s">
        <v>4977</v>
      </c>
      <c r="J20" s="49" t="s">
        <v>4980</v>
      </c>
      <c r="M20" s="18" t="s">
        <v>45</v>
      </c>
      <c r="N20" s="19">
        <v>0.16966067864271456</v>
      </c>
    </row>
    <row r="21" spans="1:14" x14ac:dyDescent="0.3">
      <c r="A21" s="52" t="s">
        <v>4995</v>
      </c>
      <c r="B21" s="66">
        <v>219</v>
      </c>
      <c r="I21" s="51" t="s">
        <v>4989</v>
      </c>
      <c r="J21" s="49">
        <v>2295.9999999999995</v>
      </c>
    </row>
    <row r="22" spans="1:14" x14ac:dyDescent="0.3">
      <c r="A22" s="52" t="s">
        <v>4996</v>
      </c>
      <c r="B22" s="66">
        <v>226</v>
      </c>
      <c r="I22" s="52" t="s">
        <v>4990</v>
      </c>
      <c r="J22" s="66">
        <v>7181.0000000000036</v>
      </c>
    </row>
    <row r="23" spans="1:14" x14ac:dyDescent="0.3">
      <c r="A23" s="52" t="s">
        <v>4969</v>
      </c>
      <c r="B23" s="66">
        <v>236</v>
      </c>
      <c r="I23" s="52" t="s">
        <v>4991</v>
      </c>
      <c r="J23" s="66">
        <v>7418.0000000000036</v>
      </c>
      <c r="L23" s="50" t="s">
        <v>5004</v>
      </c>
      <c r="M23" s="48" t="s">
        <v>5005</v>
      </c>
      <c r="N23" s="54" t="s">
        <v>5006</v>
      </c>
    </row>
    <row r="24" spans="1:14" x14ac:dyDescent="0.3">
      <c r="A24" s="52" t="s">
        <v>4997</v>
      </c>
      <c r="B24" s="66">
        <v>233</v>
      </c>
      <c r="I24" s="52" t="s">
        <v>4992</v>
      </c>
      <c r="J24" s="66">
        <v>4130.4000000000042</v>
      </c>
      <c r="L24" s="51" t="s">
        <v>4992</v>
      </c>
      <c r="M24" s="60">
        <v>3052325.919999999</v>
      </c>
      <c r="N24" s="61">
        <v>4516068.910000002</v>
      </c>
    </row>
    <row r="25" spans="1:14" x14ac:dyDescent="0.3">
      <c r="A25" s="52" t="s">
        <v>4998</v>
      </c>
      <c r="B25" s="66">
        <v>210</v>
      </c>
      <c r="I25" s="53" t="s">
        <v>4978</v>
      </c>
      <c r="J25" s="67">
        <v>21025.400000000012</v>
      </c>
      <c r="L25" s="52" t="s">
        <v>4991</v>
      </c>
      <c r="M25" s="62">
        <v>5541248.5099999979</v>
      </c>
      <c r="N25" s="63">
        <v>8177217.4700000016</v>
      </c>
    </row>
    <row r="26" spans="1:14" x14ac:dyDescent="0.3">
      <c r="A26" s="52" t="s">
        <v>4999</v>
      </c>
      <c r="B26" s="66">
        <v>135</v>
      </c>
      <c r="L26" s="52" t="s">
        <v>4990</v>
      </c>
      <c r="M26" s="62">
        <v>5167705.0700000059</v>
      </c>
      <c r="N26" s="63">
        <v>7606763.7100000046</v>
      </c>
    </row>
    <row r="27" spans="1:14" x14ac:dyDescent="0.3">
      <c r="A27" s="52" t="s">
        <v>5000</v>
      </c>
      <c r="B27" s="66">
        <v>187</v>
      </c>
      <c r="L27" s="52" t="s">
        <v>4989</v>
      </c>
      <c r="M27" s="62">
        <v>1712555.4000000008</v>
      </c>
      <c r="N27" s="63">
        <v>2526222.2699999996</v>
      </c>
    </row>
    <row r="28" spans="1:14" x14ac:dyDescent="0.3">
      <c r="A28" s="52" t="s">
        <v>5001</v>
      </c>
      <c r="B28" s="66">
        <v>209</v>
      </c>
      <c r="L28" s="53" t="s">
        <v>4978</v>
      </c>
      <c r="M28" s="58">
        <v>15473834.900000002</v>
      </c>
      <c r="N28" s="59">
        <v>22826272.360000007</v>
      </c>
    </row>
    <row r="29" spans="1:14" x14ac:dyDescent="0.3">
      <c r="A29" s="52" t="s">
        <v>5002</v>
      </c>
      <c r="B29" s="66">
        <v>198</v>
      </c>
    </row>
    <row r="30" spans="1:14" x14ac:dyDescent="0.3">
      <c r="A30" s="52" t="s">
        <v>5003</v>
      </c>
      <c r="B30" s="66">
        <v>229</v>
      </c>
    </row>
    <row r="31" spans="1:14" x14ac:dyDescent="0.3">
      <c r="A31" s="53" t="s">
        <v>4978</v>
      </c>
      <c r="B31" s="67">
        <v>2505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9EFCDB-C3E1-4128-B16E-26B88D042275}">
  <dimension ref="B8:C20"/>
  <sheetViews>
    <sheetView showGridLines="0" zoomScale="140" zoomScaleNormal="140" workbookViewId="0"/>
  </sheetViews>
  <sheetFormatPr defaultRowHeight="14.4" x14ac:dyDescent="0.3"/>
  <cols>
    <col min="2" max="2" width="28.77734375" bestFit="1" customWidth="1"/>
    <col min="3" max="3" width="15.44140625" bestFit="1" customWidth="1"/>
  </cols>
  <sheetData>
    <row r="8" spans="2:3" ht="15" thickBot="1" x14ac:dyDescent="0.35"/>
    <row r="9" spans="2:3" x14ac:dyDescent="0.3">
      <c r="B9" s="20"/>
      <c r="C9" s="21"/>
    </row>
    <row r="10" spans="2:3" x14ac:dyDescent="0.3">
      <c r="B10" s="24" t="s">
        <v>4954</v>
      </c>
      <c r="C10" s="22">
        <f>GETPIVOTDATA("Patient_ID",Pivots!$A$3)</f>
        <v>2505</v>
      </c>
    </row>
    <row r="11" spans="2:3" x14ac:dyDescent="0.3">
      <c r="B11" s="24" t="s">
        <v>4955</v>
      </c>
      <c r="C11" s="64">
        <f>GETPIVOTDATA("Patient_Bill",Pivots!$E$3)</f>
        <v>22826272.360000003</v>
      </c>
    </row>
    <row r="12" spans="2:3" x14ac:dyDescent="0.3">
      <c r="B12" s="24" t="s">
        <v>4956</v>
      </c>
      <c r="C12" s="64">
        <f>GETPIVOTDATA("Operational_Cost",Pivots!$I$3)</f>
        <v>15473834.899999984</v>
      </c>
    </row>
    <row r="13" spans="2:3" x14ac:dyDescent="0.3">
      <c r="B13" s="24" t="s">
        <v>4957</v>
      </c>
      <c r="C13" s="64">
        <f>C11-C12</f>
        <v>7352437.4600000195</v>
      </c>
    </row>
    <row r="14" spans="2:3" x14ac:dyDescent="0.3">
      <c r="B14" s="24" t="s">
        <v>4958</v>
      </c>
      <c r="C14" s="23">
        <f>GETPIVOTDATA("Staff_Overtime_Hrs",Pivots!$M$3)</f>
        <v>21025.399999999976</v>
      </c>
    </row>
    <row r="15" spans="2:3" x14ac:dyDescent="0.3">
      <c r="B15" s="37"/>
      <c r="C15" s="38"/>
    </row>
    <row r="16" spans="2:3" x14ac:dyDescent="0.3">
      <c r="B16" s="39" t="s">
        <v>4963</v>
      </c>
      <c r="C16" s="40"/>
    </row>
    <row r="17" spans="2:3" x14ac:dyDescent="0.3">
      <c r="B17" s="41" t="s">
        <v>4964</v>
      </c>
      <c r="C17" s="42"/>
    </row>
    <row r="18" spans="2:3" x14ac:dyDescent="0.3">
      <c r="B18" s="41" t="s">
        <v>4965</v>
      </c>
      <c r="C18" s="42"/>
    </row>
    <row r="19" spans="2:3" x14ac:dyDescent="0.3">
      <c r="B19" s="41" t="s">
        <v>4966</v>
      </c>
      <c r="C19" s="42"/>
    </row>
    <row r="20" spans="2:3" x14ac:dyDescent="0.3">
      <c r="B20" s="43" t="s">
        <v>4967</v>
      </c>
      <c r="C20" s="4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2507"/>
  <sheetViews>
    <sheetView zoomScale="130" zoomScaleNormal="130" workbookViewId="0">
      <pane ySplit="1" topLeftCell="A2" activePane="bottomLeft" state="frozen"/>
      <selection pane="bottomLeft"/>
    </sheetView>
  </sheetViews>
  <sheetFormatPr defaultColWidth="14.44140625" defaultRowHeight="15" customHeight="1" x14ac:dyDescent="0.3"/>
  <cols>
    <col min="1" max="1" width="17.77734375" customWidth="1"/>
    <col min="2" max="2" width="11.5546875" customWidth="1"/>
    <col min="3" max="4" width="16.77734375" customWidth="1"/>
    <col min="5" max="5" width="20.21875" customWidth="1"/>
    <col min="6" max="6" width="20.21875" style="57" customWidth="1"/>
    <col min="7" max="7" width="25" customWidth="1"/>
    <col min="8" max="8" width="46" customWidth="1"/>
    <col min="9" max="10" width="12" customWidth="1"/>
    <col min="11" max="11" width="19" customWidth="1"/>
    <col min="12" max="12" width="14.44140625" customWidth="1"/>
    <col min="13" max="13" width="24.77734375" customWidth="1"/>
    <col min="14" max="15" width="15.77734375" customWidth="1"/>
    <col min="16" max="16" width="21.21875" customWidth="1"/>
    <col min="17" max="17" width="23.21875" customWidth="1"/>
    <col min="18" max="18" width="13.77734375" customWidth="1"/>
    <col min="19" max="19" width="16.5546875" bestFit="1" customWidth="1"/>
  </cols>
  <sheetData>
    <row r="1" spans="1:19" ht="14.4" x14ac:dyDescent="0.3">
      <c r="A1" s="2" t="s">
        <v>6</v>
      </c>
      <c r="B1" s="2" t="s">
        <v>9</v>
      </c>
      <c r="C1" s="3" t="s">
        <v>10</v>
      </c>
      <c r="D1" s="2" t="s">
        <v>11</v>
      </c>
      <c r="E1" s="2" t="s">
        <v>12</v>
      </c>
      <c r="F1" s="3" t="s">
        <v>4988</v>
      </c>
      <c r="G1" s="2" t="s">
        <v>13</v>
      </c>
      <c r="H1" s="2" t="s">
        <v>14</v>
      </c>
      <c r="I1" s="2" t="s">
        <v>15</v>
      </c>
      <c r="J1" s="2" t="s">
        <v>16</v>
      </c>
      <c r="K1" s="2" t="s">
        <v>17</v>
      </c>
      <c r="L1" s="2" t="s">
        <v>18</v>
      </c>
      <c r="M1" s="2" t="s">
        <v>19</v>
      </c>
      <c r="N1" s="3" t="s">
        <v>20</v>
      </c>
      <c r="O1" s="2" t="s">
        <v>21</v>
      </c>
      <c r="P1" s="2" t="s">
        <v>22</v>
      </c>
      <c r="Q1" s="2" t="s">
        <v>23</v>
      </c>
      <c r="R1" s="2" t="s">
        <v>24</v>
      </c>
      <c r="S1" s="2" t="s">
        <v>25</v>
      </c>
    </row>
    <row r="2" spans="1:19" ht="14.4" x14ac:dyDescent="0.3">
      <c r="A2" s="4" t="s">
        <v>26</v>
      </c>
      <c r="B2" s="5" t="str">
        <f>TEXT(Patient_Data!$E2,"mmmm")</f>
        <v>April</v>
      </c>
      <c r="C2" s="6" t="str">
        <f t="shared" ref="C2:C256" si="0">LEFT(B2,3)</f>
        <v>Apr</v>
      </c>
      <c r="D2" s="6">
        <f>MONTH(Patient_Data!$E2)</f>
        <v>4</v>
      </c>
      <c r="E2" s="7">
        <v>45395</v>
      </c>
      <c r="F2" s="55" t="str">
        <f>TEXT(Patient_Data[[#This Row],[Admission_Date]],"YYYY")</f>
        <v>2024</v>
      </c>
      <c r="G2" s="8" t="s">
        <v>27</v>
      </c>
      <c r="H2" s="8" t="s">
        <v>28</v>
      </c>
      <c r="I2" s="4" t="s">
        <v>29</v>
      </c>
      <c r="J2" s="4">
        <v>30</v>
      </c>
      <c r="K2" s="4" t="s">
        <v>30</v>
      </c>
      <c r="L2" s="8">
        <v>1</v>
      </c>
      <c r="M2" s="9" t="s">
        <v>31</v>
      </c>
      <c r="N2" s="9" t="str">
        <f t="shared" ref="N2:N256" si="1">IF(M2="Cardiology","Cardio",IF(M2="Intensive Care Unit","ICU",IF(M2="Neurology","Neuro",IF(M2="Emergency Room","ER",IF(M2="Pediatrics","PD",IF(M2="Surgery","Surgery",IF(M2="General Medicine","GM",IF(M2="Orthopedics","Ortho",""))))))))</f>
        <v>Neuro</v>
      </c>
      <c r="O2" s="10">
        <v>9382.4599999999991</v>
      </c>
      <c r="P2" s="10">
        <v>6022.37</v>
      </c>
      <c r="Q2" s="11">
        <v>2.2000000000000002</v>
      </c>
      <c r="R2" s="13" t="str">
        <f>IF(Patient_Data!$L2&lt;2,"Low Risk",IF(Patient_Data!$L2&lt;4,"Moderate Risk","High Risk"))</f>
        <v>Low Risk</v>
      </c>
      <c r="S2" s="12" t="str">
        <f>IF(Patient_Data[[#This Row],[Age]]&lt;=18,"Pediatric",IF(Patient_Data[[#This Row],[Age]]&lt;=64,"Adult","Geriatric"))</f>
        <v>Adult</v>
      </c>
    </row>
    <row r="3" spans="1:19" ht="14.4" x14ac:dyDescent="0.3">
      <c r="A3" s="4" t="s">
        <v>32</v>
      </c>
      <c r="B3" s="5" t="str">
        <f>TEXT(Patient_Data!$E3,"mmmm")</f>
        <v>March</v>
      </c>
      <c r="C3" s="6" t="str">
        <f t="shared" si="0"/>
        <v>Mar</v>
      </c>
      <c r="D3" s="6">
        <f>MONTH(Patient_Data!$E3)</f>
        <v>3</v>
      </c>
      <c r="E3" s="7">
        <v>45730</v>
      </c>
      <c r="F3" s="55" t="str">
        <f>TEXT(Patient_Data[[#This Row],[Admission_Date]],"YYYY")</f>
        <v>2025</v>
      </c>
      <c r="G3" s="8" t="s">
        <v>33</v>
      </c>
      <c r="H3" s="8" t="s">
        <v>34</v>
      </c>
      <c r="I3" s="4" t="s">
        <v>35</v>
      </c>
      <c r="J3" s="4">
        <v>48</v>
      </c>
      <c r="K3" s="4" t="s">
        <v>30</v>
      </c>
      <c r="L3" s="8">
        <v>1</v>
      </c>
      <c r="M3" s="8" t="s">
        <v>36</v>
      </c>
      <c r="N3" s="13" t="str">
        <f t="shared" si="1"/>
        <v>Cardio</v>
      </c>
      <c r="O3" s="10">
        <v>8292.65</v>
      </c>
      <c r="P3" s="10">
        <v>5584.88</v>
      </c>
      <c r="Q3" s="11">
        <v>3.6</v>
      </c>
      <c r="R3" s="13" t="str">
        <f>IF(Patient_Data!$L3&lt;2,"Low Risk",IF(Patient_Data!$L3&lt;4,"Moderate Risk","High Risk"))</f>
        <v>Low Risk</v>
      </c>
      <c r="S3" s="12" t="str">
        <f>IF(Patient_Data[[#This Row],[Age]]&lt;=18,"Pediatric",IF(Patient_Data[[#This Row],[Age]]&lt;=64,"Adult","Geriatric"))</f>
        <v>Adult</v>
      </c>
    </row>
    <row r="4" spans="1:19" ht="14.4" x14ac:dyDescent="0.3">
      <c r="A4" s="4" t="s">
        <v>37</v>
      </c>
      <c r="B4" s="5" t="str">
        <f>TEXT(Patient_Data!$E4,"mmmm")</f>
        <v>March</v>
      </c>
      <c r="C4" s="6" t="str">
        <f t="shared" si="0"/>
        <v>Mar</v>
      </c>
      <c r="D4" s="6">
        <f>MONTH(Patient_Data!$E4)</f>
        <v>3</v>
      </c>
      <c r="E4" s="7">
        <v>45376</v>
      </c>
      <c r="F4" s="55" t="str">
        <f>TEXT(Patient_Data[[#This Row],[Admission_Date]],"YYYY")</f>
        <v>2024</v>
      </c>
      <c r="G4" s="8" t="s">
        <v>38</v>
      </c>
      <c r="H4" s="8" t="s">
        <v>28</v>
      </c>
      <c r="I4" s="4" t="s">
        <v>35</v>
      </c>
      <c r="J4" s="4">
        <v>28</v>
      </c>
      <c r="K4" s="4" t="s">
        <v>30</v>
      </c>
      <c r="L4" s="8">
        <v>2</v>
      </c>
      <c r="M4" s="9" t="s">
        <v>39</v>
      </c>
      <c r="N4" s="9" t="str">
        <f t="shared" si="1"/>
        <v>GM</v>
      </c>
      <c r="O4" s="10">
        <v>4743.5</v>
      </c>
      <c r="P4" s="10">
        <v>3381.25</v>
      </c>
      <c r="Q4" s="11">
        <v>7.6</v>
      </c>
      <c r="R4" s="13" t="str">
        <f>IF(Patient_Data!$L4&lt;2,"Low Risk",IF(Patient_Data!$L4&lt;4,"Moderate Risk","High Risk"))</f>
        <v>Moderate Risk</v>
      </c>
      <c r="S4" s="12" t="str">
        <f>IF(Patient_Data[[#This Row],[Age]]&lt;=18,"Pediatric",IF(Patient_Data[[#This Row],[Age]]&lt;=64,"Adult","Geriatric"))</f>
        <v>Adult</v>
      </c>
    </row>
    <row r="5" spans="1:19" ht="14.4" x14ac:dyDescent="0.3">
      <c r="A5" s="4" t="s">
        <v>40</v>
      </c>
      <c r="B5" s="5" t="str">
        <f>TEXT(Patient_Data!$E5,"mmmm")</f>
        <v>February</v>
      </c>
      <c r="C5" s="6" t="str">
        <f t="shared" si="0"/>
        <v>Feb</v>
      </c>
      <c r="D5" s="6">
        <f>MONTH(Patient_Data!$E5)</f>
        <v>2</v>
      </c>
      <c r="E5" s="7">
        <v>45345</v>
      </c>
      <c r="F5" s="55" t="str">
        <f>TEXT(Patient_Data[[#This Row],[Admission_Date]],"YYYY")</f>
        <v>2024</v>
      </c>
      <c r="G5" s="8" t="s">
        <v>41</v>
      </c>
      <c r="H5" s="8" t="s">
        <v>42</v>
      </c>
      <c r="I5" s="4" t="s">
        <v>35</v>
      </c>
      <c r="J5" s="4">
        <v>70</v>
      </c>
      <c r="K5" s="4" t="s">
        <v>30</v>
      </c>
      <c r="L5" s="8">
        <v>2</v>
      </c>
      <c r="M5" s="9" t="s">
        <v>36</v>
      </c>
      <c r="N5" s="9" t="str">
        <f t="shared" si="1"/>
        <v>Cardio</v>
      </c>
      <c r="O5" s="10">
        <v>7138.49</v>
      </c>
      <c r="P5" s="10">
        <v>5267.1</v>
      </c>
      <c r="Q5" s="11">
        <v>7</v>
      </c>
      <c r="R5" s="13" t="str">
        <f>IF(Patient_Data!$L5&lt;2,"Low Risk",IF(Patient_Data!$L5&lt;4,"Moderate Risk","High Risk"))</f>
        <v>Moderate Risk</v>
      </c>
      <c r="S5" s="12" t="str">
        <f>IF(Patient_Data[[#This Row],[Age]]&lt;=18,"Pediatric",IF(Patient_Data[[#This Row],[Age]]&lt;=64,"Adult","Geriatric"))</f>
        <v>Geriatric</v>
      </c>
    </row>
    <row r="6" spans="1:19" ht="14.4" x14ac:dyDescent="0.3">
      <c r="A6" s="4" t="s">
        <v>43</v>
      </c>
      <c r="B6" s="5" t="str">
        <f>TEXT(Patient_Data!$E6,"mmmm")</f>
        <v>January</v>
      </c>
      <c r="C6" s="6" t="str">
        <f t="shared" si="0"/>
        <v>Jan</v>
      </c>
      <c r="D6" s="6">
        <f>MONTH(Patient_Data!$E6)</f>
        <v>1</v>
      </c>
      <c r="E6" s="7">
        <v>46031</v>
      </c>
      <c r="F6" s="55" t="str">
        <f>TEXT(Patient_Data[[#This Row],[Admission_Date]],"YYYY")</f>
        <v>2026</v>
      </c>
      <c r="G6" s="8" t="s">
        <v>44</v>
      </c>
      <c r="H6" s="8" t="s">
        <v>28</v>
      </c>
      <c r="I6" s="4" t="s">
        <v>29</v>
      </c>
      <c r="J6" s="4">
        <v>79</v>
      </c>
      <c r="K6" s="4" t="s">
        <v>45</v>
      </c>
      <c r="L6" s="8">
        <v>4</v>
      </c>
      <c r="M6" s="9" t="s">
        <v>46</v>
      </c>
      <c r="N6" s="9" t="str">
        <f t="shared" si="1"/>
        <v>Ortho</v>
      </c>
      <c r="O6" s="10">
        <v>9221.73</v>
      </c>
      <c r="P6" s="10">
        <v>7079.71</v>
      </c>
      <c r="Q6" s="11">
        <v>8.9</v>
      </c>
      <c r="R6" s="13" t="str">
        <f>IF(Patient_Data!$L6&lt;2,"Low Risk",IF(Patient_Data!$L6&lt;4,"Moderate Risk","High Risk"))</f>
        <v>High Risk</v>
      </c>
      <c r="S6" s="12" t="str">
        <f>IF(Patient_Data[[#This Row],[Age]]&lt;=18,"Pediatric",IF(Patient_Data[[#This Row],[Age]]&lt;=64,"Adult","Geriatric"))</f>
        <v>Geriatric</v>
      </c>
    </row>
    <row r="7" spans="1:19" ht="14.4" x14ac:dyDescent="0.3">
      <c r="A7" s="4" t="s">
        <v>47</v>
      </c>
      <c r="B7" s="5" t="str">
        <f>TEXT(Patient_Data!$E7,"mmmm")</f>
        <v>November</v>
      </c>
      <c r="C7" s="6" t="str">
        <f t="shared" si="0"/>
        <v>Nov</v>
      </c>
      <c r="D7" s="6">
        <f>MONTH(Patient_Data!$E7)</f>
        <v>11</v>
      </c>
      <c r="E7" s="7">
        <v>45232</v>
      </c>
      <c r="F7" s="55" t="str">
        <f>TEXT(Patient_Data[[#This Row],[Admission_Date]],"YYYY")</f>
        <v>2023</v>
      </c>
      <c r="G7" s="8" t="s">
        <v>48</v>
      </c>
      <c r="H7" s="8" t="s">
        <v>49</v>
      </c>
      <c r="I7" s="4" t="s">
        <v>29</v>
      </c>
      <c r="J7" s="4">
        <v>59</v>
      </c>
      <c r="K7" s="4" t="s">
        <v>45</v>
      </c>
      <c r="L7" s="8">
        <v>3</v>
      </c>
      <c r="M7" s="9" t="s">
        <v>50</v>
      </c>
      <c r="N7" s="9" t="str">
        <f t="shared" si="1"/>
        <v>ICU</v>
      </c>
      <c r="O7" s="10">
        <v>18870.98</v>
      </c>
      <c r="P7" s="10">
        <v>11079.57</v>
      </c>
      <c r="Q7" s="11">
        <v>16.8</v>
      </c>
      <c r="R7" s="13" t="str">
        <f>IF(Patient_Data!$L7&lt;2,"Low Risk",IF(Patient_Data!$L7&lt;4,"Moderate Risk","High Risk"))</f>
        <v>Moderate Risk</v>
      </c>
      <c r="S7" s="12" t="str">
        <f>IF(Patient_Data[[#This Row],[Age]]&lt;=18,"Pediatric",IF(Patient_Data[[#This Row],[Age]]&lt;=64,"Adult","Geriatric"))</f>
        <v>Adult</v>
      </c>
    </row>
    <row r="8" spans="1:19" ht="14.4" x14ac:dyDescent="0.3">
      <c r="A8" s="4" t="s">
        <v>51</v>
      </c>
      <c r="B8" s="5" t="str">
        <f>TEXT(Patient_Data!$E8,"mmmm")</f>
        <v>October</v>
      </c>
      <c r="C8" s="6" t="str">
        <f t="shared" si="0"/>
        <v>Oct</v>
      </c>
      <c r="D8" s="6">
        <f>MONTH(Patient_Data!$E8)</f>
        <v>10</v>
      </c>
      <c r="E8" s="7">
        <v>45228</v>
      </c>
      <c r="F8" s="55" t="str">
        <f>TEXT(Patient_Data[[#This Row],[Admission_Date]],"YYYY")</f>
        <v>2023</v>
      </c>
      <c r="G8" s="8" t="s">
        <v>52</v>
      </c>
      <c r="H8" s="8" t="s">
        <v>53</v>
      </c>
      <c r="I8" s="4" t="s">
        <v>35</v>
      </c>
      <c r="J8" s="4">
        <v>91</v>
      </c>
      <c r="K8" s="4" t="s">
        <v>54</v>
      </c>
      <c r="L8" s="8">
        <v>5</v>
      </c>
      <c r="M8" s="9" t="s">
        <v>50</v>
      </c>
      <c r="N8" s="9" t="str">
        <f t="shared" si="1"/>
        <v>ICU</v>
      </c>
      <c r="O8" s="10">
        <v>22963.46</v>
      </c>
      <c r="P8" s="10">
        <v>14094.11</v>
      </c>
      <c r="Q8" s="11">
        <v>10.8</v>
      </c>
      <c r="R8" s="13" t="str">
        <f>IF(Patient_Data!$L8&lt;2,"Low Risk",IF(Patient_Data!$L8&lt;4,"Moderate Risk","High Risk"))</f>
        <v>High Risk</v>
      </c>
      <c r="S8" s="12" t="str">
        <f>IF(Patient_Data[[#This Row],[Age]]&lt;=18,"Pediatric",IF(Patient_Data[[#This Row],[Age]]&lt;=64,"Adult","Geriatric"))</f>
        <v>Geriatric</v>
      </c>
    </row>
    <row r="9" spans="1:19" ht="14.4" x14ac:dyDescent="0.3">
      <c r="A9" s="4" t="s">
        <v>55</v>
      </c>
      <c r="B9" s="5" t="str">
        <f>TEXT(Patient_Data!$E9,"mmmm")</f>
        <v>December</v>
      </c>
      <c r="C9" s="6" t="str">
        <f t="shared" si="0"/>
        <v>Dec</v>
      </c>
      <c r="D9" s="6">
        <f>MONTH(Patient_Data!$E9)</f>
        <v>12</v>
      </c>
      <c r="E9" s="7">
        <v>45643</v>
      </c>
      <c r="F9" s="55" t="str">
        <f>TEXT(Patient_Data[[#This Row],[Admission_Date]],"YYYY")</f>
        <v>2024</v>
      </c>
      <c r="G9" s="8" t="s">
        <v>56</v>
      </c>
      <c r="H9" s="14" t="s">
        <v>57</v>
      </c>
      <c r="I9" s="4" t="s">
        <v>29</v>
      </c>
      <c r="J9" s="4">
        <v>38</v>
      </c>
      <c r="K9" s="4" t="s">
        <v>30</v>
      </c>
      <c r="L9" s="8">
        <v>1</v>
      </c>
      <c r="M9" s="9" t="s">
        <v>36</v>
      </c>
      <c r="N9" s="9" t="str">
        <f t="shared" si="1"/>
        <v>Cardio</v>
      </c>
      <c r="O9" s="10">
        <v>5217.55</v>
      </c>
      <c r="P9" s="10">
        <v>3364.83</v>
      </c>
      <c r="Q9" s="11">
        <v>3.2</v>
      </c>
      <c r="R9" s="13" t="str">
        <f>IF(Patient_Data!$L9&lt;2,"Low Risk",IF(Patient_Data!$L9&lt;4,"Moderate Risk","High Risk"))</f>
        <v>Low Risk</v>
      </c>
      <c r="S9" s="12" t="str">
        <f>IF(Patient_Data[[#This Row],[Age]]&lt;=18,"Pediatric",IF(Patient_Data[[#This Row],[Age]]&lt;=64,"Adult","Geriatric"))</f>
        <v>Adult</v>
      </c>
    </row>
    <row r="10" spans="1:19" ht="14.4" x14ac:dyDescent="0.3">
      <c r="A10" s="4" t="s">
        <v>58</v>
      </c>
      <c r="B10" s="5" t="str">
        <f>TEXT(Patient_Data!$E10,"mmmm")</f>
        <v>October</v>
      </c>
      <c r="C10" s="6" t="str">
        <f t="shared" si="0"/>
        <v>Oct</v>
      </c>
      <c r="D10" s="6">
        <f>MONTH(Patient_Data!$E10)</f>
        <v>10</v>
      </c>
      <c r="E10" s="7">
        <v>45574</v>
      </c>
      <c r="F10" s="55" t="str">
        <f>TEXT(Patient_Data[[#This Row],[Admission_Date]],"YYYY")</f>
        <v>2024</v>
      </c>
      <c r="G10" s="8" t="s">
        <v>59</v>
      </c>
      <c r="H10" s="14" t="s">
        <v>34</v>
      </c>
      <c r="I10" s="4" t="s">
        <v>35</v>
      </c>
      <c r="J10" s="4">
        <v>53</v>
      </c>
      <c r="K10" s="4" t="s">
        <v>30</v>
      </c>
      <c r="L10" s="8">
        <v>1</v>
      </c>
      <c r="M10" s="9" t="s">
        <v>46</v>
      </c>
      <c r="N10" s="9" t="str">
        <f t="shared" si="1"/>
        <v>Ortho</v>
      </c>
      <c r="O10" s="10">
        <v>5182.32</v>
      </c>
      <c r="P10" s="10">
        <v>3506.55</v>
      </c>
      <c r="Q10" s="11">
        <v>4.3</v>
      </c>
      <c r="R10" s="13" t="str">
        <f>IF(Patient_Data!$L10&lt;2,"Low Risk",IF(Patient_Data!$L10&lt;4,"Moderate Risk","High Risk"))</f>
        <v>Low Risk</v>
      </c>
      <c r="S10" s="12" t="str">
        <f>IF(Patient_Data[[#This Row],[Age]]&lt;=18,"Pediatric",IF(Patient_Data[[#This Row],[Age]]&lt;=64,"Adult","Geriatric"))</f>
        <v>Adult</v>
      </c>
    </row>
    <row r="11" spans="1:19" ht="14.4" x14ac:dyDescent="0.3">
      <c r="A11" s="4" t="s">
        <v>60</v>
      </c>
      <c r="B11" s="5" t="str">
        <f>TEXT(Patient_Data!$E11,"mmmm")</f>
        <v>March</v>
      </c>
      <c r="C11" s="6" t="str">
        <f t="shared" si="0"/>
        <v>Mar</v>
      </c>
      <c r="D11" s="6">
        <f>MONTH(Patient_Data!$E11)</f>
        <v>3</v>
      </c>
      <c r="E11" s="7">
        <v>45736</v>
      </c>
      <c r="F11" s="55" t="str">
        <f>TEXT(Patient_Data[[#This Row],[Admission_Date]],"YYYY")</f>
        <v>2025</v>
      </c>
      <c r="G11" s="8" t="s">
        <v>61</v>
      </c>
      <c r="H11" s="14" t="s">
        <v>28</v>
      </c>
      <c r="I11" s="4" t="s">
        <v>29</v>
      </c>
      <c r="J11" s="4">
        <v>35</v>
      </c>
      <c r="K11" s="4" t="s">
        <v>30</v>
      </c>
      <c r="L11" s="8">
        <v>1</v>
      </c>
      <c r="M11" s="9" t="s">
        <v>39</v>
      </c>
      <c r="N11" s="9" t="str">
        <f t="shared" si="1"/>
        <v>GM</v>
      </c>
      <c r="O11" s="10">
        <v>2381.1999999999998</v>
      </c>
      <c r="P11" s="10">
        <v>1702.84</v>
      </c>
      <c r="Q11" s="11">
        <v>4.5</v>
      </c>
      <c r="R11" s="13" t="str">
        <f>IF(Patient_Data!$L11&lt;2,"Low Risk",IF(Patient_Data!$L11&lt;4,"Moderate Risk","High Risk"))</f>
        <v>Low Risk</v>
      </c>
      <c r="S11" s="12" t="str">
        <f>IF(Patient_Data[[#This Row],[Age]]&lt;=18,"Pediatric",IF(Patient_Data[[#This Row],[Age]]&lt;=64,"Adult","Geriatric"))</f>
        <v>Adult</v>
      </c>
    </row>
    <row r="12" spans="1:19" ht="14.4" x14ac:dyDescent="0.3">
      <c r="A12" s="4" t="s">
        <v>62</v>
      </c>
      <c r="B12" s="5" t="str">
        <f>TEXT(Patient_Data!$E12,"mmmm")</f>
        <v>September</v>
      </c>
      <c r="C12" s="6" t="str">
        <f t="shared" si="0"/>
        <v>Sep</v>
      </c>
      <c r="D12" s="6">
        <f>MONTH(Patient_Data!$E12)</f>
        <v>9</v>
      </c>
      <c r="E12" s="7">
        <v>45180</v>
      </c>
      <c r="F12" s="55" t="str">
        <f>TEXT(Patient_Data[[#This Row],[Admission_Date]],"YYYY")</f>
        <v>2023</v>
      </c>
      <c r="G12" s="8" t="s">
        <v>63</v>
      </c>
      <c r="H12" s="14" t="s">
        <v>64</v>
      </c>
      <c r="I12" s="4" t="s">
        <v>29</v>
      </c>
      <c r="J12" s="4">
        <v>42</v>
      </c>
      <c r="K12" s="4" t="s">
        <v>30</v>
      </c>
      <c r="L12" s="8">
        <v>1</v>
      </c>
      <c r="M12" s="9" t="s">
        <v>31</v>
      </c>
      <c r="N12" s="9" t="str">
        <f t="shared" si="1"/>
        <v>Neuro</v>
      </c>
      <c r="O12" s="10">
        <v>8544.19</v>
      </c>
      <c r="P12" s="10">
        <v>6299.66</v>
      </c>
      <c r="Q12" s="11">
        <v>7.8</v>
      </c>
      <c r="R12" s="13" t="str">
        <f>IF(Patient_Data!$L12&lt;2,"Low Risk",IF(Patient_Data!$L12&lt;4,"Moderate Risk","High Risk"))</f>
        <v>Low Risk</v>
      </c>
      <c r="S12" s="12" t="str">
        <f>IF(Patient_Data[[#This Row],[Age]]&lt;=18,"Pediatric",IF(Patient_Data[[#This Row],[Age]]&lt;=64,"Adult","Geriatric"))</f>
        <v>Adult</v>
      </c>
    </row>
    <row r="13" spans="1:19" ht="14.4" x14ac:dyDescent="0.3">
      <c r="A13" s="4" t="s">
        <v>65</v>
      </c>
      <c r="B13" s="5" t="str">
        <f>TEXT(Patient_Data!$E13,"mmmm")</f>
        <v>July</v>
      </c>
      <c r="C13" s="6" t="str">
        <f t="shared" si="0"/>
        <v>Jul</v>
      </c>
      <c r="D13" s="6">
        <f>MONTH(Patient_Data!$E13)</f>
        <v>7</v>
      </c>
      <c r="E13" s="7">
        <v>45863</v>
      </c>
      <c r="F13" s="55" t="str">
        <f>TEXT(Patient_Data[[#This Row],[Admission_Date]],"YYYY")</f>
        <v>2025</v>
      </c>
      <c r="G13" s="8" t="s">
        <v>66</v>
      </c>
      <c r="H13" s="14" t="s">
        <v>28</v>
      </c>
      <c r="I13" s="4" t="s">
        <v>29</v>
      </c>
      <c r="J13" s="4">
        <v>44</v>
      </c>
      <c r="K13" s="4" t="s">
        <v>30</v>
      </c>
      <c r="L13" s="8">
        <v>2</v>
      </c>
      <c r="M13" s="9" t="s">
        <v>31</v>
      </c>
      <c r="N13" s="9" t="str">
        <f t="shared" si="1"/>
        <v>Neuro</v>
      </c>
      <c r="O13" s="10">
        <v>8917.69</v>
      </c>
      <c r="P13" s="10">
        <v>6828.64</v>
      </c>
      <c r="Q13" s="11">
        <v>6.4</v>
      </c>
      <c r="R13" s="13" t="str">
        <f>IF(Patient_Data!$L13&lt;2,"Low Risk",IF(Patient_Data!$L13&lt;4,"Moderate Risk","High Risk"))</f>
        <v>Moderate Risk</v>
      </c>
      <c r="S13" s="12" t="str">
        <f>IF(Patient_Data[[#This Row],[Age]]&lt;=18,"Pediatric",IF(Patient_Data[[#This Row],[Age]]&lt;=64,"Adult","Geriatric"))</f>
        <v>Adult</v>
      </c>
    </row>
    <row r="14" spans="1:19" ht="14.4" x14ac:dyDescent="0.3">
      <c r="A14" s="4" t="s">
        <v>67</v>
      </c>
      <c r="B14" s="5" t="str">
        <f>TEXT(Patient_Data!$E14,"mmmm")</f>
        <v>March</v>
      </c>
      <c r="C14" s="6" t="str">
        <f t="shared" si="0"/>
        <v>Mar</v>
      </c>
      <c r="D14" s="6">
        <f>MONTH(Patient_Data!$E14)</f>
        <v>3</v>
      </c>
      <c r="E14" s="7">
        <v>45736</v>
      </c>
      <c r="F14" s="55" t="str">
        <f>TEXT(Patient_Data[[#This Row],[Admission_Date]],"YYYY")</f>
        <v>2025</v>
      </c>
      <c r="G14" s="8" t="s">
        <v>68</v>
      </c>
      <c r="H14" s="14" t="s">
        <v>69</v>
      </c>
      <c r="I14" s="4" t="s">
        <v>29</v>
      </c>
      <c r="J14" s="4">
        <v>62</v>
      </c>
      <c r="K14" s="4" t="s">
        <v>54</v>
      </c>
      <c r="L14" s="8">
        <v>4</v>
      </c>
      <c r="M14" s="9" t="s">
        <v>50</v>
      </c>
      <c r="N14" s="9" t="str">
        <f t="shared" si="1"/>
        <v>ICU</v>
      </c>
      <c r="O14" s="10">
        <v>10352.33</v>
      </c>
      <c r="P14" s="10">
        <v>6106.75</v>
      </c>
      <c r="Q14" s="11">
        <v>12.8</v>
      </c>
      <c r="R14" s="13" t="str">
        <f>IF(Patient_Data!$L14&lt;2,"Low Risk",IF(Patient_Data!$L14&lt;4,"Moderate Risk","High Risk"))</f>
        <v>High Risk</v>
      </c>
      <c r="S14" s="12" t="str">
        <f>IF(Patient_Data[[#This Row],[Age]]&lt;=18,"Pediatric",IF(Patient_Data[[#This Row],[Age]]&lt;=64,"Adult","Geriatric"))</f>
        <v>Adult</v>
      </c>
    </row>
    <row r="15" spans="1:19" ht="14.4" x14ac:dyDescent="0.3">
      <c r="A15" s="4" t="s">
        <v>70</v>
      </c>
      <c r="B15" s="5" t="str">
        <f>TEXT(Patient_Data!$E15,"mmmm")</f>
        <v>July</v>
      </c>
      <c r="C15" s="6" t="str">
        <f t="shared" si="0"/>
        <v>Jul</v>
      </c>
      <c r="D15" s="6">
        <f>MONTH(Patient_Data!$E15)</f>
        <v>7</v>
      </c>
      <c r="E15" s="7">
        <v>45485</v>
      </c>
      <c r="F15" s="55" t="str">
        <f>TEXT(Patient_Data[[#This Row],[Admission_Date]],"YYYY")</f>
        <v>2024</v>
      </c>
      <c r="G15" s="8" t="s">
        <v>71</v>
      </c>
      <c r="H15" s="14" t="s">
        <v>53</v>
      </c>
      <c r="I15" s="4" t="s">
        <v>29</v>
      </c>
      <c r="J15" s="4">
        <v>58</v>
      </c>
      <c r="K15" s="4" t="s">
        <v>54</v>
      </c>
      <c r="L15" s="8">
        <v>4</v>
      </c>
      <c r="M15" s="9" t="s">
        <v>72</v>
      </c>
      <c r="N15" s="9" t="str">
        <f t="shared" si="1"/>
        <v>Surgery</v>
      </c>
      <c r="O15" s="10">
        <v>20637.68</v>
      </c>
      <c r="P15" s="10">
        <v>12620.18</v>
      </c>
      <c r="Q15" s="11">
        <v>3.9</v>
      </c>
      <c r="R15" s="13" t="str">
        <f>IF(Patient_Data!$L15&lt;2,"Low Risk",IF(Patient_Data!$L15&lt;4,"Moderate Risk","High Risk"))</f>
        <v>High Risk</v>
      </c>
      <c r="S15" s="12" t="str">
        <f>IF(Patient_Data[[#This Row],[Age]]&lt;=18,"Pediatric",IF(Patient_Data[[#This Row],[Age]]&lt;=64,"Adult","Geriatric"))</f>
        <v>Adult</v>
      </c>
    </row>
    <row r="16" spans="1:19" ht="14.4" x14ac:dyDescent="0.3">
      <c r="A16" s="4" t="s">
        <v>73</v>
      </c>
      <c r="B16" s="5" t="str">
        <f>TEXT(Patient_Data!$E16,"mmmm")</f>
        <v>November</v>
      </c>
      <c r="C16" s="6" t="str">
        <f t="shared" si="0"/>
        <v>Nov</v>
      </c>
      <c r="D16" s="6">
        <f>MONTH(Patient_Data!$E16)</f>
        <v>11</v>
      </c>
      <c r="E16" s="7">
        <v>45607</v>
      </c>
      <c r="F16" s="55" t="str">
        <f>TEXT(Patient_Data[[#This Row],[Admission_Date]],"YYYY")</f>
        <v>2024</v>
      </c>
      <c r="G16" s="8" t="s">
        <v>74</v>
      </c>
      <c r="H16" s="14" t="s">
        <v>75</v>
      </c>
      <c r="I16" s="4" t="s">
        <v>29</v>
      </c>
      <c r="J16" s="4">
        <v>53</v>
      </c>
      <c r="K16" s="4" t="s">
        <v>54</v>
      </c>
      <c r="L16" s="8">
        <v>1</v>
      </c>
      <c r="M16" s="9" t="s">
        <v>46</v>
      </c>
      <c r="N16" s="9" t="str">
        <f t="shared" si="1"/>
        <v>Ortho</v>
      </c>
      <c r="O16" s="10">
        <v>4336.03</v>
      </c>
      <c r="P16" s="10">
        <v>2824.66</v>
      </c>
      <c r="Q16" s="11">
        <v>6.2</v>
      </c>
      <c r="R16" s="13" t="str">
        <f>IF(Patient_Data!$L16&lt;2,"Low Risk",IF(Patient_Data!$L16&lt;4,"Moderate Risk","High Risk"))</f>
        <v>Low Risk</v>
      </c>
      <c r="S16" s="12" t="str">
        <f>IF(Patient_Data[[#This Row],[Age]]&lt;=18,"Pediatric",IF(Patient_Data[[#This Row],[Age]]&lt;=64,"Adult","Geriatric"))</f>
        <v>Adult</v>
      </c>
    </row>
    <row r="17" spans="1:19" ht="14.4" x14ac:dyDescent="0.3">
      <c r="A17" s="4" t="s">
        <v>76</v>
      </c>
      <c r="B17" s="5" t="str">
        <f>TEXT(Patient_Data!$E17,"mmmm")</f>
        <v>July</v>
      </c>
      <c r="C17" s="6" t="str">
        <f t="shared" si="0"/>
        <v>Jul</v>
      </c>
      <c r="D17" s="6">
        <f>MONTH(Patient_Data!$E17)</f>
        <v>7</v>
      </c>
      <c r="E17" s="7">
        <v>45856</v>
      </c>
      <c r="F17" s="55" t="str">
        <f>TEXT(Patient_Data[[#This Row],[Admission_Date]],"YYYY")</f>
        <v>2025</v>
      </c>
      <c r="G17" s="8" t="s">
        <v>77</v>
      </c>
      <c r="H17" s="14" t="s">
        <v>78</v>
      </c>
      <c r="I17" s="4" t="s">
        <v>29</v>
      </c>
      <c r="J17" s="4">
        <v>14</v>
      </c>
      <c r="K17" s="4" t="s">
        <v>30</v>
      </c>
      <c r="L17" s="8">
        <v>1</v>
      </c>
      <c r="M17" s="9" t="s">
        <v>79</v>
      </c>
      <c r="N17" s="9" t="str">
        <f t="shared" si="1"/>
        <v>PD</v>
      </c>
      <c r="O17" s="10">
        <v>2255.87</v>
      </c>
      <c r="P17" s="10">
        <v>1553.83</v>
      </c>
      <c r="Q17" s="11">
        <v>5.3</v>
      </c>
      <c r="R17" s="13" t="str">
        <f>IF(Patient_Data!$L17&lt;2,"Low Risk",IF(Patient_Data!$L17&lt;4,"Moderate Risk","High Risk"))</f>
        <v>Low Risk</v>
      </c>
      <c r="S17" s="12" t="str">
        <f>IF(Patient_Data[[#This Row],[Age]]&lt;=18,"Pediatric",IF(Patient_Data[[#This Row],[Age]]&lt;=64,"Adult","Geriatric"))</f>
        <v>Pediatric</v>
      </c>
    </row>
    <row r="18" spans="1:19" ht="14.4" x14ac:dyDescent="0.3">
      <c r="A18" s="4" t="s">
        <v>80</v>
      </c>
      <c r="B18" s="5" t="str">
        <f>TEXT(Patient_Data!$E18,"mmmm")</f>
        <v>March</v>
      </c>
      <c r="C18" s="6" t="str">
        <f t="shared" si="0"/>
        <v>Mar</v>
      </c>
      <c r="D18" s="6">
        <f>MONTH(Patient_Data!$E18)</f>
        <v>3</v>
      </c>
      <c r="E18" s="7">
        <v>45376</v>
      </c>
      <c r="F18" s="55" t="str">
        <f>TEXT(Patient_Data[[#This Row],[Admission_Date]],"YYYY")</f>
        <v>2024</v>
      </c>
      <c r="G18" s="8" t="s">
        <v>81</v>
      </c>
      <c r="H18" s="8" t="s">
        <v>82</v>
      </c>
      <c r="I18" s="4" t="s">
        <v>35</v>
      </c>
      <c r="J18" s="4">
        <v>43</v>
      </c>
      <c r="K18" s="4" t="s">
        <v>30</v>
      </c>
      <c r="L18" s="8">
        <v>1</v>
      </c>
      <c r="M18" s="9" t="s">
        <v>83</v>
      </c>
      <c r="N18" s="9" t="str">
        <f t="shared" si="1"/>
        <v>ER</v>
      </c>
      <c r="O18" s="10">
        <v>6480.42</v>
      </c>
      <c r="P18" s="10">
        <v>4643.49</v>
      </c>
      <c r="Q18" s="11">
        <v>13.4</v>
      </c>
      <c r="R18" s="13" t="str">
        <f>IF(Patient_Data!$L18&lt;2,"Low Risk",IF(Patient_Data!$L18&lt;4,"Moderate Risk","High Risk"))</f>
        <v>Low Risk</v>
      </c>
      <c r="S18" s="12" t="str">
        <f>IF(Patient_Data[[#This Row],[Age]]&lt;=18,"Pediatric",IF(Patient_Data[[#This Row],[Age]]&lt;=64,"Adult","Geriatric"))</f>
        <v>Adult</v>
      </c>
    </row>
    <row r="19" spans="1:19" ht="14.4" x14ac:dyDescent="0.3">
      <c r="A19" s="4" t="s">
        <v>84</v>
      </c>
      <c r="B19" s="5" t="str">
        <f>TEXT(Patient_Data!$E19,"mmmm")</f>
        <v>March</v>
      </c>
      <c r="C19" s="6" t="str">
        <f t="shared" si="0"/>
        <v>Mar</v>
      </c>
      <c r="D19" s="6">
        <f>MONTH(Patient_Data!$E19)</f>
        <v>3</v>
      </c>
      <c r="E19" s="7">
        <v>45356</v>
      </c>
      <c r="F19" s="55" t="str">
        <f>TEXT(Patient_Data[[#This Row],[Admission_Date]],"YYYY")</f>
        <v>2024</v>
      </c>
      <c r="G19" s="8" t="s">
        <v>85</v>
      </c>
      <c r="H19" s="8" t="s">
        <v>53</v>
      </c>
      <c r="I19" s="4" t="s">
        <v>35</v>
      </c>
      <c r="J19" s="4">
        <v>87</v>
      </c>
      <c r="K19" s="4" t="s">
        <v>30</v>
      </c>
      <c r="L19" s="8">
        <v>4</v>
      </c>
      <c r="M19" s="9" t="s">
        <v>50</v>
      </c>
      <c r="N19" s="9" t="str">
        <f t="shared" si="1"/>
        <v>ICU</v>
      </c>
      <c r="O19" s="10">
        <v>11005.12</v>
      </c>
      <c r="P19" s="10">
        <v>8146.54</v>
      </c>
      <c r="Q19" s="11">
        <v>14.1</v>
      </c>
      <c r="R19" s="13" t="str">
        <f>IF(Patient_Data!$L19&lt;2,"Low Risk",IF(Patient_Data!$L19&lt;4,"Moderate Risk","High Risk"))</f>
        <v>High Risk</v>
      </c>
      <c r="S19" s="12" t="str">
        <f>IF(Patient_Data[[#This Row],[Age]]&lt;=18,"Pediatric",IF(Patient_Data[[#This Row],[Age]]&lt;=64,"Adult","Geriatric"))</f>
        <v>Geriatric</v>
      </c>
    </row>
    <row r="20" spans="1:19" ht="14.4" x14ac:dyDescent="0.3">
      <c r="A20" s="4" t="s">
        <v>86</v>
      </c>
      <c r="B20" s="5" t="str">
        <f>TEXT(Patient_Data!$E20,"mmmm")</f>
        <v>October</v>
      </c>
      <c r="C20" s="6" t="str">
        <f t="shared" si="0"/>
        <v>Oct</v>
      </c>
      <c r="D20" s="6">
        <f>MONTH(Patient_Data!$E20)</f>
        <v>10</v>
      </c>
      <c r="E20" s="7">
        <v>45945</v>
      </c>
      <c r="F20" s="55" t="str">
        <f>TEXT(Patient_Data[[#This Row],[Admission_Date]],"YYYY")</f>
        <v>2025</v>
      </c>
      <c r="G20" s="8" t="s">
        <v>87</v>
      </c>
      <c r="H20" s="8" t="s">
        <v>34</v>
      </c>
      <c r="I20" s="4" t="s">
        <v>35</v>
      </c>
      <c r="J20" s="4">
        <v>49</v>
      </c>
      <c r="K20" s="4" t="s">
        <v>30</v>
      </c>
      <c r="L20" s="8">
        <v>2</v>
      </c>
      <c r="M20" s="9" t="s">
        <v>39</v>
      </c>
      <c r="N20" s="9" t="str">
        <f t="shared" si="1"/>
        <v>GM</v>
      </c>
      <c r="O20" s="10">
        <v>2544.12</v>
      </c>
      <c r="P20" s="10">
        <v>1993.53</v>
      </c>
      <c r="Q20" s="11">
        <v>7.5</v>
      </c>
      <c r="R20" s="13" t="str">
        <f>IF(Patient_Data!$L20&lt;2,"Low Risk",IF(Patient_Data!$L20&lt;4,"Moderate Risk","High Risk"))</f>
        <v>Moderate Risk</v>
      </c>
      <c r="S20" s="12" t="str">
        <f>IF(Patient_Data[[#This Row],[Age]]&lt;=18,"Pediatric",IF(Patient_Data[[#This Row],[Age]]&lt;=64,"Adult","Geriatric"))</f>
        <v>Adult</v>
      </c>
    </row>
    <row r="21" spans="1:19" ht="15.75" customHeight="1" x14ac:dyDescent="0.3">
      <c r="A21" s="4" t="s">
        <v>88</v>
      </c>
      <c r="B21" s="5" t="str">
        <f>TEXT(Patient_Data!$E21,"mmmm")</f>
        <v>March</v>
      </c>
      <c r="C21" s="6" t="str">
        <f t="shared" si="0"/>
        <v>Mar</v>
      </c>
      <c r="D21" s="6">
        <f>MONTH(Patient_Data!$E21)</f>
        <v>3</v>
      </c>
      <c r="E21" s="7">
        <v>45365</v>
      </c>
      <c r="F21" s="55" t="str">
        <f>TEXT(Patient_Data[[#This Row],[Admission_Date]],"YYYY")</f>
        <v>2024</v>
      </c>
      <c r="G21" s="8" t="s">
        <v>89</v>
      </c>
      <c r="H21" s="8" t="s">
        <v>28</v>
      </c>
      <c r="I21" s="4" t="s">
        <v>35</v>
      </c>
      <c r="J21" s="4">
        <v>58</v>
      </c>
      <c r="K21" s="4" t="s">
        <v>30</v>
      </c>
      <c r="L21" s="8">
        <v>2</v>
      </c>
      <c r="M21" s="9" t="s">
        <v>31</v>
      </c>
      <c r="N21" s="9" t="str">
        <f t="shared" si="1"/>
        <v>Neuro</v>
      </c>
      <c r="O21" s="10">
        <v>11433.56</v>
      </c>
      <c r="P21" s="10">
        <v>6726.66</v>
      </c>
      <c r="Q21" s="11">
        <v>11.9</v>
      </c>
      <c r="R21" s="13" t="str">
        <f>IF(Patient_Data!$L21&lt;2,"Low Risk",IF(Patient_Data!$L21&lt;4,"Moderate Risk","High Risk"))</f>
        <v>Moderate Risk</v>
      </c>
      <c r="S21" s="12" t="str">
        <f>IF(Patient_Data[[#This Row],[Age]]&lt;=18,"Pediatric",IF(Patient_Data[[#This Row],[Age]]&lt;=64,"Adult","Geriatric"))</f>
        <v>Adult</v>
      </c>
    </row>
    <row r="22" spans="1:19" ht="15.75" customHeight="1" x14ac:dyDescent="0.3">
      <c r="A22" s="4" t="s">
        <v>90</v>
      </c>
      <c r="B22" s="5" t="str">
        <f>TEXT(Patient_Data!$E22,"mmmm")</f>
        <v>September</v>
      </c>
      <c r="C22" s="6" t="str">
        <f t="shared" si="0"/>
        <v>Sep</v>
      </c>
      <c r="D22" s="6">
        <f>MONTH(Patient_Data!$E22)</f>
        <v>9</v>
      </c>
      <c r="E22" s="7">
        <v>45902</v>
      </c>
      <c r="F22" s="55" t="str">
        <f>TEXT(Patient_Data[[#This Row],[Admission_Date]],"YYYY")</f>
        <v>2025</v>
      </c>
      <c r="G22" s="8" t="s">
        <v>91</v>
      </c>
      <c r="H22" s="8" t="s">
        <v>53</v>
      </c>
      <c r="I22" s="4" t="s">
        <v>29</v>
      </c>
      <c r="J22" s="4">
        <v>86</v>
      </c>
      <c r="K22" s="4" t="s">
        <v>30</v>
      </c>
      <c r="L22" s="8">
        <v>2</v>
      </c>
      <c r="M22" s="9" t="s">
        <v>46</v>
      </c>
      <c r="N22" s="9" t="str">
        <f t="shared" si="1"/>
        <v>Ortho</v>
      </c>
      <c r="O22" s="10">
        <v>9147.0400000000009</v>
      </c>
      <c r="P22" s="10">
        <v>5626.09</v>
      </c>
      <c r="Q22" s="11">
        <v>5.8</v>
      </c>
      <c r="R22" s="13" t="str">
        <f>IF(Patient_Data!$L22&lt;2,"Low Risk",IF(Patient_Data!$L22&lt;4,"Moderate Risk","High Risk"))</f>
        <v>Moderate Risk</v>
      </c>
      <c r="S22" s="12" t="str">
        <f>IF(Patient_Data[[#This Row],[Age]]&lt;=18,"Pediatric",IF(Patient_Data[[#This Row],[Age]]&lt;=64,"Adult","Geriatric"))</f>
        <v>Geriatric</v>
      </c>
    </row>
    <row r="23" spans="1:19" ht="15.75" customHeight="1" x14ac:dyDescent="0.3">
      <c r="A23" s="4" t="s">
        <v>92</v>
      </c>
      <c r="B23" s="5" t="str">
        <f>TEXT(Patient_Data!$E23,"mmmm")</f>
        <v>May</v>
      </c>
      <c r="C23" s="6" t="str">
        <f t="shared" si="0"/>
        <v>May</v>
      </c>
      <c r="D23" s="6">
        <f>MONTH(Patient_Data!$E23)</f>
        <v>5</v>
      </c>
      <c r="E23" s="7">
        <v>45422</v>
      </c>
      <c r="F23" s="55" t="str">
        <f>TEXT(Patient_Data[[#This Row],[Admission_Date]],"YYYY")</f>
        <v>2024</v>
      </c>
      <c r="G23" s="8" t="s">
        <v>93</v>
      </c>
      <c r="H23" s="8" t="s">
        <v>53</v>
      </c>
      <c r="I23" s="4" t="s">
        <v>35</v>
      </c>
      <c r="J23" s="4">
        <v>60</v>
      </c>
      <c r="K23" s="4" t="s">
        <v>45</v>
      </c>
      <c r="L23" s="8">
        <v>2</v>
      </c>
      <c r="M23" s="9" t="s">
        <v>46</v>
      </c>
      <c r="N23" s="9" t="str">
        <f t="shared" si="1"/>
        <v>Ortho</v>
      </c>
      <c r="O23" s="10">
        <v>4183.87</v>
      </c>
      <c r="P23" s="10">
        <v>2722.48</v>
      </c>
      <c r="Q23" s="11">
        <v>5.6</v>
      </c>
      <c r="R23" s="13" t="str">
        <f>IF(Patient_Data!$L23&lt;2,"Low Risk",IF(Patient_Data!$L23&lt;4,"Moderate Risk","High Risk"))</f>
        <v>Moderate Risk</v>
      </c>
      <c r="S23" s="12" t="str">
        <f>IF(Patient_Data[[#This Row],[Age]]&lt;=18,"Pediatric",IF(Patient_Data[[#This Row],[Age]]&lt;=64,"Adult","Geriatric"))</f>
        <v>Adult</v>
      </c>
    </row>
    <row r="24" spans="1:19" ht="15.75" customHeight="1" x14ac:dyDescent="0.3">
      <c r="A24" s="4" t="s">
        <v>94</v>
      </c>
      <c r="B24" s="5" t="str">
        <f>TEXT(Patient_Data!$E24,"mmmm")</f>
        <v>October</v>
      </c>
      <c r="C24" s="6" t="str">
        <f t="shared" si="0"/>
        <v>Oct</v>
      </c>
      <c r="D24" s="6">
        <f>MONTH(Patient_Data!$E24)</f>
        <v>10</v>
      </c>
      <c r="E24" s="7">
        <v>45942</v>
      </c>
      <c r="F24" s="55" t="str">
        <f>TEXT(Patient_Data[[#This Row],[Admission_Date]],"YYYY")</f>
        <v>2025</v>
      </c>
      <c r="G24" s="8" t="s">
        <v>95</v>
      </c>
      <c r="H24" s="8" t="s">
        <v>82</v>
      </c>
      <c r="I24" s="4" t="s">
        <v>29</v>
      </c>
      <c r="J24" s="4">
        <v>71</v>
      </c>
      <c r="K24" s="4" t="s">
        <v>54</v>
      </c>
      <c r="L24" s="8">
        <v>4</v>
      </c>
      <c r="M24" s="9" t="s">
        <v>50</v>
      </c>
      <c r="N24" s="9" t="str">
        <f t="shared" si="1"/>
        <v>ICU</v>
      </c>
      <c r="O24" s="10">
        <v>19006.47</v>
      </c>
      <c r="P24" s="10">
        <v>12835.13</v>
      </c>
      <c r="Q24" s="11">
        <v>12.6</v>
      </c>
      <c r="R24" s="13" t="str">
        <f>IF(Patient_Data!$L24&lt;2,"Low Risk",IF(Patient_Data!$L24&lt;4,"Moderate Risk","High Risk"))</f>
        <v>High Risk</v>
      </c>
      <c r="S24" s="12" t="str">
        <f>IF(Patient_Data[[#This Row],[Age]]&lt;=18,"Pediatric",IF(Patient_Data[[#This Row],[Age]]&lt;=64,"Adult","Geriatric"))</f>
        <v>Geriatric</v>
      </c>
    </row>
    <row r="25" spans="1:19" ht="15.75" customHeight="1" x14ac:dyDescent="0.3">
      <c r="A25" s="4" t="s">
        <v>96</v>
      </c>
      <c r="B25" s="5" t="str">
        <f>TEXT(Patient_Data!$E25,"mmmm")</f>
        <v>January</v>
      </c>
      <c r="C25" s="6" t="str">
        <f t="shared" si="0"/>
        <v>Jan</v>
      </c>
      <c r="D25" s="6">
        <f>MONTH(Patient_Data!$E25)</f>
        <v>1</v>
      </c>
      <c r="E25" s="7">
        <v>45309</v>
      </c>
      <c r="F25" s="55" t="str">
        <f>TEXT(Patient_Data[[#This Row],[Admission_Date]],"YYYY")</f>
        <v>2024</v>
      </c>
      <c r="G25" s="8" t="s">
        <v>97</v>
      </c>
      <c r="H25" s="8" t="s">
        <v>98</v>
      </c>
      <c r="I25" s="4" t="s">
        <v>35</v>
      </c>
      <c r="J25" s="4">
        <v>79</v>
      </c>
      <c r="K25" s="4" t="s">
        <v>30</v>
      </c>
      <c r="L25" s="8">
        <v>2</v>
      </c>
      <c r="M25" s="9" t="s">
        <v>36</v>
      </c>
      <c r="N25" s="9" t="str">
        <f t="shared" si="1"/>
        <v>Cardio</v>
      </c>
      <c r="O25" s="10">
        <v>6252.34</v>
      </c>
      <c r="P25" s="10">
        <v>4444.6400000000003</v>
      </c>
      <c r="Q25" s="11">
        <v>8.5</v>
      </c>
      <c r="R25" s="13" t="str">
        <f>IF(Patient_Data!$L25&lt;2,"Low Risk",IF(Patient_Data!$L25&lt;4,"Moderate Risk","High Risk"))</f>
        <v>Moderate Risk</v>
      </c>
      <c r="S25" s="12" t="str">
        <f>IF(Patient_Data[[#This Row],[Age]]&lt;=18,"Pediatric",IF(Patient_Data[[#This Row],[Age]]&lt;=64,"Adult","Geriatric"))</f>
        <v>Geriatric</v>
      </c>
    </row>
    <row r="26" spans="1:19" ht="15.75" customHeight="1" x14ac:dyDescent="0.3">
      <c r="A26" s="4" t="s">
        <v>99</v>
      </c>
      <c r="B26" s="5" t="str">
        <f>TEXT(Patient_Data!$E26,"mmmm")</f>
        <v>November</v>
      </c>
      <c r="C26" s="6" t="str">
        <f t="shared" si="0"/>
        <v>Nov</v>
      </c>
      <c r="D26" s="6">
        <f>MONTH(Patient_Data!$E26)</f>
        <v>11</v>
      </c>
      <c r="E26" s="7">
        <v>45260</v>
      </c>
      <c r="F26" s="55" t="str">
        <f>TEXT(Patient_Data[[#This Row],[Admission_Date]],"YYYY")</f>
        <v>2023</v>
      </c>
      <c r="G26" s="8" t="s">
        <v>100</v>
      </c>
      <c r="H26" s="14" t="s">
        <v>101</v>
      </c>
      <c r="I26" s="4" t="s">
        <v>35</v>
      </c>
      <c r="J26" s="4">
        <v>74</v>
      </c>
      <c r="K26" s="4" t="s">
        <v>45</v>
      </c>
      <c r="L26" s="8">
        <v>5</v>
      </c>
      <c r="M26" s="9" t="s">
        <v>39</v>
      </c>
      <c r="N26" s="9" t="str">
        <f t="shared" si="1"/>
        <v>GM</v>
      </c>
      <c r="O26" s="10">
        <v>5916.6</v>
      </c>
      <c r="P26" s="10">
        <v>4361.5200000000004</v>
      </c>
      <c r="Q26" s="11">
        <v>5.3</v>
      </c>
      <c r="R26" s="13" t="str">
        <f>IF(Patient_Data!$L26&lt;2,"Low Risk",IF(Patient_Data!$L26&lt;4,"Moderate Risk","High Risk"))</f>
        <v>High Risk</v>
      </c>
      <c r="S26" s="12" t="str">
        <f>IF(Patient_Data[[#This Row],[Age]]&lt;=18,"Pediatric",IF(Patient_Data[[#This Row],[Age]]&lt;=64,"Adult","Geriatric"))</f>
        <v>Geriatric</v>
      </c>
    </row>
    <row r="27" spans="1:19" ht="15.75" customHeight="1" x14ac:dyDescent="0.3">
      <c r="A27" s="4" t="s">
        <v>102</v>
      </c>
      <c r="B27" s="5" t="str">
        <f>TEXT(Patient_Data!$E27,"mmmm")</f>
        <v>February</v>
      </c>
      <c r="C27" s="6" t="str">
        <f t="shared" si="0"/>
        <v>Feb</v>
      </c>
      <c r="D27" s="6">
        <f>MONTH(Patient_Data!$E27)</f>
        <v>2</v>
      </c>
      <c r="E27" s="7">
        <v>45330</v>
      </c>
      <c r="F27" s="55" t="str">
        <f>TEXT(Patient_Data[[#This Row],[Admission_Date]],"YYYY")</f>
        <v>2024</v>
      </c>
      <c r="G27" s="8" t="s">
        <v>103</v>
      </c>
      <c r="H27" s="14" t="s">
        <v>53</v>
      </c>
      <c r="I27" s="4" t="s">
        <v>35</v>
      </c>
      <c r="J27" s="4">
        <v>93</v>
      </c>
      <c r="K27" s="4" t="s">
        <v>54</v>
      </c>
      <c r="L27" s="8">
        <v>4</v>
      </c>
      <c r="M27" s="9" t="s">
        <v>50</v>
      </c>
      <c r="N27" s="9" t="str">
        <f t="shared" si="1"/>
        <v>ICU</v>
      </c>
      <c r="O27" s="10">
        <v>13581.08</v>
      </c>
      <c r="P27" s="10">
        <v>10428.02</v>
      </c>
      <c r="Q27" s="11">
        <v>13.3</v>
      </c>
      <c r="R27" s="13" t="str">
        <f>IF(Patient_Data!$L27&lt;2,"Low Risk",IF(Patient_Data!$L27&lt;4,"Moderate Risk","High Risk"))</f>
        <v>High Risk</v>
      </c>
      <c r="S27" s="12" t="str">
        <f>IF(Patient_Data[[#This Row],[Age]]&lt;=18,"Pediatric",IF(Patient_Data[[#This Row],[Age]]&lt;=64,"Adult","Geriatric"))</f>
        <v>Geriatric</v>
      </c>
    </row>
    <row r="28" spans="1:19" ht="15.75" customHeight="1" x14ac:dyDescent="0.3">
      <c r="A28" s="4" t="s">
        <v>104</v>
      </c>
      <c r="B28" s="5" t="str">
        <f>TEXT(Patient_Data!$E28,"mmmm")</f>
        <v>December</v>
      </c>
      <c r="C28" s="6" t="str">
        <f t="shared" si="0"/>
        <v>Dec</v>
      </c>
      <c r="D28" s="6">
        <f>MONTH(Patient_Data!$E28)</f>
        <v>12</v>
      </c>
      <c r="E28" s="7">
        <v>45643</v>
      </c>
      <c r="F28" s="55" t="str">
        <f>TEXT(Patient_Data[[#This Row],[Admission_Date]],"YYYY")</f>
        <v>2024</v>
      </c>
      <c r="G28" s="8" t="s">
        <v>105</v>
      </c>
      <c r="H28" s="14" t="s">
        <v>53</v>
      </c>
      <c r="I28" s="4" t="s">
        <v>35</v>
      </c>
      <c r="J28" s="4">
        <v>43</v>
      </c>
      <c r="K28" s="4" t="s">
        <v>45</v>
      </c>
      <c r="L28" s="8">
        <v>4</v>
      </c>
      <c r="M28" s="9" t="s">
        <v>36</v>
      </c>
      <c r="N28" s="9" t="str">
        <f t="shared" si="1"/>
        <v>Cardio</v>
      </c>
      <c r="O28" s="10">
        <v>16061.56</v>
      </c>
      <c r="P28" s="10">
        <v>9391.7000000000007</v>
      </c>
      <c r="Q28" s="11">
        <v>9.5</v>
      </c>
      <c r="R28" s="13" t="str">
        <f>IF(Patient_Data!$L28&lt;2,"Low Risk",IF(Patient_Data!$L28&lt;4,"Moderate Risk","High Risk"))</f>
        <v>High Risk</v>
      </c>
      <c r="S28" s="12" t="str">
        <f>IF(Patient_Data[[#This Row],[Age]]&lt;=18,"Pediatric",IF(Patient_Data[[#This Row],[Age]]&lt;=64,"Adult","Geriatric"))</f>
        <v>Adult</v>
      </c>
    </row>
    <row r="29" spans="1:19" ht="15.75" customHeight="1" x14ac:dyDescent="0.3">
      <c r="A29" s="4" t="s">
        <v>106</v>
      </c>
      <c r="B29" s="5" t="str">
        <f>TEXT(Patient_Data!$E29,"mmmm")</f>
        <v>March</v>
      </c>
      <c r="C29" s="6" t="str">
        <f t="shared" si="0"/>
        <v>Mar</v>
      </c>
      <c r="D29" s="6">
        <f>MONTH(Patient_Data!$E29)</f>
        <v>3</v>
      </c>
      <c r="E29" s="7">
        <v>45373</v>
      </c>
      <c r="F29" s="55" t="str">
        <f>TEXT(Patient_Data[[#This Row],[Admission_Date]],"YYYY")</f>
        <v>2024</v>
      </c>
      <c r="G29" s="8" t="s">
        <v>107</v>
      </c>
      <c r="H29" s="14" t="s">
        <v>108</v>
      </c>
      <c r="I29" s="4" t="s">
        <v>29</v>
      </c>
      <c r="J29" s="4">
        <v>23</v>
      </c>
      <c r="K29" s="4" t="s">
        <v>30</v>
      </c>
      <c r="L29" s="8">
        <v>1</v>
      </c>
      <c r="M29" s="9" t="s">
        <v>36</v>
      </c>
      <c r="N29" s="9" t="str">
        <f t="shared" si="1"/>
        <v>Cardio</v>
      </c>
      <c r="O29" s="10">
        <v>10143.56</v>
      </c>
      <c r="P29" s="10">
        <v>6214.77</v>
      </c>
      <c r="Q29" s="11">
        <v>3.4</v>
      </c>
      <c r="R29" s="13" t="str">
        <f>IF(Patient_Data!$L29&lt;2,"Low Risk",IF(Patient_Data!$L29&lt;4,"Moderate Risk","High Risk"))</f>
        <v>Low Risk</v>
      </c>
      <c r="S29" s="12" t="str">
        <f>IF(Patient_Data[[#This Row],[Age]]&lt;=18,"Pediatric",IF(Patient_Data[[#This Row],[Age]]&lt;=64,"Adult","Geriatric"))</f>
        <v>Adult</v>
      </c>
    </row>
    <row r="30" spans="1:19" ht="15.75" customHeight="1" x14ac:dyDescent="0.3">
      <c r="A30" s="4" t="s">
        <v>109</v>
      </c>
      <c r="B30" s="5" t="str">
        <f>TEXT(Patient_Data!$E30,"mmmm")</f>
        <v>October</v>
      </c>
      <c r="C30" s="6" t="str">
        <f t="shared" si="0"/>
        <v>Oct</v>
      </c>
      <c r="D30" s="6">
        <f>MONTH(Patient_Data!$E30)</f>
        <v>10</v>
      </c>
      <c r="E30" s="7">
        <v>45945</v>
      </c>
      <c r="F30" s="55" t="str">
        <f>TEXT(Patient_Data[[#This Row],[Admission_Date]],"YYYY")</f>
        <v>2025</v>
      </c>
      <c r="G30" s="8" t="s">
        <v>110</v>
      </c>
      <c r="H30" s="14" t="s">
        <v>111</v>
      </c>
      <c r="I30" s="4" t="s">
        <v>29</v>
      </c>
      <c r="J30" s="4">
        <v>58</v>
      </c>
      <c r="K30" s="4" t="s">
        <v>45</v>
      </c>
      <c r="L30" s="8">
        <v>4</v>
      </c>
      <c r="M30" s="9" t="s">
        <v>72</v>
      </c>
      <c r="N30" s="9" t="str">
        <f t="shared" si="1"/>
        <v>Surgery</v>
      </c>
      <c r="O30" s="10">
        <v>16115.53</v>
      </c>
      <c r="P30" s="10">
        <v>10397.14</v>
      </c>
      <c r="Q30" s="11">
        <v>10.4</v>
      </c>
      <c r="R30" s="13" t="str">
        <f>IF(Patient_Data!$L30&lt;2,"Low Risk",IF(Patient_Data!$L30&lt;4,"Moderate Risk","High Risk"))</f>
        <v>High Risk</v>
      </c>
      <c r="S30" s="12" t="str">
        <f>IF(Patient_Data[[#This Row],[Age]]&lt;=18,"Pediatric",IF(Patient_Data[[#This Row],[Age]]&lt;=64,"Adult","Geriatric"))</f>
        <v>Adult</v>
      </c>
    </row>
    <row r="31" spans="1:19" ht="15.75" customHeight="1" x14ac:dyDescent="0.3">
      <c r="A31" s="4" t="s">
        <v>112</v>
      </c>
      <c r="B31" s="5" t="str">
        <f>TEXT(Patient_Data!$E31,"mmmm")</f>
        <v>March</v>
      </c>
      <c r="C31" s="6" t="str">
        <f t="shared" si="0"/>
        <v>Mar</v>
      </c>
      <c r="D31" s="6">
        <f>MONTH(Patient_Data!$E31)</f>
        <v>3</v>
      </c>
      <c r="E31" s="7">
        <v>45736</v>
      </c>
      <c r="F31" s="55" t="str">
        <f>TEXT(Patient_Data[[#This Row],[Admission_Date]],"YYYY")</f>
        <v>2025</v>
      </c>
      <c r="G31" s="8" t="s">
        <v>113</v>
      </c>
      <c r="H31" s="14" t="s">
        <v>57</v>
      </c>
      <c r="I31" s="4" t="s">
        <v>35</v>
      </c>
      <c r="J31" s="4">
        <v>80</v>
      </c>
      <c r="K31" s="4" t="s">
        <v>45</v>
      </c>
      <c r="L31" s="8">
        <v>3</v>
      </c>
      <c r="M31" s="9" t="s">
        <v>36</v>
      </c>
      <c r="N31" s="9" t="str">
        <f t="shared" si="1"/>
        <v>Cardio</v>
      </c>
      <c r="O31" s="10">
        <v>10460.51</v>
      </c>
      <c r="P31" s="10">
        <v>7048.54</v>
      </c>
      <c r="Q31" s="11">
        <v>5</v>
      </c>
      <c r="R31" s="13" t="str">
        <f>IF(Patient_Data!$L31&lt;2,"Low Risk",IF(Patient_Data!$L31&lt;4,"Moderate Risk","High Risk"))</f>
        <v>Moderate Risk</v>
      </c>
      <c r="S31" s="12" t="str">
        <f>IF(Patient_Data[[#This Row],[Age]]&lt;=18,"Pediatric",IF(Patient_Data[[#This Row],[Age]]&lt;=64,"Adult","Geriatric"))</f>
        <v>Geriatric</v>
      </c>
    </row>
    <row r="32" spans="1:19" ht="15.75" customHeight="1" x14ac:dyDescent="0.3">
      <c r="A32" s="4" t="s">
        <v>114</v>
      </c>
      <c r="B32" s="5" t="str">
        <f>TEXT(Patient_Data!$E32,"mmmm")</f>
        <v>August</v>
      </c>
      <c r="C32" s="6" t="str">
        <f t="shared" si="0"/>
        <v>Aug</v>
      </c>
      <c r="D32" s="6">
        <f>MONTH(Patient_Data!$E32)</f>
        <v>8</v>
      </c>
      <c r="E32" s="7">
        <v>45894</v>
      </c>
      <c r="F32" s="55" t="str">
        <f>TEXT(Patient_Data[[#This Row],[Admission_Date]],"YYYY")</f>
        <v>2025</v>
      </c>
      <c r="G32" s="8" t="s">
        <v>115</v>
      </c>
      <c r="H32" s="14" t="s">
        <v>116</v>
      </c>
      <c r="I32" s="4" t="s">
        <v>35</v>
      </c>
      <c r="J32" s="4">
        <v>68</v>
      </c>
      <c r="K32" s="4" t="s">
        <v>54</v>
      </c>
      <c r="L32" s="8">
        <v>3</v>
      </c>
      <c r="M32" s="9" t="s">
        <v>50</v>
      </c>
      <c r="N32" s="9" t="str">
        <f t="shared" si="1"/>
        <v>ICU</v>
      </c>
      <c r="O32" s="10">
        <v>13135.54</v>
      </c>
      <c r="P32" s="10">
        <v>9294.8799999999992</v>
      </c>
      <c r="Q32" s="11">
        <v>12.5</v>
      </c>
      <c r="R32" s="13" t="str">
        <f>IF(Patient_Data!$L32&lt;2,"Low Risk",IF(Patient_Data!$L32&lt;4,"Moderate Risk","High Risk"))</f>
        <v>Moderate Risk</v>
      </c>
      <c r="S32" s="12" t="str">
        <f>IF(Patient_Data[[#This Row],[Age]]&lt;=18,"Pediatric",IF(Patient_Data[[#This Row],[Age]]&lt;=64,"Adult","Geriatric"))</f>
        <v>Geriatric</v>
      </c>
    </row>
    <row r="33" spans="1:19" ht="15.75" customHeight="1" x14ac:dyDescent="0.3">
      <c r="A33" s="4" t="s">
        <v>117</v>
      </c>
      <c r="B33" s="5" t="str">
        <f>TEXT(Patient_Data!$E33,"mmmm")</f>
        <v>October</v>
      </c>
      <c r="C33" s="6" t="str">
        <f t="shared" si="0"/>
        <v>Oct</v>
      </c>
      <c r="D33" s="6">
        <f>MONTH(Patient_Data!$E33)</f>
        <v>10</v>
      </c>
      <c r="E33" s="7">
        <v>45596</v>
      </c>
      <c r="F33" s="55" t="str">
        <f>TEXT(Patient_Data[[#This Row],[Admission_Date]],"YYYY")</f>
        <v>2024</v>
      </c>
      <c r="G33" s="8" t="s">
        <v>118</v>
      </c>
      <c r="H33" s="14" t="s">
        <v>28</v>
      </c>
      <c r="I33" s="4" t="s">
        <v>35</v>
      </c>
      <c r="J33" s="4">
        <v>81</v>
      </c>
      <c r="K33" s="4" t="s">
        <v>54</v>
      </c>
      <c r="L33" s="8">
        <v>5</v>
      </c>
      <c r="M33" s="9" t="s">
        <v>31</v>
      </c>
      <c r="N33" s="9" t="str">
        <f t="shared" si="1"/>
        <v>Neuro</v>
      </c>
      <c r="O33" s="10">
        <v>15653.86</v>
      </c>
      <c r="P33" s="10">
        <v>11516.92</v>
      </c>
      <c r="Q33" s="11">
        <v>11.2</v>
      </c>
      <c r="R33" s="13" t="str">
        <f>IF(Patient_Data!$L33&lt;2,"Low Risk",IF(Patient_Data!$L33&lt;4,"Moderate Risk","High Risk"))</f>
        <v>High Risk</v>
      </c>
      <c r="S33" s="12" t="str">
        <f>IF(Patient_Data[[#This Row],[Age]]&lt;=18,"Pediatric",IF(Patient_Data[[#This Row],[Age]]&lt;=64,"Adult","Geriatric"))</f>
        <v>Geriatric</v>
      </c>
    </row>
    <row r="34" spans="1:19" ht="15.75" customHeight="1" x14ac:dyDescent="0.3">
      <c r="A34" s="4" t="s">
        <v>119</v>
      </c>
      <c r="B34" s="5" t="str">
        <f>TEXT(Patient_Data!$E34,"mmmm")</f>
        <v>February</v>
      </c>
      <c r="C34" s="6" t="str">
        <f t="shared" si="0"/>
        <v>Feb</v>
      </c>
      <c r="D34" s="6">
        <f>MONTH(Patient_Data!$E34)</f>
        <v>2</v>
      </c>
      <c r="E34" s="7">
        <v>45713</v>
      </c>
      <c r="F34" s="55" t="str">
        <f>TEXT(Patient_Data[[#This Row],[Admission_Date]],"YYYY")</f>
        <v>2025</v>
      </c>
      <c r="G34" s="8" t="s">
        <v>120</v>
      </c>
      <c r="H34" s="14" t="s">
        <v>28</v>
      </c>
      <c r="I34" s="4" t="s">
        <v>29</v>
      </c>
      <c r="J34" s="4">
        <v>26</v>
      </c>
      <c r="K34" s="4" t="s">
        <v>30</v>
      </c>
      <c r="L34" s="8">
        <v>1</v>
      </c>
      <c r="M34" s="9" t="s">
        <v>36</v>
      </c>
      <c r="N34" s="9" t="str">
        <f t="shared" si="1"/>
        <v>Cardio</v>
      </c>
      <c r="O34" s="10">
        <v>10176.459999999999</v>
      </c>
      <c r="P34" s="10">
        <v>7809.31</v>
      </c>
      <c r="Q34" s="11">
        <v>9.4</v>
      </c>
      <c r="R34" s="13" t="str">
        <f>IF(Patient_Data!$L34&lt;2,"Low Risk",IF(Patient_Data!$L34&lt;4,"Moderate Risk","High Risk"))</f>
        <v>Low Risk</v>
      </c>
      <c r="S34" s="12" t="str">
        <f>IF(Patient_Data[[#This Row],[Age]]&lt;=18,"Pediatric",IF(Patient_Data[[#This Row],[Age]]&lt;=64,"Adult","Geriatric"))</f>
        <v>Adult</v>
      </c>
    </row>
    <row r="35" spans="1:19" ht="15.75" customHeight="1" x14ac:dyDescent="0.3">
      <c r="A35" s="4" t="s">
        <v>121</v>
      </c>
      <c r="B35" s="5" t="str">
        <f>TEXT(Patient_Data!$E35,"mmmm")</f>
        <v>January</v>
      </c>
      <c r="C35" s="6" t="str">
        <f t="shared" si="0"/>
        <v>Jan</v>
      </c>
      <c r="D35" s="6">
        <f>MONTH(Patient_Data!$E35)</f>
        <v>1</v>
      </c>
      <c r="E35" s="7">
        <v>45313</v>
      </c>
      <c r="F35" s="55" t="str">
        <f>TEXT(Patient_Data[[#This Row],[Admission_Date]],"YYYY")</f>
        <v>2024</v>
      </c>
      <c r="G35" s="8" t="s">
        <v>122</v>
      </c>
      <c r="H35" s="14" t="s">
        <v>101</v>
      </c>
      <c r="I35" s="4" t="s">
        <v>35</v>
      </c>
      <c r="J35" s="4">
        <v>34</v>
      </c>
      <c r="K35" s="4" t="s">
        <v>30</v>
      </c>
      <c r="L35" s="8">
        <v>1</v>
      </c>
      <c r="M35" s="9" t="s">
        <v>36</v>
      </c>
      <c r="N35" s="9" t="str">
        <f t="shared" si="1"/>
        <v>Cardio</v>
      </c>
      <c r="O35" s="10">
        <v>8348.65</v>
      </c>
      <c r="P35" s="10">
        <v>4866.22</v>
      </c>
      <c r="Q35" s="11">
        <v>3</v>
      </c>
      <c r="R35" s="13" t="str">
        <f>IF(Patient_Data!$L35&lt;2,"Low Risk",IF(Patient_Data!$L35&lt;4,"Moderate Risk","High Risk"))</f>
        <v>Low Risk</v>
      </c>
      <c r="S35" s="12" t="str">
        <f>IF(Patient_Data[[#This Row],[Age]]&lt;=18,"Pediatric",IF(Patient_Data[[#This Row],[Age]]&lt;=64,"Adult","Geriatric"))</f>
        <v>Adult</v>
      </c>
    </row>
    <row r="36" spans="1:19" ht="15.75" customHeight="1" x14ac:dyDescent="0.3">
      <c r="A36" s="4" t="s">
        <v>123</v>
      </c>
      <c r="B36" s="5" t="str">
        <f>TEXT(Patient_Data!$E36,"mmmm")</f>
        <v>August</v>
      </c>
      <c r="C36" s="6" t="str">
        <f t="shared" si="0"/>
        <v>Aug</v>
      </c>
      <c r="D36" s="6">
        <f>MONTH(Patient_Data!$E36)</f>
        <v>8</v>
      </c>
      <c r="E36" s="7">
        <v>45517</v>
      </c>
      <c r="F36" s="55" t="str">
        <f>TEXT(Patient_Data[[#This Row],[Admission_Date]],"YYYY")</f>
        <v>2024</v>
      </c>
      <c r="G36" s="8" t="s">
        <v>124</v>
      </c>
      <c r="H36" s="14" t="s">
        <v>125</v>
      </c>
      <c r="I36" s="4" t="s">
        <v>35</v>
      </c>
      <c r="J36" s="4">
        <v>62</v>
      </c>
      <c r="K36" s="4" t="s">
        <v>54</v>
      </c>
      <c r="L36" s="8">
        <v>4</v>
      </c>
      <c r="M36" s="9" t="s">
        <v>50</v>
      </c>
      <c r="N36" s="9" t="str">
        <f t="shared" si="1"/>
        <v>ICU</v>
      </c>
      <c r="O36" s="10">
        <v>19030.3</v>
      </c>
      <c r="P36" s="10">
        <v>11682.88</v>
      </c>
      <c r="Q36" s="11">
        <v>9.3000000000000007</v>
      </c>
      <c r="R36" s="13" t="str">
        <f>IF(Patient_Data!$L36&lt;2,"Low Risk",IF(Patient_Data!$L36&lt;4,"Moderate Risk","High Risk"))</f>
        <v>High Risk</v>
      </c>
      <c r="S36" s="12" t="str">
        <f>IF(Patient_Data[[#This Row],[Age]]&lt;=18,"Pediatric",IF(Patient_Data[[#This Row],[Age]]&lt;=64,"Adult","Geriatric"))</f>
        <v>Adult</v>
      </c>
    </row>
    <row r="37" spans="1:19" ht="15.75" customHeight="1" x14ac:dyDescent="0.3">
      <c r="A37" s="4" t="s">
        <v>126</v>
      </c>
      <c r="B37" s="5" t="str">
        <f>TEXT(Patient_Data!$E37,"mmmm")</f>
        <v>October</v>
      </c>
      <c r="C37" s="6" t="str">
        <f t="shared" si="0"/>
        <v>Oct</v>
      </c>
      <c r="D37" s="6">
        <f>MONTH(Patient_Data!$E37)</f>
        <v>10</v>
      </c>
      <c r="E37" s="7">
        <v>45944</v>
      </c>
      <c r="F37" s="55" t="str">
        <f>TEXT(Patient_Data[[#This Row],[Admission_Date]],"YYYY")</f>
        <v>2025</v>
      </c>
      <c r="G37" s="8" t="s">
        <v>127</v>
      </c>
      <c r="H37" s="14" t="s">
        <v>98</v>
      </c>
      <c r="I37" s="4" t="s">
        <v>35</v>
      </c>
      <c r="J37" s="4">
        <v>60</v>
      </c>
      <c r="K37" s="4" t="s">
        <v>30</v>
      </c>
      <c r="L37" s="8">
        <v>2</v>
      </c>
      <c r="M37" s="9" t="s">
        <v>46</v>
      </c>
      <c r="N37" s="9" t="str">
        <f t="shared" si="1"/>
        <v>Ortho</v>
      </c>
      <c r="O37" s="10">
        <v>9803.5499999999993</v>
      </c>
      <c r="P37" s="10">
        <v>6330.27</v>
      </c>
      <c r="Q37" s="11">
        <v>7</v>
      </c>
      <c r="R37" s="13" t="str">
        <f>IF(Patient_Data!$L37&lt;2,"Low Risk",IF(Patient_Data!$L37&lt;4,"Moderate Risk","High Risk"))</f>
        <v>Moderate Risk</v>
      </c>
      <c r="S37" s="12" t="str">
        <f>IF(Patient_Data[[#This Row],[Age]]&lt;=18,"Pediatric",IF(Patient_Data[[#This Row],[Age]]&lt;=64,"Adult","Geriatric"))</f>
        <v>Adult</v>
      </c>
    </row>
    <row r="38" spans="1:19" ht="15.75" customHeight="1" x14ac:dyDescent="0.3">
      <c r="A38" s="4" t="s">
        <v>128</v>
      </c>
      <c r="B38" s="5" t="str">
        <f>TEXT(Patient_Data!$E38,"mmmm")</f>
        <v>March</v>
      </c>
      <c r="C38" s="6" t="str">
        <f t="shared" si="0"/>
        <v>Mar</v>
      </c>
      <c r="D38" s="6">
        <f>MONTH(Patient_Data!$E38)</f>
        <v>3</v>
      </c>
      <c r="E38" s="7">
        <v>45719</v>
      </c>
      <c r="F38" s="55" t="str">
        <f>TEXT(Patient_Data[[#This Row],[Admission_Date]],"YYYY")</f>
        <v>2025</v>
      </c>
      <c r="G38" s="8" t="s">
        <v>129</v>
      </c>
      <c r="H38" s="14" t="s">
        <v>28</v>
      </c>
      <c r="I38" s="4" t="s">
        <v>29</v>
      </c>
      <c r="J38" s="4">
        <v>73</v>
      </c>
      <c r="K38" s="4" t="s">
        <v>54</v>
      </c>
      <c r="L38" s="8">
        <v>5</v>
      </c>
      <c r="M38" s="9" t="s">
        <v>72</v>
      </c>
      <c r="N38" s="9" t="str">
        <f t="shared" si="1"/>
        <v>Surgery</v>
      </c>
      <c r="O38" s="10">
        <v>17828.43</v>
      </c>
      <c r="P38" s="10">
        <v>12025.85</v>
      </c>
      <c r="Q38" s="11">
        <v>10.1</v>
      </c>
      <c r="R38" s="13" t="str">
        <f>IF(Patient_Data!$L38&lt;2,"Low Risk",IF(Patient_Data!$L38&lt;4,"Moderate Risk","High Risk"))</f>
        <v>High Risk</v>
      </c>
      <c r="S38" s="12" t="str">
        <f>IF(Patient_Data[[#This Row],[Age]]&lt;=18,"Pediatric",IF(Patient_Data[[#This Row],[Age]]&lt;=64,"Adult","Geriatric"))</f>
        <v>Geriatric</v>
      </c>
    </row>
    <row r="39" spans="1:19" ht="15.75" customHeight="1" x14ac:dyDescent="0.3">
      <c r="A39" s="4" t="s">
        <v>130</v>
      </c>
      <c r="B39" s="5" t="str">
        <f>TEXT(Patient_Data!$E39,"mmmm")</f>
        <v>November</v>
      </c>
      <c r="C39" s="6" t="str">
        <f t="shared" si="0"/>
        <v>Nov</v>
      </c>
      <c r="D39" s="6">
        <f>MONTH(Patient_Data!$E39)</f>
        <v>11</v>
      </c>
      <c r="E39" s="7">
        <v>45616</v>
      </c>
      <c r="F39" s="55" t="str">
        <f>TEXT(Patient_Data[[#This Row],[Admission_Date]],"YYYY")</f>
        <v>2024</v>
      </c>
      <c r="G39" s="8" t="s">
        <v>131</v>
      </c>
      <c r="H39" s="14" t="s">
        <v>132</v>
      </c>
      <c r="I39" s="4" t="s">
        <v>35</v>
      </c>
      <c r="J39" s="4">
        <v>73</v>
      </c>
      <c r="K39" s="4" t="s">
        <v>30</v>
      </c>
      <c r="L39" s="8">
        <v>3</v>
      </c>
      <c r="M39" s="9" t="s">
        <v>39</v>
      </c>
      <c r="N39" s="9" t="str">
        <f t="shared" si="1"/>
        <v>GM</v>
      </c>
      <c r="O39" s="10">
        <v>3436.95</v>
      </c>
      <c r="P39" s="10">
        <v>2481.86</v>
      </c>
      <c r="Q39" s="11">
        <v>9.5</v>
      </c>
      <c r="R39" s="13" t="str">
        <f>IF(Patient_Data!$L39&lt;2,"Low Risk",IF(Patient_Data!$L39&lt;4,"Moderate Risk","High Risk"))</f>
        <v>Moderate Risk</v>
      </c>
      <c r="S39" s="12" t="str">
        <f>IF(Patient_Data[[#This Row],[Age]]&lt;=18,"Pediatric",IF(Patient_Data[[#This Row],[Age]]&lt;=64,"Adult","Geriatric"))</f>
        <v>Geriatric</v>
      </c>
    </row>
    <row r="40" spans="1:19" ht="15.75" customHeight="1" x14ac:dyDescent="0.3">
      <c r="A40" s="4" t="s">
        <v>133</v>
      </c>
      <c r="B40" s="5" t="str">
        <f>TEXT(Patient_Data!$E40,"mmmm")</f>
        <v>June</v>
      </c>
      <c r="C40" s="6" t="str">
        <f t="shared" si="0"/>
        <v>Jun</v>
      </c>
      <c r="D40" s="6">
        <f>MONTH(Patient_Data!$E40)</f>
        <v>6</v>
      </c>
      <c r="E40" s="7">
        <v>45831</v>
      </c>
      <c r="F40" s="55" t="str">
        <f>TEXT(Patient_Data[[#This Row],[Admission_Date]],"YYYY")</f>
        <v>2025</v>
      </c>
      <c r="G40" s="8" t="s">
        <v>134</v>
      </c>
      <c r="H40" s="14" t="s">
        <v>34</v>
      </c>
      <c r="I40" s="4" t="s">
        <v>35</v>
      </c>
      <c r="J40" s="4">
        <v>72</v>
      </c>
      <c r="K40" s="4" t="s">
        <v>54</v>
      </c>
      <c r="L40" s="8">
        <v>2</v>
      </c>
      <c r="M40" s="9" t="s">
        <v>31</v>
      </c>
      <c r="N40" s="9" t="str">
        <f t="shared" si="1"/>
        <v>Neuro</v>
      </c>
      <c r="O40" s="10">
        <v>8106.14</v>
      </c>
      <c r="P40" s="10">
        <v>5997.48</v>
      </c>
      <c r="Q40" s="11">
        <v>10</v>
      </c>
      <c r="R40" s="13" t="str">
        <f>IF(Patient_Data!$L40&lt;2,"Low Risk",IF(Patient_Data!$L40&lt;4,"Moderate Risk","High Risk"))</f>
        <v>Moderate Risk</v>
      </c>
      <c r="S40" s="12" t="str">
        <f>IF(Patient_Data[[#This Row],[Age]]&lt;=18,"Pediatric",IF(Patient_Data[[#This Row],[Age]]&lt;=64,"Adult","Geriatric"))</f>
        <v>Geriatric</v>
      </c>
    </row>
    <row r="41" spans="1:19" ht="15.75" customHeight="1" x14ac:dyDescent="0.3">
      <c r="A41" s="4" t="s">
        <v>135</v>
      </c>
      <c r="B41" s="5" t="str">
        <f>TEXT(Patient_Data!$E41,"mmmm")</f>
        <v>December</v>
      </c>
      <c r="C41" s="6" t="str">
        <f t="shared" si="0"/>
        <v>Dec</v>
      </c>
      <c r="D41" s="6">
        <f>MONTH(Patient_Data!$E41)</f>
        <v>12</v>
      </c>
      <c r="E41" s="7">
        <v>45281</v>
      </c>
      <c r="F41" s="55" t="str">
        <f>TEXT(Patient_Data[[#This Row],[Admission_Date]],"YYYY")</f>
        <v>2023</v>
      </c>
      <c r="G41" s="8" t="s">
        <v>136</v>
      </c>
      <c r="H41" s="14" t="s">
        <v>137</v>
      </c>
      <c r="I41" s="4" t="s">
        <v>35</v>
      </c>
      <c r="J41" s="4">
        <v>66</v>
      </c>
      <c r="K41" s="4" t="s">
        <v>45</v>
      </c>
      <c r="L41" s="8">
        <v>4</v>
      </c>
      <c r="M41" s="9" t="s">
        <v>50</v>
      </c>
      <c r="N41" s="9" t="str">
        <f t="shared" si="1"/>
        <v>ICU</v>
      </c>
      <c r="O41" s="10">
        <v>10665.75</v>
      </c>
      <c r="P41" s="10">
        <v>8171.57</v>
      </c>
      <c r="Q41" s="11">
        <v>8.1999999999999993</v>
      </c>
      <c r="R41" s="13" t="str">
        <f>IF(Patient_Data!$L41&lt;2,"Low Risk",IF(Patient_Data!$L41&lt;4,"Moderate Risk","High Risk"))</f>
        <v>High Risk</v>
      </c>
      <c r="S41" s="12" t="str">
        <f>IF(Patient_Data[[#This Row],[Age]]&lt;=18,"Pediatric",IF(Patient_Data[[#This Row],[Age]]&lt;=64,"Adult","Geriatric"))</f>
        <v>Geriatric</v>
      </c>
    </row>
    <row r="42" spans="1:19" ht="15.75" customHeight="1" x14ac:dyDescent="0.3">
      <c r="A42" s="4" t="s">
        <v>138</v>
      </c>
      <c r="B42" s="5" t="str">
        <f>TEXT(Patient_Data!$E42,"mmmm")</f>
        <v>December</v>
      </c>
      <c r="C42" s="6" t="str">
        <f t="shared" si="0"/>
        <v>Dec</v>
      </c>
      <c r="D42" s="6">
        <f>MONTH(Patient_Data!$E42)</f>
        <v>12</v>
      </c>
      <c r="E42" s="7">
        <v>45636</v>
      </c>
      <c r="F42" s="55" t="str">
        <f>TEXT(Patient_Data[[#This Row],[Admission_Date]],"YYYY")</f>
        <v>2024</v>
      </c>
      <c r="G42" s="8" t="s">
        <v>139</v>
      </c>
      <c r="H42" s="14" t="s">
        <v>140</v>
      </c>
      <c r="I42" s="4" t="s">
        <v>35</v>
      </c>
      <c r="J42" s="4">
        <v>42</v>
      </c>
      <c r="K42" s="4" t="s">
        <v>30</v>
      </c>
      <c r="L42" s="8">
        <v>1</v>
      </c>
      <c r="M42" s="9" t="s">
        <v>39</v>
      </c>
      <c r="N42" s="9" t="str">
        <f t="shared" si="1"/>
        <v>GM</v>
      </c>
      <c r="O42" s="10">
        <v>2180.5</v>
      </c>
      <c r="P42" s="10">
        <v>1329.49</v>
      </c>
      <c r="Q42" s="11">
        <v>8.1</v>
      </c>
      <c r="R42" s="13" t="str">
        <f>IF(Patient_Data!$L42&lt;2,"Low Risk",IF(Patient_Data!$L42&lt;4,"Moderate Risk","High Risk"))</f>
        <v>Low Risk</v>
      </c>
      <c r="S42" s="12" t="str">
        <f>IF(Patient_Data[[#This Row],[Age]]&lt;=18,"Pediatric",IF(Patient_Data[[#This Row],[Age]]&lt;=64,"Adult","Geriatric"))</f>
        <v>Adult</v>
      </c>
    </row>
    <row r="43" spans="1:19" ht="15.75" customHeight="1" x14ac:dyDescent="0.3">
      <c r="A43" s="4" t="s">
        <v>141</v>
      </c>
      <c r="B43" s="5" t="str">
        <f>TEXT(Patient_Data!$E43,"mmmm")</f>
        <v>November</v>
      </c>
      <c r="C43" s="6" t="str">
        <f t="shared" si="0"/>
        <v>Nov</v>
      </c>
      <c r="D43" s="6">
        <f>MONTH(Patient_Data!$E43)</f>
        <v>11</v>
      </c>
      <c r="E43" s="7">
        <v>45232</v>
      </c>
      <c r="F43" s="55" t="str">
        <f>TEXT(Patient_Data[[#This Row],[Admission_Date]],"YYYY")</f>
        <v>2023</v>
      </c>
      <c r="G43" s="8" t="s">
        <v>142</v>
      </c>
      <c r="H43" s="14" t="s">
        <v>53</v>
      </c>
      <c r="I43" s="4" t="s">
        <v>35</v>
      </c>
      <c r="J43" s="4">
        <v>44</v>
      </c>
      <c r="K43" s="4" t="s">
        <v>45</v>
      </c>
      <c r="L43" s="8">
        <v>4</v>
      </c>
      <c r="M43" s="9" t="s">
        <v>72</v>
      </c>
      <c r="N43" s="9" t="str">
        <f t="shared" si="1"/>
        <v>Surgery</v>
      </c>
      <c r="O43" s="10">
        <v>15962.06</v>
      </c>
      <c r="P43" s="10">
        <v>9796.86</v>
      </c>
      <c r="Q43" s="11">
        <v>7.5</v>
      </c>
      <c r="R43" s="13" t="str">
        <f>IF(Patient_Data!$L43&lt;2,"Low Risk",IF(Patient_Data!$L43&lt;4,"Moderate Risk","High Risk"))</f>
        <v>High Risk</v>
      </c>
      <c r="S43" s="12" t="str">
        <f>IF(Patient_Data[[#This Row],[Age]]&lt;=18,"Pediatric",IF(Patient_Data[[#This Row],[Age]]&lt;=64,"Adult","Geriatric"))</f>
        <v>Adult</v>
      </c>
    </row>
    <row r="44" spans="1:19" ht="15.75" customHeight="1" x14ac:dyDescent="0.3">
      <c r="A44" s="4" t="s">
        <v>143</v>
      </c>
      <c r="B44" s="5" t="str">
        <f>TEXT(Patient_Data!$E44,"mmmm")</f>
        <v>June</v>
      </c>
      <c r="C44" s="6" t="str">
        <f t="shared" si="0"/>
        <v>Jun</v>
      </c>
      <c r="D44" s="6">
        <f>MONTH(Patient_Data!$E44)</f>
        <v>6</v>
      </c>
      <c r="E44" s="7">
        <v>45813</v>
      </c>
      <c r="F44" s="55" t="str">
        <f>TEXT(Patient_Data[[#This Row],[Admission_Date]],"YYYY")</f>
        <v>2025</v>
      </c>
      <c r="G44" s="8" t="s">
        <v>144</v>
      </c>
      <c r="H44" s="14" t="s">
        <v>132</v>
      </c>
      <c r="I44" s="4" t="s">
        <v>29</v>
      </c>
      <c r="J44" s="4">
        <v>83</v>
      </c>
      <c r="K44" s="4" t="s">
        <v>54</v>
      </c>
      <c r="L44" s="8">
        <v>5</v>
      </c>
      <c r="M44" s="9" t="s">
        <v>50</v>
      </c>
      <c r="N44" s="9" t="str">
        <f t="shared" si="1"/>
        <v>ICU</v>
      </c>
      <c r="O44" s="10">
        <v>15803.79</v>
      </c>
      <c r="P44" s="10">
        <v>10230.43</v>
      </c>
      <c r="Q44" s="11">
        <v>14.5</v>
      </c>
      <c r="R44" s="13" t="str">
        <f>IF(Patient_Data!$L44&lt;2,"Low Risk",IF(Patient_Data!$L44&lt;4,"Moderate Risk","High Risk"))</f>
        <v>High Risk</v>
      </c>
      <c r="S44" s="12" t="str">
        <f>IF(Patient_Data[[#This Row],[Age]]&lt;=18,"Pediatric",IF(Patient_Data[[#This Row],[Age]]&lt;=64,"Adult","Geriatric"))</f>
        <v>Geriatric</v>
      </c>
    </row>
    <row r="45" spans="1:19" ht="15.75" customHeight="1" x14ac:dyDescent="0.3">
      <c r="A45" s="4" t="s">
        <v>145</v>
      </c>
      <c r="B45" s="5" t="str">
        <f>TEXT(Patient_Data!$E45,"mmmm")</f>
        <v>November</v>
      </c>
      <c r="C45" s="6" t="str">
        <f t="shared" si="0"/>
        <v>Nov</v>
      </c>
      <c r="D45" s="6">
        <f>MONTH(Patient_Data!$E45)</f>
        <v>11</v>
      </c>
      <c r="E45" s="7">
        <v>45988</v>
      </c>
      <c r="F45" s="55" t="str">
        <f>TEXT(Patient_Data[[#This Row],[Admission_Date]],"YYYY")</f>
        <v>2025</v>
      </c>
      <c r="G45" s="8" t="s">
        <v>146</v>
      </c>
      <c r="H45" s="14" t="s">
        <v>28</v>
      </c>
      <c r="I45" s="4" t="s">
        <v>29</v>
      </c>
      <c r="J45" s="4">
        <v>57</v>
      </c>
      <c r="K45" s="4" t="s">
        <v>30</v>
      </c>
      <c r="L45" s="8">
        <v>2</v>
      </c>
      <c r="M45" s="9" t="s">
        <v>83</v>
      </c>
      <c r="N45" s="9" t="str">
        <f t="shared" si="1"/>
        <v>ER</v>
      </c>
      <c r="O45" s="10">
        <v>4747.1099999999997</v>
      </c>
      <c r="P45" s="10">
        <v>3371.76</v>
      </c>
      <c r="Q45" s="11">
        <v>23.9</v>
      </c>
      <c r="R45" s="13" t="str">
        <f>IF(Patient_Data!$L45&lt;2,"Low Risk",IF(Patient_Data!$L45&lt;4,"Moderate Risk","High Risk"))</f>
        <v>Moderate Risk</v>
      </c>
      <c r="S45" s="12" t="str">
        <f>IF(Patient_Data[[#This Row],[Age]]&lt;=18,"Pediatric",IF(Patient_Data[[#This Row],[Age]]&lt;=64,"Adult","Geriatric"))</f>
        <v>Adult</v>
      </c>
    </row>
    <row r="46" spans="1:19" ht="15.75" customHeight="1" x14ac:dyDescent="0.3">
      <c r="A46" s="4" t="s">
        <v>147</v>
      </c>
      <c r="B46" s="5" t="str">
        <f>TEXT(Patient_Data!$E46,"mmmm")</f>
        <v>February</v>
      </c>
      <c r="C46" s="6" t="str">
        <f t="shared" si="0"/>
        <v>Feb</v>
      </c>
      <c r="D46" s="6">
        <f>MONTH(Patient_Data!$E46)</f>
        <v>2</v>
      </c>
      <c r="E46" s="7">
        <v>45715</v>
      </c>
      <c r="F46" s="55" t="str">
        <f>TEXT(Patient_Data[[#This Row],[Admission_Date]],"YYYY")</f>
        <v>2025</v>
      </c>
      <c r="G46" s="8" t="s">
        <v>148</v>
      </c>
      <c r="H46" s="14" t="s">
        <v>149</v>
      </c>
      <c r="I46" s="4" t="s">
        <v>29</v>
      </c>
      <c r="J46" s="4">
        <v>74</v>
      </c>
      <c r="K46" s="4" t="s">
        <v>54</v>
      </c>
      <c r="L46" s="8">
        <v>4</v>
      </c>
      <c r="M46" s="9" t="s">
        <v>50</v>
      </c>
      <c r="N46" s="9" t="str">
        <f t="shared" si="1"/>
        <v>ICU</v>
      </c>
      <c r="O46" s="10">
        <v>21019.46</v>
      </c>
      <c r="P46" s="10">
        <v>14789.62</v>
      </c>
      <c r="Q46" s="11">
        <v>9.5</v>
      </c>
      <c r="R46" s="13" t="str">
        <f>IF(Patient_Data!$L46&lt;2,"Low Risk",IF(Patient_Data!$L46&lt;4,"Moderate Risk","High Risk"))</f>
        <v>High Risk</v>
      </c>
      <c r="S46" s="12" t="str">
        <f>IF(Patient_Data[[#This Row],[Age]]&lt;=18,"Pediatric",IF(Patient_Data[[#This Row],[Age]]&lt;=64,"Adult","Geriatric"))</f>
        <v>Geriatric</v>
      </c>
    </row>
    <row r="47" spans="1:19" ht="15.75" customHeight="1" x14ac:dyDescent="0.3">
      <c r="A47" s="4" t="s">
        <v>150</v>
      </c>
      <c r="B47" s="5" t="str">
        <f>TEXT(Patient_Data!$E47,"mmmm")</f>
        <v>January</v>
      </c>
      <c r="C47" s="6" t="str">
        <f t="shared" si="0"/>
        <v>Jan</v>
      </c>
      <c r="D47" s="6">
        <f>MONTH(Patient_Data!$E47)</f>
        <v>1</v>
      </c>
      <c r="E47" s="7">
        <v>45302</v>
      </c>
      <c r="F47" s="55" t="str">
        <f>TEXT(Patient_Data[[#This Row],[Admission_Date]],"YYYY")</f>
        <v>2024</v>
      </c>
      <c r="G47" s="8" t="s">
        <v>151</v>
      </c>
      <c r="H47" s="14" t="s">
        <v>101</v>
      </c>
      <c r="I47" s="4" t="s">
        <v>29</v>
      </c>
      <c r="J47" s="4">
        <v>65</v>
      </c>
      <c r="K47" s="4" t="s">
        <v>45</v>
      </c>
      <c r="L47" s="8">
        <v>4</v>
      </c>
      <c r="M47" s="9" t="s">
        <v>50</v>
      </c>
      <c r="N47" s="9" t="str">
        <f t="shared" si="1"/>
        <v>ICU</v>
      </c>
      <c r="O47" s="10">
        <v>18235.400000000001</v>
      </c>
      <c r="P47" s="10">
        <v>13417.44</v>
      </c>
      <c r="Q47" s="11">
        <v>13.2</v>
      </c>
      <c r="R47" s="13" t="str">
        <f>IF(Patient_Data!$L47&lt;2,"Low Risk",IF(Patient_Data!$L47&lt;4,"Moderate Risk","High Risk"))</f>
        <v>High Risk</v>
      </c>
      <c r="S47" s="12" t="str">
        <f>IF(Patient_Data[[#This Row],[Age]]&lt;=18,"Pediatric",IF(Patient_Data[[#This Row],[Age]]&lt;=64,"Adult","Geriatric"))</f>
        <v>Geriatric</v>
      </c>
    </row>
    <row r="48" spans="1:19" ht="15.75" customHeight="1" x14ac:dyDescent="0.3">
      <c r="A48" s="4" t="s">
        <v>152</v>
      </c>
      <c r="B48" s="5" t="str">
        <f>TEXT(Patient_Data!$E48,"mmmm")</f>
        <v>June</v>
      </c>
      <c r="C48" s="6" t="str">
        <f t="shared" si="0"/>
        <v>Jun</v>
      </c>
      <c r="D48" s="6">
        <f>MONTH(Patient_Data!$E48)</f>
        <v>6</v>
      </c>
      <c r="E48" s="7">
        <v>45811</v>
      </c>
      <c r="F48" s="55" t="str">
        <f>TEXT(Patient_Data[[#This Row],[Admission_Date]],"YYYY")</f>
        <v>2025</v>
      </c>
      <c r="G48" s="8" t="s">
        <v>153</v>
      </c>
      <c r="H48" s="14" t="s">
        <v>82</v>
      </c>
      <c r="I48" s="4" t="s">
        <v>29</v>
      </c>
      <c r="J48" s="4">
        <v>9</v>
      </c>
      <c r="K48" s="4" t="s">
        <v>54</v>
      </c>
      <c r="L48" s="8">
        <v>4</v>
      </c>
      <c r="M48" s="9" t="s">
        <v>79</v>
      </c>
      <c r="N48" s="9" t="str">
        <f t="shared" si="1"/>
        <v>PD</v>
      </c>
      <c r="O48" s="10">
        <v>3744.73</v>
      </c>
      <c r="P48" s="10">
        <v>2852.39</v>
      </c>
      <c r="Q48" s="11">
        <v>0.8</v>
      </c>
      <c r="R48" s="13" t="str">
        <f>IF(Patient_Data!$L48&lt;2,"Low Risk",IF(Patient_Data!$L48&lt;4,"Moderate Risk","High Risk"))</f>
        <v>High Risk</v>
      </c>
      <c r="S48" s="12" t="str">
        <f>IF(Patient_Data[[#This Row],[Age]]&lt;=18,"Pediatric",IF(Patient_Data[[#This Row],[Age]]&lt;=64,"Adult","Geriatric"))</f>
        <v>Pediatric</v>
      </c>
    </row>
    <row r="49" spans="1:19" ht="15.75" customHeight="1" x14ac:dyDescent="0.3">
      <c r="A49" s="4" t="s">
        <v>154</v>
      </c>
      <c r="B49" s="5" t="str">
        <f>TEXT(Patient_Data!$E49,"mmmm")</f>
        <v>November</v>
      </c>
      <c r="C49" s="6" t="str">
        <f t="shared" si="0"/>
        <v>Nov</v>
      </c>
      <c r="D49" s="6">
        <f>MONTH(Patient_Data!$E49)</f>
        <v>11</v>
      </c>
      <c r="E49" s="7">
        <v>45602</v>
      </c>
      <c r="F49" s="55" t="str">
        <f>TEXT(Patient_Data[[#This Row],[Admission_Date]],"YYYY")</f>
        <v>2024</v>
      </c>
      <c r="G49" s="8" t="s">
        <v>155</v>
      </c>
      <c r="H49" s="14" t="s">
        <v>82</v>
      </c>
      <c r="I49" s="4" t="s">
        <v>35</v>
      </c>
      <c r="J49" s="4">
        <v>49</v>
      </c>
      <c r="K49" s="4" t="s">
        <v>30</v>
      </c>
      <c r="L49" s="8">
        <v>1</v>
      </c>
      <c r="M49" s="9" t="s">
        <v>31</v>
      </c>
      <c r="N49" s="9" t="str">
        <f t="shared" si="1"/>
        <v>Neuro</v>
      </c>
      <c r="O49" s="10">
        <v>9931.2800000000007</v>
      </c>
      <c r="P49" s="10">
        <v>5840.14</v>
      </c>
      <c r="Q49" s="11">
        <v>10</v>
      </c>
      <c r="R49" s="13" t="str">
        <f>IF(Patient_Data!$L49&lt;2,"Low Risk",IF(Patient_Data!$L49&lt;4,"Moderate Risk","High Risk"))</f>
        <v>Low Risk</v>
      </c>
      <c r="S49" s="12" t="str">
        <f>IF(Patient_Data[[#This Row],[Age]]&lt;=18,"Pediatric",IF(Patient_Data[[#This Row],[Age]]&lt;=64,"Adult","Geriatric"))</f>
        <v>Adult</v>
      </c>
    </row>
    <row r="50" spans="1:19" ht="15.75" customHeight="1" x14ac:dyDescent="0.3">
      <c r="A50" s="4" t="s">
        <v>156</v>
      </c>
      <c r="B50" s="5" t="str">
        <f>TEXT(Patient_Data!$E50,"mmmm")</f>
        <v>June</v>
      </c>
      <c r="C50" s="6" t="str">
        <f t="shared" si="0"/>
        <v>Jun</v>
      </c>
      <c r="D50" s="6">
        <f>MONTH(Patient_Data!$E50)</f>
        <v>6</v>
      </c>
      <c r="E50" s="7">
        <v>46189</v>
      </c>
      <c r="F50" s="55" t="str">
        <f>TEXT(Patient_Data[[#This Row],[Admission_Date]],"YYYY")</f>
        <v>2026</v>
      </c>
      <c r="G50" s="8" t="s">
        <v>157</v>
      </c>
      <c r="H50" s="14" t="s">
        <v>98</v>
      </c>
      <c r="I50" s="4" t="s">
        <v>35</v>
      </c>
      <c r="J50" s="4">
        <v>77</v>
      </c>
      <c r="K50" s="4" t="s">
        <v>54</v>
      </c>
      <c r="L50" s="8">
        <v>3</v>
      </c>
      <c r="M50" s="9" t="s">
        <v>83</v>
      </c>
      <c r="N50" s="9" t="str">
        <f t="shared" si="1"/>
        <v>ER</v>
      </c>
      <c r="O50" s="10">
        <v>10073.44</v>
      </c>
      <c r="P50" s="10">
        <v>6259.2</v>
      </c>
      <c r="Q50" s="11">
        <v>14.3</v>
      </c>
      <c r="R50" s="13" t="str">
        <f>IF(Patient_Data!$L50&lt;2,"Low Risk",IF(Patient_Data!$L50&lt;4,"Moderate Risk","High Risk"))</f>
        <v>Moderate Risk</v>
      </c>
      <c r="S50" s="12" t="str">
        <f>IF(Patient_Data[[#This Row],[Age]]&lt;=18,"Pediatric",IF(Patient_Data[[#This Row],[Age]]&lt;=64,"Adult","Geriatric"))</f>
        <v>Geriatric</v>
      </c>
    </row>
    <row r="51" spans="1:19" ht="15.75" customHeight="1" x14ac:dyDescent="0.3">
      <c r="A51" s="4" t="s">
        <v>158</v>
      </c>
      <c r="B51" s="5" t="str">
        <f>TEXT(Patient_Data!$E51,"mmmm")</f>
        <v>March</v>
      </c>
      <c r="C51" s="6" t="str">
        <f t="shared" si="0"/>
        <v>Mar</v>
      </c>
      <c r="D51" s="6">
        <f>MONTH(Patient_Data!$E51)</f>
        <v>3</v>
      </c>
      <c r="E51" s="7">
        <v>46106</v>
      </c>
      <c r="F51" s="55" t="str">
        <f>TEXT(Patient_Data[[#This Row],[Admission_Date]],"YYYY")</f>
        <v>2026</v>
      </c>
      <c r="G51" s="8" t="s">
        <v>159</v>
      </c>
      <c r="H51" s="14" t="s">
        <v>53</v>
      </c>
      <c r="I51" s="4" t="s">
        <v>29</v>
      </c>
      <c r="J51" s="4">
        <v>65</v>
      </c>
      <c r="K51" s="4" t="s">
        <v>30</v>
      </c>
      <c r="L51" s="8">
        <v>2</v>
      </c>
      <c r="M51" s="9" t="s">
        <v>39</v>
      </c>
      <c r="N51" s="9" t="str">
        <f t="shared" si="1"/>
        <v>GM</v>
      </c>
      <c r="O51" s="10">
        <v>2794.98</v>
      </c>
      <c r="P51" s="10">
        <v>1860.79</v>
      </c>
      <c r="Q51" s="11">
        <v>9</v>
      </c>
      <c r="R51" s="13" t="str">
        <f>IF(Patient_Data!$L51&lt;2,"Low Risk",IF(Patient_Data!$L51&lt;4,"Moderate Risk","High Risk"))</f>
        <v>Moderate Risk</v>
      </c>
      <c r="S51" s="12" t="str">
        <f>IF(Patient_Data[[#This Row],[Age]]&lt;=18,"Pediatric",IF(Patient_Data[[#This Row],[Age]]&lt;=64,"Adult","Geriatric"))</f>
        <v>Geriatric</v>
      </c>
    </row>
    <row r="52" spans="1:19" ht="15.75" customHeight="1" x14ac:dyDescent="0.3">
      <c r="A52" s="4" t="s">
        <v>160</v>
      </c>
      <c r="B52" s="5" t="str">
        <f>TEXT(Patient_Data!$E52,"mmmm")</f>
        <v>January</v>
      </c>
      <c r="C52" s="6" t="str">
        <f t="shared" si="0"/>
        <v>Jan</v>
      </c>
      <c r="D52" s="6">
        <f>MONTH(Patient_Data!$E52)</f>
        <v>1</v>
      </c>
      <c r="E52" s="7">
        <v>45672</v>
      </c>
      <c r="F52" s="55" t="str">
        <f>TEXT(Patient_Data[[#This Row],[Admission_Date]],"YYYY")</f>
        <v>2025</v>
      </c>
      <c r="G52" s="8" t="s">
        <v>161</v>
      </c>
      <c r="H52" s="14" t="s">
        <v>82</v>
      </c>
      <c r="I52" s="4" t="s">
        <v>35</v>
      </c>
      <c r="J52" s="4">
        <v>42</v>
      </c>
      <c r="K52" s="4" t="s">
        <v>30</v>
      </c>
      <c r="L52" s="8">
        <v>2</v>
      </c>
      <c r="M52" s="9" t="s">
        <v>39</v>
      </c>
      <c r="N52" s="9" t="str">
        <f t="shared" si="1"/>
        <v>GM</v>
      </c>
      <c r="O52" s="10">
        <v>3038.65</v>
      </c>
      <c r="P52" s="10">
        <v>2106.3000000000002</v>
      </c>
      <c r="Q52" s="11">
        <v>8.8000000000000007</v>
      </c>
      <c r="R52" s="13" t="str">
        <f>IF(Patient_Data!$L52&lt;2,"Low Risk",IF(Patient_Data!$L52&lt;4,"Moderate Risk","High Risk"))</f>
        <v>Moderate Risk</v>
      </c>
      <c r="S52" s="12" t="str">
        <f>IF(Patient_Data[[#This Row],[Age]]&lt;=18,"Pediatric",IF(Patient_Data[[#This Row],[Age]]&lt;=64,"Adult","Geriatric"))</f>
        <v>Adult</v>
      </c>
    </row>
    <row r="53" spans="1:19" ht="15.75" customHeight="1" x14ac:dyDescent="0.3">
      <c r="A53" s="4" t="s">
        <v>162</v>
      </c>
      <c r="B53" s="5" t="str">
        <f>TEXT(Patient_Data!$E53,"mmmm")</f>
        <v>February</v>
      </c>
      <c r="C53" s="6" t="str">
        <f t="shared" si="0"/>
        <v>Feb</v>
      </c>
      <c r="D53" s="6">
        <f>MONTH(Patient_Data!$E53)</f>
        <v>2</v>
      </c>
      <c r="E53" s="7">
        <v>45705</v>
      </c>
      <c r="F53" s="55" t="str">
        <f>TEXT(Patient_Data[[#This Row],[Admission_Date]],"YYYY")</f>
        <v>2025</v>
      </c>
      <c r="G53" s="8" t="s">
        <v>163</v>
      </c>
      <c r="H53" s="14" t="s">
        <v>164</v>
      </c>
      <c r="I53" s="4" t="s">
        <v>35</v>
      </c>
      <c r="J53" s="4">
        <v>95</v>
      </c>
      <c r="K53" s="4" t="s">
        <v>54</v>
      </c>
      <c r="L53" s="8">
        <v>4</v>
      </c>
      <c r="M53" s="9" t="s">
        <v>50</v>
      </c>
      <c r="N53" s="9" t="str">
        <f t="shared" si="1"/>
        <v>ICU</v>
      </c>
      <c r="O53" s="10">
        <v>13384.91</v>
      </c>
      <c r="P53" s="10">
        <v>9443.84</v>
      </c>
      <c r="Q53" s="11">
        <v>9.3000000000000007</v>
      </c>
      <c r="R53" s="13" t="str">
        <f>IF(Patient_Data!$L53&lt;2,"Low Risk",IF(Patient_Data!$L53&lt;4,"Moderate Risk","High Risk"))</f>
        <v>High Risk</v>
      </c>
      <c r="S53" s="12" t="str">
        <f>IF(Patient_Data[[#This Row],[Age]]&lt;=18,"Pediatric",IF(Patient_Data[[#This Row],[Age]]&lt;=64,"Adult","Geriatric"))</f>
        <v>Geriatric</v>
      </c>
    </row>
    <row r="54" spans="1:19" ht="15.75" customHeight="1" x14ac:dyDescent="0.3">
      <c r="A54" s="4" t="s">
        <v>165</v>
      </c>
      <c r="B54" s="5" t="str">
        <f>TEXT(Patient_Data!$E54,"mmmm")</f>
        <v>January</v>
      </c>
      <c r="C54" s="6" t="str">
        <f t="shared" si="0"/>
        <v>Jan</v>
      </c>
      <c r="D54" s="6">
        <f>MONTH(Patient_Data!$E54)</f>
        <v>1</v>
      </c>
      <c r="E54" s="7">
        <v>46044</v>
      </c>
      <c r="F54" s="55" t="str">
        <f>TEXT(Patient_Data[[#This Row],[Admission_Date]],"YYYY")</f>
        <v>2026</v>
      </c>
      <c r="G54" s="8" t="s">
        <v>166</v>
      </c>
      <c r="H54" s="14" t="s">
        <v>167</v>
      </c>
      <c r="I54" s="4" t="s">
        <v>35</v>
      </c>
      <c r="J54" s="4">
        <v>18</v>
      </c>
      <c r="K54" s="4" t="s">
        <v>30</v>
      </c>
      <c r="L54" s="8">
        <v>1</v>
      </c>
      <c r="M54" s="9" t="s">
        <v>36</v>
      </c>
      <c r="N54" s="9" t="str">
        <f t="shared" si="1"/>
        <v>Cardio</v>
      </c>
      <c r="O54" s="10">
        <v>5202.3</v>
      </c>
      <c r="P54" s="10">
        <v>3846.48</v>
      </c>
      <c r="Q54" s="11">
        <v>6.1</v>
      </c>
      <c r="R54" s="13" t="str">
        <f>IF(Patient_Data!$L54&lt;2,"Low Risk",IF(Patient_Data!$L54&lt;4,"Moderate Risk","High Risk"))</f>
        <v>Low Risk</v>
      </c>
      <c r="S54" s="12" t="str">
        <f>IF(Patient_Data[[#This Row],[Age]]&lt;=18,"Pediatric",IF(Patient_Data[[#This Row],[Age]]&lt;=64,"Adult","Geriatric"))</f>
        <v>Pediatric</v>
      </c>
    </row>
    <row r="55" spans="1:19" ht="15.75" customHeight="1" x14ac:dyDescent="0.3">
      <c r="A55" s="4" t="s">
        <v>168</v>
      </c>
      <c r="B55" s="5" t="str">
        <f>TEXT(Patient_Data!$E55,"mmmm")</f>
        <v>June</v>
      </c>
      <c r="C55" s="6" t="str">
        <f t="shared" si="0"/>
        <v>Jun</v>
      </c>
      <c r="D55" s="6">
        <f>MONTH(Patient_Data!$E55)</f>
        <v>6</v>
      </c>
      <c r="E55" s="7">
        <v>45450</v>
      </c>
      <c r="F55" s="55" t="str">
        <f>TEXT(Patient_Data[[#This Row],[Admission_Date]],"YYYY")</f>
        <v>2024</v>
      </c>
      <c r="G55" s="8" t="s">
        <v>169</v>
      </c>
      <c r="H55" s="14" t="s">
        <v>170</v>
      </c>
      <c r="I55" s="4" t="s">
        <v>29</v>
      </c>
      <c r="J55" s="4">
        <v>81</v>
      </c>
      <c r="K55" s="4" t="s">
        <v>45</v>
      </c>
      <c r="L55" s="8">
        <v>3</v>
      </c>
      <c r="M55" s="9" t="s">
        <v>72</v>
      </c>
      <c r="N55" s="9" t="str">
        <f t="shared" si="1"/>
        <v>Surgery</v>
      </c>
      <c r="O55" s="10">
        <v>13133.36</v>
      </c>
      <c r="P55" s="10">
        <v>10049.35</v>
      </c>
      <c r="Q55" s="11">
        <v>8.5</v>
      </c>
      <c r="R55" s="13" t="str">
        <f>IF(Patient_Data!$L55&lt;2,"Low Risk",IF(Patient_Data!$L55&lt;4,"Moderate Risk","High Risk"))</f>
        <v>Moderate Risk</v>
      </c>
      <c r="S55" s="12" t="str">
        <f>IF(Patient_Data[[#This Row],[Age]]&lt;=18,"Pediatric",IF(Patient_Data[[#This Row],[Age]]&lt;=64,"Adult","Geriatric"))</f>
        <v>Geriatric</v>
      </c>
    </row>
    <row r="56" spans="1:19" ht="15.75" customHeight="1" x14ac:dyDescent="0.3">
      <c r="A56" s="4" t="s">
        <v>171</v>
      </c>
      <c r="B56" s="5" t="str">
        <f>TEXT(Patient_Data!$E56,"mmmm")</f>
        <v>July</v>
      </c>
      <c r="C56" s="6" t="str">
        <f t="shared" si="0"/>
        <v>Jul</v>
      </c>
      <c r="D56" s="6">
        <f>MONTH(Patient_Data!$E56)</f>
        <v>7</v>
      </c>
      <c r="E56" s="7">
        <v>46210</v>
      </c>
      <c r="F56" s="55" t="str">
        <f>TEXT(Patient_Data[[#This Row],[Admission_Date]],"YYYY")</f>
        <v>2026</v>
      </c>
      <c r="G56" s="8" t="s">
        <v>172</v>
      </c>
      <c r="H56" s="14" t="s">
        <v>28</v>
      </c>
      <c r="I56" s="4" t="s">
        <v>35</v>
      </c>
      <c r="J56" s="4">
        <v>81</v>
      </c>
      <c r="K56" s="4" t="s">
        <v>54</v>
      </c>
      <c r="L56" s="8">
        <v>4</v>
      </c>
      <c r="M56" s="9" t="s">
        <v>72</v>
      </c>
      <c r="N56" s="9" t="str">
        <f t="shared" si="1"/>
        <v>Surgery</v>
      </c>
      <c r="O56" s="10">
        <v>14321.62</v>
      </c>
      <c r="P56" s="10">
        <v>8337.74</v>
      </c>
      <c r="Q56" s="11">
        <v>3.9</v>
      </c>
      <c r="R56" s="13" t="str">
        <f>IF(Patient_Data!$L56&lt;2,"Low Risk",IF(Patient_Data!$L56&lt;4,"Moderate Risk","High Risk"))</f>
        <v>High Risk</v>
      </c>
      <c r="S56" s="12" t="str">
        <f>IF(Patient_Data[[#This Row],[Age]]&lt;=18,"Pediatric",IF(Patient_Data[[#This Row],[Age]]&lt;=64,"Adult","Geriatric"))</f>
        <v>Geriatric</v>
      </c>
    </row>
    <row r="57" spans="1:19" ht="15.75" customHeight="1" x14ac:dyDescent="0.3">
      <c r="A57" s="4" t="s">
        <v>173</v>
      </c>
      <c r="B57" s="5" t="str">
        <f>TEXT(Patient_Data!$E57,"mmmm")</f>
        <v>June</v>
      </c>
      <c r="C57" s="6" t="str">
        <f t="shared" si="0"/>
        <v>Jun</v>
      </c>
      <c r="D57" s="6">
        <f>MONTH(Patient_Data!$E57)</f>
        <v>6</v>
      </c>
      <c r="E57" s="7">
        <v>46177</v>
      </c>
      <c r="F57" s="55" t="str">
        <f>TEXT(Patient_Data[[#This Row],[Admission_Date]],"YYYY")</f>
        <v>2026</v>
      </c>
      <c r="G57" s="8" t="s">
        <v>174</v>
      </c>
      <c r="H57" s="14" t="s">
        <v>137</v>
      </c>
      <c r="I57" s="4" t="s">
        <v>35</v>
      </c>
      <c r="J57" s="4">
        <v>44</v>
      </c>
      <c r="K57" s="4" t="s">
        <v>45</v>
      </c>
      <c r="L57" s="8">
        <v>5</v>
      </c>
      <c r="M57" s="9" t="s">
        <v>72</v>
      </c>
      <c r="N57" s="9" t="str">
        <f t="shared" si="1"/>
        <v>Surgery</v>
      </c>
      <c r="O57" s="10">
        <v>21950.52</v>
      </c>
      <c r="P57" s="10">
        <v>13463.42</v>
      </c>
      <c r="Q57" s="11">
        <v>9.1999999999999993</v>
      </c>
      <c r="R57" s="13" t="str">
        <f>IF(Patient_Data!$L57&lt;2,"Low Risk",IF(Patient_Data!$L57&lt;4,"Moderate Risk","High Risk"))</f>
        <v>High Risk</v>
      </c>
      <c r="S57" s="12" t="str">
        <f>IF(Patient_Data[[#This Row],[Age]]&lt;=18,"Pediatric",IF(Patient_Data[[#This Row],[Age]]&lt;=64,"Adult","Geriatric"))</f>
        <v>Adult</v>
      </c>
    </row>
    <row r="58" spans="1:19" ht="15.75" customHeight="1" x14ac:dyDescent="0.3">
      <c r="A58" s="4" t="s">
        <v>175</v>
      </c>
      <c r="B58" s="5" t="str">
        <f>TEXT(Patient_Data!$E58,"mmmm")</f>
        <v>April</v>
      </c>
      <c r="C58" s="6" t="str">
        <f t="shared" si="0"/>
        <v>Apr</v>
      </c>
      <c r="D58" s="6">
        <f>MONTH(Patient_Data!$E58)</f>
        <v>4</v>
      </c>
      <c r="E58" s="7">
        <v>45391</v>
      </c>
      <c r="F58" s="55" t="str">
        <f>TEXT(Patient_Data[[#This Row],[Admission_Date]],"YYYY")</f>
        <v>2024</v>
      </c>
      <c r="G58" s="8" t="s">
        <v>176</v>
      </c>
      <c r="H58" s="14" t="s">
        <v>111</v>
      </c>
      <c r="I58" s="4" t="s">
        <v>35</v>
      </c>
      <c r="J58" s="4">
        <v>45</v>
      </c>
      <c r="K58" s="4" t="s">
        <v>54</v>
      </c>
      <c r="L58" s="8">
        <v>3</v>
      </c>
      <c r="M58" s="9" t="s">
        <v>39</v>
      </c>
      <c r="N58" s="9" t="str">
        <f t="shared" si="1"/>
        <v>GM</v>
      </c>
      <c r="O58" s="10">
        <v>2330.0100000000002</v>
      </c>
      <c r="P58" s="10">
        <v>1568.81</v>
      </c>
      <c r="Q58" s="11">
        <v>9.6999999999999993</v>
      </c>
      <c r="R58" s="13" t="str">
        <f>IF(Patient_Data!$L58&lt;2,"Low Risk",IF(Patient_Data!$L58&lt;4,"Moderate Risk","High Risk"))</f>
        <v>Moderate Risk</v>
      </c>
      <c r="S58" s="12" t="str">
        <f>IF(Patient_Data[[#This Row],[Age]]&lt;=18,"Pediatric",IF(Patient_Data[[#This Row],[Age]]&lt;=64,"Adult","Geriatric"))</f>
        <v>Adult</v>
      </c>
    </row>
    <row r="59" spans="1:19" ht="15.75" customHeight="1" x14ac:dyDescent="0.3">
      <c r="A59" s="4" t="s">
        <v>177</v>
      </c>
      <c r="B59" s="5" t="str">
        <f>TEXT(Patient_Data!$E59,"mmmm")</f>
        <v>January</v>
      </c>
      <c r="C59" s="6" t="str">
        <f t="shared" si="0"/>
        <v>Jan</v>
      </c>
      <c r="D59" s="6">
        <f>MONTH(Patient_Data!$E59)</f>
        <v>1</v>
      </c>
      <c r="E59" s="7">
        <v>46031</v>
      </c>
      <c r="F59" s="55" t="str">
        <f>TEXT(Patient_Data[[#This Row],[Admission_Date]],"YYYY")</f>
        <v>2026</v>
      </c>
      <c r="G59" s="8" t="s">
        <v>178</v>
      </c>
      <c r="H59" s="14" t="s">
        <v>57</v>
      </c>
      <c r="I59" s="4" t="s">
        <v>35</v>
      </c>
      <c r="J59" s="4">
        <v>68</v>
      </c>
      <c r="K59" s="4" t="s">
        <v>30</v>
      </c>
      <c r="L59" s="8">
        <v>2</v>
      </c>
      <c r="M59" s="9" t="s">
        <v>31</v>
      </c>
      <c r="N59" s="9" t="str">
        <f t="shared" si="1"/>
        <v>Neuro</v>
      </c>
      <c r="O59" s="10">
        <v>12262.24</v>
      </c>
      <c r="P59" s="10">
        <v>8250.9</v>
      </c>
      <c r="Q59" s="11">
        <v>4.4000000000000004</v>
      </c>
      <c r="R59" s="13" t="str">
        <f>IF(Patient_Data!$L59&lt;2,"Low Risk",IF(Patient_Data!$L59&lt;4,"Moderate Risk","High Risk"))</f>
        <v>Moderate Risk</v>
      </c>
      <c r="S59" s="12" t="str">
        <f>IF(Patient_Data[[#This Row],[Age]]&lt;=18,"Pediatric",IF(Patient_Data[[#This Row],[Age]]&lt;=64,"Adult","Geriatric"))</f>
        <v>Geriatric</v>
      </c>
    </row>
    <row r="60" spans="1:19" ht="15.75" customHeight="1" x14ac:dyDescent="0.3">
      <c r="A60" s="4" t="s">
        <v>179</v>
      </c>
      <c r="B60" s="5" t="str">
        <f>TEXT(Patient_Data!$E60,"mmmm")</f>
        <v>April</v>
      </c>
      <c r="C60" s="6" t="str">
        <f t="shared" si="0"/>
        <v>Apr</v>
      </c>
      <c r="D60" s="6">
        <f>MONTH(Patient_Data!$E60)</f>
        <v>4</v>
      </c>
      <c r="E60" s="7">
        <v>46125</v>
      </c>
      <c r="F60" s="55" t="str">
        <f>TEXT(Patient_Data[[#This Row],[Admission_Date]],"YYYY")</f>
        <v>2026</v>
      </c>
      <c r="G60" s="8" t="s">
        <v>180</v>
      </c>
      <c r="H60" s="14" t="s">
        <v>82</v>
      </c>
      <c r="I60" s="4" t="s">
        <v>35</v>
      </c>
      <c r="J60" s="4">
        <v>53</v>
      </c>
      <c r="K60" s="4" t="s">
        <v>30</v>
      </c>
      <c r="L60" s="8">
        <v>2</v>
      </c>
      <c r="M60" s="9" t="s">
        <v>36</v>
      </c>
      <c r="N60" s="9" t="str">
        <f t="shared" si="1"/>
        <v>Cardio</v>
      </c>
      <c r="O60" s="10">
        <v>12885.69</v>
      </c>
      <c r="P60" s="10">
        <v>9071.98</v>
      </c>
      <c r="Q60" s="11">
        <v>6.5</v>
      </c>
      <c r="R60" s="13" t="str">
        <f>IF(Patient_Data!$L60&lt;2,"Low Risk",IF(Patient_Data!$L60&lt;4,"Moderate Risk","High Risk"))</f>
        <v>Moderate Risk</v>
      </c>
      <c r="S60" s="12" t="str">
        <f>IF(Patient_Data[[#This Row],[Age]]&lt;=18,"Pediatric",IF(Patient_Data[[#This Row],[Age]]&lt;=64,"Adult","Geriatric"))</f>
        <v>Adult</v>
      </c>
    </row>
    <row r="61" spans="1:19" ht="15.75" customHeight="1" x14ac:dyDescent="0.3">
      <c r="A61" s="4" t="s">
        <v>181</v>
      </c>
      <c r="B61" s="5" t="str">
        <f>TEXT(Patient_Data!$E61,"mmmm")</f>
        <v>January</v>
      </c>
      <c r="C61" s="6" t="str">
        <f t="shared" si="0"/>
        <v>Jan</v>
      </c>
      <c r="D61" s="6">
        <f>MONTH(Patient_Data!$E61)</f>
        <v>1</v>
      </c>
      <c r="E61" s="7">
        <v>45681</v>
      </c>
      <c r="F61" s="55" t="str">
        <f>TEXT(Patient_Data[[#This Row],[Admission_Date]],"YYYY")</f>
        <v>2025</v>
      </c>
      <c r="G61" s="8" t="s">
        <v>182</v>
      </c>
      <c r="H61" s="14" t="s">
        <v>167</v>
      </c>
      <c r="I61" s="4" t="s">
        <v>35</v>
      </c>
      <c r="J61" s="4">
        <v>71</v>
      </c>
      <c r="K61" s="4" t="s">
        <v>30</v>
      </c>
      <c r="L61" s="8">
        <v>3</v>
      </c>
      <c r="M61" s="9" t="s">
        <v>36</v>
      </c>
      <c r="N61" s="9" t="str">
        <f t="shared" si="1"/>
        <v>Cardio</v>
      </c>
      <c r="O61" s="10">
        <v>10890.66</v>
      </c>
      <c r="P61" s="10">
        <v>7988.58</v>
      </c>
      <c r="Q61" s="11">
        <v>4.8</v>
      </c>
      <c r="R61" s="13" t="str">
        <f>IF(Patient_Data!$L61&lt;2,"Low Risk",IF(Patient_Data!$L61&lt;4,"Moderate Risk","High Risk"))</f>
        <v>Moderate Risk</v>
      </c>
      <c r="S61" s="12" t="str">
        <f>IF(Patient_Data[[#This Row],[Age]]&lt;=18,"Pediatric",IF(Patient_Data[[#This Row],[Age]]&lt;=64,"Adult","Geriatric"))</f>
        <v>Geriatric</v>
      </c>
    </row>
    <row r="62" spans="1:19" ht="15.75" customHeight="1" x14ac:dyDescent="0.3">
      <c r="A62" s="4" t="s">
        <v>183</v>
      </c>
      <c r="B62" s="5" t="str">
        <f>TEXT(Patient_Data!$E62,"mmmm")</f>
        <v>September</v>
      </c>
      <c r="C62" s="6" t="str">
        <f t="shared" si="0"/>
        <v>Sep</v>
      </c>
      <c r="D62" s="6">
        <f>MONTH(Patient_Data!$E62)</f>
        <v>9</v>
      </c>
      <c r="E62" s="7">
        <v>45190</v>
      </c>
      <c r="F62" s="55" t="str">
        <f>TEXT(Patient_Data[[#This Row],[Admission_Date]],"YYYY")</f>
        <v>2023</v>
      </c>
      <c r="G62" s="8" t="s">
        <v>184</v>
      </c>
      <c r="H62" s="14" t="s">
        <v>82</v>
      </c>
      <c r="I62" s="4" t="s">
        <v>35</v>
      </c>
      <c r="J62" s="4">
        <v>79</v>
      </c>
      <c r="K62" s="4" t="s">
        <v>54</v>
      </c>
      <c r="L62" s="8">
        <v>5</v>
      </c>
      <c r="M62" s="9" t="s">
        <v>50</v>
      </c>
      <c r="N62" s="9" t="str">
        <f t="shared" si="1"/>
        <v>ICU</v>
      </c>
      <c r="O62" s="10">
        <v>23402.03</v>
      </c>
      <c r="P62" s="10">
        <v>17850.34</v>
      </c>
      <c r="Q62" s="11">
        <v>8.1</v>
      </c>
      <c r="R62" s="13" t="str">
        <f>IF(Patient_Data!$L62&lt;2,"Low Risk",IF(Patient_Data!$L62&lt;4,"Moderate Risk","High Risk"))</f>
        <v>High Risk</v>
      </c>
      <c r="S62" s="12" t="str">
        <f>IF(Patient_Data[[#This Row],[Age]]&lt;=18,"Pediatric",IF(Patient_Data[[#This Row],[Age]]&lt;=64,"Adult","Geriatric"))</f>
        <v>Geriatric</v>
      </c>
    </row>
    <row r="63" spans="1:19" ht="15.75" customHeight="1" x14ac:dyDescent="0.3">
      <c r="A63" s="4" t="s">
        <v>185</v>
      </c>
      <c r="B63" s="5" t="str">
        <f>TEXT(Patient_Data!$E63,"mmmm")</f>
        <v>April</v>
      </c>
      <c r="C63" s="6" t="str">
        <f t="shared" si="0"/>
        <v>Apr</v>
      </c>
      <c r="D63" s="6">
        <f>MONTH(Patient_Data!$E63)</f>
        <v>4</v>
      </c>
      <c r="E63" s="7">
        <v>45401</v>
      </c>
      <c r="F63" s="55" t="str">
        <f>TEXT(Patient_Data[[#This Row],[Admission_Date]],"YYYY")</f>
        <v>2024</v>
      </c>
      <c r="G63" s="8" t="s">
        <v>186</v>
      </c>
      <c r="H63" s="14" t="s">
        <v>187</v>
      </c>
      <c r="I63" s="4" t="s">
        <v>35</v>
      </c>
      <c r="J63" s="4">
        <v>84</v>
      </c>
      <c r="K63" s="4" t="s">
        <v>45</v>
      </c>
      <c r="L63" s="8">
        <v>4</v>
      </c>
      <c r="M63" s="9" t="s">
        <v>31</v>
      </c>
      <c r="N63" s="9" t="str">
        <f t="shared" si="1"/>
        <v>Neuro</v>
      </c>
      <c r="O63" s="10">
        <v>10774.68</v>
      </c>
      <c r="P63" s="10">
        <v>6286.91</v>
      </c>
      <c r="Q63" s="11">
        <v>4.7</v>
      </c>
      <c r="R63" s="13" t="str">
        <f>IF(Patient_Data!$L63&lt;2,"Low Risk",IF(Patient_Data!$L63&lt;4,"Moderate Risk","High Risk"))</f>
        <v>High Risk</v>
      </c>
      <c r="S63" s="12" t="str">
        <f>IF(Patient_Data[[#This Row],[Age]]&lt;=18,"Pediatric",IF(Patient_Data[[#This Row],[Age]]&lt;=64,"Adult","Geriatric"))</f>
        <v>Geriatric</v>
      </c>
    </row>
    <row r="64" spans="1:19" ht="15.75" customHeight="1" x14ac:dyDescent="0.3">
      <c r="A64" s="4" t="s">
        <v>188</v>
      </c>
      <c r="B64" s="5" t="str">
        <f>TEXT(Patient_Data!$E64,"mmmm")</f>
        <v>February</v>
      </c>
      <c r="C64" s="6" t="str">
        <f t="shared" si="0"/>
        <v>Feb</v>
      </c>
      <c r="D64" s="6">
        <f>MONTH(Patient_Data!$E64)</f>
        <v>2</v>
      </c>
      <c r="E64" s="7">
        <v>45713</v>
      </c>
      <c r="F64" s="55" t="str">
        <f>TEXT(Patient_Data[[#This Row],[Admission_Date]],"YYYY")</f>
        <v>2025</v>
      </c>
      <c r="G64" s="8" t="s">
        <v>189</v>
      </c>
      <c r="H64" s="14" t="s">
        <v>190</v>
      </c>
      <c r="I64" s="4" t="s">
        <v>29</v>
      </c>
      <c r="J64" s="4">
        <v>84</v>
      </c>
      <c r="K64" s="4" t="s">
        <v>30</v>
      </c>
      <c r="L64" s="8">
        <v>3</v>
      </c>
      <c r="M64" s="9" t="s">
        <v>83</v>
      </c>
      <c r="N64" s="9" t="str">
        <f t="shared" si="1"/>
        <v>ER</v>
      </c>
      <c r="O64" s="10">
        <v>11796.41</v>
      </c>
      <c r="P64" s="10">
        <v>7303.01</v>
      </c>
      <c r="Q64" s="11">
        <v>13.4</v>
      </c>
      <c r="R64" s="13" t="str">
        <f>IF(Patient_Data!$L64&lt;2,"Low Risk",IF(Patient_Data!$L64&lt;4,"Moderate Risk","High Risk"))</f>
        <v>Moderate Risk</v>
      </c>
      <c r="S64" s="12" t="str">
        <f>IF(Patient_Data[[#This Row],[Age]]&lt;=18,"Pediatric",IF(Patient_Data[[#This Row],[Age]]&lt;=64,"Adult","Geriatric"))</f>
        <v>Geriatric</v>
      </c>
    </row>
    <row r="65" spans="1:19" ht="15.75" customHeight="1" x14ac:dyDescent="0.3">
      <c r="A65" s="4" t="s">
        <v>191</v>
      </c>
      <c r="B65" s="5" t="str">
        <f>TEXT(Patient_Data!$E65,"mmmm")</f>
        <v>July</v>
      </c>
      <c r="C65" s="6" t="str">
        <f t="shared" si="0"/>
        <v>Jul</v>
      </c>
      <c r="D65" s="6">
        <f>MONTH(Patient_Data!$E65)</f>
        <v>7</v>
      </c>
      <c r="E65" s="7">
        <v>45863</v>
      </c>
      <c r="F65" s="55" t="str">
        <f>TEXT(Patient_Data[[#This Row],[Admission_Date]],"YYYY")</f>
        <v>2025</v>
      </c>
      <c r="G65" s="8" t="s">
        <v>192</v>
      </c>
      <c r="H65" s="14" t="s">
        <v>53</v>
      </c>
      <c r="I65" s="4" t="s">
        <v>29</v>
      </c>
      <c r="J65" s="4">
        <v>52</v>
      </c>
      <c r="K65" s="4" t="s">
        <v>54</v>
      </c>
      <c r="L65" s="8">
        <v>4</v>
      </c>
      <c r="M65" s="9" t="s">
        <v>46</v>
      </c>
      <c r="N65" s="9" t="str">
        <f t="shared" si="1"/>
        <v>Ortho</v>
      </c>
      <c r="O65" s="10">
        <v>12000.92</v>
      </c>
      <c r="P65" s="10">
        <v>7714.99</v>
      </c>
      <c r="Q65" s="11">
        <v>4.3</v>
      </c>
      <c r="R65" s="13" t="str">
        <f>IF(Patient_Data!$L65&lt;2,"Low Risk",IF(Patient_Data!$L65&lt;4,"Moderate Risk","High Risk"))</f>
        <v>High Risk</v>
      </c>
      <c r="S65" s="12" t="str">
        <f>IF(Patient_Data[[#This Row],[Age]]&lt;=18,"Pediatric",IF(Patient_Data[[#This Row],[Age]]&lt;=64,"Adult","Geriatric"))</f>
        <v>Adult</v>
      </c>
    </row>
    <row r="66" spans="1:19" ht="15.75" customHeight="1" x14ac:dyDescent="0.3">
      <c r="A66" s="4" t="s">
        <v>193</v>
      </c>
      <c r="B66" s="5" t="str">
        <f>TEXT(Patient_Data!$E66,"mmmm")</f>
        <v>July</v>
      </c>
      <c r="C66" s="6" t="str">
        <f t="shared" si="0"/>
        <v>Jul</v>
      </c>
      <c r="D66" s="6">
        <f>MONTH(Patient_Data!$E66)</f>
        <v>7</v>
      </c>
      <c r="E66" s="7">
        <v>45490</v>
      </c>
      <c r="F66" s="55" t="str">
        <f>TEXT(Patient_Data[[#This Row],[Admission_Date]],"YYYY")</f>
        <v>2024</v>
      </c>
      <c r="G66" s="8" t="s">
        <v>194</v>
      </c>
      <c r="H66" s="14" t="s">
        <v>78</v>
      </c>
      <c r="I66" s="4" t="s">
        <v>29</v>
      </c>
      <c r="J66" s="4">
        <v>30</v>
      </c>
      <c r="K66" s="4" t="s">
        <v>54</v>
      </c>
      <c r="L66" s="8">
        <v>4</v>
      </c>
      <c r="M66" s="9" t="s">
        <v>72</v>
      </c>
      <c r="N66" s="9" t="str">
        <f t="shared" si="1"/>
        <v>Surgery</v>
      </c>
      <c r="O66" s="10">
        <v>16347.72</v>
      </c>
      <c r="P66" s="10">
        <v>11042.57</v>
      </c>
      <c r="Q66" s="11">
        <v>11.2</v>
      </c>
      <c r="R66" s="13" t="str">
        <f>IF(Patient_Data!$L66&lt;2,"Low Risk",IF(Patient_Data!$L66&lt;4,"Moderate Risk","High Risk"))</f>
        <v>High Risk</v>
      </c>
      <c r="S66" s="12" t="str">
        <f>IF(Patient_Data[[#This Row],[Age]]&lt;=18,"Pediatric",IF(Patient_Data[[#This Row],[Age]]&lt;=64,"Adult","Geriatric"))</f>
        <v>Adult</v>
      </c>
    </row>
    <row r="67" spans="1:19" ht="15.75" customHeight="1" x14ac:dyDescent="0.3">
      <c r="A67" s="4" t="s">
        <v>195</v>
      </c>
      <c r="B67" s="5" t="str">
        <f>TEXT(Patient_Data!$E67,"mmmm")</f>
        <v>March</v>
      </c>
      <c r="C67" s="6" t="str">
        <f t="shared" si="0"/>
        <v>Mar</v>
      </c>
      <c r="D67" s="6">
        <f>MONTH(Patient_Data!$E67)</f>
        <v>3</v>
      </c>
      <c r="E67" s="7">
        <v>46096</v>
      </c>
      <c r="F67" s="55" t="str">
        <f>TEXT(Patient_Data[[#This Row],[Admission_Date]],"YYYY")</f>
        <v>2026</v>
      </c>
      <c r="G67" s="8" t="s">
        <v>196</v>
      </c>
      <c r="H67" s="14" t="s">
        <v>108</v>
      </c>
      <c r="I67" s="4" t="s">
        <v>35</v>
      </c>
      <c r="J67" s="4">
        <v>40</v>
      </c>
      <c r="K67" s="4" t="s">
        <v>30</v>
      </c>
      <c r="L67" s="8">
        <v>1</v>
      </c>
      <c r="M67" s="9" t="s">
        <v>36</v>
      </c>
      <c r="N67" s="9" t="str">
        <f t="shared" si="1"/>
        <v>Cardio</v>
      </c>
      <c r="O67" s="10">
        <v>4874.24</v>
      </c>
      <c r="P67" s="10">
        <v>3448.77</v>
      </c>
      <c r="Q67" s="11">
        <v>4.5999999999999996</v>
      </c>
      <c r="R67" s="13" t="str">
        <f>IF(Patient_Data!$L67&lt;2,"Low Risk",IF(Patient_Data!$L67&lt;4,"Moderate Risk","High Risk"))</f>
        <v>Low Risk</v>
      </c>
      <c r="S67" s="12" t="str">
        <f>IF(Patient_Data[[#This Row],[Age]]&lt;=18,"Pediatric",IF(Patient_Data[[#This Row],[Age]]&lt;=64,"Adult","Geriatric"))</f>
        <v>Adult</v>
      </c>
    </row>
    <row r="68" spans="1:19" ht="15.75" customHeight="1" x14ac:dyDescent="0.3">
      <c r="A68" s="4" t="s">
        <v>197</v>
      </c>
      <c r="B68" s="5" t="str">
        <f>TEXT(Patient_Data!$E68,"mmmm")</f>
        <v>February</v>
      </c>
      <c r="C68" s="6" t="str">
        <f t="shared" si="0"/>
        <v>Feb</v>
      </c>
      <c r="D68" s="6">
        <f>MONTH(Patient_Data!$E68)</f>
        <v>2</v>
      </c>
      <c r="E68" s="7">
        <v>45706</v>
      </c>
      <c r="F68" s="55" t="str">
        <f>TEXT(Patient_Data[[#This Row],[Admission_Date]],"YYYY")</f>
        <v>2025</v>
      </c>
      <c r="G68" s="8" t="s">
        <v>198</v>
      </c>
      <c r="H68" s="14" t="s">
        <v>199</v>
      </c>
      <c r="I68" s="4" t="s">
        <v>29</v>
      </c>
      <c r="J68" s="4">
        <v>45</v>
      </c>
      <c r="K68" s="4" t="s">
        <v>54</v>
      </c>
      <c r="L68" s="8">
        <v>3</v>
      </c>
      <c r="M68" s="9" t="s">
        <v>72</v>
      </c>
      <c r="N68" s="9" t="str">
        <f t="shared" si="1"/>
        <v>Surgery</v>
      </c>
      <c r="O68" s="10">
        <v>19955.22</v>
      </c>
      <c r="P68" s="10">
        <v>14658.51</v>
      </c>
      <c r="Q68" s="11">
        <v>11.4</v>
      </c>
      <c r="R68" s="13" t="str">
        <f>IF(Patient_Data!$L68&lt;2,"Low Risk",IF(Patient_Data!$L68&lt;4,"Moderate Risk","High Risk"))</f>
        <v>Moderate Risk</v>
      </c>
      <c r="S68" s="12" t="str">
        <f>IF(Patient_Data[[#This Row],[Age]]&lt;=18,"Pediatric",IF(Patient_Data[[#This Row],[Age]]&lt;=64,"Adult","Geriatric"))</f>
        <v>Adult</v>
      </c>
    </row>
    <row r="69" spans="1:19" ht="15.75" customHeight="1" x14ac:dyDescent="0.3">
      <c r="A69" s="4" t="s">
        <v>200</v>
      </c>
      <c r="B69" s="5" t="str">
        <f>TEXT(Patient_Data!$E69,"mmmm")</f>
        <v>June</v>
      </c>
      <c r="C69" s="6" t="str">
        <f t="shared" si="0"/>
        <v>Jun</v>
      </c>
      <c r="D69" s="6">
        <f>MONTH(Patient_Data!$E69)</f>
        <v>6</v>
      </c>
      <c r="E69" s="7">
        <v>46192</v>
      </c>
      <c r="F69" s="55" t="str">
        <f>TEXT(Patient_Data[[#This Row],[Admission_Date]],"YYYY")</f>
        <v>2026</v>
      </c>
      <c r="G69" s="8" t="s">
        <v>201</v>
      </c>
      <c r="H69" s="14" t="s">
        <v>75</v>
      </c>
      <c r="I69" s="4" t="s">
        <v>35</v>
      </c>
      <c r="J69" s="4">
        <v>83</v>
      </c>
      <c r="K69" s="4" t="s">
        <v>45</v>
      </c>
      <c r="L69" s="8">
        <v>5</v>
      </c>
      <c r="M69" s="9" t="s">
        <v>50</v>
      </c>
      <c r="N69" s="9" t="str">
        <f t="shared" si="1"/>
        <v>ICU</v>
      </c>
      <c r="O69" s="10">
        <v>24856.27</v>
      </c>
      <c r="P69" s="10">
        <v>18973.169999999998</v>
      </c>
      <c r="Q69" s="11">
        <v>10.3</v>
      </c>
      <c r="R69" s="13" t="str">
        <f>IF(Patient_Data!$L69&lt;2,"Low Risk",IF(Patient_Data!$L69&lt;4,"Moderate Risk","High Risk"))</f>
        <v>High Risk</v>
      </c>
      <c r="S69" s="12" t="str">
        <f>IF(Patient_Data[[#This Row],[Age]]&lt;=18,"Pediatric",IF(Patient_Data[[#This Row],[Age]]&lt;=64,"Adult","Geriatric"))</f>
        <v>Geriatric</v>
      </c>
    </row>
    <row r="70" spans="1:19" ht="15.75" customHeight="1" x14ac:dyDescent="0.3">
      <c r="A70" s="4" t="s">
        <v>202</v>
      </c>
      <c r="B70" s="5" t="str">
        <f>TEXT(Patient_Data!$E70,"mmmm")</f>
        <v>August</v>
      </c>
      <c r="C70" s="6" t="str">
        <f t="shared" si="0"/>
        <v>Aug</v>
      </c>
      <c r="D70" s="6">
        <f>MONTH(Patient_Data!$E70)</f>
        <v>8</v>
      </c>
      <c r="E70" s="7">
        <v>45532</v>
      </c>
      <c r="F70" s="55" t="str">
        <f>TEXT(Patient_Data[[#This Row],[Admission_Date]],"YYYY")</f>
        <v>2024</v>
      </c>
      <c r="G70" s="8" t="s">
        <v>203</v>
      </c>
      <c r="H70" s="14" t="s">
        <v>204</v>
      </c>
      <c r="I70" s="4" t="s">
        <v>29</v>
      </c>
      <c r="J70" s="4">
        <v>76</v>
      </c>
      <c r="K70" s="4" t="s">
        <v>54</v>
      </c>
      <c r="L70" s="8">
        <v>3</v>
      </c>
      <c r="M70" s="9" t="s">
        <v>46</v>
      </c>
      <c r="N70" s="9" t="str">
        <f t="shared" si="1"/>
        <v>Ortho</v>
      </c>
      <c r="O70" s="10">
        <v>10020.08</v>
      </c>
      <c r="P70" s="10">
        <v>5832.45</v>
      </c>
      <c r="Q70" s="11">
        <v>2.6</v>
      </c>
      <c r="R70" s="13" t="str">
        <f>IF(Patient_Data!$L70&lt;2,"Low Risk",IF(Patient_Data!$L70&lt;4,"Moderate Risk","High Risk"))</f>
        <v>Moderate Risk</v>
      </c>
      <c r="S70" s="12" t="str">
        <f>IF(Patient_Data[[#This Row],[Age]]&lt;=18,"Pediatric",IF(Patient_Data[[#This Row],[Age]]&lt;=64,"Adult","Geriatric"))</f>
        <v>Geriatric</v>
      </c>
    </row>
    <row r="71" spans="1:19" ht="15.75" customHeight="1" x14ac:dyDescent="0.3">
      <c r="A71" s="4" t="s">
        <v>205</v>
      </c>
      <c r="B71" s="5" t="str">
        <f>TEXT(Patient_Data!$E71,"mmmm")</f>
        <v>July</v>
      </c>
      <c r="C71" s="6" t="str">
        <f t="shared" si="0"/>
        <v>Jul</v>
      </c>
      <c r="D71" s="6">
        <f>MONTH(Patient_Data!$E71)</f>
        <v>7</v>
      </c>
      <c r="E71" s="7">
        <v>46206</v>
      </c>
      <c r="F71" s="55" t="str">
        <f>TEXT(Patient_Data[[#This Row],[Admission_Date]],"YYYY")</f>
        <v>2026</v>
      </c>
      <c r="G71" s="8" t="s">
        <v>206</v>
      </c>
      <c r="H71" s="14" t="s">
        <v>34</v>
      </c>
      <c r="I71" s="4" t="s">
        <v>35</v>
      </c>
      <c r="J71" s="4">
        <v>71</v>
      </c>
      <c r="K71" s="4" t="s">
        <v>30</v>
      </c>
      <c r="L71" s="8">
        <v>3</v>
      </c>
      <c r="M71" s="9" t="s">
        <v>46</v>
      </c>
      <c r="N71" s="9" t="str">
        <f t="shared" si="1"/>
        <v>Ortho</v>
      </c>
      <c r="O71" s="10">
        <v>6713.76</v>
      </c>
      <c r="P71" s="10">
        <v>4118.59</v>
      </c>
      <c r="Q71" s="11">
        <v>2.9</v>
      </c>
      <c r="R71" s="13" t="str">
        <f>IF(Patient_Data!$L71&lt;2,"Low Risk",IF(Patient_Data!$L71&lt;4,"Moderate Risk","High Risk"))</f>
        <v>Moderate Risk</v>
      </c>
      <c r="S71" s="12" t="str">
        <f>IF(Patient_Data[[#This Row],[Age]]&lt;=18,"Pediatric",IF(Patient_Data[[#This Row],[Age]]&lt;=64,"Adult","Geriatric"))</f>
        <v>Geriatric</v>
      </c>
    </row>
    <row r="72" spans="1:19" ht="15.75" customHeight="1" x14ac:dyDescent="0.3">
      <c r="A72" s="4" t="s">
        <v>207</v>
      </c>
      <c r="B72" s="5" t="str">
        <f>TEXT(Patient_Data!$E72,"mmmm")</f>
        <v>April</v>
      </c>
      <c r="C72" s="6" t="str">
        <f t="shared" si="0"/>
        <v>Apr</v>
      </c>
      <c r="D72" s="6">
        <f>MONTH(Patient_Data!$E72)</f>
        <v>4</v>
      </c>
      <c r="E72" s="7">
        <v>45384</v>
      </c>
      <c r="F72" s="55" t="str">
        <f>TEXT(Patient_Data[[#This Row],[Admission_Date]],"YYYY")</f>
        <v>2024</v>
      </c>
      <c r="G72" s="8" t="s">
        <v>208</v>
      </c>
      <c r="H72" s="14" t="s">
        <v>170</v>
      </c>
      <c r="I72" s="4" t="s">
        <v>29</v>
      </c>
      <c r="J72" s="4">
        <v>83</v>
      </c>
      <c r="K72" s="4" t="s">
        <v>45</v>
      </c>
      <c r="L72" s="8">
        <v>2</v>
      </c>
      <c r="M72" s="9" t="s">
        <v>46</v>
      </c>
      <c r="N72" s="9" t="str">
        <f t="shared" si="1"/>
        <v>Ortho</v>
      </c>
      <c r="O72" s="10">
        <v>8233.26</v>
      </c>
      <c r="P72" s="10">
        <v>5354.09</v>
      </c>
      <c r="Q72" s="11">
        <v>10.6</v>
      </c>
      <c r="R72" s="13" t="str">
        <f>IF(Patient_Data!$L72&lt;2,"Low Risk",IF(Patient_Data!$L72&lt;4,"Moderate Risk","High Risk"))</f>
        <v>Moderate Risk</v>
      </c>
      <c r="S72" s="12" t="str">
        <f>IF(Patient_Data[[#This Row],[Age]]&lt;=18,"Pediatric",IF(Patient_Data[[#This Row],[Age]]&lt;=64,"Adult","Geriatric"))</f>
        <v>Geriatric</v>
      </c>
    </row>
    <row r="73" spans="1:19" ht="15.75" customHeight="1" x14ac:dyDescent="0.3">
      <c r="A73" s="4" t="s">
        <v>209</v>
      </c>
      <c r="B73" s="5" t="str">
        <f>TEXT(Patient_Data!$E73,"mmmm")</f>
        <v>May</v>
      </c>
      <c r="C73" s="6" t="str">
        <f t="shared" si="0"/>
        <v>May</v>
      </c>
      <c r="D73" s="6">
        <f>MONTH(Patient_Data!$E73)</f>
        <v>5</v>
      </c>
      <c r="E73" s="7">
        <v>45778</v>
      </c>
      <c r="F73" s="55" t="str">
        <f>TEXT(Patient_Data[[#This Row],[Admission_Date]],"YYYY")</f>
        <v>2025</v>
      </c>
      <c r="G73" s="8" t="s">
        <v>210</v>
      </c>
      <c r="H73" s="14" t="s">
        <v>42</v>
      </c>
      <c r="I73" s="4" t="s">
        <v>35</v>
      </c>
      <c r="J73" s="4">
        <v>10</v>
      </c>
      <c r="K73" s="4" t="s">
        <v>30</v>
      </c>
      <c r="L73" s="8">
        <v>1</v>
      </c>
      <c r="M73" s="9" t="s">
        <v>79</v>
      </c>
      <c r="N73" s="9" t="str">
        <f t="shared" si="1"/>
        <v>PD</v>
      </c>
      <c r="O73" s="10">
        <v>741.99</v>
      </c>
      <c r="P73" s="10">
        <v>535.53</v>
      </c>
      <c r="Q73" s="11">
        <v>4.8</v>
      </c>
      <c r="R73" s="13" t="str">
        <f>IF(Patient_Data!$L73&lt;2,"Low Risk",IF(Patient_Data!$L73&lt;4,"Moderate Risk","High Risk"))</f>
        <v>Low Risk</v>
      </c>
      <c r="S73" s="12" t="str">
        <f>IF(Patient_Data[[#This Row],[Age]]&lt;=18,"Pediatric",IF(Patient_Data[[#This Row],[Age]]&lt;=64,"Adult","Geriatric"))</f>
        <v>Pediatric</v>
      </c>
    </row>
    <row r="74" spans="1:19" ht="15.75" customHeight="1" x14ac:dyDescent="0.3">
      <c r="A74" s="4" t="s">
        <v>211</v>
      </c>
      <c r="B74" s="5" t="str">
        <f>TEXT(Patient_Data!$E74,"mmmm")</f>
        <v>July</v>
      </c>
      <c r="C74" s="6" t="str">
        <f t="shared" si="0"/>
        <v>Jul</v>
      </c>
      <c r="D74" s="6">
        <f>MONTH(Patient_Data!$E74)</f>
        <v>7</v>
      </c>
      <c r="E74" s="7">
        <v>46206</v>
      </c>
      <c r="F74" s="55" t="str">
        <f>TEXT(Patient_Data[[#This Row],[Admission_Date]],"YYYY")</f>
        <v>2026</v>
      </c>
      <c r="G74" s="8" t="s">
        <v>212</v>
      </c>
      <c r="H74" s="14" t="s">
        <v>78</v>
      </c>
      <c r="I74" s="4" t="s">
        <v>35</v>
      </c>
      <c r="J74" s="4">
        <v>30</v>
      </c>
      <c r="K74" s="4" t="s">
        <v>54</v>
      </c>
      <c r="L74" s="8">
        <v>4</v>
      </c>
      <c r="M74" s="9" t="s">
        <v>31</v>
      </c>
      <c r="N74" s="9" t="str">
        <f t="shared" si="1"/>
        <v>Neuro</v>
      </c>
      <c r="O74" s="10">
        <v>15506.06</v>
      </c>
      <c r="P74" s="10">
        <v>10903.84</v>
      </c>
      <c r="Q74" s="11">
        <v>6.2</v>
      </c>
      <c r="R74" s="13" t="str">
        <f>IF(Patient_Data!$L74&lt;2,"Low Risk",IF(Patient_Data!$L74&lt;4,"Moderate Risk","High Risk"))</f>
        <v>High Risk</v>
      </c>
      <c r="S74" s="12" t="str">
        <f>IF(Patient_Data[[#This Row],[Age]]&lt;=18,"Pediatric",IF(Patient_Data[[#This Row],[Age]]&lt;=64,"Adult","Geriatric"))</f>
        <v>Adult</v>
      </c>
    </row>
    <row r="75" spans="1:19" ht="15.75" customHeight="1" x14ac:dyDescent="0.3">
      <c r="A75" s="4" t="s">
        <v>213</v>
      </c>
      <c r="B75" s="5" t="str">
        <f>TEXT(Patient_Data!$E75,"mmmm")</f>
        <v>October</v>
      </c>
      <c r="C75" s="6" t="str">
        <f t="shared" si="0"/>
        <v>Oct</v>
      </c>
      <c r="D75" s="6">
        <f>MONTH(Patient_Data!$E75)</f>
        <v>10</v>
      </c>
      <c r="E75" s="7">
        <v>45574</v>
      </c>
      <c r="F75" s="55" t="str">
        <f>TEXT(Patient_Data[[#This Row],[Admission_Date]],"YYYY")</f>
        <v>2024</v>
      </c>
      <c r="G75" s="8" t="s">
        <v>214</v>
      </c>
      <c r="H75" s="14" t="s">
        <v>28</v>
      </c>
      <c r="I75" s="4" t="s">
        <v>35</v>
      </c>
      <c r="J75" s="4">
        <v>28</v>
      </c>
      <c r="K75" s="4" t="s">
        <v>30</v>
      </c>
      <c r="L75" s="8">
        <v>3</v>
      </c>
      <c r="M75" s="9" t="s">
        <v>72</v>
      </c>
      <c r="N75" s="9" t="str">
        <f t="shared" si="1"/>
        <v>Surgery</v>
      </c>
      <c r="O75" s="10">
        <v>14139.58</v>
      </c>
      <c r="P75" s="10">
        <v>10344.290000000001</v>
      </c>
      <c r="Q75" s="11">
        <v>2.8</v>
      </c>
      <c r="R75" s="13" t="str">
        <f>IF(Patient_Data!$L75&lt;2,"Low Risk",IF(Patient_Data!$L75&lt;4,"Moderate Risk","High Risk"))</f>
        <v>Moderate Risk</v>
      </c>
      <c r="S75" s="12" t="str">
        <f>IF(Patient_Data[[#This Row],[Age]]&lt;=18,"Pediatric",IF(Patient_Data[[#This Row],[Age]]&lt;=64,"Adult","Geriatric"))</f>
        <v>Adult</v>
      </c>
    </row>
    <row r="76" spans="1:19" ht="15.75" customHeight="1" x14ac:dyDescent="0.3">
      <c r="A76" s="4" t="s">
        <v>215</v>
      </c>
      <c r="B76" s="5" t="str">
        <f>TEXT(Patient_Data!$E76,"mmmm")</f>
        <v>July</v>
      </c>
      <c r="C76" s="6" t="str">
        <f t="shared" si="0"/>
        <v>Jul</v>
      </c>
      <c r="D76" s="6">
        <f>MONTH(Patient_Data!$E76)</f>
        <v>7</v>
      </c>
      <c r="E76" s="7">
        <v>45497</v>
      </c>
      <c r="F76" s="55" t="str">
        <f>TEXT(Patient_Data[[#This Row],[Admission_Date]],"YYYY")</f>
        <v>2024</v>
      </c>
      <c r="G76" s="8" t="s">
        <v>216</v>
      </c>
      <c r="H76" s="14" t="s">
        <v>111</v>
      </c>
      <c r="I76" s="4" t="s">
        <v>35</v>
      </c>
      <c r="J76" s="4">
        <v>15</v>
      </c>
      <c r="K76" s="4" t="s">
        <v>30</v>
      </c>
      <c r="L76" s="8">
        <v>2</v>
      </c>
      <c r="M76" s="9" t="s">
        <v>79</v>
      </c>
      <c r="N76" s="9" t="str">
        <f t="shared" si="1"/>
        <v>PD</v>
      </c>
      <c r="O76" s="10">
        <v>1506.83</v>
      </c>
      <c r="P76" s="10">
        <v>1161.19</v>
      </c>
      <c r="Q76" s="11">
        <v>2</v>
      </c>
      <c r="R76" s="13" t="str">
        <f>IF(Patient_Data!$L76&lt;2,"Low Risk",IF(Patient_Data!$L76&lt;4,"Moderate Risk","High Risk"))</f>
        <v>Moderate Risk</v>
      </c>
      <c r="S76" s="12" t="str">
        <f>IF(Patient_Data[[#This Row],[Age]]&lt;=18,"Pediatric",IF(Patient_Data[[#This Row],[Age]]&lt;=64,"Adult","Geriatric"))</f>
        <v>Pediatric</v>
      </c>
    </row>
    <row r="77" spans="1:19" ht="15.75" customHeight="1" x14ac:dyDescent="0.3">
      <c r="A77" s="4" t="s">
        <v>217</v>
      </c>
      <c r="B77" s="5" t="str">
        <f>TEXT(Patient_Data!$E77,"mmmm")</f>
        <v>August</v>
      </c>
      <c r="C77" s="6" t="str">
        <f t="shared" si="0"/>
        <v>Aug</v>
      </c>
      <c r="D77" s="6">
        <f>MONTH(Patient_Data!$E77)</f>
        <v>8</v>
      </c>
      <c r="E77" s="7">
        <v>45168</v>
      </c>
      <c r="F77" s="55" t="str">
        <f>TEXT(Patient_Data[[#This Row],[Admission_Date]],"YYYY")</f>
        <v>2023</v>
      </c>
      <c r="G77" s="8" t="s">
        <v>218</v>
      </c>
      <c r="H77" s="14" t="s">
        <v>28</v>
      </c>
      <c r="I77" s="4" t="s">
        <v>29</v>
      </c>
      <c r="J77" s="4">
        <v>83</v>
      </c>
      <c r="K77" s="4" t="s">
        <v>54</v>
      </c>
      <c r="L77" s="8">
        <v>4</v>
      </c>
      <c r="M77" s="9" t="s">
        <v>31</v>
      </c>
      <c r="N77" s="9" t="str">
        <f t="shared" si="1"/>
        <v>Neuro</v>
      </c>
      <c r="O77" s="10">
        <v>13287.45</v>
      </c>
      <c r="P77" s="10">
        <v>7733.92</v>
      </c>
      <c r="Q77" s="11">
        <v>3.4</v>
      </c>
      <c r="R77" s="13" t="str">
        <f>IF(Patient_Data!$L77&lt;2,"Low Risk",IF(Patient_Data!$L77&lt;4,"Moderate Risk","High Risk"))</f>
        <v>High Risk</v>
      </c>
      <c r="S77" s="12" t="str">
        <f>IF(Patient_Data[[#This Row],[Age]]&lt;=18,"Pediatric",IF(Patient_Data[[#This Row],[Age]]&lt;=64,"Adult","Geriatric"))</f>
        <v>Geriatric</v>
      </c>
    </row>
    <row r="78" spans="1:19" ht="15.75" customHeight="1" x14ac:dyDescent="0.3">
      <c r="A78" s="4" t="s">
        <v>219</v>
      </c>
      <c r="B78" s="5" t="str">
        <f>TEXT(Patient_Data!$E78,"mmmm")</f>
        <v>May</v>
      </c>
      <c r="C78" s="6" t="str">
        <f t="shared" si="0"/>
        <v>May</v>
      </c>
      <c r="D78" s="6">
        <f>MONTH(Patient_Data!$E78)</f>
        <v>5</v>
      </c>
      <c r="E78" s="7">
        <v>45796</v>
      </c>
      <c r="F78" s="55" t="str">
        <f>TEXT(Patient_Data[[#This Row],[Admission_Date]],"YYYY")</f>
        <v>2025</v>
      </c>
      <c r="G78" s="8" t="s">
        <v>220</v>
      </c>
      <c r="H78" s="14" t="s">
        <v>164</v>
      </c>
      <c r="I78" s="4" t="s">
        <v>29</v>
      </c>
      <c r="J78" s="4">
        <v>50</v>
      </c>
      <c r="K78" s="4" t="s">
        <v>30</v>
      </c>
      <c r="L78" s="8">
        <v>2</v>
      </c>
      <c r="M78" s="9" t="s">
        <v>31</v>
      </c>
      <c r="N78" s="9" t="str">
        <f t="shared" si="1"/>
        <v>Neuro</v>
      </c>
      <c r="O78" s="10">
        <v>11529.16</v>
      </c>
      <c r="P78" s="10">
        <v>7119.99</v>
      </c>
      <c r="Q78" s="11">
        <v>10.9</v>
      </c>
      <c r="R78" s="13" t="str">
        <f>IF(Patient_Data!$L78&lt;2,"Low Risk",IF(Patient_Data!$L78&lt;4,"Moderate Risk","High Risk"))</f>
        <v>Moderate Risk</v>
      </c>
      <c r="S78" s="12" t="str">
        <f>IF(Patient_Data[[#This Row],[Age]]&lt;=18,"Pediatric",IF(Patient_Data[[#This Row],[Age]]&lt;=64,"Adult","Geriatric"))</f>
        <v>Adult</v>
      </c>
    </row>
    <row r="79" spans="1:19" ht="15.75" customHeight="1" x14ac:dyDescent="0.3">
      <c r="A79" s="4" t="s">
        <v>221</v>
      </c>
      <c r="B79" s="5" t="str">
        <f>TEXT(Patient_Data!$E79,"mmmm")</f>
        <v>December</v>
      </c>
      <c r="C79" s="6" t="str">
        <f t="shared" si="0"/>
        <v>Dec</v>
      </c>
      <c r="D79" s="6">
        <f>MONTH(Patient_Data!$E79)</f>
        <v>12</v>
      </c>
      <c r="E79" s="7">
        <v>45657</v>
      </c>
      <c r="F79" s="55" t="str">
        <f>TEXT(Patient_Data[[#This Row],[Admission_Date]],"YYYY")</f>
        <v>2024</v>
      </c>
      <c r="G79" s="8" t="s">
        <v>222</v>
      </c>
      <c r="H79" s="14" t="s">
        <v>223</v>
      </c>
      <c r="I79" s="4" t="s">
        <v>29</v>
      </c>
      <c r="J79" s="4">
        <v>56</v>
      </c>
      <c r="K79" s="4" t="s">
        <v>30</v>
      </c>
      <c r="L79" s="8">
        <v>3</v>
      </c>
      <c r="M79" s="9" t="s">
        <v>83</v>
      </c>
      <c r="N79" s="9" t="str">
        <f t="shared" si="1"/>
        <v>ER</v>
      </c>
      <c r="O79" s="10">
        <v>4477.41</v>
      </c>
      <c r="P79" s="10">
        <v>2994.34</v>
      </c>
      <c r="Q79" s="11">
        <v>16.100000000000001</v>
      </c>
      <c r="R79" s="13" t="str">
        <f>IF(Patient_Data!$L79&lt;2,"Low Risk",IF(Patient_Data!$L79&lt;4,"Moderate Risk","High Risk"))</f>
        <v>Moderate Risk</v>
      </c>
      <c r="S79" s="12" t="str">
        <f>IF(Patient_Data[[#This Row],[Age]]&lt;=18,"Pediatric",IF(Patient_Data[[#This Row],[Age]]&lt;=64,"Adult","Geriatric"))</f>
        <v>Adult</v>
      </c>
    </row>
    <row r="80" spans="1:19" ht="15.75" customHeight="1" x14ac:dyDescent="0.3">
      <c r="A80" s="4" t="s">
        <v>224</v>
      </c>
      <c r="B80" s="5" t="str">
        <f>TEXT(Patient_Data!$E80,"mmmm")</f>
        <v>December</v>
      </c>
      <c r="C80" s="6" t="str">
        <f t="shared" si="0"/>
        <v>Dec</v>
      </c>
      <c r="D80" s="6">
        <f>MONTH(Patient_Data!$E80)</f>
        <v>12</v>
      </c>
      <c r="E80" s="7">
        <v>45285</v>
      </c>
      <c r="F80" s="55" t="str">
        <f>TEXT(Patient_Data[[#This Row],[Admission_Date]],"YYYY")</f>
        <v>2023</v>
      </c>
      <c r="G80" s="8" t="s">
        <v>225</v>
      </c>
      <c r="H80" s="14" t="s">
        <v>34</v>
      </c>
      <c r="I80" s="4" t="s">
        <v>35</v>
      </c>
      <c r="J80" s="4">
        <v>28</v>
      </c>
      <c r="K80" s="4" t="s">
        <v>30</v>
      </c>
      <c r="L80" s="8">
        <v>1</v>
      </c>
      <c r="M80" s="9" t="s">
        <v>31</v>
      </c>
      <c r="N80" s="9" t="str">
        <f t="shared" si="1"/>
        <v>Neuro</v>
      </c>
      <c r="O80" s="10">
        <v>7581.5</v>
      </c>
      <c r="P80" s="10">
        <v>5108.3999999999996</v>
      </c>
      <c r="Q80" s="11">
        <v>3.6</v>
      </c>
      <c r="R80" s="13" t="str">
        <f>IF(Patient_Data!$L80&lt;2,"Low Risk",IF(Patient_Data!$L80&lt;4,"Moderate Risk","High Risk"))</f>
        <v>Low Risk</v>
      </c>
      <c r="S80" s="12" t="str">
        <f>IF(Patient_Data[[#This Row],[Age]]&lt;=18,"Pediatric",IF(Patient_Data[[#This Row],[Age]]&lt;=64,"Adult","Geriatric"))</f>
        <v>Adult</v>
      </c>
    </row>
    <row r="81" spans="1:19" ht="15.75" customHeight="1" x14ac:dyDescent="0.3">
      <c r="A81" s="4" t="s">
        <v>226</v>
      </c>
      <c r="B81" s="5" t="str">
        <f>TEXT(Patient_Data!$E81,"mmmm")</f>
        <v>January</v>
      </c>
      <c r="C81" s="6" t="str">
        <f t="shared" si="0"/>
        <v>Jan</v>
      </c>
      <c r="D81" s="6">
        <f>MONTH(Patient_Data!$E81)</f>
        <v>1</v>
      </c>
      <c r="E81" s="7">
        <v>45660</v>
      </c>
      <c r="F81" s="55" t="str">
        <f>TEXT(Patient_Data[[#This Row],[Admission_Date]],"YYYY")</f>
        <v>2025</v>
      </c>
      <c r="G81" s="8" t="s">
        <v>227</v>
      </c>
      <c r="H81" s="14" t="s">
        <v>132</v>
      </c>
      <c r="I81" s="4" t="s">
        <v>35</v>
      </c>
      <c r="J81" s="4">
        <v>12</v>
      </c>
      <c r="K81" s="4" t="s">
        <v>54</v>
      </c>
      <c r="L81" s="8">
        <v>1</v>
      </c>
      <c r="M81" s="9" t="s">
        <v>79</v>
      </c>
      <c r="N81" s="9" t="str">
        <f t="shared" si="1"/>
        <v>PD</v>
      </c>
      <c r="O81" s="10">
        <v>1010.37</v>
      </c>
      <c r="P81" s="10">
        <v>739.26</v>
      </c>
      <c r="Q81" s="11">
        <v>4</v>
      </c>
      <c r="R81" s="13" t="str">
        <f>IF(Patient_Data!$L81&lt;2,"Low Risk",IF(Patient_Data!$L81&lt;4,"Moderate Risk","High Risk"))</f>
        <v>Low Risk</v>
      </c>
      <c r="S81" s="12" t="str">
        <f>IF(Patient_Data[[#This Row],[Age]]&lt;=18,"Pediatric",IF(Patient_Data[[#This Row],[Age]]&lt;=64,"Adult","Geriatric"))</f>
        <v>Pediatric</v>
      </c>
    </row>
    <row r="82" spans="1:19" ht="15.75" customHeight="1" x14ac:dyDescent="0.3">
      <c r="A82" s="4" t="s">
        <v>228</v>
      </c>
      <c r="B82" s="5" t="str">
        <f>TEXT(Patient_Data!$E82,"mmmm")</f>
        <v>February</v>
      </c>
      <c r="C82" s="6" t="str">
        <f t="shared" si="0"/>
        <v>Feb</v>
      </c>
      <c r="D82" s="6">
        <f>MONTH(Patient_Data!$E82)</f>
        <v>2</v>
      </c>
      <c r="E82" s="7">
        <v>45328</v>
      </c>
      <c r="F82" s="55" t="str">
        <f>TEXT(Patient_Data[[#This Row],[Admission_Date]],"YYYY")</f>
        <v>2024</v>
      </c>
      <c r="G82" s="8" t="s">
        <v>229</v>
      </c>
      <c r="H82" s="14" t="s">
        <v>164</v>
      </c>
      <c r="I82" s="4" t="s">
        <v>35</v>
      </c>
      <c r="J82" s="4">
        <v>81</v>
      </c>
      <c r="K82" s="4" t="s">
        <v>54</v>
      </c>
      <c r="L82" s="8">
        <v>5</v>
      </c>
      <c r="M82" s="9" t="s">
        <v>46</v>
      </c>
      <c r="N82" s="9" t="str">
        <f t="shared" si="1"/>
        <v>Ortho</v>
      </c>
      <c r="O82" s="10">
        <v>9425.84</v>
      </c>
      <c r="P82" s="10">
        <v>6934.46</v>
      </c>
      <c r="Q82" s="11">
        <v>6.7</v>
      </c>
      <c r="R82" s="13" t="str">
        <f>IF(Patient_Data!$L82&lt;2,"Low Risk",IF(Patient_Data!$L82&lt;4,"Moderate Risk","High Risk"))</f>
        <v>High Risk</v>
      </c>
      <c r="S82" s="12" t="str">
        <f>IF(Patient_Data[[#This Row],[Age]]&lt;=18,"Pediatric",IF(Patient_Data[[#This Row],[Age]]&lt;=64,"Adult","Geriatric"))</f>
        <v>Geriatric</v>
      </c>
    </row>
    <row r="83" spans="1:19" ht="15.75" customHeight="1" x14ac:dyDescent="0.3">
      <c r="A83" s="4" t="s">
        <v>230</v>
      </c>
      <c r="B83" s="5" t="str">
        <f>TEXT(Patient_Data!$E83,"mmmm")</f>
        <v>February</v>
      </c>
      <c r="C83" s="6" t="str">
        <f t="shared" si="0"/>
        <v>Feb</v>
      </c>
      <c r="D83" s="6">
        <f>MONTH(Patient_Data!$E83)</f>
        <v>2</v>
      </c>
      <c r="E83" s="7">
        <v>45342</v>
      </c>
      <c r="F83" s="55" t="str">
        <f>TEXT(Patient_Data[[#This Row],[Admission_Date]],"YYYY")</f>
        <v>2024</v>
      </c>
      <c r="G83" s="8" t="s">
        <v>231</v>
      </c>
      <c r="H83" s="14" t="s">
        <v>101</v>
      </c>
      <c r="I83" s="4" t="s">
        <v>29</v>
      </c>
      <c r="J83" s="4">
        <v>37</v>
      </c>
      <c r="K83" s="4" t="s">
        <v>30</v>
      </c>
      <c r="L83" s="8">
        <v>3</v>
      </c>
      <c r="M83" s="9" t="s">
        <v>39</v>
      </c>
      <c r="N83" s="9" t="str">
        <f t="shared" si="1"/>
        <v>GM</v>
      </c>
      <c r="O83" s="10">
        <v>3495.22</v>
      </c>
      <c r="P83" s="10">
        <v>2725.17</v>
      </c>
      <c r="Q83" s="11">
        <v>8.6</v>
      </c>
      <c r="R83" s="13" t="str">
        <f>IF(Patient_Data!$L83&lt;2,"Low Risk",IF(Patient_Data!$L83&lt;4,"Moderate Risk","High Risk"))</f>
        <v>Moderate Risk</v>
      </c>
      <c r="S83" s="12" t="str">
        <f>IF(Patient_Data[[#This Row],[Age]]&lt;=18,"Pediatric",IF(Patient_Data[[#This Row],[Age]]&lt;=64,"Adult","Geriatric"))</f>
        <v>Adult</v>
      </c>
    </row>
    <row r="84" spans="1:19" ht="15.75" customHeight="1" x14ac:dyDescent="0.3">
      <c r="A84" s="4" t="s">
        <v>232</v>
      </c>
      <c r="B84" s="5" t="str">
        <f>TEXT(Patient_Data!$E84,"mmmm")</f>
        <v>May</v>
      </c>
      <c r="C84" s="6" t="str">
        <f t="shared" si="0"/>
        <v>May</v>
      </c>
      <c r="D84" s="6">
        <f>MONTH(Patient_Data!$E84)</f>
        <v>5</v>
      </c>
      <c r="E84" s="7">
        <v>46162</v>
      </c>
      <c r="F84" s="55" t="str">
        <f>TEXT(Patient_Data[[#This Row],[Admission_Date]],"YYYY")</f>
        <v>2026</v>
      </c>
      <c r="G84" s="8" t="s">
        <v>233</v>
      </c>
      <c r="H84" s="14" t="s">
        <v>164</v>
      </c>
      <c r="I84" s="4" t="s">
        <v>29</v>
      </c>
      <c r="J84" s="4">
        <v>31</v>
      </c>
      <c r="K84" s="4" t="s">
        <v>30</v>
      </c>
      <c r="L84" s="8">
        <v>1</v>
      </c>
      <c r="M84" s="9" t="s">
        <v>31</v>
      </c>
      <c r="N84" s="9" t="str">
        <f t="shared" si="1"/>
        <v>Neuro</v>
      </c>
      <c r="O84" s="10">
        <v>9354.6299999999992</v>
      </c>
      <c r="P84" s="10">
        <v>5472.89</v>
      </c>
      <c r="Q84" s="11">
        <v>5.9</v>
      </c>
      <c r="R84" s="13" t="str">
        <f>IF(Patient_Data!$L84&lt;2,"Low Risk",IF(Patient_Data!$L84&lt;4,"Moderate Risk","High Risk"))</f>
        <v>Low Risk</v>
      </c>
      <c r="S84" s="12" t="str">
        <f>IF(Patient_Data[[#This Row],[Age]]&lt;=18,"Pediatric",IF(Patient_Data[[#This Row],[Age]]&lt;=64,"Adult","Geriatric"))</f>
        <v>Adult</v>
      </c>
    </row>
    <row r="85" spans="1:19" ht="15.75" customHeight="1" x14ac:dyDescent="0.3">
      <c r="A85" s="4" t="s">
        <v>234</v>
      </c>
      <c r="B85" s="5" t="str">
        <f>TEXT(Patient_Data!$E85,"mmmm")</f>
        <v>January</v>
      </c>
      <c r="C85" s="6" t="str">
        <f t="shared" si="0"/>
        <v>Jan</v>
      </c>
      <c r="D85" s="6">
        <f>MONTH(Patient_Data!$E85)</f>
        <v>1</v>
      </c>
      <c r="E85" s="7">
        <v>45308</v>
      </c>
      <c r="F85" s="55" t="str">
        <f>TEXT(Patient_Data[[#This Row],[Admission_Date]],"YYYY")</f>
        <v>2024</v>
      </c>
      <c r="G85" s="8" t="s">
        <v>235</v>
      </c>
      <c r="H85" s="14" t="s">
        <v>236</v>
      </c>
      <c r="I85" s="4" t="s">
        <v>29</v>
      </c>
      <c r="J85" s="4">
        <v>88</v>
      </c>
      <c r="K85" s="4" t="s">
        <v>30</v>
      </c>
      <c r="L85" s="8">
        <v>3</v>
      </c>
      <c r="M85" s="9" t="s">
        <v>46</v>
      </c>
      <c r="N85" s="9" t="str">
        <f t="shared" si="1"/>
        <v>Ortho</v>
      </c>
      <c r="O85" s="10">
        <v>7202.59</v>
      </c>
      <c r="P85" s="10">
        <v>4476.78</v>
      </c>
      <c r="Q85" s="11">
        <v>10.4</v>
      </c>
      <c r="R85" s="13" t="str">
        <f>IF(Patient_Data!$L85&lt;2,"Low Risk",IF(Patient_Data!$L85&lt;4,"Moderate Risk","High Risk"))</f>
        <v>Moderate Risk</v>
      </c>
      <c r="S85" s="12" t="str">
        <f>IF(Patient_Data[[#This Row],[Age]]&lt;=18,"Pediatric",IF(Patient_Data[[#This Row],[Age]]&lt;=64,"Adult","Geriatric"))</f>
        <v>Geriatric</v>
      </c>
    </row>
    <row r="86" spans="1:19" ht="15.75" customHeight="1" x14ac:dyDescent="0.3">
      <c r="A86" s="4" t="s">
        <v>237</v>
      </c>
      <c r="B86" s="5" t="str">
        <f>TEXT(Patient_Data!$E86,"mmmm")</f>
        <v>May</v>
      </c>
      <c r="C86" s="6" t="str">
        <f t="shared" si="0"/>
        <v>May</v>
      </c>
      <c r="D86" s="6">
        <f>MONTH(Patient_Data!$E86)</f>
        <v>5</v>
      </c>
      <c r="E86" s="7">
        <v>45424</v>
      </c>
      <c r="F86" s="55" t="str">
        <f>TEXT(Patient_Data[[#This Row],[Admission_Date]],"YYYY")</f>
        <v>2024</v>
      </c>
      <c r="G86" s="8" t="s">
        <v>238</v>
      </c>
      <c r="H86" s="14" t="s">
        <v>239</v>
      </c>
      <c r="I86" s="4" t="s">
        <v>29</v>
      </c>
      <c r="J86" s="4">
        <v>68</v>
      </c>
      <c r="K86" s="4" t="s">
        <v>30</v>
      </c>
      <c r="L86" s="8">
        <v>2</v>
      </c>
      <c r="M86" s="9" t="s">
        <v>83</v>
      </c>
      <c r="N86" s="9" t="str">
        <f t="shared" si="1"/>
        <v>ER</v>
      </c>
      <c r="O86" s="10">
        <v>6384.04</v>
      </c>
      <c r="P86" s="10">
        <v>4229.79</v>
      </c>
      <c r="Q86" s="11">
        <v>18</v>
      </c>
      <c r="R86" s="13" t="str">
        <f>IF(Patient_Data!$L86&lt;2,"Low Risk",IF(Patient_Data!$L86&lt;4,"Moderate Risk","High Risk"))</f>
        <v>Moderate Risk</v>
      </c>
      <c r="S86" s="12" t="str">
        <f>IF(Patient_Data[[#This Row],[Age]]&lt;=18,"Pediatric",IF(Patient_Data[[#This Row],[Age]]&lt;=64,"Adult","Geriatric"))</f>
        <v>Geriatric</v>
      </c>
    </row>
    <row r="87" spans="1:19" ht="15.75" customHeight="1" x14ac:dyDescent="0.3">
      <c r="A87" s="4" t="s">
        <v>240</v>
      </c>
      <c r="B87" s="5" t="str">
        <f>TEXT(Patient_Data!$E87,"mmmm")</f>
        <v>April</v>
      </c>
      <c r="C87" s="6" t="str">
        <f t="shared" si="0"/>
        <v>Apr</v>
      </c>
      <c r="D87" s="6">
        <f>MONTH(Patient_Data!$E87)</f>
        <v>4</v>
      </c>
      <c r="E87" s="7">
        <v>46140</v>
      </c>
      <c r="F87" s="55" t="str">
        <f>TEXT(Patient_Data[[#This Row],[Admission_Date]],"YYYY")</f>
        <v>2026</v>
      </c>
      <c r="G87" s="8" t="s">
        <v>241</v>
      </c>
      <c r="H87" s="8" t="s">
        <v>98</v>
      </c>
      <c r="I87" s="4" t="s">
        <v>35</v>
      </c>
      <c r="J87" s="4">
        <v>64</v>
      </c>
      <c r="K87" s="4" t="s">
        <v>30</v>
      </c>
      <c r="L87" s="8">
        <v>2</v>
      </c>
      <c r="M87" s="9" t="s">
        <v>31</v>
      </c>
      <c r="N87" s="9" t="str">
        <f t="shared" si="1"/>
        <v>Neuro</v>
      </c>
      <c r="O87" s="10">
        <v>9901.34</v>
      </c>
      <c r="P87" s="10">
        <v>6684.3</v>
      </c>
      <c r="Q87" s="11">
        <v>6.3</v>
      </c>
      <c r="R87" s="13" t="str">
        <f>IF(Patient_Data!$L87&lt;2,"Low Risk",IF(Patient_Data!$L87&lt;4,"Moderate Risk","High Risk"))</f>
        <v>Moderate Risk</v>
      </c>
      <c r="S87" s="12" t="str">
        <f>IF(Patient_Data[[#This Row],[Age]]&lt;=18,"Pediatric",IF(Patient_Data[[#This Row],[Age]]&lt;=64,"Adult","Geriatric"))</f>
        <v>Adult</v>
      </c>
    </row>
    <row r="88" spans="1:19" ht="15.75" customHeight="1" x14ac:dyDescent="0.3">
      <c r="A88" s="4" t="s">
        <v>242</v>
      </c>
      <c r="B88" s="5" t="str">
        <f>TEXT(Patient_Data!$E88,"mmmm")</f>
        <v>August</v>
      </c>
      <c r="C88" s="6" t="str">
        <f t="shared" si="0"/>
        <v>Aug</v>
      </c>
      <c r="D88" s="6">
        <f>MONTH(Patient_Data!$E88)</f>
        <v>8</v>
      </c>
      <c r="E88" s="7">
        <v>45505</v>
      </c>
      <c r="F88" s="55" t="str">
        <f>TEXT(Patient_Data[[#This Row],[Admission_Date]],"YYYY")</f>
        <v>2024</v>
      </c>
      <c r="G88" s="8" t="s">
        <v>243</v>
      </c>
      <c r="H88" s="8" t="s">
        <v>132</v>
      </c>
      <c r="I88" s="4" t="s">
        <v>29</v>
      </c>
      <c r="J88" s="4">
        <v>4</v>
      </c>
      <c r="K88" s="4" t="s">
        <v>30</v>
      </c>
      <c r="L88" s="8">
        <v>1</v>
      </c>
      <c r="M88" s="9" t="s">
        <v>79</v>
      </c>
      <c r="N88" s="9" t="str">
        <f t="shared" si="1"/>
        <v>PD</v>
      </c>
      <c r="O88" s="10">
        <v>1734.96</v>
      </c>
      <c r="P88" s="10">
        <v>1231.27</v>
      </c>
      <c r="Q88" s="11">
        <v>2.1</v>
      </c>
      <c r="R88" s="13" t="str">
        <f>IF(Patient_Data!$L88&lt;2,"Low Risk",IF(Patient_Data!$L88&lt;4,"Moderate Risk","High Risk"))</f>
        <v>Low Risk</v>
      </c>
      <c r="S88" s="12" t="str">
        <f>IF(Patient_Data[[#This Row],[Age]]&lt;=18,"Pediatric",IF(Patient_Data[[#This Row],[Age]]&lt;=64,"Adult","Geriatric"))</f>
        <v>Pediatric</v>
      </c>
    </row>
    <row r="89" spans="1:19" ht="15.75" customHeight="1" x14ac:dyDescent="0.3">
      <c r="A89" s="4" t="s">
        <v>244</v>
      </c>
      <c r="B89" s="5" t="str">
        <f>TEXT(Patient_Data!$E89,"mmmm")</f>
        <v>February</v>
      </c>
      <c r="C89" s="6" t="str">
        <f t="shared" si="0"/>
        <v>Feb</v>
      </c>
      <c r="D89" s="6">
        <f>MONTH(Patient_Data!$E89)</f>
        <v>2</v>
      </c>
      <c r="E89" s="7">
        <v>45709</v>
      </c>
      <c r="F89" s="55" t="str">
        <f>TEXT(Patient_Data[[#This Row],[Admission_Date]],"YYYY")</f>
        <v>2025</v>
      </c>
      <c r="G89" s="8" t="s">
        <v>245</v>
      </c>
      <c r="H89" s="8" t="s">
        <v>53</v>
      </c>
      <c r="I89" s="4" t="s">
        <v>35</v>
      </c>
      <c r="J89" s="4">
        <v>78</v>
      </c>
      <c r="K89" s="4" t="s">
        <v>54</v>
      </c>
      <c r="L89" s="8">
        <v>3</v>
      </c>
      <c r="M89" s="9" t="s">
        <v>39</v>
      </c>
      <c r="N89" s="9" t="str">
        <f t="shared" si="1"/>
        <v>GM</v>
      </c>
      <c r="O89" s="10">
        <v>5545.51</v>
      </c>
      <c r="P89" s="10">
        <v>4126.62</v>
      </c>
      <c r="Q89" s="11">
        <v>9.8000000000000007</v>
      </c>
      <c r="R89" s="13" t="str">
        <f>IF(Patient_Data!$L89&lt;2,"Low Risk",IF(Patient_Data!$L89&lt;4,"Moderate Risk","High Risk"))</f>
        <v>Moderate Risk</v>
      </c>
      <c r="S89" s="12" t="str">
        <f>IF(Patient_Data[[#This Row],[Age]]&lt;=18,"Pediatric",IF(Patient_Data[[#This Row],[Age]]&lt;=64,"Adult","Geriatric"))</f>
        <v>Geriatric</v>
      </c>
    </row>
    <row r="90" spans="1:19" ht="15.75" customHeight="1" x14ac:dyDescent="0.3">
      <c r="A90" s="4" t="s">
        <v>246</v>
      </c>
      <c r="B90" s="5" t="str">
        <f>TEXT(Patient_Data!$E90,"mmmm")</f>
        <v>October</v>
      </c>
      <c r="C90" s="6" t="str">
        <f t="shared" si="0"/>
        <v>Oct</v>
      </c>
      <c r="D90" s="6">
        <f>MONTH(Patient_Data!$E90)</f>
        <v>10</v>
      </c>
      <c r="E90" s="7">
        <v>45931</v>
      </c>
      <c r="F90" s="55" t="str">
        <f>TEXT(Patient_Data[[#This Row],[Admission_Date]],"YYYY")</f>
        <v>2025</v>
      </c>
      <c r="G90" s="8" t="s">
        <v>247</v>
      </c>
      <c r="H90" s="8" t="s">
        <v>82</v>
      </c>
      <c r="I90" s="4" t="s">
        <v>29</v>
      </c>
      <c r="J90" s="4">
        <v>86</v>
      </c>
      <c r="K90" s="4" t="s">
        <v>54</v>
      </c>
      <c r="L90" s="8">
        <v>4</v>
      </c>
      <c r="M90" s="9" t="s">
        <v>72</v>
      </c>
      <c r="N90" s="9" t="str">
        <f t="shared" si="1"/>
        <v>Surgery</v>
      </c>
      <c r="O90" s="10">
        <v>11695.09</v>
      </c>
      <c r="P90" s="10">
        <v>8936.27</v>
      </c>
      <c r="Q90" s="11">
        <v>6</v>
      </c>
      <c r="R90" s="13" t="str">
        <f>IF(Patient_Data!$L90&lt;2,"Low Risk",IF(Patient_Data!$L90&lt;4,"Moderate Risk","High Risk"))</f>
        <v>High Risk</v>
      </c>
      <c r="S90" s="12" t="str">
        <f>IF(Patient_Data[[#This Row],[Age]]&lt;=18,"Pediatric",IF(Patient_Data[[#This Row],[Age]]&lt;=64,"Adult","Geriatric"))</f>
        <v>Geriatric</v>
      </c>
    </row>
    <row r="91" spans="1:19" ht="15.75" customHeight="1" x14ac:dyDescent="0.3">
      <c r="A91" s="4" t="s">
        <v>248</v>
      </c>
      <c r="B91" s="5" t="str">
        <f>TEXT(Patient_Data!$E91,"mmmm")</f>
        <v>February</v>
      </c>
      <c r="C91" s="6" t="str">
        <f t="shared" si="0"/>
        <v>Feb</v>
      </c>
      <c r="D91" s="6">
        <f>MONTH(Patient_Data!$E91)</f>
        <v>2</v>
      </c>
      <c r="E91" s="7">
        <v>46064</v>
      </c>
      <c r="F91" s="55" t="str">
        <f>TEXT(Patient_Data[[#This Row],[Admission_Date]],"YYYY")</f>
        <v>2026</v>
      </c>
      <c r="G91" s="8" t="s">
        <v>249</v>
      </c>
      <c r="H91" s="8" t="s">
        <v>28</v>
      </c>
      <c r="I91" s="4" t="s">
        <v>35</v>
      </c>
      <c r="J91" s="4">
        <v>12</v>
      </c>
      <c r="K91" s="4" t="s">
        <v>54</v>
      </c>
      <c r="L91" s="8">
        <v>3</v>
      </c>
      <c r="M91" s="9" t="s">
        <v>79</v>
      </c>
      <c r="N91" s="9" t="str">
        <f t="shared" si="1"/>
        <v>PD</v>
      </c>
      <c r="O91" s="10">
        <v>2483.83</v>
      </c>
      <c r="P91" s="10">
        <v>1457.42</v>
      </c>
      <c r="Q91" s="11">
        <v>2.1</v>
      </c>
      <c r="R91" s="13" t="str">
        <f>IF(Patient_Data!$L91&lt;2,"Low Risk",IF(Patient_Data!$L91&lt;4,"Moderate Risk","High Risk"))</f>
        <v>Moderate Risk</v>
      </c>
      <c r="S91" s="12" t="str">
        <f>IF(Patient_Data[[#This Row],[Age]]&lt;=18,"Pediatric",IF(Patient_Data[[#This Row],[Age]]&lt;=64,"Adult","Geriatric"))</f>
        <v>Pediatric</v>
      </c>
    </row>
    <row r="92" spans="1:19" ht="15.75" customHeight="1" x14ac:dyDescent="0.3">
      <c r="A92" s="4" t="s">
        <v>250</v>
      </c>
      <c r="B92" s="5" t="str">
        <f>TEXT(Patient_Data!$E92,"mmmm")</f>
        <v>March</v>
      </c>
      <c r="C92" s="6" t="str">
        <f t="shared" si="0"/>
        <v>Mar</v>
      </c>
      <c r="D92" s="6">
        <f>MONTH(Patient_Data!$E92)</f>
        <v>3</v>
      </c>
      <c r="E92" s="7">
        <v>46091</v>
      </c>
      <c r="F92" s="55" t="str">
        <f>TEXT(Patient_Data[[#This Row],[Admission_Date]],"YYYY")</f>
        <v>2026</v>
      </c>
      <c r="G92" s="8" t="s">
        <v>251</v>
      </c>
      <c r="H92" s="8" t="s">
        <v>28</v>
      </c>
      <c r="I92" s="4" t="s">
        <v>35</v>
      </c>
      <c r="J92" s="4">
        <v>72</v>
      </c>
      <c r="K92" s="4" t="s">
        <v>54</v>
      </c>
      <c r="L92" s="8">
        <v>2</v>
      </c>
      <c r="M92" s="9" t="s">
        <v>31</v>
      </c>
      <c r="N92" s="9" t="str">
        <f t="shared" si="1"/>
        <v>Neuro</v>
      </c>
      <c r="O92" s="10">
        <v>10444.280000000001</v>
      </c>
      <c r="P92" s="10">
        <v>6409.41</v>
      </c>
      <c r="Q92" s="11">
        <v>4.8</v>
      </c>
      <c r="R92" s="13" t="str">
        <f>IF(Patient_Data!$L92&lt;2,"Low Risk",IF(Patient_Data!$L92&lt;4,"Moderate Risk","High Risk"))</f>
        <v>Moderate Risk</v>
      </c>
      <c r="S92" s="12" t="str">
        <f>IF(Patient_Data[[#This Row],[Age]]&lt;=18,"Pediatric",IF(Patient_Data[[#This Row],[Age]]&lt;=64,"Adult","Geriatric"))</f>
        <v>Geriatric</v>
      </c>
    </row>
    <row r="93" spans="1:19" ht="15.75" customHeight="1" x14ac:dyDescent="0.3">
      <c r="A93" s="4" t="s">
        <v>252</v>
      </c>
      <c r="B93" s="5" t="str">
        <f>TEXT(Patient_Data!$E93,"mmmm")</f>
        <v>May</v>
      </c>
      <c r="C93" s="6" t="str">
        <f t="shared" si="0"/>
        <v>May</v>
      </c>
      <c r="D93" s="6">
        <f>MONTH(Patient_Data!$E93)</f>
        <v>5</v>
      </c>
      <c r="E93" s="7">
        <v>45414</v>
      </c>
      <c r="F93" s="55" t="str">
        <f>TEXT(Patient_Data[[#This Row],[Admission_Date]],"YYYY")</f>
        <v>2024</v>
      </c>
      <c r="G93" s="8" t="s">
        <v>253</v>
      </c>
      <c r="H93" s="8" t="s">
        <v>34</v>
      </c>
      <c r="I93" s="4" t="s">
        <v>35</v>
      </c>
      <c r="J93" s="4">
        <v>64</v>
      </c>
      <c r="K93" s="4" t="s">
        <v>54</v>
      </c>
      <c r="L93" s="8">
        <v>1</v>
      </c>
      <c r="M93" s="9" t="s">
        <v>31</v>
      </c>
      <c r="N93" s="9" t="str">
        <f t="shared" si="1"/>
        <v>Neuro</v>
      </c>
      <c r="O93" s="10">
        <v>5691.2</v>
      </c>
      <c r="P93" s="10">
        <v>3671.97</v>
      </c>
      <c r="Q93" s="11">
        <v>3.7</v>
      </c>
      <c r="R93" s="13" t="str">
        <f>IF(Patient_Data!$L93&lt;2,"Low Risk",IF(Patient_Data!$L93&lt;4,"Moderate Risk","High Risk"))</f>
        <v>Low Risk</v>
      </c>
      <c r="S93" s="12" t="str">
        <f>IF(Patient_Data[[#This Row],[Age]]&lt;=18,"Pediatric",IF(Patient_Data[[#This Row],[Age]]&lt;=64,"Adult","Geriatric"))</f>
        <v>Adult</v>
      </c>
    </row>
    <row r="94" spans="1:19" ht="15.75" customHeight="1" x14ac:dyDescent="0.3">
      <c r="A94" s="4" t="s">
        <v>254</v>
      </c>
      <c r="B94" s="5" t="str">
        <f>TEXT(Patient_Data!$E94,"mmmm")</f>
        <v>January</v>
      </c>
      <c r="C94" s="6" t="str">
        <f t="shared" si="0"/>
        <v>Jan</v>
      </c>
      <c r="D94" s="6">
        <f>MONTH(Patient_Data!$E94)</f>
        <v>1</v>
      </c>
      <c r="E94" s="7">
        <v>45674</v>
      </c>
      <c r="F94" s="55" t="str">
        <f>TEXT(Patient_Data[[#This Row],[Admission_Date]],"YYYY")</f>
        <v>2025</v>
      </c>
      <c r="G94" s="8" t="s">
        <v>255</v>
      </c>
      <c r="H94" s="8" t="s">
        <v>49</v>
      </c>
      <c r="I94" s="4" t="s">
        <v>35</v>
      </c>
      <c r="J94" s="4">
        <v>50</v>
      </c>
      <c r="K94" s="4" t="s">
        <v>30</v>
      </c>
      <c r="L94" s="8">
        <v>1</v>
      </c>
      <c r="M94" s="9" t="s">
        <v>31</v>
      </c>
      <c r="N94" s="9" t="str">
        <f t="shared" si="1"/>
        <v>Neuro</v>
      </c>
      <c r="O94" s="10">
        <v>5538.27</v>
      </c>
      <c r="P94" s="10">
        <v>3729.04</v>
      </c>
      <c r="Q94" s="11">
        <v>2.2999999999999998</v>
      </c>
      <c r="R94" s="13" t="str">
        <f>IF(Patient_Data!$L94&lt;2,"Low Risk",IF(Patient_Data!$L94&lt;4,"Moderate Risk","High Risk"))</f>
        <v>Low Risk</v>
      </c>
      <c r="S94" s="12" t="str">
        <f>IF(Patient_Data[[#This Row],[Age]]&lt;=18,"Pediatric",IF(Patient_Data[[#This Row],[Age]]&lt;=64,"Adult","Geriatric"))</f>
        <v>Adult</v>
      </c>
    </row>
    <row r="95" spans="1:19" ht="15.75" customHeight="1" x14ac:dyDescent="0.3">
      <c r="A95" s="4" t="s">
        <v>256</v>
      </c>
      <c r="B95" s="5" t="str">
        <f>TEXT(Patient_Data!$E95,"mmmm")</f>
        <v>December</v>
      </c>
      <c r="C95" s="6" t="str">
        <f t="shared" si="0"/>
        <v>Dec</v>
      </c>
      <c r="D95" s="6">
        <f>MONTH(Patient_Data!$E95)</f>
        <v>12</v>
      </c>
      <c r="E95" s="7">
        <v>45627</v>
      </c>
      <c r="F95" s="55" t="str">
        <f>TEXT(Patient_Data[[#This Row],[Admission_Date]],"YYYY")</f>
        <v>2024</v>
      </c>
      <c r="G95" s="8" t="s">
        <v>257</v>
      </c>
      <c r="H95" s="8" t="s">
        <v>75</v>
      </c>
      <c r="I95" s="4" t="s">
        <v>35</v>
      </c>
      <c r="J95" s="4">
        <v>65</v>
      </c>
      <c r="K95" s="4" t="s">
        <v>45</v>
      </c>
      <c r="L95" s="8">
        <v>4</v>
      </c>
      <c r="M95" s="9" t="s">
        <v>72</v>
      </c>
      <c r="N95" s="9" t="str">
        <f t="shared" si="1"/>
        <v>Surgery</v>
      </c>
      <c r="O95" s="10">
        <v>11963.03</v>
      </c>
      <c r="P95" s="10">
        <v>8433.32</v>
      </c>
      <c r="Q95" s="11">
        <v>7.4</v>
      </c>
      <c r="R95" s="13" t="str">
        <f>IF(Patient_Data!$L95&lt;2,"Low Risk",IF(Patient_Data!$L95&lt;4,"Moderate Risk","High Risk"))</f>
        <v>High Risk</v>
      </c>
      <c r="S95" s="12" t="str">
        <f>IF(Patient_Data[[#This Row],[Age]]&lt;=18,"Pediatric",IF(Patient_Data[[#This Row],[Age]]&lt;=64,"Adult","Geriatric"))</f>
        <v>Geriatric</v>
      </c>
    </row>
    <row r="96" spans="1:19" ht="15.75" customHeight="1" x14ac:dyDescent="0.3">
      <c r="A96" s="4" t="s">
        <v>258</v>
      </c>
      <c r="B96" s="5" t="str">
        <f>TEXT(Patient_Data!$E96,"mmmm")</f>
        <v>October</v>
      </c>
      <c r="C96" s="6" t="str">
        <f t="shared" si="0"/>
        <v>Oct</v>
      </c>
      <c r="D96" s="6">
        <f>MONTH(Patient_Data!$E96)</f>
        <v>10</v>
      </c>
      <c r="E96" s="7">
        <v>45210</v>
      </c>
      <c r="F96" s="55" t="str">
        <f>TEXT(Patient_Data[[#This Row],[Admission_Date]],"YYYY")</f>
        <v>2023</v>
      </c>
      <c r="G96" s="8" t="s">
        <v>259</v>
      </c>
      <c r="H96" s="8" t="s">
        <v>28</v>
      </c>
      <c r="I96" s="4" t="s">
        <v>35</v>
      </c>
      <c r="J96" s="4">
        <v>84</v>
      </c>
      <c r="K96" s="4" t="s">
        <v>54</v>
      </c>
      <c r="L96" s="8">
        <v>4</v>
      </c>
      <c r="M96" s="9" t="s">
        <v>31</v>
      </c>
      <c r="N96" s="9" t="str">
        <f t="shared" si="1"/>
        <v>Neuro</v>
      </c>
      <c r="O96" s="10">
        <v>12745.26</v>
      </c>
      <c r="P96" s="10">
        <v>9304.0400000000009</v>
      </c>
      <c r="Q96" s="11"/>
      <c r="R96" s="13" t="str">
        <f>IF(Patient_Data!$L96&lt;2,"Low Risk",IF(Patient_Data!$L96&lt;4,"Moderate Risk","High Risk"))</f>
        <v>High Risk</v>
      </c>
      <c r="S96" s="12" t="str">
        <f>IF(Patient_Data[[#This Row],[Age]]&lt;=18,"Pediatric",IF(Patient_Data[[#This Row],[Age]]&lt;=64,"Adult","Geriatric"))</f>
        <v>Geriatric</v>
      </c>
    </row>
    <row r="97" spans="1:19" ht="15.75" customHeight="1" x14ac:dyDescent="0.3">
      <c r="A97" s="4" t="s">
        <v>260</v>
      </c>
      <c r="B97" s="5" t="str">
        <f>TEXT(Patient_Data!$E97,"mmmm")</f>
        <v>December</v>
      </c>
      <c r="C97" s="6" t="str">
        <f t="shared" si="0"/>
        <v>Dec</v>
      </c>
      <c r="D97" s="6">
        <f>MONTH(Patient_Data!$E97)</f>
        <v>12</v>
      </c>
      <c r="E97" s="7">
        <v>45638</v>
      </c>
      <c r="F97" s="55" t="str">
        <f>TEXT(Patient_Data[[#This Row],[Admission_Date]],"YYYY")</f>
        <v>2024</v>
      </c>
      <c r="G97" s="8" t="s">
        <v>261</v>
      </c>
      <c r="H97" s="8" t="s">
        <v>28</v>
      </c>
      <c r="I97" s="4" t="s">
        <v>29</v>
      </c>
      <c r="J97" s="4">
        <v>57</v>
      </c>
      <c r="K97" s="4" t="s">
        <v>45</v>
      </c>
      <c r="L97" s="8">
        <v>4</v>
      </c>
      <c r="M97" s="9" t="s">
        <v>50</v>
      </c>
      <c r="N97" s="9" t="str">
        <f t="shared" si="1"/>
        <v>ICU</v>
      </c>
      <c r="O97" s="10">
        <v>14707.38</v>
      </c>
      <c r="P97" s="10">
        <v>11288.81</v>
      </c>
      <c r="Q97" s="11">
        <v>13.9</v>
      </c>
      <c r="R97" s="13" t="str">
        <f>IF(Patient_Data!$L97&lt;2,"Low Risk",IF(Patient_Data!$L97&lt;4,"Moderate Risk","High Risk"))</f>
        <v>High Risk</v>
      </c>
      <c r="S97" s="12" t="str">
        <f>IF(Patient_Data[[#This Row],[Age]]&lt;=18,"Pediatric",IF(Patient_Data[[#This Row],[Age]]&lt;=64,"Adult","Geriatric"))</f>
        <v>Adult</v>
      </c>
    </row>
    <row r="98" spans="1:19" ht="15.75" customHeight="1" x14ac:dyDescent="0.3">
      <c r="A98" s="4" t="s">
        <v>262</v>
      </c>
      <c r="B98" s="5" t="str">
        <f>TEXT(Patient_Data!$E98,"mmmm")</f>
        <v>November</v>
      </c>
      <c r="C98" s="6" t="str">
        <f t="shared" si="0"/>
        <v>Nov</v>
      </c>
      <c r="D98" s="6">
        <f>MONTH(Patient_Data!$E98)</f>
        <v>11</v>
      </c>
      <c r="E98" s="7">
        <v>45618</v>
      </c>
      <c r="F98" s="55" t="str">
        <f>TEXT(Patient_Data[[#This Row],[Admission_Date]],"YYYY")</f>
        <v>2024</v>
      </c>
      <c r="G98" s="8" t="s">
        <v>263</v>
      </c>
      <c r="H98" s="8" t="s">
        <v>53</v>
      </c>
      <c r="I98" s="4" t="s">
        <v>35</v>
      </c>
      <c r="J98" s="4">
        <v>73</v>
      </c>
      <c r="K98" s="4" t="s">
        <v>54</v>
      </c>
      <c r="L98" s="8">
        <v>5</v>
      </c>
      <c r="M98" s="9" t="s">
        <v>50</v>
      </c>
      <c r="N98" s="9" t="str">
        <f t="shared" si="1"/>
        <v>ICU</v>
      </c>
      <c r="O98" s="10">
        <v>14836.43</v>
      </c>
      <c r="P98" s="10">
        <v>8605.1299999999992</v>
      </c>
      <c r="Q98" s="11"/>
      <c r="R98" s="13" t="str">
        <f>IF(Patient_Data!$L98&lt;2,"Low Risk",IF(Patient_Data!$L98&lt;4,"Moderate Risk","High Risk"))</f>
        <v>High Risk</v>
      </c>
      <c r="S98" s="12" t="str">
        <f>IF(Patient_Data[[#This Row],[Age]]&lt;=18,"Pediatric",IF(Patient_Data[[#This Row],[Age]]&lt;=64,"Adult","Geriatric"))</f>
        <v>Geriatric</v>
      </c>
    </row>
    <row r="99" spans="1:19" ht="15.75" customHeight="1" x14ac:dyDescent="0.3">
      <c r="A99" s="4" t="s">
        <v>264</v>
      </c>
      <c r="B99" s="5" t="str">
        <f>TEXT(Patient_Data!$E99,"mmmm")</f>
        <v>September</v>
      </c>
      <c r="C99" s="6" t="str">
        <f t="shared" si="0"/>
        <v>Sep</v>
      </c>
      <c r="D99" s="6">
        <f>MONTH(Patient_Data!$E99)</f>
        <v>9</v>
      </c>
      <c r="E99" s="7">
        <v>45181</v>
      </c>
      <c r="F99" s="55" t="str">
        <f>TEXT(Patient_Data[[#This Row],[Admission_Date]],"YYYY")</f>
        <v>2023</v>
      </c>
      <c r="G99" s="8" t="s">
        <v>265</v>
      </c>
      <c r="H99" s="8" t="s">
        <v>28</v>
      </c>
      <c r="I99" s="4" t="s">
        <v>35</v>
      </c>
      <c r="J99" s="4">
        <v>90</v>
      </c>
      <c r="K99" s="4" t="s">
        <v>54</v>
      </c>
      <c r="L99" s="8">
        <v>4</v>
      </c>
      <c r="M99" s="9" t="s">
        <v>50</v>
      </c>
      <c r="N99" s="9" t="str">
        <f t="shared" si="1"/>
        <v>ICU</v>
      </c>
      <c r="O99" s="10">
        <v>18045.560000000001</v>
      </c>
      <c r="P99" s="10">
        <v>11146.99</v>
      </c>
      <c r="Q99" s="11">
        <v>17.399999999999999</v>
      </c>
      <c r="R99" s="13" t="str">
        <f>IF(Patient_Data!$L99&lt;2,"Low Risk",IF(Patient_Data!$L99&lt;4,"Moderate Risk","High Risk"))</f>
        <v>High Risk</v>
      </c>
      <c r="S99" s="12" t="str">
        <f>IF(Patient_Data[[#This Row],[Age]]&lt;=18,"Pediatric",IF(Patient_Data[[#This Row],[Age]]&lt;=64,"Adult","Geriatric"))</f>
        <v>Geriatric</v>
      </c>
    </row>
    <row r="100" spans="1:19" ht="15.75" customHeight="1" x14ac:dyDescent="0.3">
      <c r="A100" s="4" t="s">
        <v>266</v>
      </c>
      <c r="B100" s="5" t="str">
        <f>TEXT(Patient_Data!$E100,"mmmm")</f>
        <v>December</v>
      </c>
      <c r="C100" s="6" t="str">
        <f t="shared" si="0"/>
        <v>Dec</v>
      </c>
      <c r="D100" s="6">
        <f>MONTH(Patient_Data!$E100)</f>
        <v>12</v>
      </c>
      <c r="E100" s="7">
        <v>45287</v>
      </c>
      <c r="F100" s="55" t="str">
        <f>TEXT(Patient_Data[[#This Row],[Admission_Date]],"YYYY")</f>
        <v>2023</v>
      </c>
      <c r="G100" s="8" t="s">
        <v>267</v>
      </c>
      <c r="H100" s="8" t="s">
        <v>82</v>
      </c>
      <c r="I100" s="4" t="s">
        <v>35</v>
      </c>
      <c r="J100" s="4">
        <v>10</v>
      </c>
      <c r="K100" s="4" t="s">
        <v>54</v>
      </c>
      <c r="L100" s="8">
        <v>3</v>
      </c>
      <c r="M100" s="9" t="s">
        <v>79</v>
      </c>
      <c r="N100" s="9" t="str">
        <f t="shared" si="1"/>
        <v>PD</v>
      </c>
      <c r="O100" s="10">
        <v>3084.79</v>
      </c>
      <c r="P100" s="10">
        <v>1997.47</v>
      </c>
      <c r="Q100" s="11">
        <v>2.9</v>
      </c>
      <c r="R100" s="13" t="str">
        <f>IF(Patient_Data!$L100&lt;2,"Low Risk",IF(Patient_Data!$L100&lt;4,"Moderate Risk","High Risk"))</f>
        <v>Moderate Risk</v>
      </c>
      <c r="S100" s="12" t="str">
        <f>IF(Patient_Data[[#This Row],[Age]]&lt;=18,"Pediatric",IF(Patient_Data[[#This Row],[Age]]&lt;=64,"Adult","Geriatric"))</f>
        <v>Pediatric</v>
      </c>
    </row>
    <row r="101" spans="1:19" ht="15.75" customHeight="1" x14ac:dyDescent="0.3">
      <c r="A101" s="4" t="s">
        <v>268</v>
      </c>
      <c r="B101" s="5" t="str">
        <f>TEXT(Patient_Data!$E101,"mmmm")</f>
        <v>December</v>
      </c>
      <c r="C101" s="6" t="str">
        <f t="shared" si="0"/>
        <v>Dec</v>
      </c>
      <c r="D101" s="6">
        <f>MONTH(Patient_Data!$E101)</f>
        <v>12</v>
      </c>
      <c r="E101" s="7">
        <v>45635</v>
      </c>
      <c r="F101" s="55" t="str">
        <f>TEXT(Patient_Data[[#This Row],[Admission_Date]],"YYYY")</f>
        <v>2024</v>
      </c>
      <c r="G101" s="8" t="s">
        <v>269</v>
      </c>
      <c r="H101" s="8" t="s">
        <v>82</v>
      </c>
      <c r="I101" s="4" t="s">
        <v>29</v>
      </c>
      <c r="J101" s="4">
        <v>57</v>
      </c>
      <c r="K101" s="4" t="s">
        <v>30</v>
      </c>
      <c r="L101" s="8">
        <v>2</v>
      </c>
      <c r="M101" s="9" t="s">
        <v>39</v>
      </c>
      <c r="N101" s="9" t="str">
        <f t="shared" si="1"/>
        <v>GM</v>
      </c>
      <c r="O101" s="10">
        <v>2639.94</v>
      </c>
      <c r="P101" s="10">
        <v>1831.96</v>
      </c>
      <c r="Q101" s="11">
        <v>7.9</v>
      </c>
      <c r="R101" s="13" t="str">
        <f>IF(Patient_Data!$L101&lt;2,"Low Risk",IF(Patient_Data!$L101&lt;4,"Moderate Risk","High Risk"))</f>
        <v>Moderate Risk</v>
      </c>
      <c r="S101" s="12" t="str">
        <f>IF(Patient_Data[[#This Row],[Age]]&lt;=18,"Pediatric",IF(Patient_Data[[#This Row],[Age]]&lt;=64,"Adult","Geriatric"))</f>
        <v>Adult</v>
      </c>
    </row>
    <row r="102" spans="1:19" ht="15.75" customHeight="1" x14ac:dyDescent="0.3">
      <c r="A102" s="4" t="s">
        <v>270</v>
      </c>
      <c r="B102" s="5" t="str">
        <f>TEXT(Patient_Data!$E102,"mmmm")</f>
        <v>July</v>
      </c>
      <c r="C102" s="6" t="str">
        <f t="shared" si="0"/>
        <v>Jul</v>
      </c>
      <c r="D102" s="6">
        <f>MONTH(Patient_Data!$E102)</f>
        <v>7</v>
      </c>
      <c r="E102" s="7">
        <v>45843</v>
      </c>
      <c r="F102" s="55" t="str">
        <f>TEXT(Patient_Data[[#This Row],[Admission_Date]],"YYYY")</f>
        <v>2025</v>
      </c>
      <c r="G102" s="8" t="s">
        <v>271</v>
      </c>
      <c r="H102" s="8" t="s">
        <v>53</v>
      </c>
      <c r="I102" s="4" t="s">
        <v>35</v>
      </c>
      <c r="J102" s="4">
        <v>71</v>
      </c>
      <c r="K102" s="4" t="s">
        <v>45</v>
      </c>
      <c r="L102" s="8">
        <v>2</v>
      </c>
      <c r="M102" s="9" t="s">
        <v>39</v>
      </c>
      <c r="N102" s="9" t="str">
        <f t="shared" si="1"/>
        <v>GM</v>
      </c>
      <c r="O102" s="10">
        <v>1892.81</v>
      </c>
      <c r="P102" s="10">
        <v>1400.97</v>
      </c>
      <c r="Q102" s="11">
        <v>9.5</v>
      </c>
      <c r="R102" s="13" t="str">
        <f>IF(Patient_Data!$L102&lt;2,"Low Risk",IF(Patient_Data!$L102&lt;4,"Moderate Risk","High Risk"))</f>
        <v>Moderate Risk</v>
      </c>
      <c r="S102" s="12" t="str">
        <f>IF(Patient_Data[[#This Row],[Age]]&lt;=18,"Pediatric",IF(Patient_Data[[#This Row],[Age]]&lt;=64,"Adult","Geriatric"))</f>
        <v>Geriatric</v>
      </c>
    </row>
    <row r="103" spans="1:19" ht="15.75" customHeight="1" x14ac:dyDescent="0.3">
      <c r="A103" s="4" t="s">
        <v>272</v>
      </c>
      <c r="B103" s="5" t="str">
        <f>TEXT(Patient_Data!$E103,"mmmm")</f>
        <v>May</v>
      </c>
      <c r="C103" s="6" t="str">
        <f t="shared" si="0"/>
        <v>May</v>
      </c>
      <c r="D103" s="6">
        <f>MONTH(Patient_Data!$E103)</f>
        <v>5</v>
      </c>
      <c r="E103" s="7">
        <v>46161</v>
      </c>
      <c r="F103" s="55" t="str">
        <f>TEXT(Patient_Data[[#This Row],[Admission_Date]],"YYYY")</f>
        <v>2026</v>
      </c>
      <c r="G103" s="8" t="s">
        <v>273</v>
      </c>
      <c r="H103" s="8" t="s">
        <v>53</v>
      </c>
      <c r="I103" s="4" t="s">
        <v>35</v>
      </c>
      <c r="J103" s="4">
        <v>57</v>
      </c>
      <c r="K103" s="4" t="s">
        <v>45</v>
      </c>
      <c r="L103" s="8">
        <v>4</v>
      </c>
      <c r="M103" s="9" t="s">
        <v>72</v>
      </c>
      <c r="N103" s="9" t="str">
        <f t="shared" si="1"/>
        <v>Surgery</v>
      </c>
      <c r="O103" s="10">
        <v>18363.29</v>
      </c>
      <c r="P103" s="10">
        <v>13454</v>
      </c>
      <c r="Q103" s="11">
        <v>6.1</v>
      </c>
      <c r="R103" s="13" t="str">
        <f>IF(Patient_Data!$L103&lt;2,"Low Risk",IF(Patient_Data!$L103&lt;4,"Moderate Risk","High Risk"))</f>
        <v>High Risk</v>
      </c>
      <c r="S103" s="12" t="str">
        <f>IF(Patient_Data[[#This Row],[Age]]&lt;=18,"Pediatric",IF(Patient_Data[[#This Row],[Age]]&lt;=64,"Adult","Geriatric"))</f>
        <v>Adult</v>
      </c>
    </row>
    <row r="104" spans="1:19" ht="15.75" customHeight="1" x14ac:dyDescent="0.3">
      <c r="A104" s="4" t="s">
        <v>274</v>
      </c>
      <c r="B104" s="5" t="str">
        <f>TEXT(Patient_Data!$E104,"mmmm")</f>
        <v>April</v>
      </c>
      <c r="C104" s="6" t="str">
        <f t="shared" si="0"/>
        <v>Apr</v>
      </c>
      <c r="D104" s="6">
        <f>MONTH(Patient_Data!$E104)</f>
        <v>4</v>
      </c>
      <c r="E104" s="7">
        <v>46135</v>
      </c>
      <c r="F104" s="55" t="str">
        <f>TEXT(Patient_Data[[#This Row],[Admission_Date]],"YYYY")</f>
        <v>2026</v>
      </c>
      <c r="G104" s="8" t="s">
        <v>275</v>
      </c>
      <c r="H104" s="8" t="s">
        <v>53</v>
      </c>
      <c r="I104" s="4" t="s">
        <v>35</v>
      </c>
      <c r="J104" s="4">
        <v>79</v>
      </c>
      <c r="K104" s="4" t="s">
        <v>30</v>
      </c>
      <c r="L104" s="8">
        <v>3</v>
      </c>
      <c r="M104" s="9" t="s">
        <v>31</v>
      </c>
      <c r="N104" s="9" t="str">
        <f t="shared" si="1"/>
        <v>Neuro</v>
      </c>
      <c r="O104" s="10">
        <v>10144.1</v>
      </c>
      <c r="P104" s="10">
        <v>7798.32</v>
      </c>
      <c r="Q104" s="11">
        <v>11.1</v>
      </c>
      <c r="R104" s="13" t="str">
        <f>IF(Patient_Data!$L104&lt;2,"Low Risk",IF(Patient_Data!$L104&lt;4,"Moderate Risk","High Risk"))</f>
        <v>Moderate Risk</v>
      </c>
      <c r="S104" s="12" t="str">
        <f>IF(Patient_Data[[#This Row],[Age]]&lt;=18,"Pediatric",IF(Patient_Data[[#This Row],[Age]]&lt;=64,"Adult","Geriatric"))</f>
        <v>Geriatric</v>
      </c>
    </row>
    <row r="105" spans="1:19" ht="15.75" customHeight="1" x14ac:dyDescent="0.3">
      <c r="A105" s="4" t="s">
        <v>276</v>
      </c>
      <c r="B105" s="5" t="str">
        <f>TEXT(Patient_Data!$E105,"mmmm")</f>
        <v>January</v>
      </c>
      <c r="C105" s="6" t="str">
        <f t="shared" si="0"/>
        <v>Jan</v>
      </c>
      <c r="D105" s="6">
        <f>MONTH(Patient_Data!$E105)</f>
        <v>1</v>
      </c>
      <c r="E105" s="7">
        <v>45664</v>
      </c>
      <c r="F105" s="55" t="str">
        <f>TEXT(Patient_Data[[#This Row],[Admission_Date]],"YYYY")</f>
        <v>2025</v>
      </c>
      <c r="G105" s="8" t="s">
        <v>277</v>
      </c>
      <c r="H105" s="8" t="s">
        <v>82</v>
      </c>
      <c r="I105" s="4" t="s">
        <v>35</v>
      </c>
      <c r="J105" s="4">
        <v>72</v>
      </c>
      <c r="K105" s="4" t="s">
        <v>45</v>
      </c>
      <c r="L105" s="8">
        <v>5</v>
      </c>
      <c r="M105" s="9" t="s">
        <v>50</v>
      </c>
      <c r="N105" s="9" t="str">
        <f t="shared" si="1"/>
        <v>ICU</v>
      </c>
      <c r="O105" s="10">
        <v>11452.59</v>
      </c>
      <c r="P105" s="10">
        <v>6769.7</v>
      </c>
      <c r="Q105" s="11">
        <v>15.9</v>
      </c>
      <c r="R105" s="13" t="str">
        <f>IF(Patient_Data!$L105&lt;2,"Low Risk",IF(Patient_Data!$L105&lt;4,"Moderate Risk","High Risk"))</f>
        <v>High Risk</v>
      </c>
      <c r="S105" s="12" t="str">
        <f>IF(Patient_Data[[#This Row],[Age]]&lt;=18,"Pediatric",IF(Patient_Data[[#This Row],[Age]]&lt;=64,"Adult","Geriatric"))</f>
        <v>Geriatric</v>
      </c>
    </row>
    <row r="106" spans="1:19" ht="15.75" customHeight="1" x14ac:dyDescent="0.3">
      <c r="A106" s="4" t="s">
        <v>278</v>
      </c>
      <c r="B106" s="5" t="str">
        <f>TEXT(Patient_Data!$E106,"mmmm")</f>
        <v>April</v>
      </c>
      <c r="C106" s="6" t="str">
        <f t="shared" si="0"/>
        <v>Apr</v>
      </c>
      <c r="D106" s="6">
        <f>MONTH(Patient_Data!$E106)</f>
        <v>4</v>
      </c>
      <c r="E106" s="7">
        <v>46135</v>
      </c>
      <c r="F106" s="55" t="str">
        <f>TEXT(Patient_Data[[#This Row],[Admission_Date]],"YYYY")</f>
        <v>2026</v>
      </c>
      <c r="G106" s="8" t="s">
        <v>279</v>
      </c>
      <c r="H106" s="8" t="s">
        <v>28</v>
      </c>
      <c r="I106" s="4" t="s">
        <v>35</v>
      </c>
      <c r="J106" s="4">
        <v>80</v>
      </c>
      <c r="K106" s="4" t="s">
        <v>54</v>
      </c>
      <c r="L106" s="8">
        <v>4</v>
      </c>
      <c r="M106" s="9" t="s">
        <v>36</v>
      </c>
      <c r="N106" s="9" t="str">
        <f t="shared" si="1"/>
        <v>Cardio</v>
      </c>
      <c r="O106" s="10">
        <v>8820.6</v>
      </c>
      <c r="P106" s="10">
        <v>5449.37</v>
      </c>
      <c r="Q106" s="11">
        <v>8.6</v>
      </c>
      <c r="R106" s="13" t="str">
        <f>IF(Patient_Data!$L106&lt;2,"Low Risk",IF(Patient_Data!$L106&lt;4,"Moderate Risk","High Risk"))</f>
        <v>High Risk</v>
      </c>
      <c r="S106" s="12" t="str">
        <f>IF(Patient_Data[[#This Row],[Age]]&lt;=18,"Pediatric",IF(Patient_Data[[#This Row],[Age]]&lt;=64,"Adult","Geriatric"))</f>
        <v>Geriatric</v>
      </c>
    </row>
    <row r="107" spans="1:19" ht="15.75" customHeight="1" x14ac:dyDescent="0.3">
      <c r="A107" s="4" t="s">
        <v>280</v>
      </c>
      <c r="B107" s="5" t="str">
        <f>TEXT(Patient_Data!$E107,"mmmm")</f>
        <v>December</v>
      </c>
      <c r="C107" s="6" t="str">
        <f t="shared" si="0"/>
        <v>Dec</v>
      </c>
      <c r="D107" s="6">
        <f>MONTH(Patient_Data!$E107)</f>
        <v>12</v>
      </c>
      <c r="E107" s="7">
        <v>46000</v>
      </c>
      <c r="F107" s="55" t="str">
        <f>TEXT(Patient_Data[[#This Row],[Admission_Date]],"YYYY")</f>
        <v>2025</v>
      </c>
      <c r="G107" s="8" t="s">
        <v>281</v>
      </c>
      <c r="H107" s="8" t="s">
        <v>49</v>
      </c>
      <c r="I107" s="4" t="s">
        <v>29</v>
      </c>
      <c r="J107" s="4">
        <v>29</v>
      </c>
      <c r="K107" s="4" t="s">
        <v>30</v>
      </c>
      <c r="L107" s="8">
        <v>1</v>
      </c>
      <c r="M107" s="9" t="s">
        <v>31</v>
      </c>
      <c r="N107" s="9" t="str">
        <f t="shared" si="1"/>
        <v>Neuro</v>
      </c>
      <c r="O107" s="10">
        <v>5500.22</v>
      </c>
      <c r="P107" s="10">
        <v>3552.94</v>
      </c>
      <c r="Q107" s="11">
        <v>4.0999999999999996</v>
      </c>
      <c r="R107" s="13" t="str">
        <f>IF(Patient_Data!$L107&lt;2,"Low Risk",IF(Patient_Data!$L107&lt;4,"Moderate Risk","High Risk"))</f>
        <v>Low Risk</v>
      </c>
      <c r="S107" s="12" t="str">
        <f>IF(Patient_Data[[#This Row],[Age]]&lt;=18,"Pediatric",IF(Patient_Data[[#This Row],[Age]]&lt;=64,"Adult","Geriatric"))</f>
        <v>Adult</v>
      </c>
    </row>
    <row r="108" spans="1:19" ht="15.75" customHeight="1" x14ac:dyDescent="0.3">
      <c r="A108" s="4" t="s">
        <v>282</v>
      </c>
      <c r="B108" s="5" t="str">
        <f>TEXT(Patient_Data!$E108,"mmmm")</f>
        <v>September</v>
      </c>
      <c r="C108" s="6" t="str">
        <f t="shared" si="0"/>
        <v>Sep</v>
      </c>
      <c r="D108" s="6">
        <f>MONTH(Patient_Data!$E108)</f>
        <v>9</v>
      </c>
      <c r="E108" s="7">
        <v>45556</v>
      </c>
      <c r="F108" s="55" t="str">
        <f>TEXT(Patient_Data[[#This Row],[Admission_Date]],"YYYY")</f>
        <v>2024</v>
      </c>
      <c r="G108" s="8" t="s">
        <v>283</v>
      </c>
      <c r="H108" s="8" t="s">
        <v>28</v>
      </c>
      <c r="I108" s="4" t="s">
        <v>35</v>
      </c>
      <c r="J108" s="4">
        <v>90</v>
      </c>
      <c r="K108" s="4" t="s">
        <v>54</v>
      </c>
      <c r="L108" s="8">
        <v>4</v>
      </c>
      <c r="M108" s="9" t="s">
        <v>50</v>
      </c>
      <c r="N108" s="9" t="str">
        <f t="shared" si="1"/>
        <v>ICU</v>
      </c>
      <c r="O108" s="10">
        <v>11284.32</v>
      </c>
      <c r="P108" s="10">
        <v>7560.49</v>
      </c>
      <c r="Q108" s="11"/>
      <c r="R108" s="13" t="str">
        <f>IF(Patient_Data!$L108&lt;2,"Low Risk",IF(Patient_Data!$L108&lt;4,"Moderate Risk","High Risk"))</f>
        <v>High Risk</v>
      </c>
      <c r="S108" s="12" t="str">
        <f>IF(Patient_Data[[#This Row],[Age]]&lt;=18,"Pediatric",IF(Patient_Data[[#This Row],[Age]]&lt;=64,"Adult","Geriatric"))</f>
        <v>Geriatric</v>
      </c>
    </row>
    <row r="109" spans="1:19" ht="15.75" customHeight="1" x14ac:dyDescent="0.3">
      <c r="A109" s="4" t="s">
        <v>284</v>
      </c>
      <c r="B109" s="5" t="str">
        <f>TEXT(Patient_Data!$E109,"mmmm")</f>
        <v>January</v>
      </c>
      <c r="C109" s="6" t="str">
        <f t="shared" si="0"/>
        <v>Jan</v>
      </c>
      <c r="D109" s="6">
        <f>MONTH(Patient_Data!$E109)</f>
        <v>1</v>
      </c>
      <c r="E109" s="7">
        <v>46049</v>
      </c>
      <c r="F109" s="55" t="str">
        <f>TEXT(Patient_Data[[#This Row],[Admission_Date]],"YYYY")</f>
        <v>2026</v>
      </c>
      <c r="G109" s="8" t="s">
        <v>285</v>
      </c>
      <c r="H109" s="8" t="s">
        <v>28</v>
      </c>
      <c r="I109" s="4" t="s">
        <v>35</v>
      </c>
      <c r="J109" s="4">
        <v>52</v>
      </c>
      <c r="K109" s="4" t="s">
        <v>30</v>
      </c>
      <c r="L109" s="8">
        <v>1</v>
      </c>
      <c r="M109" s="9" t="s">
        <v>46</v>
      </c>
      <c r="N109" s="9" t="str">
        <f t="shared" si="1"/>
        <v>Ortho</v>
      </c>
      <c r="O109" s="10">
        <v>7849.84</v>
      </c>
      <c r="P109" s="10">
        <v>5561.29</v>
      </c>
      <c r="Q109" s="11">
        <v>8.3000000000000007</v>
      </c>
      <c r="R109" s="13" t="str">
        <f>IF(Patient_Data!$L109&lt;2,"Low Risk",IF(Patient_Data!$L109&lt;4,"Moderate Risk","High Risk"))</f>
        <v>Low Risk</v>
      </c>
      <c r="S109" s="12" t="str">
        <f>IF(Patient_Data[[#This Row],[Age]]&lt;=18,"Pediatric",IF(Patient_Data[[#This Row],[Age]]&lt;=64,"Adult","Geriatric"))</f>
        <v>Adult</v>
      </c>
    </row>
    <row r="110" spans="1:19" ht="15.75" customHeight="1" x14ac:dyDescent="0.3">
      <c r="A110" s="4" t="s">
        <v>286</v>
      </c>
      <c r="B110" s="5" t="str">
        <f>TEXT(Patient_Data!$E110,"mmmm")</f>
        <v>March</v>
      </c>
      <c r="C110" s="6" t="str">
        <f t="shared" si="0"/>
        <v>Mar</v>
      </c>
      <c r="D110" s="6">
        <f>MONTH(Patient_Data!$E110)</f>
        <v>3</v>
      </c>
      <c r="E110" s="7">
        <v>45368</v>
      </c>
      <c r="F110" s="55" t="str">
        <f>TEXT(Patient_Data[[#This Row],[Admission_Date]],"YYYY")</f>
        <v>2024</v>
      </c>
      <c r="G110" s="8" t="s">
        <v>287</v>
      </c>
      <c r="H110" s="8" t="s">
        <v>82</v>
      </c>
      <c r="I110" s="4" t="s">
        <v>29</v>
      </c>
      <c r="J110" s="4">
        <v>32</v>
      </c>
      <c r="K110" s="4" t="s">
        <v>54</v>
      </c>
      <c r="L110" s="8">
        <v>4</v>
      </c>
      <c r="M110" s="9" t="s">
        <v>72</v>
      </c>
      <c r="N110" s="9" t="str">
        <f t="shared" si="1"/>
        <v>Surgery</v>
      </c>
      <c r="O110" s="10">
        <v>22910.18</v>
      </c>
      <c r="P110" s="10">
        <v>16755.63</v>
      </c>
      <c r="Q110" s="11">
        <v>3.9</v>
      </c>
      <c r="R110" s="13" t="str">
        <f>IF(Patient_Data!$L110&lt;2,"Low Risk",IF(Patient_Data!$L110&lt;4,"Moderate Risk","High Risk"))</f>
        <v>High Risk</v>
      </c>
      <c r="S110" s="12" t="str">
        <f>IF(Patient_Data[[#This Row],[Age]]&lt;=18,"Pediatric",IF(Patient_Data[[#This Row],[Age]]&lt;=64,"Adult","Geriatric"))</f>
        <v>Adult</v>
      </c>
    </row>
    <row r="111" spans="1:19" ht="15.75" customHeight="1" x14ac:dyDescent="0.3">
      <c r="A111" s="4" t="s">
        <v>288</v>
      </c>
      <c r="B111" s="5" t="str">
        <f>TEXT(Patient_Data!$E111,"mmmm")</f>
        <v>July</v>
      </c>
      <c r="C111" s="6" t="str">
        <f t="shared" si="0"/>
        <v>Jul</v>
      </c>
      <c r="D111" s="6">
        <f>MONTH(Patient_Data!$E111)</f>
        <v>7</v>
      </c>
      <c r="E111" s="7">
        <v>45861</v>
      </c>
      <c r="F111" s="55" t="str">
        <f>TEXT(Patient_Data[[#This Row],[Admission_Date]],"YYYY")</f>
        <v>2025</v>
      </c>
      <c r="G111" s="8" t="s">
        <v>289</v>
      </c>
      <c r="H111" s="8" t="s">
        <v>34</v>
      </c>
      <c r="I111" s="4" t="s">
        <v>29</v>
      </c>
      <c r="J111" s="4">
        <v>80</v>
      </c>
      <c r="K111" s="4" t="s">
        <v>45</v>
      </c>
      <c r="L111" s="8">
        <v>3</v>
      </c>
      <c r="M111" s="9" t="s">
        <v>72</v>
      </c>
      <c r="N111" s="9" t="str">
        <f t="shared" si="1"/>
        <v>Surgery</v>
      </c>
      <c r="O111" s="10">
        <v>14981.93</v>
      </c>
      <c r="P111" s="10">
        <v>11468.67</v>
      </c>
      <c r="Q111" s="11">
        <v>10.3</v>
      </c>
      <c r="R111" s="13" t="str">
        <f>IF(Patient_Data!$L111&lt;2,"Low Risk",IF(Patient_Data!$L111&lt;4,"Moderate Risk","High Risk"))</f>
        <v>Moderate Risk</v>
      </c>
      <c r="S111" s="12" t="str">
        <f>IF(Patient_Data[[#This Row],[Age]]&lt;=18,"Pediatric",IF(Patient_Data[[#This Row],[Age]]&lt;=64,"Adult","Geriatric"))</f>
        <v>Geriatric</v>
      </c>
    </row>
    <row r="112" spans="1:19" ht="15.75" customHeight="1" x14ac:dyDescent="0.3">
      <c r="A112" s="4" t="s">
        <v>290</v>
      </c>
      <c r="B112" s="5" t="str">
        <f>TEXT(Patient_Data!$E112,"mmmm")</f>
        <v>April</v>
      </c>
      <c r="C112" s="6" t="str">
        <f t="shared" si="0"/>
        <v>Apr</v>
      </c>
      <c r="D112" s="6">
        <f>MONTH(Patient_Data!$E112)</f>
        <v>4</v>
      </c>
      <c r="E112" s="7">
        <v>45390</v>
      </c>
      <c r="F112" s="55" t="str">
        <f>TEXT(Patient_Data[[#This Row],[Admission_Date]],"YYYY")</f>
        <v>2024</v>
      </c>
      <c r="G112" s="8" t="s">
        <v>291</v>
      </c>
      <c r="H112" s="8" t="s">
        <v>98</v>
      </c>
      <c r="I112" s="4" t="s">
        <v>35</v>
      </c>
      <c r="J112" s="4">
        <v>81</v>
      </c>
      <c r="K112" s="4" t="s">
        <v>54</v>
      </c>
      <c r="L112" s="8">
        <v>4</v>
      </c>
      <c r="M112" s="9" t="s">
        <v>50</v>
      </c>
      <c r="N112" s="9" t="str">
        <f t="shared" si="1"/>
        <v>ICU</v>
      </c>
      <c r="O112" s="10">
        <v>13603.14</v>
      </c>
      <c r="P112" s="10">
        <v>7961.02</v>
      </c>
      <c r="Q112" s="11">
        <v>8.9</v>
      </c>
      <c r="R112" s="13" t="str">
        <f>IF(Patient_Data!$L112&lt;2,"Low Risk",IF(Patient_Data!$L112&lt;4,"Moderate Risk","High Risk"))</f>
        <v>High Risk</v>
      </c>
      <c r="S112" s="12" t="str">
        <f>IF(Patient_Data[[#This Row],[Age]]&lt;=18,"Pediatric",IF(Patient_Data[[#This Row],[Age]]&lt;=64,"Adult","Geriatric"))</f>
        <v>Geriatric</v>
      </c>
    </row>
    <row r="113" spans="1:19" ht="15.75" customHeight="1" x14ac:dyDescent="0.3">
      <c r="A113" s="4" t="s">
        <v>292</v>
      </c>
      <c r="B113" s="5" t="str">
        <f>TEXT(Patient_Data!$E113,"mmmm")</f>
        <v>March</v>
      </c>
      <c r="C113" s="6" t="str">
        <f t="shared" si="0"/>
        <v>Mar</v>
      </c>
      <c r="D113" s="6">
        <f>MONTH(Patient_Data!$E113)</f>
        <v>3</v>
      </c>
      <c r="E113" s="7">
        <v>46085</v>
      </c>
      <c r="F113" s="55" t="str">
        <f>TEXT(Patient_Data[[#This Row],[Admission_Date]],"YYYY")</f>
        <v>2026</v>
      </c>
      <c r="G113" s="8" t="s">
        <v>293</v>
      </c>
      <c r="H113" s="8" t="s">
        <v>28</v>
      </c>
      <c r="I113" s="4" t="s">
        <v>35</v>
      </c>
      <c r="J113" s="4">
        <v>95</v>
      </c>
      <c r="K113" s="4" t="s">
        <v>30</v>
      </c>
      <c r="L113" s="8">
        <v>4</v>
      </c>
      <c r="M113" s="9" t="s">
        <v>46</v>
      </c>
      <c r="N113" s="9" t="str">
        <f t="shared" si="1"/>
        <v>Ortho</v>
      </c>
      <c r="O113" s="10">
        <v>10262.950000000001</v>
      </c>
      <c r="P113" s="10">
        <v>6300.4</v>
      </c>
      <c r="Q113" s="11">
        <v>5</v>
      </c>
      <c r="R113" s="13" t="str">
        <f>IF(Patient_Data!$L113&lt;2,"Low Risk",IF(Patient_Data!$L113&lt;4,"Moderate Risk","High Risk"))</f>
        <v>High Risk</v>
      </c>
      <c r="S113" s="12" t="str">
        <f>IF(Patient_Data[[#This Row],[Age]]&lt;=18,"Pediatric",IF(Patient_Data[[#This Row],[Age]]&lt;=64,"Adult","Geriatric"))</f>
        <v>Geriatric</v>
      </c>
    </row>
    <row r="114" spans="1:19" ht="15.75" customHeight="1" x14ac:dyDescent="0.3">
      <c r="A114" s="4" t="s">
        <v>294</v>
      </c>
      <c r="B114" s="5" t="str">
        <f>TEXT(Patient_Data!$E114,"mmmm")</f>
        <v>June</v>
      </c>
      <c r="C114" s="6" t="str">
        <f t="shared" si="0"/>
        <v>Jun</v>
      </c>
      <c r="D114" s="6">
        <f>MONTH(Patient_Data!$E114)</f>
        <v>6</v>
      </c>
      <c r="E114" s="7">
        <v>45454</v>
      </c>
      <c r="F114" s="55" t="str">
        <f>TEXT(Patient_Data[[#This Row],[Admission_Date]],"YYYY")</f>
        <v>2024</v>
      </c>
      <c r="G114" s="8" t="s">
        <v>295</v>
      </c>
      <c r="H114" s="8" t="s">
        <v>132</v>
      </c>
      <c r="I114" s="4" t="s">
        <v>35</v>
      </c>
      <c r="J114" s="4">
        <v>68</v>
      </c>
      <c r="K114" s="4" t="s">
        <v>30</v>
      </c>
      <c r="L114" s="8">
        <v>1</v>
      </c>
      <c r="M114" s="9" t="s">
        <v>83</v>
      </c>
      <c r="N114" s="9" t="str">
        <f t="shared" si="1"/>
        <v>ER</v>
      </c>
      <c r="O114" s="10">
        <v>3646.44</v>
      </c>
      <c r="P114" s="10">
        <v>2456.92</v>
      </c>
      <c r="Q114" s="11">
        <v>15.4</v>
      </c>
      <c r="R114" s="13" t="str">
        <f>IF(Patient_Data!$L114&lt;2,"Low Risk",IF(Patient_Data!$L114&lt;4,"Moderate Risk","High Risk"))</f>
        <v>Low Risk</v>
      </c>
      <c r="S114" s="12" t="str">
        <f>IF(Patient_Data[[#This Row],[Age]]&lt;=18,"Pediatric",IF(Patient_Data[[#This Row],[Age]]&lt;=64,"Adult","Geriatric"))</f>
        <v>Geriatric</v>
      </c>
    </row>
    <row r="115" spans="1:19" ht="15.75" customHeight="1" x14ac:dyDescent="0.3">
      <c r="A115" s="4" t="s">
        <v>296</v>
      </c>
      <c r="B115" s="5" t="str">
        <f>TEXT(Patient_Data!$E115,"mmmm")</f>
        <v>January</v>
      </c>
      <c r="C115" s="6" t="str">
        <f t="shared" si="0"/>
        <v>Jan</v>
      </c>
      <c r="D115" s="6">
        <f>MONTH(Patient_Data!$E115)</f>
        <v>1</v>
      </c>
      <c r="E115" s="7">
        <v>46031</v>
      </c>
      <c r="F115" s="55" t="str">
        <f>TEXT(Patient_Data[[#This Row],[Admission_Date]],"YYYY")</f>
        <v>2026</v>
      </c>
      <c r="G115" s="8" t="s">
        <v>297</v>
      </c>
      <c r="H115" s="8" t="s">
        <v>34</v>
      </c>
      <c r="I115" s="4" t="s">
        <v>35</v>
      </c>
      <c r="J115" s="4">
        <v>66</v>
      </c>
      <c r="K115" s="4" t="s">
        <v>45</v>
      </c>
      <c r="L115" s="8">
        <v>3</v>
      </c>
      <c r="M115" s="9" t="s">
        <v>83</v>
      </c>
      <c r="N115" s="9" t="str">
        <f t="shared" si="1"/>
        <v>ER</v>
      </c>
      <c r="O115" s="10">
        <v>6590.34</v>
      </c>
      <c r="P115" s="10">
        <v>4585.13</v>
      </c>
      <c r="Q115" s="11">
        <v>21.2</v>
      </c>
      <c r="R115" s="13" t="str">
        <f>IF(Patient_Data!$L115&lt;2,"Low Risk",IF(Patient_Data!$L115&lt;4,"Moderate Risk","High Risk"))</f>
        <v>Moderate Risk</v>
      </c>
      <c r="S115" s="12" t="str">
        <f>IF(Patient_Data[[#This Row],[Age]]&lt;=18,"Pediatric",IF(Patient_Data[[#This Row],[Age]]&lt;=64,"Adult","Geriatric"))</f>
        <v>Geriatric</v>
      </c>
    </row>
    <row r="116" spans="1:19" ht="15.75" customHeight="1" x14ac:dyDescent="0.3">
      <c r="A116" s="4" t="s">
        <v>298</v>
      </c>
      <c r="B116" s="5" t="str">
        <f>TEXT(Patient_Data!$E116,"mmmm")</f>
        <v>January</v>
      </c>
      <c r="C116" s="6" t="str">
        <f t="shared" si="0"/>
        <v>Jan</v>
      </c>
      <c r="D116" s="6">
        <f>MONTH(Patient_Data!$E116)</f>
        <v>1</v>
      </c>
      <c r="E116" s="7">
        <v>45678</v>
      </c>
      <c r="F116" s="55" t="str">
        <f>TEXT(Patient_Data[[#This Row],[Admission_Date]],"YYYY")</f>
        <v>2025</v>
      </c>
      <c r="G116" s="8" t="s">
        <v>299</v>
      </c>
      <c r="H116" s="8" t="s">
        <v>28</v>
      </c>
      <c r="I116" s="4" t="s">
        <v>29</v>
      </c>
      <c r="J116" s="4">
        <v>63</v>
      </c>
      <c r="K116" s="4" t="s">
        <v>30</v>
      </c>
      <c r="L116" s="8">
        <v>2</v>
      </c>
      <c r="M116" s="9" t="s">
        <v>39</v>
      </c>
      <c r="N116" s="9" t="str">
        <f t="shared" si="1"/>
        <v>GM</v>
      </c>
      <c r="O116" s="10">
        <v>3062.14</v>
      </c>
      <c r="P116" s="10">
        <v>2198.6999999999998</v>
      </c>
      <c r="Q116" s="11">
        <v>6.9</v>
      </c>
      <c r="R116" s="13" t="str">
        <f>IF(Patient_Data!$L116&lt;2,"Low Risk",IF(Patient_Data!$L116&lt;4,"Moderate Risk","High Risk"))</f>
        <v>Moderate Risk</v>
      </c>
      <c r="S116" s="12" t="str">
        <f>IF(Patient_Data[[#This Row],[Age]]&lt;=18,"Pediatric",IF(Patient_Data[[#This Row],[Age]]&lt;=64,"Adult","Geriatric"))</f>
        <v>Adult</v>
      </c>
    </row>
    <row r="117" spans="1:19" ht="15.75" customHeight="1" x14ac:dyDescent="0.3">
      <c r="A117" s="4" t="s">
        <v>300</v>
      </c>
      <c r="B117" s="5" t="str">
        <f>TEXT(Patient_Data!$E117,"mmmm")</f>
        <v>January</v>
      </c>
      <c r="C117" s="6" t="str">
        <f t="shared" si="0"/>
        <v>Jan</v>
      </c>
      <c r="D117" s="6">
        <f>MONTH(Patient_Data!$E117)</f>
        <v>1</v>
      </c>
      <c r="E117" s="7">
        <v>45321</v>
      </c>
      <c r="F117" s="55" t="str">
        <f>TEXT(Patient_Data[[#This Row],[Admission_Date]],"YYYY")</f>
        <v>2024</v>
      </c>
      <c r="G117" s="8" t="s">
        <v>301</v>
      </c>
      <c r="H117" s="8" t="s">
        <v>53</v>
      </c>
      <c r="I117" s="4" t="s">
        <v>29</v>
      </c>
      <c r="J117" s="4">
        <v>69</v>
      </c>
      <c r="K117" s="4" t="s">
        <v>45</v>
      </c>
      <c r="L117" s="8">
        <v>4</v>
      </c>
      <c r="M117" s="9" t="s">
        <v>46</v>
      </c>
      <c r="N117" s="9" t="str">
        <f t="shared" si="1"/>
        <v>Ortho</v>
      </c>
      <c r="O117" s="10">
        <v>13290.19</v>
      </c>
      <c r="P117" s="10">
        <v>9775.44</v>
      </c>
      <c r="Q117" s="11">
        <v>9.1999999999999993</v>
      </c>
      <c r="R117" s="13" t="str">
        <f>IF(Patient_Data!$L117&lt;2,"Low Risk",IF(Patient_Data!$L117&lt;4,"Moderate Risk","High Risk"))</f>
        <v>High Risk</v>
      </c>
      <c r="S117" s="12" t="str">
        <f>IF(Patient_Data[[#This Row],[Age]]&lt;=18,"Pediatric",IF(Patient_Data[[#This Row],[Age]]&lt;=64,"Adult","Geriatric"))</f>
        <v>Geriatric</v>
      </c>
    </row>
    <row r="118" spans="1:19" ht="15.75" customHeight="1" x14ac:dyDescent="0.3">
      <c r="A118" s="4" t="s">
        <v>302</v>
      </c>
      <c r="B118" s="5" t="str">
        <f>TEXT(Patient_Data!$E118,"mmmm")</f>
        <v>March</v>
      </c>
      <c r="C118" s="6" t="str">
        <f t="shared" si="0"/>
        <v>Mar</v>
      </c>
      <c r="D118" s="6">
        <f>MONTH(Patient_Data!$E118)</f>
        <v>3</v>
      </c>
      <c r="E118" s="7">
        <v>45367</v>
      </c>
      <c r="F118" s="55" t="str">
        <f>TEXT(Patient_Data[[#This Row],[Admission_Date]],"YYYY")</f>
        <v>2024</v>
      </c>
      <c r="G118" s="8" t="s">
        <v>303</v>
      </c>
      <c r="H118" s="8" t="s">
        <v>53</v>
      </c>
      <c r="I118" s="4" t="s">
        <v>35</v>
      </c>
      <c r="J118" s="4">
        <v>70</v>
      </c>
      <c r="K118" s="4" t="s">
        <v>30</v>
      </c>
      <c r="L118" s="8">
        <v>3</v>
      </c>
      <c r="M118" s="9" t="s">
        <v>39</v>
      </c>
      <c r="N118" s="9" t="str">
        <f t="shared" si="1"/>
        <v>GM</v>
      </c>
      <c r="O118" s="10">
        <v>4408.3599999999997</v>
      </c>
      <c r="P118" s="10">
        <v>3423.15</v>
      </c>
      <c r="Q118" s="11">
        <v>9.1</v>
      </c>
      <c r="R118" s="13" t="str">
        <f>IF(Patient_Data!$L118&lt;2,"Low Risk",IF(Patient_Data!$L118&lt;4,"Moderate Risk","High Risk"))</f>
        <v>Moderate Risk</v>
      </c>
      <c r="S118" s="12" t="str">
        <f>IF(Patient_Data[[#This Row],[Age]]&lt;=18,"Pediatric",IF(Patient_Data[[#This Row],[Age]]&lt;=64,"Adult","Geriatric"))</f>
        <v>Geriatric</v>
      </c>
    </row>
    <row r="119" spans="1:19" ht="15.75" customHeight="1" x14ac:dyDescent="0.3">
      <c r="A119" s="4" t="s">
        <v>304</v>
      </c>
      <c r="B119" s="5" t="str">
        <f>TEXT(Patient_Data!$E119,"mmmm")</f>
        <v>September</v>
      </c>
      <c r="C119" s="6" t="str">
        <f t="shared" si="0"/>
        <v>Sep</v>
      </c>
      <c r="D119" s="6">
        <f>MONTH(Patient_Data!$E119)</f>
        <v>9</v>
      </c>
      <c r="E119" s="7">
        <v>45197</v>
      </c>
      <c r="F119" s="55" t="str">
        <f>TEXT(Patient_Data[[#This Row],[Admission_Date]],"YYYY")</f>
        <v>2023</v>
      </c>
      <c r="G119" s="8" t="s">
        <v>305</v>
      </c>
      <c r="H119" s="8" t="s">
        <v>132</v>
      </c>
      <c r="I119" s="4" t="s">
        <v>35</v>
      </c>
      <c r="J119" s="4">
        <v>52</v>
      </c>
      <c r="K119" s="4" t="s">
        <v>30</v>
      </c>
      <c r="L119" s="8">
        <v>3</v>
      </c>
      <c r="M119" s="9" t="s">
        <v>36</v>
      </c>
      <c r="N119" s="9" t="str">
        <f t="shared" si="1"/>
        <v>Cardio</v>
      </c>
      <c r="O119" s="10">
        <v>14505.45</v>
      </c>
      <c r="P119" s="10">
        <v>8445.9599999999991</v>
      </c>
      <c r="Q119" s="11">
        <v>4.0999999999999996</v>
      </c>
      <c r="R119" s="13" t="str">
        <f>IF(Patient_Data!$L119&lt;2,"Low Risk",IF(Patient_Data!$L119&lt;4,"Moderate Risk","High Risk"))</f>
        <v>Moderate Risk</v>
      </c>
      <c r="S119" s="12" t="str">
        <f>IF(Patient_Data[[#This Row],[Age]]&lt;=18,"Pediatric",IF(Patient_Data[[#This Row],[Age]]&lt;=64,"Adult","Geriatric"))</f>
        <v>Adult</v>
      </c>
    </row>
    <row r="120" spans="1:19" ht="15.75" customHeight="1" x14ac:dyDescent="0.3">
      <c r="A120" s="4" t="s">
        <v>306</v>
      </c>
      <c r="B120" s="5" t="str">
        <f>TEXT(Patient_Data!$E120,"mmmm")</f>
        <v>March</v>
      </c>
      <c r="C120" s="6" t="str">
        <f t="shared" si="0"/>
        <v>Mar</v>
      </c>
      <c r="D120" s="6">
        <f>MONTH(Patient_Data!$E120)</f>
        <v>3</v>
      </c>
      <c r="E120" s="7">
        <v>45358</v>
      </c>
      <c r="F120" s="55" t="str">
        <f>TEXT(Patient_Data[[#This Row],[Admission_Date]],"YYYY")</f>
        <v>2024</v>
      </c>
      <c r="G120" s="8" t="s">
        <v>307</v>
      </c>
      <c r="H120" s="8" t="s">
        <v>28</v>
      </c>
      <c r="I120" s="4" t="s">
        <v>35</v>
      </c>
      <c r="J120" s="4">
        <v>58</v>
      </c>
      <c r="K120" s="4" t="s">
        <v>30</v>
      </c>
      <c r="L120" s="8">
        <v>1</v>
      </c>
      <c r="M120" s="9" t="s">
        <v>46</v>
      </c>
      <c r="N120" s="9" t="str">
        <f t="shared" si="1"/>
        <v>Ortho</v>
      </c>
      <c r="O120" s="10">
        <v>4112.9799999999996</v>
      </c>
      <c r="P120" s="10">
        <v>2565.7199999999998</v>
      </c>
      <c r="Q120" s="11">
        <v>7.1</v>
      </c>
      <c r="R120" s="13" t="str">
        <f>IF(Patient_Data!$L120&lt;2,"Low Risk",IF(Patient_Data!$L120&lt;4,"Moderate Risk","High Risk"))</f>
        <v>Low Risk</v>
      </c>
      <c r="S120" s="12" t="str">
        <f>IF(Patient_Data[[#This Row],[Age]]&lt;=18,"Pediatric",IF(Patient_Data[[#This Row],[Age]]&lt;=64,"Adult","Geriatric"))</f>
        <v>Adult</v>
      </c>
    </row>
    <row r="121" spans="1:19" ht="15.75" customHeight="1" x14ac:dyDescent="0.3">
      <c r="A121" s="4" t="s">
        <v>308</v>
      </c>
      <c r="B121" s="5" t="str">
        <f>TEXT(Patient_Data!$E121,"mmmm")</f>
        <v>December</v>
      </c>
      <c r="C121" s="6" t="str">
        <f t="shared" si="0"/>
        <v>Dec</v>
      </c>
      <c r="D121" s="6">
        <f>MONTH(Patient_Data!$E121)</f>
        <v>12</v>
      </c>
      <c r="E121" s="7">
        <v>45651</v>
      </c>
      <c r="F121" s="55" t="str">
        <f>TEXT(Patient_Data[[#This Row],[Admission_Date]],"YYYY")</f>
        <v>2024</v>
      </c>
      <c r="G121" s="8" t="s">
        <v>309</v>
      </c>
      <c r="H121" s="8" t="s">
        <v>49</v>
      </c>
      <c r="I121" s="4" t="s">
        <v>29</v>
      </c>
      <c r="J121" s="4">
        <v>15</v>
      </c>
      <c r="K121" s="4" t="s">
        <v>45</v>
      </c>
      <c r="L121" s="8">
        <v>4</v>
      </c>
      <c r="M121" s="9" t="s">
        <v>79</v>
      </c>
      <c r="N121" s="9" t="str">
        <f t="shared" si="1"/>
        <v>PD</v>
      </c>
      <c r="O121" s="10">
        <v>2260.8200000000002</v>
      </c>
      <c r="P121" s="10">
        <v>1459.72</v>
      </c>
      <c r="Q121" s="11">
        <v>1.6</v>
      </c>
      <c r="R121" s="13" t="str">
        <f>IF(Patient_Data!$L121&lt;2,"Low Risk",IF(Patient_Data!$L121&lt;4,"Moderate Risk","High Risk"))</f>
        <v>High Risk</v>
      </c>
      <c r="S121" s="12" t="str">
        <f>IF(Patient_Data[[#This Row],[Age]]&lt;=18,"Pediatric",IF(Patient_Data[[#This Row],[Age]]&lt;=64,"Adult","Geriatric"))</f>
        <v>Pediatric</v>
      </c>
    </row>
    <row r="122" spans="1:19" ht="15.75" customHeight="1" x14ac:dyDescent="0.3">
      <c r="A122" s="4" t="s">
        <v>310</v>
      </c>
      <c r="B122" s="5" t="str">
        <f>TEXT(Patient_Data!$E122,"mmmm")</f>
        <v>November</v>
      </c>
      <c r="C122" s="6" t="str">
        <f t="shared" si="0"/>
        <v>Nov</v>
      </c>
      <c r="D122" s="6">
        <f>MONTH(Patient_Data!$E122)</f>
        <v>11</v>
      </c>
      <c r="E122" s="7">
        <v>45988</v>
      </c>
      <c r="F122" s="55" t="str">
        <f>TEXT(Patient_Data[[#This Row],[Admission_Date]],"YYYY")</f>
        <v>2025</v>
      </c>
      <c r="G122" s="8" t="s">
        <v>311</v>
      </c>
      <c r="H122" s="8" t="s">
        <v>82</v>
      </c>
      <c r="I122" s="4" t="s">
        <v>29</v>
      </c>
      <c r="J122" s="4">
        <v>21</v>
      </c>
      <c r="K122" s="4" t="s">
        <v>30</v>
      </c>
      <c r="L122" s="8">
        <v>1</v>
      </c>
      <c r="M122" s="9" t="s">
        <v>83</v>
      </c>
      <c r="N122" s="9" t="str">
        <f t="shared" si="1"/>
        <v>ER</v>
      </c>
      <c r="O122" s="10">
        <v>4205.21</v>
      </c>
      <c r="P122" s="10">
        <v>2932.69</v>
      </c>
      <c r="Q122" s="11">
        <v>14.4</v>
      </c>
      <c r="R122" s="13" t="str">
        <f>IF(Patient_Data!$L122&lt;2,"Low Risk",IF(Patient_Data!$L122&lt;4,"Moderate Risk","High Risk"))</f>
        <v>Low Risk</v>
      </c>
      <c r="S122" s="12" t="str">
        <f>IF(Patient_Data[[#This Row],[Age]]&lt;=18,"Pediatric",IF(Patient_Data[[#This Row],[Age]]&lt;=64,"Adult","Geriatric"))</f>
        <v>Adult</v>
      </c>
    </row>
    <row r="123" spans="1:19" ht="15.75" customHeight="1" x14ac:dyDescent="0.3">
      <c r="A123" s="4" t="s">
        <v>312</v>
      </c>
      <c r="B123" s="5" t="str">
        <f>TEXT(Patient_Data!$E123,"mmmm")</f>
        <v>December</v>
      </c>
      <c r="C123" s="6" t="str">
        <f t="shared" si="0"/>
        <v>Dec</v>
      </c>
      <c r="D123" s="6">
        <f>MONTH(Patient_Data!$E123)</f>
        <v>12</v>
      </c>
      <c r="E123" s="7">
        <v>45287</v>
      </c>
      <c r="F123" s="55" t="str">
        <f>TEXT(Patient_Data[[#This Row],[Admission_Date]],"YYYY")</f>
        <v>2023</v>
      </c>
      <c r="G123" s="8" t="s">
        <v>313</v>
      </c>
      <c r="H123" s="8" t="s">
        <v>82</v>
      </c>
      <c r="I123" s="4" t="s">
        <v>35</v>
      </c>
      <c r="J123" s="4">
        <v>34</v>
      </c>
      <c r="K123" s="4" t="s">
        <v>30</v>
      </c>
      <c r="L123" s="8">
        <v>2</v>
      </c>
      <c r="M123" s="9" t="s">
        <v>83</v>
      </c>
      <c r="N123" s="9" t="str">
        <f t="shared" si="1"/>
        <v>ER</v>
      </c>
      <c r="O123" s="10">
        <v>7649.55</v>
      </c>
      <c r="P123" s="10">
        <v>5471.48</v>
      </c>
      <c r="Q123" s="11">
        <v>14.6</v>
      </c>
      <c r="R123" s="13" t="str">
        <f>IF(Patient_Data!$L123&lt;2,"Low Risk",IF(Patient_Data!$L123&lt;4,"Moderate Risk","High Risk"))</f>
        <v>Moderate Risk</v>
      </c>
      <c r="S123" s="12" t="str">
        <f>IF(Patient_Data[[#This Row],[Age]]&lt;=18,"Pediatric",IF(Patient_Data[[#This Row],[Age]]&lt;=64,"Adult","Geriatric"))</f>
        <v>Adult</v>
      </c>
    </row>
    <row r="124" spans="1:19" ht="15.75" customHeight="1" x14ac:dyDescent="0.3">
      <c r="A124" s="4" t="s">
        <v>314</v>
      </c>
      <c r="B124" s="5" t="str">
        <f>TEXT(Patient_Data!$E124,"mmmm")</f>
        <v>July</v>
      </c>
      <c r="C124" s="6" t="str">
        <f t="shared" si="0"/>
        <v>Jul</v>
      </c>
      <c r="D124" s="6">
        <f>MONTH(Patient_Data!$E124)</f>
        <v>7</v>
      </c>
      <c r="E124" s="7">
        <v>45504</v>
      </c>
      <c r="F124" s="55" t="str">
        <f>TEXT(Patient_Data[[#This Row],[Admission_Date]],"YYYY")</f>
        <v>2024</v>
      </c>
      <c r="G124" s="8" t="s">
        <v>315</v>
      </c>
      <c r="H124" s="8" t="s">
        <v>82</v>
      </c>
      <c r="I124" s="4" t="s">
        <v>35</v>
      </c>
      <c r="J124" s="4">
        <v>58</v>
      </c>
      <c r="K124" s="4" t="s">
        <v>30</v>
      </c>
      <c r="L124" s="8">
        <v>1</v>
      </c>
      <c r="M124" s="9" t="s">
        <v>83</v>
      </c>
      <c r="N124" s="9" t="str">
        <f t="shared" si="1"/>
        <v>ER</v>
      </c>
      <c r="O124" s="10">
        <v>7354.12</v>
      </c>
      <c r="P124" s="10">
        <v>5494.91</v>
      </c>
      <c r="Q124" s="11">
        <v>15.8</v>
      </c>
      <c r="R124" s="13" t="str">
        <f>IF(Patient_Data!$L124&lt;2,"Low Risk",IF(Patient_Data!$L124&lt;4,"Moderate Risk","High Risk"))</f>
        <v>Low Risk</v>
      </c>
      <c r="S124" s="12" t="str">
        <f>IF(Patient_Data[[#This Row],[Age]]&lt;=18,"Pediatric",IF(Patient_Data[[#This Row],[Age]]&lt;=64,"Adult","Geriatric"))</f>
        <v>Adult</v>
      </c>
    </row>
    <row r="125" spans="1:19" ht="15.75" customHeight="1" x14ac:dyDescent="0.3">
      <c r="A125" s="4" t="s">
        <v>316</v>
      </c>
      <c r="B125" s="5" t="str">
        <f>TEXT(Patient_Data!$E125,"mmmm")</f>
        <v>October</v>
      </c>
      <c r="C125" s="6" t="str">
        <f t="shared" si="0"/>
        <v>Oct</v>
      </c>
      <c r="D125" s="6">
        <f>MONTH(Patient_Data!$E125)</f>
        <v>10</v>
      </c>
      <c r="E125" s="7">
        <v>45943</v>
      </c>
      <c r="F125" s="55" t="str">
        <f>TEXT(Patient_Data[[#This Row],[Admission_Date]],"YYYY")</f>
        <v>2025</v>
      </c>
      <c r="G125" s="8" t="s">
        <v>317</v>
      </c>
      <c r="H125" s="8" t="s">
        <v>98</v>
      </c>
      <c r="I125" s="4" t="s">
        <v>29</v>
      </c>
      <c r="J125" s="4">
        <v>26</v>
      </c>
      <c r="K125" s="4" t="s">
        <v>30</v>
      </c>
      <c r="L125" s="8">
        <v>1</v>
      </c>
      <c r="M125" s="9" t="s">
        <v>31</v>
      </c>
      <c r="N125" s="9" t="str">
        <f t="shared" si="1"/>
        <v>Neuro</v>
      </c>
      <c r="O125" s="10">
        <v>5002.47</v>
      </c>
      <c r="P125" s="10">
        <v>3828.28</v>
      </c>
      <c r="Q125" s="11">
        <v>3.3</v>
      </c>
      <c r="R125" s="13" t="str">
        <f>IF(Patient_Data!$L125&lt;2,"Low Risk",IF(Patient_Data!$L125&lt;4,"Moderate Risk","High Risk"))</f>
        <v>Low Risk</v>
      </c>
      <c r="S125" s="12" t="str">
        <f>IF(Patient_Data[[#This Row],[Age]]&lt;=18,"Pediatric",IF(Patient_Data[[#This Row],[Age]]&lt;=64,"Adult","Geriatric"))</f>
        <v>Adult</v>
      </c>
    </row>
    <row r="126" spans="1:19" ht="15.75" customHeight="1" x14ac:dyDescent="0.3">
      <c r="A126" s="4" t="s">
        <v>318</v>
      </c>
      <c r="B126" s="5" t="str">
        <f>TEXT(Patient_Data!$E126,"mmmm")</f>
        <v>March</v>
      </c>
      <c r="C126" s="6" t="str">
        <f t="shared" si="0"/>
        <v>Mar</v>
      </c>
      <c r="D126" s="6">
        <f>MONTH(Patient_Data!$E126)</f>
        <v>3</v>
      </c>
      <c r="E126" s="7">
        <v>46098</v>
      </c>
      <c r="F126" s="55" t="str">
        <f>TEXT(Patient_Data[[#This Row],[Admission_Date]],"YYYY")</f>
        <v>2026</v>
      </c>
      <c r="G126" s="8" t="s">
        <v>319</v>
      </c>
      <c r="H126" s="8" t="s">
        <v>53</v>
      </c>
      <c r="I126" s="4" t="s">
        <v>35</v>
      </c>
      <c r="J126" s="4">
        <v>57</v>
      </c>
      <c r="K126" s="4" t="s">
        <v>54</v>
      </c>
      <c r="L126" s="8">
        <v>3</v>
      </c>
      <c r="M126" s="9" t="s">
        <v>46</v>
      </c>
      <c r="N126" s="9" t="str">
        <f t="shared" si="1"/>
        <v>Ortho</v>
      </c>
      <c r="O126" s="10">
        <v>6235.64</v>
      </c>
      <c r="P126" s="10">
        <v>3706.27</v>
      </c>
      <c r="Q126" s="11">
        <v>11.2</v>
      </c>
      <c r="R126" s="13" t="str">
        <f>IF(Patient_Data!$L126&lt;2,"Low Risk",IF(Patient_Data!$L126&lt;4,"Moderate Risk","High Risk"))</f>
        <v>Moderate Risk</v>
      </c>
      <c r="S126" s="12" t="str">
        <f>IF(Patient_Data[[#This Row],[Age]]&lt;=18,"Pediatric",IF(Patient_Data[[#This Row],[Age]]&lt;=64,"Adult","Geriatric"))</f>
        <v>Adult</v>
      </c>
    </row>
    <row r="127" spans="1:19" ht="15.75" customHeight="1" x14ac:dyDescent="0.3">
      <c r="A127" s="4" t="s">
        <v>320</v>
      </c>
      <c r="B127" s="5" t="str">
        <f>TEXT(Patient_Data!$E127,"mmmm")</f>
        <v>April</v>
      </c>
      <c r="C127" s="6" t="str">
        <f t="shared" si="0"/>
        <v>Apr</v>
      </c>
      <c r="D127" s="6">
        <f>MONTH(Patient_Data!$E127)</f>
        <v>4</v>
      </c>
      <c r="E127" s="7">
        <v>45751</v>
      </c>
      <c r="F127" s="55" t="str">
        <f>TEXT(Patient_Data[[#This Row],[Admission_Date]],"YYYY")</f>
        <v>2025</v>
      </c>
      <c r="G127" s="8" t="s">
        <v>321</v>
      </c>
      <c r="H127" s="8" t="s">
        <v>82</v>
      </c>
      <c r="I127" s="4" t="s">
        <v>35</v>
      </c>
      <c r="J127" s="4">
        <v>76</v>
      </c>
      <c r="K127" s="4" t="s">
        <v>54</v>
      </c>
      <c r="L127" s="8">
        <v>2</v>
      </c>
      <c r="M127" s="9" t="s">
        <v>83</v>
      </c>
      <c r="N127" s="9" t="str">
        <f t="shared" si="1"/>
        <v>ER</v>
      </c>
      <c r="O127" s="10">
        <v>3952.84</v>
      </c>
      <c r="P127" s="10">
        <v>2584.83</v>
      </c>
      <c r="Q127" s="11">
        <v>21.7</v>
      </c>
      <c r="R127" s="13" t="str">
        <f>IF(Patient_Data!$L127&lt;2,"Low Risk",IF(Patient_Data!$L127&lt;4,"Moderate Risk","High Risk"))</f>
        <v>Moderate Risk</v>
      </c>
      <c r="S127" s="12" t="str">
        <f>IF(Patient_Data[[#This Row],[Age]]&lt;=18,"Pediatric",IF(Patient_Data[[#This Row],[Age]]&lt;=64,"Adult","Geriatric"))</f>
        <v>Geriatric</v>
      </c>
    </row>
    <row r="128" spans="1:19" ht="15.75" customHeight="1" x14ac:dyDescent="0.3">
      <c r="A128" s="4" t="s">
        <v>322</v>
      </c>
      <c r="B128" s="5" t="str">
        <f>TEXT(Patient_Data!$E128,"mmmm")</f>
        <v>May</v>
      </c>
      <c r="C128" s="6" t="str">
        <f t="shared" si="0"/>
        <v>May</v>
      </c>
      <c r="D128" s="6">
        <f>MONTH(Patient_Data!$E128)</f>
        <v>5</v>
      </c>
      <c r="E128" s="7">
        <v>46163</v>
      </c>
      <c r="F128" s="55" t="str">
        <f>TEXT(Patient_Data[[#This Row],[Admission_Date]],"YYYY")</f>
        <v>2026</v>
      </c>
      <c r="G128" s="8" t="s">
        <v>323</v>
      </c>
      <c r="H128" s="8" t="s">
        <v>28</v>
      </c>
      <c r="I128" s="4" t="s">
        <v>35</v>
      </c>
      <c r="J128" s="4">
        <v>66</v>
      </c>
      <c r="K128" s="4" t="s">
        <v>45</v>
      </c>
      <c r="L128" s="8">
        <v>3</v>
      </c>
      <c r="M128" s="9" t="s">
        <v>50</v>
      </c>
      <c r="N128" s="9" t="str">
        <f t="shared" si="1"/>
        <v>ICU</v>
      </c>
      <c r="O128" s="10">
        <v>12739.66</v>
      </c>
      <c r="P128" s="10">
        <v>8220.58</v>
      </c>
      <c r="Q128" s="11">
        <v>8.4</v>
      </c>
      <c r="R128" s="13" t="str">
        <f>IF(Patient_Data!$L128&lt;2,"Low Risk",IF(Patient_Data!$L128&lt;4,"Moderate Risk","High Risk"))</f>
        <v>Moderate Risk</v>
      </c>
      <c r="S128" s="12" t="str">
        <f>IF(Patient_Data[[#This Row],[Age]]&lt;=18,"Pediatric",IF(Patient_Data[[#This Row],[Age]]&lt;=64,"Adult","Geriatric"))</f>
        <v>Geriatric</v>
      </c>
    </row>
    <row r="129" spans="1:19" ht="15.75" customHeight="1" x14ac:dyDescent="0.3">
      <c r="A129" s="4" t="s">
        <v>324</v>
      </c>
      <c r="B129" s="5" t="str">
        <f>TEXT(Patient_Data!$E129,"mmmm")</f>
        <v>July</v>
      </c>
      <c r="C129" s="6" t="str">
        <f t="shared" si="0"/>
        <v>Jul</v>
      </c>
      <c r="D129" s="6">
        <f>MONTH(Patient_Data!$E129)</f>
        <v>7</v>
      </c>
      <c r="E129" s="7">
        <v>45484</v>
      </c>
      <c r="F129" s="55" t="str">
        <f>TEXT(Patient_Data[[#This Row],[Admission_Date]],"YYYY")</f>
        <v>2024</v>
      </c>
      <c r="G129" s="8" t="s">
        <v>325</v>
      </c>
      <c r="H129" s="8" t="s">
        <v>132</v>
      </c>
      <c r="I129" s="4" t="s">
        <v>29</v>
      </c>
      <c r="J129" s="4">
        <v>89</v>
      </c>
      <c r="K129" s="4" t="s">
        <v>45</v>
      </c>
      <c r="L129" s="8">
        <v>3</v>
      </c>
      <c r="M129" s="9" t="s">
        <v>50</v>
      </c>
      <c r="N129" s="9" t="str">
        <f t="shared" si="1"/>
        <v>ICU</v>
      </c>
      <c r="O129" s="10">
        <v>18589.150000000001</v>
      </c>
      <c r="P129" s="10">
        <v>12525.13</v>
      </c>
      <c r="Q129" s="11">
        <v>8.8000000000000007</v>
      </c>
      <c r="R129" s="13" t="str">
        <f>IF(Patient_Data!$L129&lt;2,"Low Risk",IF(Patient_Data!$L129&lt;4,"Moderate Risk","High Risk"))</f>
        <v>Moderate Risk</v>
      </c>
      <c r="S129" s="12" t="str">
        <f>IF(Patient_Data[[#This Row],[Age]]&lt;=18,"Pediatric",IF(Patient_Data[[#This Row],[Age]]&lt;=64,"Adult","Geriatric"))</f>
        <v>Geriatric</v>
      </c>
    </row>
    <row r="130" spans="1:19" ht="15.75" customHeight="1" x14ac:dyDescent="0.3">
      <c r="A130" s="4" t="s">
        <v>326</v>
      </c>
      <c r="B130" s="5" t="str">
        <f>TEXT(Patient_Data!$E130,"mmmm")</f>
        <v>September</v>
      </c>
      <c r="C130" s="6" t="str">
        <f t="shared" si="0"/>
        <v>Sep</v>
      </c>
      <c r="D130" s="6">
        <f>MONTH(Patient_Data!$E130)</f>
        <v>9</v>
      </c>
      <c r="E130" s="7">
        <v>45555</v>
      </c>
      <c r="F130" s="55" t="str">
        <f>TEXT(Patient_Data[[#This Row],[Admission_Date]],"YYYY")</f>
        <v>2024</v>
      </c>
      <c r="G130" s="8" t="s">
        <v>327</v>
      </c>
      <c r="H130" s="8" t="s">
        <v>34</v>
      </c>
      <c r="I130" s="4" t="s">
        <v>35</v>
      </c>
      <c r="J130" s="4">
        <v>49</v>
      </c>
      <c r="K130" s="4" t="s">
        <v>30</v>
      </c>
      <c r="L130" s="8">
        <v>2</v>
      </c>
      <c r="M130" s="9" t="s">
        <v>46</v>
      </c>
      <c r="N130" s="9" t="str">
        <f t="shared" si="1"/>
        <v>Ortho</v>
      </c>
      <c r="O130" s="10">
        <v>8559.2099999999991</v>
      </c>
      <c r="P130" s="10">
        <v>6074.65</v>
      </c>
      <c r="Q130" s="11">
        <v>10.4</v>
      </c>
      <c r="R130" s="13" t="str">
        <f>IF(Patient_Data!$L130&lt;2,"Low Risk",IF(Patient_Data!$L130&lt;4,"Moderate Risk","High Risk"))</f>
        <v>Moderate Risk</v>
      </c>
      <c r="S130" s="12" t="str">
        <f>IF(Patient_Data[[#This Row],[Age]]&lt;=18,"Pediatric",IF(Patient_Data[[#This Row],[Age]]&lt;=64,"Adult","Geriatric"))</f>
        <v>Adult</v>
      </c>
    </row>
    <row r="131" spans="1:19" ht="15.75" customHeight="1" x14ac:dyDescent="0.3">
      <c r="A131" s="4" t="s">
        <v>328</v>
      </c>
      <c r="B131" s="5" t="str">
        <f>TEXT(Patient_Data!$E131,"mmmm")</f>
        <v>December</v>
      </c>
      <c r="C131" s="6" t="str">
        <f t="shared" si="0"/>
        <v>Dec</v>
      </c>
      <c r="D131" s="6">
        <f>MONTH(Patient_Data!$E131)</f>
        <v>12</v>
      </c>
      <c r="E131" s="7">
        <v>45286</v>
      </c>
      <c r="F131" s="55" t="str">
        <f>TEXT(Patient_Data[[#This Row],[Admission_Date]],"YYYY")</f>
        <v>2023</v>
      </c>
      <c r="G131" s="8" t="s">
        <v>329</v>
      </c>
      <c r="H131" s="8" t="s">
        <v>28</v>
      </c>
      <c r="I131" s="4" t="s">
        <v>29</v>
      </c>
      <c r="J131" s="4">
        <v>63</v>
      </c>
      <c r="K131" s="4" t="s">
        <v>45</v>
      </c>
      <c r="L131" s="8">
        <v>3</v>
      </c>
      <c r="M131" s="9" t="s">
        <v>50</v>
      </c>
      <c r="N131" s="9" t="str">
        <f t="shared" si="1"/>
        <v>ICU</v>
      </c>
      <c r="O131" s="10">
        <v>11864.6</v>
      </c>
      <c r="P131" s="10">
        <v>8732.36</v>
      </c>
      <c r="Q131" s="11">
        <v>8.9</v>
      </c>
      <c r="R131" s="13" t="str">
        <f>IF(Patient_Data!$L131&lt;2,"Low Risk",IF(Patient_Data!$L131&lt;4,"Moderate Risk","High Risk"))</f>
        <v>Moderate Risk</v>
      </c>
      <c r="S131" s="12" t="str">
        <f>IF(Patient_Data[[#This Row],[Age]]&lt;=18,"Pediatric",IF(Patient_Data[[#This Row],[Age]]&lt;=64,"Adult","Geriatric"))</f>
        <v>Adult</v>
      </c>
    </row>
    <row r="132" spans="1:19" ht="15.75" customHeight="1" x14ac:dyDescent="0.3">
      <c r="A132" s="4" t="s">
        <v>330</v>
      </c>
      <c r="B132" s="5" t="str">
        <f>TEXT(Patient_Data!$E132,"mmmm")</f>
        <v>December</v>
      </c>
      <c r="C132" s="6" t="str">
        <f t="shared" si="0"/>
        <v>Dec</v>
      </c>
      <c r="D132" s="6">
        <f>MONTH(Patient_Data!$E132)</f>
        <v>12</v>
      </c>
      <c r="E132" s="7">
        <v>45284</v>
      </c>
      <c r="F132" s="55" t="str">
        <f>TEXT(Patient_Data[[#This Row],[Admission_Date]],"YYYY")</f>
        <v>2023</v>
      </c>
      <c r="G132" s="8" t="s">
        <v>331</v>
      </c>
      <c r="H132" s="8" t="s">
        <v>28</v>
      </c>
      <c r="I132" s="4" t="s">
        <v>29</v>
      </c>
      <c r="J132" s="4">
        <v>56</v>
      </c>
      <c r="K132" s="4" t="s">
        <v>45</v>
      </c>
      <c r="L132" s="8">
        <v>4</v>
      </c>
      <c r="M132" s="9" t="s">
        <v>72</v>
      </c>
      <c r="N132" s="9" t="str">
        <f t="shared" si="1"/>
        <v>Surgery</v>
      </c>
      <c r="O132" s="10">
        <v>22991.52</v>
      </c>
      <c r="P132" s="10">
        <v>17545.560000000001</v>
      </c>
      <c r="Q132" s="11">
        <v>9</v>
      </c>
      <c r="R132" s="13" t="str">
        <f>IF(Patient_Data!$L132&lt;2,"Low Risk",IF(Patient_Data!$L132&lt;4,"Moderate Risk","High Risk"))</f>
        <v>High Risk</v>
      </c>
      <c r="S132" s="12" t="str">
        <f>IF(Patient_Data[[#This Row],[Age]]&lt;=18,"Pediatric",IF(Patient_Data[[#This Row],[Age]]&lt;=64,"Adult","Geriatric"))</f>
        <v>Adult</v>
      </c>
    </row>
    <row r="133" spans="1:19" ht="15.75" customHeight="1" x14ac:dyDescent="0.3">
      <c r="A133" s="4" t="s">
        <v>332</v>
      </c>
      <c r="B133" s="5" t="str">
        <f>TEXT(Patient_Data!$E133,"mmmm")</f>
        <v>May</v>
      </c>
      <c r="C133" s="6" t="str">
        <f t="shared" si="0"/>
        <v>May</v>
      </c>
      <c r="D133" s="6">
        <f>MONTH(Patient_Data!$E133)</f>
        <v>5</v>
      </c>
      <c r="E133" s="7">
        <v>46143</v>
      </c>
      <c r="F133" s="55" t="str">
        <f>TEXT(Patient_Data[[#This Row],[Admission_Date]],"YYYY")</f>
        <v>2026</v>
      </c>
      <c r="G133" s="8" t="s">
        <v>333</v>
      </c>
      <c r="H133" s="8" t="s">
        <v>82</v>
      </c>
      <c r="I133" s="4" t="s">
        <v>35</v>
      </c>
      <c r="J133" s="4">
        <v>39</v>
      </c>
      <c r="K133" s="4" t="s">
        <v>30</v>
      </c>
      <c r="L133" s="8">
        <v>1</v>
      </c>
      <c r="M133" s="9" t="s">
        <v>83</v>
      </c>
      <c r="N133" s="9" t="str">
        <f t="shared" si="1"/>
        <v>ER</v>
      </c>
      <c r="O133" s="10">
        <v>3175.03</v>
      </c>
      <c r="P133" s="10">
        <v>1951.12</v>
      </c>
      <c r="Q133" s="11">
        <v>13.7</v>
      </c>
      <c r="R133" s="13" t="str">
        <f>IF(Patient_Data!$L133&lt;2,"Low Risk",IF(Patient_Data!$L133&lt;4,"Moderate Risk","High Risk"))</f>
        <v>Low Risk</v>
      </c>
      <c r="S133" s="12" t="str">
        <f>IF(Patient_Data[[#This Row],[Age]]&lt;=18,"Pediatric",IF(Patient_Data[[#This Row],[Age]]&lt;=64,"Adult","Geriatric"))</f>
        <v>Adult</v>
      </c>
    </row>
    <row r="134" spans="1:19" ht="15.75" customHeight="1" x14ac:dyDescent="0.3">
      <c r="A134" s="4" t="s">
        <v>334</v>
      </c>
      <c r="B134" s="5" t="str">
        <f>TEXT(Patient_Data!$E134,"mmmm")</f>
        <v>June</v>
      </c>
      <c r="C134" s="6" t="str">
        <f t="shared" si="0"/>
        <v>Jun</v>
      </c>
      <c r="D134" s="6">
        <f>MONTH(Patient_Data!$E134)</f>
        <v>6</v>
      </c>
      <c r="E134" s="7">
        <v>46196</v>
      </c>
      <c r="F134" s="55" t="str">
        <f>TEXT(Patient_Data[[#This Row],[Admission_Date]],"YYYY")</f>
        <v>2026</v>
      </c>
      <c r="G134" s="8" t="s">
        <v>335</v>
      </c>
      <c r="H134" s="8" t="s">
        <v>28</v>
      </c>
      <c r="I134" s="4" t="s">
        <v>29</v>
      </c>
      <c r="J134" s="4">
        <v>61</v>
      </c>
      <c r="K134" s="4" t="s">
        <v>30</v>
      </c>
      <c r="L134" s="8">
        <v>3</v>
      </c>
      <c r="M134" s="9" t="s">
        <v>50</v>
      </c>
      <c r="N134" s="9" t="str">
        <f t="shared" si="1"/>
        <v>ICU</v>
      </c>
      <c r="O134" s="10">
        <v>12717.24</v>
      </c>
      <c r="P134" s="10">
        <v>7837.52</v>
      </c>
      <c r="Q134" s="11">
        <v>10</v>
      </c>
      <c r="R134" s="13" t="str">
        <f>IF(Patient_Data!$L134&lt;2,"Low Risk",IF(Patient_Data!$L134&lt;4,"Moderate Risk","High Risk"))</f>
        <v>Moderate Risk</v>
      </c>
      <c r="S134" s="12" t="str">
        <f>IF(Patient_Data[[#This Row],[Age]]&lt;=18,"Pediatric",IF(Patient_Data[[#This Row],[Age]]&lt;=64,"Adult","Geriatric"))</f>
        <v>Adult</v>
      </c>
    </row>
    <row r="135" spans="1:19" ht="15.75" customHeight="1" x14ac:dyDescent="0.3">
      <c r="A135" s="4" t="s">
        <v>336</v>
      </c>
      <c r="B135" s="5" t="str">
        <f>TEXT(Patient_Data!$E135,"mmmm")</f>
        <v>July</v>
      </c>
      <c r="C135" s="6" t="str">
        <f t="shared" si="0"/>
        <v>Jul</v>
      </c>
      <c r="D135" s="6">
        <f>MONTH(Patient_Data!$E135)</f>
        <v>7</v>
      </c>
      <c r="E135" s="7">
        <v>45489</v>
      </c>
      <c r="F135" s="55" t="str">
        <f>TEXT(Patient_Data[[#This Row],[Admission_Date]],"YYYY")</f>
        <v>2024</v>
      </c>
      <c r="G135" s="8" t="s">
        <v>337</v>
      </c>
      <c r="H135" s="8" t="s">
        <v>82</v>
      </c>
      <c r="I135" s="4" t="s">
        <v>29</v>
      </c>
      <c r="J135" s="4">
        <v>69</v>
      </c>
      <c r="K135" s="4" t="s">
        <v>30</v>
      </c>
      <c r="L135" s="8">
        <v>2</v>
      </c>
      <c r="M135" s="9" t="s">
        <v>36</v>
      </c>
      <c r="N135" s="9" t="str">
        <f t="shared" si="1"/>
        <v>Cardio</v>
      </c>
      <c r="O135" s="10">
        <v>12787.21</v>
      </c>
      <c r="P135" s="10">
        <v>8221.41</v>
      </c>
      <c r="Q135" s="11">
        <v>4.7</v>
      </c>
      <c r="R135" s="13" t="str">
        <f>IF(Patient_Data!$L135&lt;2,"Low Risk",IF(Patient_Data!$L135&lt;4,"Moderate Risk","High Risk"))</f>
        <v>Moderate Risk</v>
      </c>
      <c r="S135" s="12" t="str">
        <f>IF(Patient_Data[[#This Row],[Age]]&lt;=18,"Pediatric",IF(Patient_Data[[#This Row],[Age]]&lt;=64,"Adult","Geriatric"))</f>
        <v>Geriatric</v>
      </c>
    </row>
    <row r="136" spans="1:19" ht="15.75" customHeight="1" x14ac:dyDescent="0.3">
      <c r="A136" s="4" t="s">
        <v>338</v>
      </c>
      <c r="B136" s="5" t="str">
        <f>TEXT(Patient_Data!$E136,"mmmm")</f>
        <v>February</v>
      </c>
      <c r="C136" s="6" t="str">
        <f t="shared" si="0"/>
        <v>Feb</v>
      </c>
      <c r="D136" s="6">
        <f>MONTH(Patient_Data!$E136)</f>
        <v>2</v>
      </c>
      <c r="E136" s="7">
        <v>45331</v>
      </c>
      <c r="F136" s="55" t="str">
        <f>TEXT(Patient_Data[[#This Row],[Admission_Date]],"YYYY")</f>
        <v>2024</v>
      </c>
      <c r="G136" s="8" t="s">
        <v>339</v>
      </c>
      <c r="H136" s="8" t="s">
        <v>132</v>
      </c>
      <c r="I136" s="4" t="s">
        <v>29</v>
      </c>
      <c r="J136" s="4">
        <v>75</v>
      </c>
      <c r="K136" s="4" t="s">
        <v>30</v>
      </c>
      <c r="L136" s="8">
        <v>3</v>
      </c>
      <c r="M136" s="9" t="s">
        <v>31</v>
      </c>
      <c r="N136" s="9" t="str">
        <f t="shared" si="1"/>
        <v>Neuro</v>
      </c>
      <c r="O136" s="10">
        <v>5908.83</v>
      </c>
      <c r="P136" s="10">
        <v>3988.52</v>
      </c>
      <c r="Q136" s="11">
        <v>3.7</v>
      </c>
      <c r="R136" s="13" t="str">
        <f>IF(Patient_Data!$L136&lt;2,"Low Risk",IF(Patient_Data!$L136&lt;4,"Moderate Risk","High Risk"))</f>
        <v>Moderate Risk</v>
      </c>
      <c r="S136" s="12" t="str">
        <f>IF(Patient_Data[[#This Row],[Age]]&lt;=18,"Pediatric",IF(Patient_Data[[#This Row],[Age]]&lt;=64,"Adult","Geriatric"))</f>
        <v>Geriatric</v>
      </c>
    </row>
    <row r="137" spans="1:19" ht="15.75" customHeight="1" x14ac:dyDescent="0.3">
      <c r="A137" s="4" t="s">
        <v>340</v>
      </c>
      <c r="B137" s="5" t="str">
        <f>TEXT(Patient_Data!$E137,"mmmm")</f>
        <v>September</v>
      </c>
      <c r="C137" s="6" t="str">
        <f t="shared" si="0"/>
        <v>Sep</v>
      </c>
      <c r="D137" s="6">
        <f>MONTH(Patient_Data!$E137)</f>
        <v>9</v>
      </c>
      <c r="E137" s="7">
        <v>45547</v>
      </c>
      <c r="F137" s="55" t="str">
        <f>TEXT(Patient_Data[[#This Row],[Admission_Date]],"YYYY")</f>
        <v>2024</v>
      </c>
      <c r="G137" s="8" t="s">
        <v>341</v>
      </c>
      <c r="H137" s="8" t="s">
        <v>82</v>
      </c>
      <c r="I137" s="4" t="s">
        <v>29</v>
      </c>
      <c r="J137" s="4">
        <v>50</v>
      </c>
      <c r="K137" s="4" t="s">
        <v>30</v>
      </c>
      <c r="L137" s="8">
        <v>1</v>
      </c>
      <c r="M137" s="9" t="s">
        <v>36</v>
      </c>
      <c r="N137" s="9" t="str">
        <f t="shared" si="1"/>
        <v>Cardio</v>
      </c>
      <c r="O137" s="10">
        <v>8392.8799999999992</v>
      </c>
      <c r="P137" s="10">
        <v>5895.02</v>
      </c>
      <c r="Q137" s="11">
        <v>2.5</v>
      </c>
      <c r="R137" s="13" t="str">
        <f>IF(Patient_Data!$L137&lt;2,"Low Risk",IF(Patient_Data!$L137&lt;4,"Moderate Risk","High Risk"))</f>
        <v>Low Risk</v>
      </c>
      <c r="S137" s="12" t="str">
        <f>IF(Patient_Data[[#This Row],[Age]]&lt;=18,"Pediatric",IF(Patient_Data[[#This Row],[Age]]&lt;=64,"Adult","Geriatric"))</f>
        <v>Adult</v>
      </c>
    </row>
    <row r="138" spans="1:19" ht="15.75" customHeight="1" x14ac:dyDescent="0.3">
      <c r="A138" s="4" t="s">
        <v>342</v>
      </c>
      <c r="B138" s="5" t="str">
        <f>TEXT(Patient_Data!$E138,"mmmm")</f>
        <v>January</v>
      </c>
      <c r="C138" s="6" t="str">
        <f t="shared" si="0"/>
        <v>Jan</v>
      </c>
      <c r="D138" s="6">
        <f>MONTH(Patient_Data!$E138)</f>
        <v>1</v>
      </c>
      <c r="E138" s="7">
        <v>45307</v>
      </c>
      <c r="F138" s="55" t="str">
        <f>TEXT(Patient_Data[[#This Row],[Admission_Date]],"YYYY")</f>
        <v>2024</v>
      </c>
      <c r="G138" s="8" t="s">
        <v>343</v>
      </c>
      <c r="H138" s="8" t="s">
        <v>132</v>
      </c>
      <c r="I138" s="4" t="s">
        <v>29</v>
      </c>
      <c r="J138" s="4">
        <v>76</v>
      </c>
      <c r="K138" s="4" t="s">
        <v>54</v>
      </c>
      <c r="L138" s="8">
        <v>4</v>
      </c>
      <c r="M138" s="9" t="s">
        <v>83</v>
      </c>
      <c r="N138" s="9" t="str">
        <f t="shared" si="1"/>
        <v>ER</v>
      </c>
      <c r="O138" s="10">
        <v>7447.71</v>
      </c>
      <c r="P138" s="10">
        <v>5612.03</v>
      </c>
      <c r="Q138" s="11">
        <v>21.9</v>
      </c>
      <c r="R138" s="13" t="str">
        <f>IF(Patient_Data!$L138&lt;2,"Low Risk",IF(Patient_Data!$L138&lt;4,"Moderate Risk","High Risk"))</f>
        <v>High Risk</v>
      </c>
      <c r="S138" s="12" t="str">
        <f>IF(Patient_Data[[#This Row],[Age]]&lt;=18,"Pediatric",IF(Patient_Data[[#This Row],[Age]]&lt;=64,"Adult","Geriatric"))</f>
        <v>Geriatric</v>
      </c>
    </row>
    <row r="139" spans="1:19" ht="15.75" customHeight="1" x14ac:dyDescent="0.3">
      <c r="A139" s="4" t="s">
        <v>344</v>
      </c>
      <c r="B139" s="5" t="str">
        <f>TEXT(Patient_Data!$E139,"mmmm")</f>
        <v>January</v>
      </c>
      <c r="C139" s="6" t="str">
        <f t="shared" si="0"/>
        <v>Jan</v>
      </c>
      <c r="D139" s="6">
        <f>MONTH(Patient_Data!$E139)</f>
        <v>1</v>
      </c>
      <c r="E139" s="7">
        <v>45306</v>
      </c>
      <c r="F139" s="55" t="str">
        <f>TEXT(Patient_Data[[#This Row],[Admission_Date]],"YYYY")</f>
        <v>2024</v>
      </c>
      <c r="G139" s="8" t="s">
        <v>345</v>
      </c>
      <c r="H139" s="8" t="s">
        <v>28</v>
      </c>
      <c r="I139" s="4" t="s">
        <v>35</v>
      </c>
      <c r="J139" s="4">
        <v>47</v>
      </c>
      <c r="K139" s="4" t="s">
        <v>30</v>
      </c>
      <c r="L139" s="8">
        <v>3</v>
      </c>
      <c r="M139" s="9" t="s">
        <v>36</v>
      </c>
      <c r="N139" s="9" t="str">
        <f t="shared" si="1"/>
        <v>Cardio</v>
      </c>
      <c r="O139" s="10">
        <v>6261.44</v>
      </c>
      <c r="P139" s="10">
        <v>4805.8900000000003</v>
      </c>
      <c r="Q139" s="11">
        <v>5.9</v>
      </c>
      <c r="R139" s="13" t="str">
        <f>IF(Patient_Data!$L139&lt;2,"Low Risk",IF(Patient_Data!$L139&lt;4,"Moderate Risk","High Risk"))</f>
        <v>Moderate Risk</v>
      </c>
      <c r="S139" s="12" t="str">
        <f>IF(Patient_Data[[#This Row],[Age]]&lt;=18,"Pediatric",IF(Patient_Data[[#This Row],[Age]]&lt;=64,"Adult","Geriatric"))</f>
        <v>Adult</v>
      </c>
    </row>
    <row r="140" spans="1:19" ht="15.75" customHeight="1" x14ac:dyDescent="0.3">
      <c r="A140" s="4" t="s">
        <v>346</v>
      </c>
      <c r="B140" s="5" t="str">
        <f>TEXT(Patient_Data!$E140,"mmmm")</f>
        <v>January</v>
      </c>
      <c r="C140" s="6" t="str">
        <f t="shared" si="0"/>
        <v>Jan</v>
      </c>
      <c r="D140" s="6">
        <f>MONTH(Patient_Data!$E140)</f>
        <v>1</v>
      </c>
      <c r="E140" s="7">
        <v>45671</v>
      </c>
      <c r="F140" s="55" t="str">
        <f>TEXT(Patient_Data[[#This Row],[Admission_Date]],"YYYY")</f>
        <v>2025</v>
      </c>
      <c r="G140" s="8" t="s">
        <v>347</v>
      </c>
      <c r="H140" s="8" t="s">
        <v>53</v>
      </c>
      <c r="I140" s="4" t="s">
        <v>29</v>
      </c>
      <c r="J140" s="4">
        <v>54</v>
      </c>
      <c r="K140" s="4" t="s">
        <v>30</v>
      </c>
      <c r="L140" s="8">
        <v>1</v>
      </c>
      <c r="M140" s="9" t="s">
        <v>46</v>
      </c>
      <c r="N140" s="9" t="str">
        <f t="shared" si="1"/>
        <v>Ortho</v>
      </c>
      <c r="O140" s="10">
        <v>4606.18</v>
      </c>
      <c r="P140" s="10">
        <v>2711.58</v>
      </c>
      <c r="Q140" s="11">
        <v>5</v>
      </c>
      <c r="R140" s="13" t="str">
        <f>IF(Patient_Data!$L140&lt;2,"Low Risk",IF(Patient_Data!$L140&lt;4,"Moderate Risk","High Risk"))</f>
        <v>Low Risk</v>
      </c>
      <c r="S140" s="12" t="str">
        <f>IF(Patient_Data[[#This Row],[Age]]&lt;=18,"Pediatric",IF(Patient_Data[[#This Row],[Age]]&lt;=64,"Adult","Geriatric"))</f>
        <v>Adult</v>
      </c>
    </row>
    <row r="141" spans="1:19" ht="15.75" customHeight="1" x14ac:dyDescent="0.3">
      <c r="A141" s="4" t="s">
        <v>348</v>
      </c>
      <c r="B141" s="5" t="str">
        <f>TEXT(Patient_Data!$E141,"mmmm")</f>
        <v>June</v>
      </c>
      <c r="C141" s="6" t="str">
        <f t="shared" si="0"/>
        <v>Jun</v>
      </c>
      <c r="D141" s="6">
        <f>MONTH(Patient_Data!$E141)</f>
        <v>6</v>
      </c>
      <c r="E141" s="7">
        <v>45814</v>
      </c>
      <c r="F141" s="55" t="str">
        <f>TEXT(Patient_Data[[#This Row],[Admission_Date]],"YYYY")</f>
        <v>2025</v>
      </c>
      <c r="G141" s="8" t="s">
        <v>349</v>
      </c>
      <c r="H141" s="8" t="s">
        <v>28</v>
      </c>
      <c r="I141" s="4" t="s">
        <v>29</v>
      </c>
      <c r="J141" s="4">
        <v>80</v>
      </c>
      <c r="K141" s="4" t="s">
        <v>30</v>
      </c>
      <c r="L141" s="8">
        <v>2</v>
      </c>
      <c r="M141" s="9" t="s">
        <v>39</v>
      </c>
      <c r="N141" s="9" t="str">
        <f t="shared" si="1"/>
        <v>GM</v>
      </c>
      <c r="O141" s="10">
        <v>2174.83</v>
      </c>
      <c r="P141" s="10">
        <v>1385.05</v>
      </c>
      <c r="Q141" s="11">
        <v>7.3</v>
      </c>
      <c r="R141" s="13" t="str">
        <f>IF(Patient_Data!$L141&lt;2,"Low Risk",IF(Patient_Data!$L141&lt;4,"Moderate Risk","High Risk"))</f>
        <v>Moderate Risk</v>
      </c>
      <c r="S141" s="12" t="str">
        <f>IF(Patient_Data[[#This Row],[Age]]&lt;=18,"Pediatric",IF(Patient_Data[[#This Row],[Age]]&lt;=64,"Adult","Geriatric"))</f>
        <v>Geriatric</v>
      </c>
    </row>
    <row r="142" spans="1:19" ht="15.75" customHeight="1" x14ac:dyDescent="0.3">
      <c r="A142" s="4" t="s">
        <v>350</v>
      </c>
      <c r="B142" s="5" t="str">
        <f>TEXT(Patient_Data!$E142,"mmmm")</f>
        <v>February</v>
      </c>
      <c r="C142" s="6" t="str">
        <f t="shared" si="0"/>
        <v>Feb</v>
      </c>
      <c r="D142" s="6">
        <f>MONTH(Patient_Data!$E142)</f>
        <v>2</v>
      </c>
      <c r="E142" s="7">
        <v>45701</v>
      </c>
      <c r="F142" s="55" t="str">
        <f>TEXT(Patient_Data[[#This Row],[Admission_Date]],"YYYY")</f>
        <v>2025</v>
      </c>
      <c r="G142" s="8" t="s">
        <v>351</v>
      </c>
      <c r="H142" s="8" t="s">
        <v>53</v>
      </c>
      <c r="I142" s="4" t="s">
        <v>29</v>
      </c>
      <c r="J142" s="4">
        <v>83</v>
      </c>
      <c r="K142" s="4" t="s">
        <v>30</v>
      </c>
      <c r="L142" s="8">
        <v>5</v>
      </c>
      <c r="M142" s="9" t="s">
        <v>39</v>
      </c>
      <c r="N142" s="9" t="str">
        <f t="shared" si="1"/>
        <v>GM</v>
      </c>
      <c r="O142" s="10">
        <v>5088.28</v>
      </c>
      <c r="P142" s="10">
        <v>3334.9</v>
      </c>
      <c r="Q142" s="11">
        <v>9.8000000000000007</v>
      </c>
      <c r="R142" s="13" t="str">
        <f>IF(Patient_Data!$L142&lt;2,"Low Risk",IF(Patient_Data!$L142&lt;4,"Moderate Risk","High Risk"))</f>
        <v>High Risk</v>
      </c>
      <c r="S142" s="12" t="str">
        <f>IF(Patient_Data[[#This Row],[Age]]&lt;=18,"Pediatric",IF(Patient_Data[[#This Row],[Age]]&lt;=64,"Adult","Geriatric"))</f>
        <v>Geriatric</v>
      </c>
    </row>
    <row r="143" spans="1:19" ht="15.75" customHeight="1" x14ac:dyDescent="0.3">
      <c r="A143" s="4" t="s">
        <v>352</v>
      </c>
      <c r="B143" s="5" t="str">
        <f>TEXT(Patient_Data!$E143,"mmmm")</f>
        <v>June</v>
      </c>
      <c r="C143" s="6" t="str">
        <f t="shared" si="0"/>
        <v>Jun</v>
      </c>
      <c r="D143" s="6">
        <f>MONTH(Patient_Data!$E143)</f>
        <v>6</v>
      </c>
      <c r="E143" s="7">
        <v>45810</v>
      </c>
      <c r="F143" s="55" t="str">
        <f>TEXT(Patient_Data[[#This Row],[Admission_Date]],"YYYY")</f>
        <v>2025</v>
      </c>
      <c r="G143" s="8" t="s">
        <v>353</v>
      </c>
      <c r="H143" s="8" t="s">
        <v>75</v>
      </c>
      <c r="I143" s="4" t="s">
        <v>29</v>
      </c>
      <c r="J143" s="4">
        <v>65</v>
      </c>
      <c r="K143" s="4" t="s">
        <v>30</v>
      </c>
      <c r="L143" s="8">
        <v>2</v>
      </c>
      <c r="M143" s="9" t="s">
        <v>31</v>
      </c>
      <c r="N143" s="9" t="str">
        <f t="shared" si="1"/>
        <v>Neuro</v>
      </c>
      <c r="O143" s="10">
        <v>6575.02</v>
      </c>
      <c r="P143" s="10">
        <v>4481.26</v>
      </c>
      <c r="Q143" s="11">
        <v>9.5</v>
      </c>
      <c r="R143" s="13" t="str">
        <f>IF(Patient_Data!$L143&lt;2,"Low Risk",IF(Patient_Data!$L143&lt;4,"Moderate Risk","High Risk"))</f>
        <v>Moderate Risk</v>
      </c>
      <c r="S143" s="12" t="str">
        <f>IF(Patient_Data[[#This Row],[Age]]&lt;=18,"Pediatric",IF(Patient_Data[[#This Row],[Age]]&lt;=64,"Adult","Geriatric"))</f>
        <v>Geriatric</v>
      </c>
    </row>
    <row r="144" spans="1:19" ht="15.75" customHeight="1" x14ac:dyDescent="0.3">
      <c r="A144" s="4" t="s">
        <v>354</v>
      </c>
      <c r="B144" s="5" t="str">
        <f>TEXT(Patient_Data!$E144,"mmmm")</f>
        <v>May</v>
      </c>
      <c r="C144" s="6" t="str">
        <f t="shared" si="0"/>
        <v>May</v>
      </c>
      <c r="D144" s="6">
        <f>MONTH(Patient_Data!$E144)</f>
        <v>5</v>
      </c>
      <c r="E144" s="7">
        <v>45435</v>
      </c>
      <c r="F144" s="55" t="str">
        <f>TEXT(Patient_Data[[#This Row],[Admission_Date]],"YYYY")</f>
        <v>2024</v>
      </c>
      <c r="G144" s="8" t="s">
        <v>355</v>
      </c>
      <c r="H144" s="8" t="s">
        <v>75</v>
      </c>
      <c r="I144" s="4" t="s">
        <v>29</v>
      </c>
      <c r="J144" s="4">
        <v>70</v>
      </c>
      <c r="K144" s="4" t="s">
        <v>30</v>
      </c>
      <c r="L144" s="8">
        <v>3</v>
      </c>
      <c r="M144" s="9" t="s">
        <v>50</v>
      </c>
      <c r="N144" s="9" t="str">
        <f t="shared" si="1"/>
        <v>ICU</v>
      </c>
      <c r="O144" s="10">
        <v>19737.52</v>
      </c>
      <c r="P144" s="10">
        <v>13898.66</v>
      </c>
      <c r="Q144" s="11">
        <v>10.3</v>
      </c>
      <c r="R144" s="13" t="str">
        <f>IF(Patient_Data!$L144&lt;2,"Low Risk",IF(Patient_Data!$L144&lt;4,"Moderate Risk","High Risk"))</f>
        <v>Moderate Risk</v>
      </c>
      <c r="S144" s="12" t="str">
        <f>IF(Patient_Data[[#This Row],[Age]]&lt;=18,"Pediatric",IF(Patient_Data[[#This Row],[Age]]&lt;=64,"Adult","Geriatric"))</f>
        <v>Geriatric</v>
      </c>
    </row>
    <row r="145" spans="1:19" ht="15.75" customHeight="1" x14ac:dyDescent="0.3">
      <c r="A145" s="4" t="s">
        <v>356</v>
      </c>
      <c r="B145" s="5" t="str">
        <f>TEXT(Patient_Data!$E145,"mmmm")</f>
        <v>January</v>
      </c>
      <c r="C145" s="6" t="str">
        <f t="shared" si="0"/>
        <v>Jan</v>
      </c>
      <c r="D145" s="6">
        <f>MONTH(Patient_Data!$E145)</f>
        <v>1</v>
      </c>
      <c r="E145" s="7">
        <v>45315</v>
      </c>
      <c r="F145" s="55" t="str">
        <f>TEXT(Patient_Data[[#This Row],[Admission_Date]],"YYYY")</f>
        <v>2024</v>
      </c>
      <c r="G145" s="8" t="s">
        <v>357</v>
      </c>
      <c r="H145" s="8" t="s">
        <v>42</v>
      </c>
      <c r="I145" s="4" t="s">
        <v>29</v>
      </c>
      <c r="J145" s="4">
        <v>93</v>
      </c>
      <c r="K145" s="4" t="s">
        <v>30</v>
      </c>
      <c r="L145" s="8">
        <v>2</v>
      </c>
      <c r="M145" s="9" t="s">
        <v>46</v>
      </c>
      <c r="N145" s="9" t="str">
        <f t="shared" si="1"/>
        <v>Ortho</v>
      </c>
      <c r="O145" s="10">
        <v>8229.81</v>
      </c>
      <c r="P145" s="10">
        <v>6026.96</v>
      </c>
      <c r="Q145" s="11">
        <v>2.4</v>
      </c>
      <c r="R145" s="13" t="str">
        <f>IF(Patient_Data!$L145&lt;2,"Low Risk",IF(Patient_Data!$L145&lt;4,"Moderate Risk","High Risk"))</f>
        <v>Moderate Risk</v>
      </c>
      <c r="S145" s="12" t="str">
        <f>IF(Patient_Data[[#This Row],[Age]]&lt;=18,"Pediatric",IF(Patient_Data[[#This Row],[Age]]&lt;=64,"Adult","Geriatric"))</f>
        <v>Geriatric</v>
      </c>
    </row>
    <row r="146" spans="1:19" ht="15.75" customHeight="1" x14ac:dyDescent="0.3">
      <c r="A146" s="4" t="s">
        <v>358</v>
      </c>
      <c r="B146" s="5" t="str">
        <f>TEXT(Patient_Data!$E146,"mmmm")</f>
        <v>March</v>
      </c>
      <c r="C146" s="6" t="str">
        <f t="shared" si="0"/>
        <v>Mar</v>
      </c>
      <c r="D146" s="6">
        <f>MONTH(Patient_Data!$E146)</f>
        <v>3</v>
      </c>
      <c r="E146" s="7">
        <v>45371</v>
      </c>
      <c r="F146" s="55" t="str">
        <f>TEXT(Patient_Data[[#This Row],[Admission_Date]],"YYYY")</f>
        <v>2024</v>
      </c>
      <c r="G146" s="8" t="s">
        <v>359</v>
      </c>
      <c r="H146" s="8" t="s">
        <v>34</v>
      </c>
      <c r="I146" s="4" t="s">
        <v>29</v>
      </c>
      <c r="J146" s="4">
        <v>68</v>
      </c>
      <c r="K146" s="4" t="s">
        <v>45</v>
      </c>
      <c r="L146" s="8">
        <v>3</v>
      </c>
      <c r="M146" s="9" t="s">
        <v>50</v>
      </c>
      <c r="N146" s="9" t="str">
        <f t="shared" si="1"/>
        <v>ICU</v>
      </c>
      <c r="O146" s="10">
        <v>16388.37</v>
      </c>
      <c r="P146" s="10">
        <v>12553.56</v>
      </c>
      <c r="Q146" s="11">
        <v>12.3</v>
      </c>
      <c r="R146" s="13" t="str">
        <f>IF(Patient_Data!$L146&lt;2,"Low Risk",IF(Patient_Data!$L146&lt;4,"Moderate Risk","High Risk"))</f>
        <v>Moderate Risk</v>
      </c>
      <c r="S146" s="12" t="str">
        <f>IF(Patient_Data[[#This Row],[Age]]&lt;=18,"Pediatric",IF(Patient_Data[[#This Row],[Age]]&lt;=64,"Adult","Geriatric"))</f>
        <v>Geriatric</v>
      </c>
    </row>
    <row r="147" spans="1:19" ht="15.75" customHeight="1" x14ac:dyDescent="0.3">
      <c r="A147" s="4" t="s">
        <v>360</v>
      </c>
      <c r="B147" s="5" t="str">
        <f>TEXT(Patient_Data!$E147,"mmmm")</f>
        <v>January</v>
      </c>
      <c r="C147" s="6" t="str">
        <f t="shared" si="0"/>
        <v>Jan</v>
      </c>
      <c r="D147" s="6">
        <f>MONTH(Patient_Data!$E147)</f>
        <v>1</v>
      </c>
      <c r="E147" s="7">
        <v>45317</v>
      </c>
      <c r="F147" s="55" t="str">
        <f>TEXT(Patient_Data[[#This Row],[Admission_Date]],"YYYY")</f>
        <v>2024</v>
      </c>
      <c r="G147" s="8" t="s">
        <v>361</v>
      </c>
      <c r="H147" s="8" t="s">
        <v>34</v>
      </c>
      <c r="I147" s="4" t="s">
        <v>35</v>
      </c>
      <c r="J147" s="4">
        <v>72</v>
      </c>
      <c r="K147" s="4" t="s">
        <v>45</v>
      </c>
      <c r="L147" s="8">
        <v>5</v>
      </c>
      <c r="M147" s="9" t="s">
        <v>50</v>
      </c>
      <c r="N147" s="9" t="str">
        <f t="shared" si="1"/>
        <v>ICU</v>
      </c>
      <c r="O147" s="10">
        <v>11440.99</v>
      </c>
      <c r="P147" s="10">
        <v>6742.97</v>
      </c>
      <c r="Q147" s="11">
        <v>13.4</v>
      </c>
      <c r="R147" s="13" t="str">
        <f>IF(Patient_Data!$L147&lt;2,"Low Risk",IF(Patient_Data!$L147&lt;4,"Moderate Risk","High Risk"))</f>
        <v>High Risk</v>
      </c>
      <c r="S147" s="12" t="str">
        <f>IF(Patient_Data[[#This Row],[Age]]&lt;=18,"Pediatric",IF(Patient_Data[[#This Row],[Age]]&lt;=64,"Adult","Geriatric"))</f>
        <v>Geriatric</v>
      </c>
    </row>
    <row r="148" spans="1:19" ht="15.75" customHeight="1" x14ac:dyDescent="0.3">
      <c r="A148" s="4" t="s">
        <v>362</v>
      </c>
      <c r="B148" s="5" t="str">
        <f>TEXT(Patient_Data!$E148,"mmmm")</f>
        <v>November</v>
      </c>
      <c r="C148" s="6" t="str">
        <f t="shared" si="0"/>
        <v>Nov</v>
      </c>
      <c r="D148" s="6">
        <f>MONTH(Patient_Data!$E148)</f>
        <v>11</v>
      </c>
      <c r="E148" s="7">
        <v>45603</v>
      </c>
      <c r="F148" s="55" t="str">
        <f>TEXT(Patient_Data[[#This Row],[Admission_Date]],"YYYY")</f>
        <v>2024</v>
      </c>
      <c r="G148" s="8" t="s">
        <v>363</v>
      </c>
      <c r="H148" s="8" t="s">
        <v>42</v>
      </c>
      <c r="I148" s="4" t="s">
        <v>35</v>
      </c>
      <c r="J148" s="4">
        <v>56</v>
      </c>
      <c r="K148" s="4" t="s">
        <v>30</v>
      </c>
      <c r="L148" s="8">
        <v>2</v>
      </c>
      <c r="M148" s="9" t="s">
        <v>83</v>
      </c>
      <c r="N148" s="9" t="str">
        <f t="shared" si="1"/>
        <v>ER</v>
      </c>
      <c r="O148" s="10">
        <v>10071.16</v>
      </c>
      <c r="P148" s="10">
        <v>6309.01</v>
      </c>
      <c r="Q148" s="11">
        <v>20.7</v>
      </c>
      <c r="R148" s="13" t="str">
        <f>IF(Patient_Data!$L148&lt;2,"Low Risk",IF(Patient_Data!$L148&lt;4,"Moderate Risk","High Risk"))</f>
        <v>Moderate Risk</v>
      </c>
      <c r="S148" s="12" t="str">
        <f>IF(Patient_Data[[#This Row],[Age]]&lt;=18,"Pediatric",IF(Patient_Data[[#This Row],[Age]]&lt;=64,"Adult","Geriatric"))</f>
        <v>Adult</v>
      </c>
    </row>
    <row r="149" spans="1:19" ht="15.75" customHeight="1" x14ac:dyDescent="0.3">
      <c r="A149" s="4" t="s">
        <v>364</v>
      </c>
      <c r="B149" s="5" t="str">
        <f>TEXT(Patient_Data!$E149,"mmmm")</f>
        <v>June</v>
      </c>
      <c r="C149" s="6" t="str">
        <f t="shared" si="0"/>
        <v>Jun</v>
      </c>
      <c r="D149" s="6">
        <f>MONTH(Patient_Data!$E149)</f>
        <v>6</v>
      </c>
      <c r="E149" s="7">
        <v>46203</v>
      </c>
      <c r="F149" s="55" t="str">
        <f>TEXT(Patient_Data[[#This Row],[Admission_Date]],"YYYY")</f>
        <v>2026</v>
      </c>
      <c r="G149" s="8" t="s">
        <v>365</v>
      </c>
      <c r="H149" s="8" t="s">
        <v>28</v>
      </c>
      <c r="I149" s="4" t="s">
        <v>35</v>
      </c>
      <c r="J149" s="4">
        <v>55</v>
      </c>
      <c r="K149" s="4" t="s">
        <v>30</v>
      </c>
      <c r="L149" s="8">
        <v>3</v>
      </c>
      <c r="M149" s="9" t="s">
        <v>72</v>
      </c>
      <c r="N149" s="9" t="str">
        <f t="shared" si="1"/>
        <v>Surgery</v>
      </c>
      <c r="O149" s="10">
        <v>19773.61</v>
      </c>
      <c r="P149" s="10">
        <v>12726.31</v>
      </c>
      <c r="Q149" s="11">
        <v>8.9</v>
      </c>
      <c r="R149" s="13" t="str">
        <f>IF(Patient_Data!$L149&lt;2,"Low Risk",IF(Patient_Data!$L149&lt;4,"Moderate Risk","High Risk"))</f>
        <v>Moderate Risk</v>
      </c>
      <c r="S149" s="12" t="str">
        <f>IF(Patient_Data[[#This Row],[Age]]&lt;=18,"Pediatric",IF(Patient_Data[[#This Row],[Age]]&lt;=64,"Adult","Geriatric"))</f>
        <v>Adult</v>
      </c>
    </row>
    <row r="150" spans="1:19" ht="15.75" customHeight="1" x14ac:dyDescent="0.3">
      <c r="A150" s="4" t="s">
        <v>366</v>
      </c>
      <c r="B150" s="5" t="str">
        <f>TEXT(Patient_Data!$E150,"mmmm")</f>
        <v>February</v>
      </c>
      <c r="C150" s="6" t="str">
        <f t="shared" si="0"/>
        <v>Feb</v>
      </c>
      <c r="D150" s="6">
        <f>MONTH(Patient_Data!$E150)</f>
        <v>2</v>
      </c>
      <c r="E150" s="7">
        <v>45710</v>
      </c>
      <c r="F150" s="55" t="str">
        <f>TEXT(Patient_Data[[#This Row],[Admission_Date]],"YYYY")</f>
        <v>2025</v>
      </c>
      <c r="G150" s="8" t="s">
        <v>367</v>
      </c>
      <c r="H150" s="8" t="s">
        <v>28</v>
      </c>
      <c r="I150" s="4" t="s">
        <v>29</v>
      </c>
      <c r="J150" s="4">
        <v>42</v>
      </c>
      <c r="K150" s="4" t="s">
        <v>30</v>
      </c>
      <c r="L150" s="8">
        <v>1</v>
      </c>
      <c r="M150" s="9" t="s">
        <v>31</v>
      </c>
      <c r="N150" s="9" t="str">
        <f t="shared" si="1"/>
        <v>Neuro</v>
      </c>
      <c r="O150" s="10">
        <v>5994.91</v>
      </c>
      <c r="P150" s="10">
        <v>4090.19</v>
      </c>
      <c r="Q150" s="11">
        <v>9.1999999999999993</v>
      </c>
      <c r="R150" s="13" t="str">
        <f>IF(Patient_Data!$L150&lt;2,"Low Risk",IF(Patient_Data!$L150&lt;4,"Moderate Risk","High Risk"))</f>
        <v>Low Risk</v>
      </c>
      <c r="S150" s="12" t="str">
        <f>IF(Patient_Data[[#This Row],[Age]]&lt;=18,"Pediatric",IF(Patient_Data[[#This Row],[Age]]&lt;=64,"Adult","Geriatric"))</f>
        <v>Adult</v>
      </c>
    </row>
    <row r="151" spans="1:19" ht="15.75" customHeight="1" x14ac:dyDescent="0.3">
      <c r="A151" s="4" t="s">
        <v>368</v>
      </c>
      <c r="B151" s="5" t="str">
        <f>TEXT(Patient_Data!$E151,"mmmm")</f>
        <v>August</v>
      </c>
      <c r="C151" s="6" t="str">
        <f t="shared" si="0"/>
        <v>Aug</v>
      </c>
      <c r="D151" s="6">
        <f>MONTH(Patient_Data!$E151)</f>
        <v>8</v>
      </c>
      <c r="E151" s="7">
        <v>45881</v>
      </c>
      <c r="F151" s="55" t="str">
        <f>TEXT(Patient_Data[[#This Row],[Admission_Date]],"YYYY")</f>
        <v>2025</v>
      </c>
      <c r="G151" s="8" t="s">
        <v>369</v>
      </c>
      <c r="H151" s="8" t="s">
        <v>82</v>
      </c>
      <c r="I151" s="4" t="s">
        <v>29</v>
      </c>
      <c r="J151" s="4">
        <v>61</v>
      </c>
      <c r="K151" s="4" t="s">
        <v>45</v>
      </c>
      <c r="L151" s="8">
        <v>4</v>
      </c>
      <c r="M151" s="9" t="s">
        <v>72</v>
      </c>
      <c r="N151" s="9" t="str">
        <f t="shared" si="1"/>
        <v>Surgery</v>
      </c>
      <c r="O151" s="10">
        <v>19263.34</v>
      </c>
      <c r="P151" s="10">
        <v>13544.34</v>
      </c>
      <c r="Q151" s="11">
        <v>7.5</v>
      </c>
      <c r="R151" s="13" t="str">
        <f>IF(Patient_Data!$L151&lt;2,"Low Risk",IF(Patient_Data!$L151&lt;4,"Moderate Risk","High Risk"))</f>
        <v>High Risk</v>
      </c>
      <c r="S151" s="12" t="str">
        <f>IF(Patient_Data[[#This Row],[Age]]&lt;=18,"Pediatric",IF(Patient_Data[[#This Row],[Age]]&lt;=64,"Adult","Geriatric"))</f>
        <v>Adult</v>
      </c>
    </row>
    <row r="152" spans="1:19" ht="15.75" customHeight="1" x14ac:dyDescent="0.3">
      <c r="A152" s="4" t="s">
        <v>370</v>
      </c>
      <c r="B152" s="5" t="str">
        <f>TEXT(Patient_Data!$E152,"mmmm")</f>
        <v>January</v>
      </c>
      <c r="C152" s="6" t="str">
        <f t="shared" si="0"/>
        <v>Jan</v>
      </c>
      <c r="D152" s="6">
        <f>MONTH(Patient_Data!$E152)</f>
        <v>1</v>
      </c>
      <c r="E152" s="7">
        <v>45307</v>
      </c>
      <c r="F152" s="55" t="str">
        <f>TEXT(Patient_Data[[#This Row],[Admission_Date]],"YYYY")</f>
        <v>2024</v>
      </c>
      <c r="G152" s="8" t="s">
        <v>371</v>
      </c>
      <c r="H152" s="8" t="s">
        <v>28</v>
      </c>
      <c r="I152" s="4" t="s">
        <v>29</v>
      </c>
      <c r="J152" s="4">
        <v>6</v>
      </c>
      <c r="K152" s="4" t="s">
        <v>45</v>
      </c>
      <c r="L152" s="8">
        <v>3</v>
      </c>
      <c r="M152" s="9" t="s">
        <v>79</v>
      </c>
      <c r="N152" s="9" t="str">
        <f t="shared" si="1"/>
        <v>PD</v>
      </c>
      <c r="O152" s="10">
        <v>1541.36</v>
      </c>
      <c r="P152" s="10">
        <v>1145.99</v>
      </c>
      <c r="Q152" s="11">
        <v>2.6</v>
      </c>
      <c r="R152" s="13" t="str">
        <f>IF(Patient_Data!$L152&lt;2,"Low Risk",IF(Patient_Data!$L152&lt;4,"Moderate Risk","High Risk"))</f>
        <v>Moderate Risk</v>
      </c>
      <c r="S152" s="12" t="str">
        <f>IF(Patient_Data[[#This Row],[Age]]&lt;=18,"Pediatric",IF(Patient_Data[[#This Row],[Age]]&lt;=64,"Adult","Geriatric"))</f>
        <v>Pediatric</v>
      </c>
    </row>
    <row r="153" spans="1:19" ht="15.75" customHeight="1" x14ac:dyDescent="0.3">
      <c r="A153" s="4" t="s">
        <v>372</v>
      </c>
      <c r="B153" s="5" t="str">
        <f>TEXT(Patient_Data!$E153,"mmmm")</f>
        <v>January</v>
      </c>
      <c r="C153" s="6" t="str">
        <f t="shared" si="0"/>
        <v>Jan</v>
      </c>
      <c r="D153" s="6">
        <f>MONTH(Patient_Data!$E153)</f>
        <v>1</v>
      </c>
      <c r="E153" s="7">
        <v>45667</v>
      </c>
      <c r="F153" s="55" t="str">
        <f>TEXT(Patient_Data[[#This Row],[Admission_Date]],"YYYY")</f>
        <v>2025</v>
      </c>
      <c r="G153" s="8" t="s">
        <v>373</v>
      </c>
      <c r="H153" s="8" t="s">
        <v>28</v>
      </c>
      <c r="I153" s="4" t="s">
        <v>35</v>
      </c>
      <c r="J153" s="4">
        <v>71</v>
      </c>
      <c r="K153" s="4" t="s">
        <v>30</v>
      </c>
      <c r="L153" s="8">
        <v>2</v>
      </c>
      <c r="M153" s="9" t="s">
        <v>46</v>
      </c>
      <c r="N153" s="9" t="str">
        <f t="shared" si="1"/>
        <v>Ortho</v>
      </c>
      <c r="O153" s="10">
        <v>8760.49</v>
      </c>
      <c r="P153" s="10">
        <v>6709.17</v>
      </c>
      <c r="Q153" s="11">
        <v>6.4</v>
      </c>
      <c r="R153" s="13" t="str">
        <f>IF(Patient_Data!$L153&lt;2,"Low Risk",IF(Patient_Data!$L153&lt;4,"Moderate Risk","High Risk"))</f>
        <v>Moderate Risk</v>
      </c>
      <c r="S153" s="12" t="str">
        <f>IF(Patient_Data[[#This Row],[Age]]&lt;=18,"Pediatric",IF(Patient_Data[[#This Row],[Age]]&lt;=64,"Adult","Geriatric"))</f>
        <v>Geriatric</v>
      </c>
    </row>
    <row r="154" spans="1:19" ht="15.75" customHeight="1" x14ac:dyDescent="0.3">
      <c r="A154" s="4" t="s">
        <v>374</v>
      </c>
      <c r="B154" s="5" t="str">
        <f>TEXT(Patient_Data!$E154,"mmmm")</f>
        <v>September</v>
      </c>
      <c r="C154" s="6" t="str">
        <f t="shared" si="0"/>
        <v>Sep</v>
      </c>
      <c r="D154" s="6">
        <f>MONTH(Patient_Data!$E154)</f>
        <v>9</v>
      </c>
      <c r="E154" s="7">
        <v>45923</v>
      </c>
      <c r="F154" s="55" t="str">
        <f>TEXT(Patient_Data[[#This Row],[Admission_Date]],"YYYY")</f>
        <v>2025</v>
      </c>
      <c r="G154" s="8" t="s">
        <v>375</v>
      </c>
      <c r="H154" s="8" t="s">
        <v>34</v>
      </c>
      <c r="I154" s="4" t="s">
        <v>29</v>
      </c>
      <c r="J154" s="4">
        <v>55</v>
      </c>
      <c r="K154" s="4" t="s">
        <v>54</v>
      </c>
      <c r="L154" s="8">
        <v>3</v>
      </c>
      <c r="M154" s="9" t="s">
        <v>31</v>
      </c>
      <c r="N154" s="9" t="str">
        <f t="shared" si="1"/>
        <v>Neuro</v>
      </c>
      <c r="O154" s="10">
        <v>8800.2999999999993</v>
      </c>
      <c r="P154" s="10">
        <v>5123.37</v>
      </c>
      <c r="Q154" s="11">
        <v>2.4</v>
      </c>
      <c r="R154" s="13" t="str">
        <f>IF(Patient_Data!$L154&lt;2,"Low Risk",IF(Patient_Data!$L154&lt;4,"Moderate Risk","High Risk"))</f>
        <v>Moderate Risk</v>
      </c>
      <c r="S154" s="12" t="str">
        <f>IF(Patient_Data[[#This Row],[Age]]&lt;=18,"Pediatric",IF(Patient_Data[[#This Row],[Age]]&lt;=64,"Adult","Geriatric"))</f>
        <v>Adult</v>
      </c>
    </row>
    <row r="155" spans="1:19" ht="15.75" customHeight="1" x14ac:dyDescent="0.3">
      <c r="A155" s="4" t="s">
        <v>376</v>
      </c>
      <c r="B155" s="5" t="str">
        <f>TEXT(Patient_Data!$E155,"mmmm")</f>
        <v>April</v>
      </c>
      <c r="C155" s="6" t="str">
        <f t="shared" si="0"/>
        <v>Apr</v>
      </c>
      <c r="D155" s="6">
        <f>MONTH(Patient_Data!$E155)</f>
        <v>4</v>
      </c>
      <c r="E155" s="7">
        <v>45750</v>
      </c>
      <c r="F155" s="55" t="str">
        <f>TEXT(Patient_Data[[#This Row],[Admission_Date]],"YYYY")</f>
        <v>2025</v>
      </c>
      <c r="G155" s="8" t="s">
        <v>377</v>
      </c>
      <c r="H155" s="8" t="s">
        <v>34</v>
      </c>
      <c r="I155" s="4" t="s">
        <v>35</v>
      </c>
      <c r="J155" s="4">
        <v>23</v>
      </c>
      <c r="K155" s="4" t="s">
        <v>54</v>
      </c>
      <c r="L155" s="8">
        <v>3</v>
      </c>
      <c r="M155" s="9" t="s">
        <v>83</v>
      </c>
      <c r="N155" s="9" t="str">
        <f t="shared" si="1"/>
        <v>ER</v>
      </c>
      <c r="O155" s="10">
        <v>10533.83</v>
      </c>
      <c r="P155" s="10">
        <v>6595.24</v>
      </c>
      <c r="Q155" s="11">
        <v>21.2</v>
      </c>
      <c r="R155" s="13" t="str">
        <f>IF(Patient_Data!$L155&lt;2,"Low Risk",IF(Patient_Data!$L155&lt;4,"Moderate Risk","High Risk"))</f>
        <v>Moderate Risk</v>
      </c>
      <c r="S155" s="12" t="str">
        <f>IF(Patient_Data[[#This Row],[Age]]&lt;=18,"Pediatric",IF(Patient_Data[[#This Row],[Age]]&lt;=64,"Adult","Geriatric"))</f>
        <v>Adult</v>
      </c>
    </row>
    <row r="156" spans="1:19" ht="15.75" customHeight="1" x14ac:dyDescent="0.3">
      <c r="A156" s="4" t="s">
        <v>378</v>
      </c>
      <c r="B156" s="5" t="str">
        <f>TEXT(Patient_Data!$E156,"mmmm")</f>
        <v>July</v>
      </c>
      <c r="C156" s="6" t="str">
        <f t="shared" si="0"/>
        <v>Jul</v>
      </c>
      <c r="D156" s="6">
        <f>MONTH(Patient_Data!$E156)</f>
        <v>7</v>
      </c>
      <c r="E156" s="7">
        <v>45490</v>
      </c>
      <c r="F156" s="55" t="str">
        <f>TEXT(Patient_Data[[#This Row],[Admission_Date]],"YYYY")</f>
        <v>2024</v>
      </c>
      <c r="G156" s="8" t="s">
        <v>379</v>
      </c>
      <c r="H156" s="8" t="s">
        <v>132</v>
      </c>
      <c r="I156" s="4" t="s">
        <v>29</v>
      </c>
      <c r="J156" s="4">
        <v>76</v>
      </c>
      <c r="K156" s="4" t="s">
        <v>54</v>
      </c>
      <c r="L156" s="8">
        <v>5</v>
      </c>
      <c r="M156" s="9" t="s">
        <v>72</v>
      </c>
      <c r="N156" s="9" t="str">
        <f t="shared" si="1"/>
        <v>Surgery</v>
      </c>
      <c r="O156" s="10">
        <v>18020.439999999999</v>
      </c>
      <c r="P156" s="10">
        <v>11626.68</v>
      </c>
      <c r="Q156" s="11">
        <v>11.7</v>
      </c>
      <c r="R156" s="13" t="str">
        <f>IF(Patient_Data!$L156&lt;2,"Low Risk",IF(Patient_Data!$L156&lt;4,"Moderate Risk","High Risk"))</f>
        <v>High Risk</v>
      </c>
      <c r="S156" s="12" t="str">
        <f>IF(Patient_Data[[#This Row],[Age]]&lt;=18,"Pediatric",IF(Patient_Data[[#This Row],[Age]]&lt;=64,"Adult","Geriatric"))</f>
        <v>Geriatric</v>
      </c>
    </row>
    <row r="157" spans="1:19" ht="15.75" customHeight="1" x14ac:dyDescent="0.3">
      <c r="A157" s="4" t="s">
        <v>380</v>
      </c>
      <c r="B157" s="5" t="str">
        <f>TEXT(Patient_Data!$E157,"mmmm")</f>
        <v>February</v>
      </c>
      <c r="C157" s="6" t="str">
        <f t="shared" si="0"/>
        <v>Feb</v>
      </c>
      <c r="D157" s="6">
        <f>MONTH(Patient_Data!$E157)</f>
        <v>2</v>
      </c>
      <c r="E157" s="7">
        <v>46064</v>
      </c>
      <c r="F157" s="55" t="str">
        <f>TEXT(Patient_Data[[#This Row],[Admission_Date]],"YYYY")</f>
        <v>2026</v>
      </c>
      <c r="G157" s="8" t="s">
        <v>381</v>
      </c>
      <c r="H157" s="8" t="s">
        <v>28</v>
      </c>
      <c r="I157" s="4" t="s">
        <v>35</v>
      </c>
      <c r="J157" s="4">
        <v>83</v>
      </c>
      <c r="K157" s="4" t="s">
        <v>45</v>
      </c>
      <c r="L157" s="8">
        <v>3</v>
      </c>
      <c r="M157" s="9" t="s">
        <v>46</v>
      </c>
      <c r="N157" s="9" t="str">
        <f t="shared" si="1"/>
        <v>Ortho</v>
      </c>
      <c r="O157" s="10">
        <v>11542.11</v>
      </c>
      <c r="P157" s="10">
        <v>7826.81</v>
      </c>
      <c r="Q157" s="11">
        <v>11.7</v>
      </c>
      <c r="R157" s="13" t="str">
        <f>IF(Patient_Data!$L157&lt;2,"Low Risk",IF(Patient_Data!$L157&lt;4,"Moderate Risk","High Risk"))</f>
        <v>Moderate Risk</v>
      </c>
      <c r="S157" s="12" t="str">
        <f>IF(Patient_Data[[#This Row],[Age]]&lt;=18,"Pediatric",IF(Patient_Data[[#This Row],[Age]]&lt;=64,"Adult","Geriatric"))</f>
        <v>Geriatric</v>
      </c>
    </row>
    <row r="158" spans="1:19" ht="15.75" customHeight="1" x14ac:dyDescent="0.3">
      <c r="A158" s="4" t="s">
        <v>382</v>
      </c>
      <c r="B158" s="5" t="str">
        <f>TEXT(Patient_Data!$E158,"mmmm")</f>
        <v>May</v>
      </c>
      <c r="C158" s="6" t="str">
        <f t="shared" si="0"/>
        <v>May</v>
      </c>
      <c r="D158" s="6">
        <f>MONTH(Patient_Data!$E158)</f>
        <v>5</v>
      </c>
      <c r="E158" s="7">
        <v>45786</v>
      </c>
      <c r="F158" s="55" t="str">
        <f>TEXT(Patient_Data[[#This Row],[Admission_Date]],"YYYY")</f>
        <v>2025</v>
      </c>
      <c r="G158" s="8" t="s">
        <v>383</v>
      </c>
      <c r="H158" s="8" t="s">
        <v>82</v>
      </c>
      <c r="I158" s="4" t="s">
        <v>35</v>
      </c>
      <c r="J158" s="4">
        <v>54</v>
      </c>
      <c r="K158" s="4" t="s">
        <v>30</v>
      </c>
      <c r="L158" s="8">
        <v>1</v>
      </c>
      <c r="M158" s="9" t="s">
        <v>31</v>
      </c>
      <c r="N158" s="9" t="str">
        <f t="shared" si="1"/>
        <v>Neuro</v>
      </c>
      <c r="O158" s="10">
        <v>6874.29</v>
      </c>
      <c r="P158" s="10">
        <v>4842.3999999999996</v>
      </c>
      <c r="Q158" s="11">
        <v>3.8</v>
      </c>
      <c r="R158" s="13" t="str">
        <f>IF(Patient_Data!$L158&lt;2,"Low Risk",IF(Patient_Data!$L158&lt;4,"Moderate Risk","High Risk"))</f>
        <v>Low Risk</v>
      </c>
      <c r="S158" s="12" t="str">
        <f>IF(Patient_Data[[#This Row],[Age]]&lt;=18,"Pediatric",IF(Patient_Data[[#This Row],[Age]]&lt;=64,"Adult","Geriatric"))</f>
        <v>Adult</v>
      </c>
    </row>
    <row r="159" spans="1:19" ht="15.75" customHeight="1" x14ac:dyDescent="0.3">
      <c r="A159" s="4" t="s">
        <v>384</v>
      </c>
      <c r="B159" s="5" t="str">
        <f>TEXT(Patient_Data!$E159,"mmmm")</f>
        <v>September</v>
      </c>
      <c r="C159" s="6" t="str">
        <f t="shared" si="0"/>
        <v>Sep</v>
      </c>
      <c r="D159" s="6">
        <f>MONTH(Patient_Data!$E159)</f>
        <v>9</v>
      </c>
      <c r="E159" s="7">
        <v>45183</v>
      </c>
      <c r="F159" s="55" t="str">
        <f>TEXT(Patient_Data[[#This Row],[Admission_Date]],"YYYY")</f>
        <v>2023</v>
      </c>
      <c r="G159" s="8" t="s">
        <v>385</v>
      </c>
      <c r="H159" s="8" t="s">
        <v>28</v>
      </c>
      <c r="I159" s="4" t="s">
        <v>35</v>
      </c>
      <c r="J159" s="4">
        <v>72</v>
      </c>
      <c r="K159" s="4" t="s">
        <v>30</v>
      </c>
      <c r="L159" s="8">
        <v>1</v>
      </c>
      <c r="M159" s="9" t="s">
        <v>36</v>
      </c>
      <c r="N159" s="9" t="str">
        <f t="shared" si="1"/>
        <v>Cardio</v>
      </c>
      <c r="O159" s="10">
        <v>4975.5200000000004</v>
      </c>
      <c r="P159" s="10">
        <v>3724.93</v>
      </c>
      <c r="Q159" s="11">
        <v>11.6</v>
      </c>
      <c r="R159" s="13" t="str">
        <f>IF(Patient_Data!$L159&lt;2,"Low Risk",IF(Patient_Data!$L159&lt;4,"Moderate Risk","High Risk"))</f>
        <v>Low Risk</v>
      </c>
      <c r="S159" s="12" t="str">
        <f>IF(Patient_Data[[#This Row],[Age]]&lt;=18,"Pediatric",IF(Patient_Data[[#This Row],[Age]]&lt;=64,"Adult","Geriatric"))</f>
        <v>Geriatric</v>
      </c>
    </row>
    <row r="160" spans="1:19" ht="15.75" customHeight="1" x14ac:dyDescent="0.3">
      <c r="A160" s="4" t="s">
        <v>386</v>
      </c>
      <c r="B160" s="5" t="str">
        <f>TEXT(Patient_Data!$E160,"mmmm")</f>
        <v>March</v>
      </c>
      <c r="C160" s="6" t="str">
        <f t="shared" si="0"/>
        <v>Mar</v>
      </c>
      <c r="D160" s="6">
        <f>MONTH(Patient_Data!$E160)</f>
        <v>3</v>
      </c>
      <c r="E160" s="7">
        <v>45379</v>
      </c>
      <c r="F160" s="55" t="str">
        <f>TEXT(Patient_Data[[#This Row],[Admission_Date]],"YYYY")</f>
        <v>2024</v>
      </c>
      <c r="G160" s="8" t="s">
        <v>387</v>
      </c>
      <c r="H160" s="8" t="s">
        <v>98</v>
      </c>
      <c r="I160" s="4" t="s">
        <v>29</v>
      </c>
      <c r="J160" s="4">
        <v>25</v>
      </c>
      <c r="K160" s="4" t="s">
        <v>30</v>
      </c>
      <c r="L160" s="8">
        <v>1</v>
      </c>
      <c r="M160" s="9" t="s">
        <v>83</v>
      </c>
      <c r="N160" s="9" t="str">
        <f t="shared" si="1"/>
        <v>ER</v>
      </c>
      <c r="O160" s="10">
        <v>7922.47</v>
      </c>
      <c r="P160" s="10">
        <v>6106.68</v>
      </c>
      <c r="Q160" s="11">
        <v>10.7</v>
      </c>
      <c r="R160" s="13" t="str">
        <f>IF(Patient_Data!$L160&lt;2,"Low Risk",IF(Patient_Data!$L160&lt;4,"Moderate Risk","High Risk"))</f>
        <v>Low Risk</v>
      </c>
      <c r="S160" s="12" t="str">
        <f>IF(Patient_Data[[#This Row],[Age]]&lt;=18,"Pediatric",IF(Patient_Data[[#This Row],[Age]]&lt;=64,"Adult","Geriatric"))</f>
        <v>Adult</v>
      </c>
    </row>
    <row r="161" spans="1:19" ht="15.75" customHeight="1" x14ac:dyDescent="0.3">
      <c r="A161" s="4" t="s">
        <v>388</v>
      </c>
      <c r="B161" s="5" t="str">
        <f>TEXT(Patient_Data!$E161,"mmmm")</f>
        <v>May</v>
      </c>
      <c r="C161" s="6" t="str">
        <f t="shared" si="0"/>
        <v>May</v>
      </c>
      <c r="D161" s="6">
        <f>MONTH(Patient_Data!$E161)</f>
        <v>5</v>
      </c>
      <c r="E161" s="7">
        <v>45442</v>
      </c>
      <c r="F161" s="55" t="str">
        <f>TEXT(Patient_Data[[#This Row],[Admission_Date]],"YYYY")</f>
        <v>2024</v>
      </c>
      <c r="G161" s="8" t="s">
        <v>389</v>
      </c>
      <c r="H161" s="8" t="s">
        <v>49</v>
      </c>
      <c r="I161" s="4" t="s">
        <v>29</v>
      </c>
      <c r="J161" s="4">
        <v>84</v>
      </c>
      <c r="K161" s="4" t="s">
        <v>54</v>
      </c>
      <c r="L161" s="8">
        <v>4</v>
      </c>
      <c r="M161" s="9" t="s">
        <v>72</v>
      </c>
      <c r="N161" s="9" t="str">
        <f t="shared" si="1"/>
        <v>Surgery</v>
      </c>
      <c r="O161" s="10">
        <v>20941.259999999998</v>
      </c>
      <c r="P161" s="10">
        <v>12201.13</v>
      </c>
      <c r="Q161" s="11">
        <v>6.9</v>
      </c>
      <c r="R161" s="13" t="str">
        <f>IF(Patient_Data!$L161&lt;2,"Low Risk",IF(Patient_Data!$L161&lt;4,"Moderate Risk","High Risk"))</f>
        <v>High Risk</v>
      </c>
      <c r="S161" s="12" t="str">
        <f>IF(Patient_Data[[#This Row],[Age]]&lt;=18,"Pediatric",IF(Patient_Data[[#This Row],[Age]]&lt;=64,"Adult","Geriatric"))</f>
        <v>Geriatric</v>
      </c>
    </row>
    <row r="162" spans="1:19" ht="15.75" customHeight="1" x14ac:dyDescent="0.3">
      <c r="A162" s="4" t="s">
        <v>390</v>
      </c>
      <c r="B162" s="5" t="str">
        <f>TEXT(Patient_Data!$E162,"mmmm")</f>
        <v>February</v>
      </c>
      <c r="C162" s="6" t="str">
        <f t="shared" si="0"/>
        <v>Feb</v>
      </c>
      <c r="D162" s="6">
        <f>MONTH(Patient_Data!$E162)</f>
        <v>2</v>
      </c>
      <c r="E162" s="7">
        <v>45708</v>
      </c>
      <c r="F162" s="55" t="str">
        <f>TEXT(Patient_Data[[#This Row],[Admission_Date]],"YYYY")</f>
        <v>2025</v>
      </c>
      <c r="G162" s="8" t="s">
        <v>391</v>
      </c>
      <c r="H162" s="8" t="s">
        <v>49</v>
      </c>
      <c r="I162" s="4" t="s">
        <v>29</v>
      </c>
      <c r="J162" s="4">
        <v>78</v>
      </c>
      <c r="K162" s="4" t="s">
        <v>30</v>
      </c>
      <c r="L162" s="8">
        <v>1</v>
      </c>
      <c r="M162" s="9" t="s">
        <v>31</v>
      </c>
      <c r="N162" s="9" t="str">
        <f t="shared" si="1"/>
        <v>Neuro</v>
      </c>
      <c r="O162" s="10">
        <v>9231.57</v>
      </c>
      <c r="P162" s="10">
        <v>5680.86</v>
      </c>
      <c r="Q162" s="11">
        <v>6.2</v>
      </c>
      <c r="R162" s="13" t="str">
        <f>IF(Patient_Data!$L162&lt;2,"Low Risk",IF(Patient_Data!$L162&lt;4,"Moderate Risk","High Risk"))</f>
        <v>Low Risk</v>
      </c>
      <c r="S162" s="12" t="str">
        <f>IF(Patient_Data[[#This Row],[Age]]&lt;=18,"Pediatric",IF(Patient_Data[[#This Row],[Age]]&lt;=64,"Adult","Geriatric"))</f>
        <v>Geriatric</v>
      </c>
    </row>
    <row r="163" spans="1:19" ht="15.75" customHeight="1" x14ac:dyDescent="0.3">
      <c r="A163" s="4" t="s">
        <v>392</v>
      </c>
      <c r="B163" s="5" t="str">
        <f>TEXT(Patient_Data!$E163,"mmmm")</f>
        <v>July</v>
      </c>
      <c r="C163" s="6" t="str">
        <f t="shared" si="0"/>
        <v>Jul</v>
      </c>
      <c r="D163" s="6">
        <f>MONTH(Patient_Data!$E163)</f>
        <v>7</v>
      </c>
      <c r="E163" s="7">
        <v>45485</v>
      </c>
      <c r="F163" s="55" t="str">
        <f>TEXT(Patient_Data[[#This Row],[Admission_Date]],"YYYY")</f>
        <v>2024</v>
      </c>
      <c r="G163" s="8" t="s">
        <v>393</v>
      </c>
      <c r="H163" s="8" t="s">
        <v>82</v>
      </c>
      <c r="I163" s="4" t="s">
        <v>35</v>
      </c>
      <c r="J163" s="4">
        <v>58</v>
      </c>
      <c r="K163" s="4" t="s">
        <v>54</v>
      </c>
      <c r="L163" s="8">
        <v>4</v>
      </c>
      <c r="M163" s="9" t="s">
        <v>50</v>
      </c>
      <c r="N163" s="9" t="str">
        <f t="shared" si="1"/>
        <v>ICU</v>
      </c>
      <c r="O163" s="10">
        <v>17258.240000000002</v>
      </c>
      <c r="P163" s="10">
        <v>11126.87</v>
      </c>
      <c r="Q163" s="11">
        <v>10.199999999999999</v>
      </c>
      <c r="R163" s="13" t="str">
        <f>IF(Patient_Data!$L163&lt;2,"Low Risk",IF(Patient_Data!$L163&lt;4,"Moderate Risk","High Risk"))</f>
        <v>High Risk</v>
      </c>
      <c r="S163" s="12" t="str">
        <f>IF(Patient_Data[[#This Row],[Age]]&lt;=18,"Pediatric",IF(Patient_Data[[#This Row],[Age]]&lt;=64,"Adult","Geriatric"))</f>
        <v>Adult</v>
      </c>
    </row>
    <row r="164" spans="1:19" ht="15.75" customHeight="1" x14ac:dyDescent="0.3">
      <c r="A164" s="4" t="s">
        <v>394</v>
      </c>
      <c r="B164" s="5" t="str">
        <f>TEXT(Patient_Data!$E164,"mmmm")</f>
        <v>October</v>
      </c>
      <c r="C164" s="6" t="str">
        <f t="shared" si="0"/>
        <v>Oct</v>
      </c>
      <c r="D164" s="6">
        <f>MONTH(Patient_Data!$E164)</f>
        <v>10</v>
      </c>
      <c r="E164" s="7">
        <v>45583</v>
      </c>
      <c r="F164" s="55" t="str">
        <f>TEXT(Patient_Data[[#This Row],[Admission_Date]],"YYYY")</f>
        <v>2024</v>
      </c>
      <c r="G164" s="8" t="s">
        <v>395</v>
      </c>
      <c r="H164" s="8" t="s">
        <v>82</v>
      </c>
      <c r="I164" s="4" t="s">
        <v>29</v>
      </c>
      <c r="J164" s="4">
        <v>80</v>
      </c>
      <c r="K164" s="4" t="s">
        <v>54</v>
      </c>
      <c r="L164" s="8">
        <v>4</v>
      </c>
      <c r="M164" s="9" t="s">
        <v>50</v>
      </c>
      <c r="N164" s="9" t="str">
        <f t="shared" si="1"/>
        <v>ICU</v>
      </c>
      <c r="O164" s="10">
        <v>22428.48</v>
      </c>
      <c r="P164" s="10">
        <v>15168.68</v>
      </c>
      <c r="Q164" s="11">
        <v>17.7</v>
      </c>
      <c r="R164" s="13" t="str">
        <f>IF(Patient_Data!$L164&lt;2,"Low Risk",IF(Patient_Data!$L164&lt;4,"Moderate Risk","High Risk"))</f>
        <v>High Risk</v>
      </c>
      <c r="S164" s="12" t="str">
        <f>IF(Patient_Data[[#This Row],[Age]]&lt;=18,"Pediatric",IF(Patient_Data[[#This Row],[Age]]&lt;=64,"Adult","Geriatric"))</f>
        <v>Geriatric</v>
      </c>
    </row>
    <row r="165" spans="1:19" ht="15.75" customHeight="1" x14ac:dyDescent="0.3">
      <c r="A165" s="4" t="s">
        <v>396</v>
      </c>
      <c r="B165" s="5" t="str">
        <f>TEXT(Patient_Data!$E165,"mmmm")</f>
        <v>February</v>
      </c>
      <c r="C165" s="6" t="str">
        <f t="shared" si="0"/>
        <v>Feb</v>
      </c>
      <c r="D165" s="6">
        <f>MONTH(Patient_Data!$E165)</f>
        <v>2</v>
      </c>
      <c r="E165" s="7">
        <v>45707</v>
      </c>
      <c r="F165" s="55" t="str">
        <f>TEXT(Patient_Data[[#This Row],[Admission_Date]],"YYYY")</f>
        <v>2025</v>
      </c>
      <c r="G165" s="8" t="s">
        <v>397</v>
      </c>
      <c r="H165" s="8" t="s">
        <v>82</v>
      </c>
      <c r="I165" s="4" t="s">
        <v>29</v>
      </c>
      <c r="J165" s="4">
        <v>23</v>
      </c>
      <c r="K165" s="4" t="s">
        <v>54</v>
      </c>
      <c r="L165" s="8">
        <v>1</v>
      </c>
      <c r="M165" s="9" t="s">
        <v>83</v>
      </c>
      <c r="N165" s="9" t="str">
        <f t="shared" si="1"/>
        <v>ER</v>
      </c>
      <c r="O165" s="10">
        <v>6822.52</v>
      </c>
      <c r="P165" s="10">
        <v>4955.76</v>
      </c>
      <c r="Q165" s="11">
        <v>22.5</v>
      </c>
      <c r="R165" s="13" t="str">
        <f>IF(Patient_Data!$L165&lt;2,"Low Risk",IF(Patient_Data!$L165&lt;4,"Moderate Risk","High Risk"))</f>
        <v>Low Risk</v>
      </c>
      <c r="S165" s="12" t="str">
        <f>IF(Patient_Data[[#This Row],[Age]]&lt;=18,"Pediatric",IF(Patient_Data[[#This Row],[Age]]&lt;=64,"Adult","Geriatric"))</f>
        <v>Adult</v>
      </c>
    </row>
    <row r="166" spans="1:19" ht="15.75" customHeight="1" x14ac:dyDescent="0.3">
      <c r="A166" s="4" t="s">
        <v>398</v>
      </c>
      <c r="B166" s="5" t="str">
        <f>TEXT(Patient_Data!$E166,"mmmm")</f>
        <v>June</v>
      </c>
      <c r="C166" s="6" t="str">
        <f t="shared" si="0"/>
        <v>Jun</v>
      </c>
      <c r="D166" s="6">
        <f>MONTH(Patient_Data!$E166)</f>
        <v>6</v>
      </c>
      <c r="E166" s="7">
        <v>46202</v>
      </c>
      <c r="F166" s="55" t="str">
        <f>TEXT(Patient_Data[[#This Row],[Admission_Date]],"YYYY")</f>
        <v>2026</v>
      </c>
      <c r="G166" s="8" t="s">
        <v>399</v>
      </c>
      <c r="H166" s="8" t="s">
        <v>42</v>
      </c>
      <c r="I166" s="4" t="s">
        <v>35</v>
      </c>
      <c r="J166" s="4">
        <v>9</v>
      </c>
      <c r="K166" s="4" t="s">
        <v>30</v>
      </c>
      <c r="L166" s="8">
        <v>1</v>
      </c>
      <c r="M166" s="9" t="s">
        <v>79</v>
      </c>
      <c r="N166" s="9" t="str">
        <f t="shared" si="1"/>
        <v>PD</v>
      </c>
      <c r="O166" s="10">
        <v>2241.96</v>
      </c>
      <c r="P166" s="10">
        <v>1641.43</v>
      </c>
      <c r="Q166" s="11">
        <v>0.6</v>
      </c>
      <c r="R166" s="13" t="str">
        <f>IF(Patient_Data!$L166&lt;2,"Low Risk",IF(Patient_Data!$L166&lt;4,"Moderate Risk","High Risk"))</f>
        <v>Low Risk</v>
      </c>
      <c r="S166" s="12" t="str">
        <f>IF(Patient_Data[[#This Row],[Age]]&lt;=18,"Pediatric",IF(Patient_Data[[#This Row],[Age]]&lt;=64,"Adult","Geriatric"))</f>
        <v>Pediatric</v>
      </c>
    </row>
    <row r="167" spans="1:19" ht="15.75" customHeight="1" x14ac:dyDescent="0.3">
      <c r="A167" s="4" t="s">
        <v>400</v>
      </c>
      <c r="B167" s="5" t="str">
        <f>TEXT(Patient_Data!$E167,"mmmm")</f>
        <v>May</v>
      </c>
      <c r="C167" s="6" t="str">
        <f t="shared" si="0"/>
        <v>May</v>
      </c>
      <c r="D167" s="6">
        <f>MONTH(Patient_Data!$E167)</f>
        <v>5</v>
      </c>
      <c r="E167" s="7">
        <v>46167</v>
      </c>
      <c r="F167" s="55" t="str">
        <f>TEXT(Patient_Data[[#This Row],[Admission_Date]],"YYYY")</f>
        <v>2026</v>
      </c>
      <c r="G167" s="8" t="s">
        <v>401</v>
      </c>
      <c r="H167" s="8" t="s">
        <v>28</v>
      </c>
      <c r="I167" s="4" t="s">
        <v>29</v>
      </c>
      <c r="J167" s="4">
        <v>65</v>
      </c>
      <c r="K167" s="4" t="s">
        <v>30</v>
      </c>
      <c r="L167" s="8">
        <v>1</v>
      </c>
      <c r="M167" s="9" t="s">
        <v>31</v>
      </c>
      <c r="N167" s="9" t="str">
        <f t="shared" si="1"/>
        <v>Neuro</v>
      </c>
      <c r="O167" s="10">
        <v>9445.61</v>
      </c>
      <c r="P167" s="10">
        <v>7234.66</v>
      </c>
      <c r="Q167" s="11">
        <v>7</v>
      </c>
      <c r="R167" s="13" t="str">
        <f>IF(Patient_Data!$L167&lt;2,"Low Risk",IF(Patient_Data!$L167&lt;4,"Moderate Risk","High Risk"))</f>
        <v>Low Risk</v>
      </c>
      <c r="S167" s="12" t="str">
        <f>IF(Patient_Data[[#This Row],[Age]]&lt;=18,"Pediatric",IF(Patient_Data[[#This Row],[Age]]&lt;=64,"Adult","Geriatric"))</f>
        <v>Geriatric</v>
      </c>
    </row>
    <row r="168" spans="1:19" ht="15.75" customHeight="1" x14ac:dyDescent="0.3">
      <c r="A168" s="4" t="s">
        <v>402</v>
      </c>
      <c r="B168" s="5" t="str">
        <f>TEXT(Patient_Data!$E168,"mmmm")</f>
        <v>January</v>
      </c>
      <c r="C168" s="6" t="str">
        <f t="shared" si="0"/>
        <v>Jan</v>
      </c>
      <c r="D168" s="6">
        <f>MONTH(Patient_Data!$E168)</f>
        <v>1</v>
      </c>
      <c r="E168" s="7">
        <v>45681</v>
      </c>
      <c r="F168" s="55" t="str">
        <f>TEXT(Patient_Data[[#This Row],[Admission_Date]],"YYYY")</f>
        <v>2025</v>
      </c>
      <c r="G168" s="8" t="s">
        <v>403</v>
      </c>
      <c r="H168" s="8" t="s">
        <v>28</v>
      </c>
      <c r="I168" s="4" t="s">
        <v>29</v>
      </c>
      <c r="J168" s="4">
        <v>82</v>
      </c>
      <c r="K168" s="4" t="s">
        <v>30</v>
      </c>
      <c r="L168" s="8">
        <v>4</v>
      </c>
      <c r="M168" s="9" t="s">
        <v>46</v>
      </c>
      <c r="N168" s="9" t="str">
        <f t="shared" si="1"/>
        <v>Ortho</v>
      </c>
      <c r="O168" s="10">
        <v>10903.86</v>
      </c>
      <c r="P168" s="10">
        <v>6381.84</v>
      </c>
      <c r="Q168" s="11">
        <v>7.2</v>
      </c>
      <c r="R168" s="13" t="str">
        <f>IF(Patient_Data!$L168&lt;2,"Low Risk",IF(Patient_Data!$L168&lt;4,"Moderate Risk","High Risk"))</f>
        <v>High Risk</v>
      </c>
      <c r="S168" s="12" t="str">
        <f>IF(Patient_Data[[#This Row],[Age]]&lt;=18,"Pediatric",IF(Patient_Data[[#This Row],[Age]]&lt;=64,"Adult","Geriatric"))</f>
        <v>Geriatric</v>
      </c>
    </row>
    <row r="169" spans="1:19" ht="15.75" customHeight="1" x14ac:dyDescent="0.3">
      <c r="A169" s="4" t="s">
        <v>404</v>
      </c>
      <c r="B169" s="5" t="str">
        <f>TEXT(Patient_Data!$E169,"mmmm")</f>
        <v>December</v>
      </c>
      <c r="C169" s="6" t="str">
        <f t="shared" si="0"/>
        <v>Dec</v>
      </c>
      <c r="D169" s="6">
        <f>MONTH(Patient_Data!$E169)</f>
        <v>12</v>
      </c>
      <c r="E169" s="7">
        <v>45271</v>
      </c>
      <c r="F169" s="55" t="str">
        <f>TEXT(Patient_Data[[#This Row],[Admission_Date]],"YYYY")</f>
        <v>2023</v>
      </c>
      <c r="G169" s="8" t="s">
        <v>405</v>
      </c>
      <c r="H169" s="8" t="s">
        <v>53</v>
      </c>
      <c r="I169" s="4" t="s">
        <v>35</v>
      </c>
      <c r="J169" s="4">
        <v>79</v>
      </c>
      <c r="K169" s="4" t="s">
        <v>45</v>
      </c>
      <c r="L169" s="8">
        <v>5</v>
      </c>
      <c r="M169" s="9" t="s">
        <v>50</v>
      </c>
      <c r="N169" s="9" t="str">
        <f t="shared" si="1"/>
        <v>ICU</v>
      </c>
      <c r="O169" s="10">
        <v>21975.57</v>
      </c>
      <c r="P169" s="10">
        <v>13486.7</v>
      </c>
      <c r="Q169" s="11">
        <v>10.199999999999999</v>
      </c>
      <c r="R169" s="13" t="str">
        <f>IF(Patient_Data!$L169&lt;2,"Low Risk",IF(Patient_Data!$L169&lt;4,"Moderate Risk","High Risk"))</f>
        <v>High Risk</v>
      </c>
      <c r="S169" s="12" t="str">
        <f>IF(Patient_Data[[#This Row],[Age]]&lt;=18,"Pediatric",IF(Patient_Data[[#This Row],[Age]]&lt;=64,"Adult","Geriatric"))</f>
        <v>Geriatric</v>
      </c>
    </row>
    <row r="170" spans="1:19" ht="15.75" customHeight="1" x14ac:dyDescent="0.3">
      <c r="A170" s="4" t="s">
        <v>406</v>
      </c>
      <c r="B170" s="5" t="str">
        <f>TEXT(Patient_Data!$E170,"mmmm")</f>
        <v>March</v>
      </c>
      <c r="C170" s="6" t="str">
        <f t="shared" si="0"/>
        <v>Mar</v>
      </c>
      <c r="D170" s="6">
        <f>MONTH(Patient_Data!$E170)</f>
        <v>3</v>
      </c>
      <c r="E170" s="7">
        <v>45356</v>
      </c>
      <c r="F170" s="55" t="str">
        <f>TEXT(Patient_Data[[#This Row],[Admission_Date]],"YYYY")</f>
        <v>2024</v>
      </c>
      <c r="G170" s="8" t="s">
        <v>407</v>
      </c>
      <c r="H170" s="8" t="s">
        <v>132</v>
      </c>
      <c r="I170" s="4" t="s">
        <v>35</v>
      </c>
      <c r="J170" s="4">
        <v>83</v>
      </c>
      <c r="K170" s="4" t="s">
        <v>54</v>
      </c>
      <c r="L170" s="8">
        <v>3</v>
      </c>
      <c r="M170" s="9" t="s">
        <v>50</v>
      </c>
      <c r="N170" s="9" t="str">
        <f t="shared" si="1"/>
        <v>ICU</v>
      </c>
      <c r="O170" s="10">
        <v>15621.02</v>
      </c>
      <c r="P170" s="10">
        <v>10103.049999999999</v>
      </c>
      <c r="Q170" s="11">
        <v>13.2</v>
      </c>
      <c r="R170" s="13" t="str">
        <f>IF(Patient_Data!$L170&lt;2,"Low Risk",IF(Patient_Data!$L170&lt;4,"Moderate Risk","High Risk"))</f>
        <v>Moderate Risk</v>
      </c>
      <c r="S170" s="12" t="str">
        <f>IF(Patient_Data[[#This Row],[Age]]&lt;=18,"Pediatric",IF(Patient_Data[[#This Row],[Age]]&lt;=64,"Adult","Geriatric"))</f>
        <v>Geriatric</v>
      </c>
    </row>
    <row r="171" spans="1:19" ht="15.75" customHeight="1" x14ac:dyDescent="0.3">
      <c r="A171" s="4" t="s">
        <v>408</v>
      </c>
      <c r="B171" s="5" t="str">
        <f>TEXT(Patient_Data!$E171,"mmmm")</f>
        <v>January</v>
      </c>
      <c r="C171" s="6" t="str">
        <f t="shared" si="0"/>
        <v>Jan</v>
      </c>
      <c r="D171" s="6">
        <f>MONTH(Patient_Data!$E171)</f>
        <v>1</v>
      </c>
      <c r="E171" s="7">
        <v>46034</v>
      </c>
      <c r="F171" s="55" t="str">
        <f>TEXT(Patient_Data[[#This Row],[Admission_Date]],"YYYY")</f>
        <v>2026</v>
      </c>
      <c r="G171" s="8" t="s">
        <v>409</v>
      </c>
      <c r="H171" s="8" t="s">
        <v>28</v>
      </c>
      <c r="I171" s="4" t="s">
        <v>29</v>
      </c>
      <c r="J171" s="4">
        <v>84</v>
      </c>
      <c r="K171" s="4" t="s">
        <v>30</v>
      </c>
      <c r="L171" s="8">
        <v>4</v>
      </c>
      <c r="M171" s="9" t="s">
        <v>72</v>
      </c>
      <c r="N171" s="9" t="str">
        <f t="shared" si="1"/>
        <v>Surgery</v>
      </c>
      <c r="O171" s="10">
        <v>19797.650000000001</v>
      </c>
      <c r="P171" s="10">
        <v>13302.03</v>
      </c>
      <c r="Q171" s="11">
        <v>4.7</v>
      </c>
      <c r="R171" s="13" t="str">
        <f>IF(Patient_Data!$L171&lt;2,"Low Risk",IF(Patient_Data!$L171&lt;4,"Moderate Risk","High Risk"))</f>
        <v>High Risk</v>
      </c>
      <c r="S171" s="12" t="str">
        <f>IF(Patient_Data[[#This Row],[Age]]&lt;=18,"Pediatric",IF(Patient_Data[[#This Row],[Age]]&lt;=64,"Adult","Geriatric"))</f>
        <v>Geriatric</v>
      </c>
    </row>
    <row r="172" spans="1:19" ht="15.75" customHeight="1" x14ac:dyDescent="0.3">
      <c r="A172" s="4" t="s">
        <v>410</v>
      </c>
      <c r="B172" s="5" t="str">
        <f>TEXT(Patient_Data!$E172,"mmmm")</f>
        <v>March</v>
      </c>
      <c r="C172" s="6" t="str">
        <f t="shared" si="0"/>
        <v>Mar</v>
      </c>
      <c r="D172" s="6">
        <f>MONTH(Patient_Data!$E172)</f>
        <v>3</v>
      </c>
      <c r="E172" s="7">
        <v>45733</v>
      </c>
      <c r="F172" s="55" t="str">
        <f>TEXT(Patient_Data[[#This Row],[Admission_Date]],"YYYY")</f>
        <v>2025</v>
      </c>
      <c r="G172" s="8" t="s">
        <v>411</v>
      </c>
      <c r="H172" s="8" t="s">
        <v>28</v>
      </c>
      <c r="I172" s="4" t="s">
        <v>29</v>
      </c>
      <c r="J172" s="4">
        <v>11</v>
      </c>
      <c r="K172" s="4" t="s">
        <v>54</v>
      </c>
      <c r="L172" s="8">
        <v>5</v>
      </c>
      <c r="M172" s="9" t="s">
        <v>79</v>
      </c>
      <c r="N172" s="9" t="str">
        <f t="shared" si="1"/>
        <v>PD</v>
      </c>
      <c r="O172" s="10">
        <v>2695.52</v>
      </c>
      <c r="P172" s="10">
        <v>1914.06</v>
      </c>
      <c r="Q172" s="11">
        <v>3.4</v>
      </c>
      <c r="R172" s="13" t="str">
        <f>IF(Patient_Data!$L172&lt;2,"Low Risk",IF(Patient_Data!$L172&lt;4,"Moderate Risk","High Risk"))</f>
        <v>High Risk</v>
      </c>
      <c r="S172" s="12" t="str">
        <f>IF(Patient_Data[[#This Row],[Age]]&lt;=18,"Pediatric",IF(Patient_Data[[#This Row],[Age]]&lt;=64,"Adult","Geriatric"))</f>
        <v>Pediatric</v>
      </c>
    </row>
    <row r="173" spans="1:19" ht="15.75" customHeight="1" x14ac:dyDescent="0.3">
      <c r="A173" s="4" t="s">
        <v>412</v>
      </c>
      <c r="B173" s="5" t="str">
        <f>TEXT(Patient_Data!$E173,"mmmm")</f>
        <v>November</v>
      </c>
      <c r="C173" s="6" t="str">
        <f t="shared" si="0"/>
        <v>Nov</v>
      </c>
      <c r="D173" s="6">
        <f>MONTH(Patient_Data!$E173)</f>
        <v>11</v>
      </c>
      <c r="E173" s="7">
        <v>45257</v>
      </c>
      <c r="F173" s="55" t="str">
        <f>TEXT(Patient_Data[[#This Row],[Admission_Date]],"YYYY")</f>
        <v>2023</v>
      </c>
      <c r="G173" s="8" t="s">
        <v>413</v>
      </c>
      <c r="H173" s="8" t="s">
        <v>98</v>
      </c>
      <c r="I173" s="4" t="s">
        <v>35</v>
      </c>
      <c r="J173" s="4">
        <v>80</v>
      </c>
      <c r="K173" s="4" t="s">
        <v>54</v>
      </c>
      <c r="L173" s="8">
        <v>4</v>
      </c>
      <c r="M173" s="9" t="s">
        <v>31</v>
      </c>
      <c r="N173" s="9" t="str">
        <f t="shared" si="1"/>
        <v>Neuro</v>
      </c>
      <c r="O173" s="10">
        <v>13840.27</v>
      </c>
      <c r="P173" s="10">
        <v>10169</v>
      </c>
      <c r="Q173" s="11">
        <v>8.1999999999999993</v>
      </c>
      <c r="R173" s="13" t="str">
        <f>IF(Patient_Data!$L173&lt;2,"Low Risk",IF(Patient_Data!$L173&lt;4,"Moderate Risk","High Risk"))</f>
        <v>High Risk</v>
      </c>
      <c r="S173" s="12" t="str">
        <f>IF(Patient_Data[[#This Row],[Age]]&lt;=18,"Pediatric",IF(Patient_Data[[#This Row],[Age]]&lt;=64,"Adult","Geriatric"))</f>
        <v>Geriatric</v>
      </c>
    </row>
    <row r="174" spans="1:19" ht="15.75" customHeight="1" x14ac:dyDescent="0.3">
      <c r="A174" s="4" t="s">
        <v>414</v>
      </c>
      <c r="B174" s="5" t="str">
        <f>TEXT(Patient_Data!$E174,"mmmm")</f>
        <v>September</v>
      </c>
      <c r="C174" s="6" t="str">
        <f t="shared" si="0"/>
        <v>Sep</v>
      </c>
      <c r="D174" s="6">
        <f>MONTH(Patient_Data!$E174)</f>
        <v>9</v>
      </c>
      <c r="E174" s="7">
        <v>45174</v>
      </c>
      <c r="F174" s="55" t="str">
        <f>TEXT(Patient_Data[[#This Row],[Admission_Date]],"YYYY")</f>
        <v>2023</v>
      </c>
      <c r="G174" s="8" t="s">
        <v>415</v>
      </c>
      <c r="H174" s="8" t="s">
        <v>53</v>
      </c>
      <c r="I174" s="4" t="s">
        <v>35</v>
      </c>
      <c r="J174" s="4">
        <v>61</v>
      </c>
      <c r="K174" s="4" t="s">
        <v>30</v>
      </c>
      <c r="L174" s="8">
        <v>1</v>
      </c>
      <c r="M174" s="9" t="s">
        <v>36</v>
      </c>
      <c r="N174" s="9" t="str">
        <f t="shared" si="1"/>
        <v>Cardio</v>
      </c>
      <c r="O174" s="10">
        <v>8675.7800000000007</v>
      </c>
      <c r="P174" s="10">
        <v>6593.59</v>
      </c>
      <c r="Q174" s="11"/>
      <c r="R174" s="13" t="str">
        <f>IF(Patient_Data!$L174&lt;2,"Low Risk",IF(Patient_Data!$L174&lt;4,"Moderate Risk","High Risk"))</f>
        <v>Low Risk</v>
      </c>
      <c r="S174" s="12" t="str">
        <f>IF(Patient_Data[[#This Row],[Age]]&lt;=18,"Pediatric",IF(Patient_Data[[#This Row],[Age]]&lt;=64,"Adult","Geriatric"))</f>
        <v>Adult</v>
      </c>
    </row>
    <row r="175" spans="1:19" ht="15.75" customHeight="1" x14ac:dyDescent="0.3">
      <c r="A175" s="4" t="s">
        <v>416</v>
      </c>
      <c r="B175" s="5" t="str">
        <f>TEXT(Patient_Data!$E175,"mmmm")</f>
        <v>February</v>
      </c>
      <c r="C175" s="6" t="str">
        <f t="shared" si="0"/>
        <v>Feb</v>
      </c>
      <c r="D175" s="6">
        <f>MONTH(Patient_Data!$E175)</f>
        <v>2</v>
      </c>
      <c r="E175" s="7">
        <v>46071</v>
      </c>
      <c r="F175" s="55" t="str">
        <f>TEXT(Patient_Data[[#This Row],[Admission_Date]],"YYYY")</f>
        <v>2026</v>
      </c>
      <c r="G175" s="8" t="s">
        <v>417</v>
      </c>
      <c r="H175" s="8" t="s">
        <v>28</v>
      </c>
      <c r="I175" s="4" t="s">
        <v>35</v>
      </c>
      <c r="J175" s="4">
        <v>28</v>
      </c>
      <c r="K175" s="4" t="s">
        <v>30</v>
      </c>
      <c r="L175" s="8">
        <v>3</v>
      </c>
      <c r="M175" s="9" t="s">
        <v>72</v>
      </c>
      <c r="N175" s="9" t="str">
        <f t="shared" si="1"/>
        <v>Surgery</v>
      </c>
      <c r="O175" s="10">
        <v>11532.68</v>
      </c>
      <c r="P175" s="10">
        <v>6772.95</v>
      </c>
      <c r="Q175" s="11">
        <v>10.5</v>
      </c>
      <c r="R175" s="13" t="str">
        <f>IF(Patient_Data!$L175&lt;2,"Low Risk",IF(Patient_Data!$L175&lt;4,"Moderate Risk","High Risk"))</f>
        <v>Moderate Risk</v>
      </c>
      <c r="S175" s="12" t="str">
        <f>IF(Patient_Data[[#This Row],[Age]]&lt;=18,"Pediatric",IF(Patient_Data[[#This Row],[Age]]&lt;=64,"Adult","Geriatric"))</f>
        <v>Adult</v>
      </c>
    </row>
    <row r="176" spans="1:19" ht="15.75" customHeight="1" x14ac:dyDescent="0.3">
      <c r="A176" s="4" t="s">
        <v>418</v>
      </c>
      <c r="B176" s="5" t="str">
        <f>TEXT(Patient_Data!$E176,"mmmm")</f>
        <v>January</v>
      </c>
      <c r="C176" s="6" t="str">
        <f t="shared" si="0"/>
        <v>Jan</v>
      </c>
      <c r="D176" s="6">
        <f>MONTH(Patient_Data!$E176)</f>
        <v>1</v>
      </c>
      <c r="E176" s="7">
        <v>46042</v>
      </c>
      <c r="F176" s="55" t="str">
        <f>TEXT(Patient_Data[[#This Row],[Admission_Date]],"YYYY")</f>
        <v>2026</v>
      </c>
      <c r="G176" s="8" t="s">
        <v>419</v>
      </c>
      <c r="H176" s="8" t="s">
        <v>49</v>
      </c>
      <c r="I176" s="4" t="s">
        <v>35</v>
      </c>
      <c r="J176" s="4">
        <v>37</v>
      </c>
      <c r="K176" s="4" t="s">
        <v>30</v>
      </c>
      <c r="L176" s="8">
        <v>4</v>
      </c>
      <c r="M176" s="9" t="s">
        <v>72</v>
      </c>
      <c r="N176" s="9" t="str">
        <f t="shared" si="1"/>
        <v>Surgery</v>
      </c>
      <c r="O176" s="10">
        <v>20902.73</v>
      </c>
      <c r="P176" s="10">
        <v>12783.47</v>
      </c>
      <c r="Q176" s="11">
        <v>4.0999999999999996</v>
      </c>
      <c r="R176" s="13" t="str">
        <f>IF(Patient_Data!$L176&lt;2,"Low Risk",IF(Patient_Data!$L176&lt;4,"Moderate Risk","High Risk"))</f>
        <v>High Risk</v>
      </c>
      <c r="S176" s="12" t="str">
        <f>IF(Patient_Data[[#This Row],[Age]]&lt;=18,"Pediatric",IF(Patient_Data[[#This Row],[Age]]&lt;=64,"Adult","Geriatric"))</f>
        <v>Adult</v>
      </c>
    </row>
    <row r="177" spans="1:19" ht="15.75" customHeight="1" x14ac:dyDescent="0.3">
      <c r="A177" s="4" t="s">
        <v>420</v>
      </c>
      <c r="B177" s="5" t="str">
        <f>TEXT(Patient_Data!$E177,"mmmm")</f>
        <v>September</v>
      </c>
      <c r="C177" s="6" t="str">
        <f t="shared" si="0"/>
        <v>Sep</v>
      </c>
      <c r="D177" s="6">
        <f>MONTH(Patient_Data!$E177)</f>
        <v>9</v>
      </c>
      <c r="E177" s="7">
        <v>45186</v>
      </c>
      <c r="F177" s="55" t="str">
        <f>TEXT(Patient_Data[[#This Row],[Admission_Date]],"YYYY")</f>
        <v>2023</v>
      </c>
      <c r="G177" s="8" t="s">
        <v>421</v>
      </c>
      <c r="H177" s="8" t="s">
        <v>53</v>
      </c>
      <c r="I177" s="4" t="s">
        <v>35</v>
      </c>
      <c r="J177" s="4">
        <v>17</v>
      </c>
      <c r="K177" s="4" t="s">
        <v>30</v>
      </c>
      <c r="L177" s="8">
        <v>2</v>
      </c>
      <c r="M177" s="9" t="s">
        <v>79</v>
      </c>
      <c r="N177" s="9" t="str">
        <f t="shared" si="1"/>
        <v>PD</v>
      </c>
      <c r="O177" s="10">
        <v>2943.48</v>
      </c>
      <c r="P177" s="10">
        <v>1885.43</v>
      </c>
      <c r="Q177" s="11">
        <v>0.2</v>
      </c>
      <c r="R177" s="13" t="str">
        <f>IF(Patient_Data!$L177&lt;2,"Low Risk",IF(Patient_Data!$L177&lt;4,"Moderate Risk","High Risk"))</f>
        <v>Moderate Risk</v>
      </c>
      <c r="S177" s="12" t="str">
        <f>IF(Patient_Data[[#This Row],[Age]]&lt;=18,"Pediatric",IF(Patient_Data[[#This Row],[Age]]&lt;=64,"Adult","Geriatric"))</f>
        <v>Pediatric</v>
      </c>
    </row>
    <row r="178" spans="1:19" ht="15.75" customHeight="1" x14ac:dyDescent="0.3">
      <c r="A178" s="4" t="s">
        <v>422</v>
      </c>
      <c r="B178" s="5" t="str">
        <f>TEXT(Patient_Data!$E178,"mmmm")</f>
        <v>September</v>
      </c>
      <c r="C178" s="6" t="str">
        <f t="shared" si="0"/>
        <v>Sep</v>
      </c>
      <c r="D178" s="6">
        <f>MONTH(Patient_Data!$E178)</f>
        <v>9</v>
      </c>
      <c r="E178" s="7">
        <v>45923</v>
      </c>
      <c r="F178" s="55" t="str">
        <f>TEXT(Patient_Data[[#This Row],[Admission_Date]],"YYYY")</f>
        <v>2025</v>
      </c>
      <c r="G178" s="8" t="s">
        <v>423</v>
      </c>
      <c r="H178" s="8" t="s">
        <v>98</v>
      </c>
      <c r="I178" s="4" t="s">
        <v>35</v>
      </c>
      <c r="J178" s="4">
        <v>70</v>
      </c>
      <c r="K178" s="4" t="s">
        <v>54</v>
      </c>
      <c r="L178" s="8">
        <v>5</v>
      </c>
      <c r="M178" s="9" t="s">
        <v>50</v>
      </c>
      <c r="N178" s="9" t="str">
        <f t="shared" si="1"/>
        <v>ICU</v>
      </c>
      <c r="O178" s="10">
        <v>18292.349999999999</v>
      </c>
      <c r="P178" s="10">
        <v>12372.67</v>
      </c>
      <c r="Q178" s="11">
        <v>14.6</v>
      </c>
      <c r="R178" s="13" t="str">
        <f>IF(Patient_Data!$L178&lt;2,"Low Risk",IF(Patient_Data!$L178&lt;4,"Moderate Risk","High Risk"))</f>
        <v>High Risk</v>
      </c>
      <c r="S178" s="12" t="str">
        <f>IF(Patient_Data[[#This Row],[Age]]&lt;=18,"Pediatric",IF(Patient_Data[[#This Row],[Age]]&lt;=64,"Adult","Geriatric"))</f>
        <v>Geriatric</v>
      </c>
    </row>
    <row r="179" spans="1:19" ht="15.75" customHeight="1" x14ac:dyDescent="0.3">
      <c r="A179" s="4" t="s">
        <v>424</v>
      </c>
      <c r="B179" s="5" t="str">
        <f>TEXT(Patient_Data!$E179,"mmmm")</f>
        <v>June</v>
      </c>
      <c r="C179" s="6" t="str">
        <f t="shared" si="0"/>
        <v>Jun</v>
      </c>
      <c r="D179" s="6">
        <f>MONTH(Patient_Data!$E179)</f>
        <v>6</v>
      </c>
      <c r="E179" s="7">
        <v>45470</v>
      </c>
      <c r="F179" s="55" t="str">
        <f>TEXT(Patient_Data[[#This Row],[Admission_Date]],"YYYY")</f>
        <v>2024</v>
      </c>
      <c r="G179" s="8" t="s">
        <v>425</v>
      </c>
      <c r="H179" s="8" t="s">
        <v>28</v>
      </c>
      <c r="I179" s="4" t="s">
        <v>35</v>
      </c>
      <c r="J179" s="4">
        <v>24</v>
      </c>
      <c r="K179" s="4" t="s">
        <v>30</v>
      </c>
      <c r="L179" s="8">
        <v>2</v>
      </c>
      <c r="M179" s="9" t="s">
        <v>83</v>
      </c>
      <c r="N179" s="9" t="str">
        <f t="shared" si="1"/>
        <v>ER</v>
      </c>
      <c r="O179" s="10">
        <v>8884.35</v>
      </c>
      <c r="P179" s="10">
        <v>6323.85</v>
      </c>
      <c r="Q179" s="11">
        <v>13.1</v>
      </c>
      <c r="R179" s="13" t="str">
        <f>IF(Patient_Data!$L179&lt;2,"Low Risk",IF(Patient_Data!$L179&lt;4,"Moderate Risk","High Risk"))</f>
        <v>Moderate Risk</v>
      </c>
      <c r="S179" s="12" t="str">
        <f>IF(Patient_Data[[#This Row],[Age]]&lt;=18,"Pediatric",IF(Patient_Data[[#This Row],[Age]]&lt;=64,"Adult","Geriatric"))</f>
        <v>Adult</v>
      </c>
    </row>
    <row r="180" spans="1:19" ht="15.75" customHeight="1" x14ac:dyDescent="0.3">
      <c r="A180" s="4" t="s">
        <v>426</v>
      </c>
      <c r="B180" s="5" t="str">
        <f>TEXT(Patient_Data!$E180,"mmmm")</f>
        <v>January</v>
      </c>
      <c r="C180" s="6" t="str">
        <f t="shared" si="0"/>
        <v>Jan</v>
      </c>
      <c r="D180" s="6">
        <f>MONTH(Patient_Data!$E180)</f>
        <v>1</v>
      </c>
      <c r="E180" s="7">
        <v>46047</v>
      </c>
      <c r="F180" s="55" t="str">
        <f>TEXT(Patient_Data[[#This Row],[Admission_Date]],"YYYY")</f>
        <v>2026</v>
      </c>
      <c r="G180" s="8" t="s">
        <v>427</v>
      </c>
      <c r="H180" s="8" t="s">
        <v>132</v>
      </c>
      <c r="I180" s="4" t="s">
        <v>29</v>
      </c>
      <c r="J180" s="4">
        <v>80</v>
      </c>
      <c r="K180" s="4" t="s">
        <v>30</v>
      </c>
      <c r="L180" s="8">
        <v>2</v>
      </c>
      <c r="M180" s="9" t="s">
        <v>46</v>
      </c>
      <c r="N180" s="9" t="str">
        <f t="shared" si="1"/>
        <v>Ortho</v>
      </c>
      <c r="O180" s="10">
        <v>7381.44</v>
      </c>
      <c r="P180" s="10">
        <v>5406.85</v>
      </c>
      <c r="Q180" s="11">
        <v>2.2999999999999998</v>
      </c>
      <c r="R180" s="13" t="str">
        <f>IF(Patient_Data!$L180&lt;2,"Low Risk",IF(Patient_Data!$L180&lt;4,"Moderate Risk","High Risk"))</f>
        <v>Moderate Risk</v>
      </c>
      <c r="S180" s="12" t="str">
        <f>IF(Patient_Data[[#This Row],[Age]]&lt;=18,"Pediatric",IF(Patient_Data[[#This Row],[Age]]&lt;=64,"Adult","Geriatric"))</f>
        <v>Geriatric</v>
      </c>
    </row>
    <row r="181" spans="1:19" ht="15.75" customHeight="1" x14ac:dyDescent="0.3">
      <c r="A181" s="4" t="s">
        <v>428</v>
      </c>
      <c r="B181" s="5" t="str">
        <f>TEXT(Patient_Data!$E181,"mmmm")</f>
        <v>May</v>
      </c>
      <c r="C181" s="6" t="str">
        <f t="shared" si="0"/>
        <v>May</v>
      </c>
      <c r="D181" s="6">
        <f>MONTH(Patient_Data!$E181)</f>
        <v>5</v>
      </c>
      <c r="E181" s="7">
        <v>45798</v>
      </c>
      <c r="F181" s="55" t="str">
        <f>TEXT(Patient_Data[[#This Row],[Admission_Date]],"YYYY")</f>
        <v>2025</v>
      </c>
      <c r="G181" s="8" t="s">
        <v>429</v>
      </c>
      <c r="H181" s="8" t="s">
        <v>53</v>
      </c>
      <c r="I181" s="4" t="s">
        <v>29</v>
      </c>
      <c r="J181" s="4">
        <v>48</v>
      </c>
      <c r="K181" s="4" t="s">
        <v>54</v>
      </c>
      <c r="L181" s="8">
        <v>3</v>
      </c>
      <c r="M181" s="9" t="s">
        <v>31</v>
      </c>
      <c r="N181" s="9" t="str">
        <f t="shared" si="1"/>
        <v>Neuro</v>
      </c>
      <c r="O181" s="10">
        <v>10694.18</v>
      </c>
      <c r="P181" s="10">
        <v>8194.7800000000007</v>
      </c>
      <c r="Q181" s="11">
        <v>8.4</v>
      </c>
      <c r="R181" s="13" t="str">
        <f>IF(Patient_Data!$L181&lt;2,"Low Risk",IF(Patient_Data!$L181&lt;4,"Moderate Risk","High Risk"))</f>
        <v>Moderate Risk</v>
      </c>
      <c r="S181" s="12" t="str">
        <f>IF(Patient_Data[[#This Row],[Age]]&lt;=18,"Pediatric",IF(Patient_Data[[#This Row],[Age]]&lt;=64,"Adult","Geriatric"))</f>
        <v>Adult</v>
      </c>
    </row>
    <row r="182" spans="1:19" ht="15.75" customHeight="1" x14ac:dyDescent="0.3">
      <c r="A182" s="4" t="s">
        <v>430</v>
      </c>
      <c r="B182" s="5" t="str">
        <f>TEXT(Patient_Data!$E182,"mmmm")</f>
        <v>November</v>
      </c>
      <c r="C182" s="6" t="str">
        <f t="shared" si="0"/>
        <v>Nov</v>
      </c>
      <c r="D182" s="6">
        <f>MONTH(Patient_Data!$E182)</f>
        <v>11</v>
      </c>
      <c r="E182" s="7">
        <v>45597</v>
      </c>
      <c r="F182" s="55" t="str">
        <f>TEXT(Patient_Data[[#This Row],[Admission_Date]],"YYYY")</f>
        <v>2024</v>
      </c>
      <c r="G182" s="8" t="s">
        <v>431</v>
      </c>
      <c r="H182" s="8" t="s">
        <v>42</v>
      </c>
      <c r="I182" s="4" t="s">
        <v>35</v>
      </c>
      <c r="J182" s="4">
        <v>24</v>
      </c>
      <c r="K182" s="4" t="s">
        <v>30</v>
      </c>
      <c r="L182" s="8">
        <v>1</v>
      </c>
      <c r="M182" s="9" t="s">
        <v>36</v>
      </c>
      <c r="N182" s="9" t="str">
        <f t="shared" si="1"/>
        <v>Cardio</v>
      </c>
      <c r="O182" s="10">
        <v>7809.93</v>
      </c>
      <c r="P182" s="10">
        <v>4602.5600000000004</v>
      </c>
      <c r="Q182" s="11">
        <v>9.1</v>
      </c>
      <c r="R182" s="13" t="str">
        <f>IF(Patient_Data!$L182&lt;2,"Low Risk",IF(Patient_Data!$L182&lt;4,"Moderate Risk","High Risk"))</f>
        <v>Low Risk</v>
      </c>
      <c r="S182" s="12" t="str">
        <f>IF(Patient_Data[[#This Row],[Age]]&lt;=18,"Pediatric",IF(Patient_Data[[#This Row],[Age]]&lt;=64,"Adult","Geriatric"))</f>
        <v>Adult</v>
      </c>
    </row>
    <row r="183" spans="1:19" ht="15.75" customHeight="1" x14ac:dyDescent="0.3">
      <c r="A183" s="4" t="s">
        <v>432</v>
      </c>
      <c r="B183" s="5" t="str">
        <f>TEXT(Patient_Data!$E183,"mmmm")</f>
        <v>January</v>
      </c>
      <c r="C183" s="6" t="str">
        <f t="shared" si="0"/>
        <v>Jan</v>
      </c>
      <c r="D183" s="6">
        <f>MONTH(Patient_Data!$E183)</f>
        <v>1</v>
      </c>
      <c r="E183" s="7">
        <v>45678</v>
      </c>
      <c r="F183" s="55" t="str">
        <f>TEXT(Patient_Data[[#This Row],[Admission_Date]],"YYYY")</f>
        <v>2025</v>
      </c>
      <c r="G183" s="8" t="s">
        <v>433</v>
      </c>
      <c r="H183" s="8" t="s">
        <v>98</v>
      </c>
      <c r="I183" s="4" t="s">
        <v>29</v>
      </c>
      <c r="J183" s="4">
        <v>28</v>
      </c>
      <c r="K183" s="4" t="s">
        <v>30</v>
      </c>
      <c r="L183" s="8">
        <v>3</v>
      </c>
      <c r="M183" s="9" t="s">
        <v>39</v>
      </c>
      <c r="N183" s="9" t="str">
        <f t="shared" si="1"/>
        <v>GM</v>
      </c>
      <c r="O183" s="10">
        <v>2663.22</v>
      </c>
      <c r="P183" s="10">
        <v>1682.96</v>
      </c>
      <c r="Q183" s="11">
        <v>7.3</v>
      </c>
      <c r="R183" s="13" t="str">
        <f>IF(Patient_Data!$L183&lt;2,"Low Risk",IF(Patient_Data!$L183&lt;4,"Moderate Risk","High Risk"))</f>
        <v>Moderate Risk</v>
      </c>
      <c r="S183" s="12" t="str">
        <f>IF(Patient_Data[[#This Row],[Age]]&lt;=18,"Pediatric",IF(Patient_Data[[#This Row],[Age]]&lt;=64,"Adult","Geriatric"))</f>
        <v>Adult</v>
      </c>
    </row>
    <row r="184" spans="1:19" ht="15.75" customHeight="1" x14ac:dyDescent="0.3">
      <c r="A184" s="4" t="s">
        <v>434</v>
      </c>
      <c r="B184" s="5" t="str">
        <f>TEXT(Patient_Data!$E184,"mmmm")</f>
        <v>March</v>
      </c>
      <c r="C184" s="6" t="str">
        <f t="shared" si="0"/>
        <v>Mar</v>
      </c>
      <c r="D184" s="6">
        <f>MONTH(Patient_Data!$E184)</f>
        <v>3</v>
      </c>
      <c r="E184" s="7">
        <v>45377</v>
      </c>
      <c r="F184" s="55" t="str">
        <f>TEXT(Patient_Data[[#This Row],[Admission_Date]],"YYYY")</f>
        <v>2024</v>
      </c>
      <c r="G184" s="8" t="s">
        <v>435</v>
      </c>
      <c r="H184" s="8" t="s">
        <v>49</v>
      </c>
      <c r="I184" s="4" t="s">
        <v>35</v>
      </c>
      <c r="J184" s="4">
        <v>29</v>
      </c>
      <c r="K184" s="4" t="s">
        <v>30</v>
      </c>
      <c r="L184" s="8">
        <v>2</v>
      </c>
      <c r="M184" s="9" t="s">
        <v>31</v>
      </c>
      <c r="N184" s="9" t="str">
        <f t="shared" si="1"/>
        <v>Neuro</v>
      </c>
      <c r="O184" s="10">
        <v>10576.29</v>
      </c>
      <c r="P184" s="10">
        <v>6790.43</v>
      </c>
      <c r="Q184" s="11">
        <v>2.7</v>
      </c>
      <c r="R184" s="13" t="str">
        <f>IF(Patient_Data!$L184&lt;2,"Low Risk",IF(Patient_Data!$L184&lt;4,"Moderate Risk","High Risk"))</f>
        <v>Moderate Risk</v>
      </c>
      <c r="S184" s="12" t="str">
        <f>IF(Patient_Data[[#This Row],[Age]]&lt;=18,"Pediatric",IF(Patient_Data[[#This Row],[Age]]&lt;=64,"Adult","Geriatric"))</f>
        <v>Adult</v>
      </c>
    </row>
    <row r="185" spans="1:19" ht="15.75" customHeight="1" x14ac:dyDescent="0.3">
      <c r="A185" s="4" t="s">
        <v>436</v>
      </c>
      <c r="B185" s="5" t="str">
        <f>TEXT(Patient_Data!$E185,"mmmm")</f>
        <v>August</v>
      </c>
      <c r="C185" s="6" t="str">
        <f t="shared" si="0"/>
        <v>Aug</v>
      </c>
      <c r="D185" s="6">
        <f>MONTH(Patient_Data!$E185)</f>
        <v>8</v>
      </c>
      <c r="E185" s="7">
        <v>45891</v>
      </c>
      <c r="F185" s="55" t="str">
        <f>TEXT(Patient_Data[[#This Row],[Admission_Date]],"YYYY")</f>
        <v>2025</v>
      </c>
      <c r="G185" s="8" t="s">
        <v>437</v>
      </c>
      <c r="H185" s="8" t="s">
        <v>132</v>
      </c>
      <c r="I185" s="4" t="s">
        <v>35</v>
      </c>
      <c r="J185" s="4">
        <v>41</v>
      </c>
      <c r="K185" s="4" t="s">
        <v>30</v>
      </c>
      <c r="L185" s="8">
        <v>1</v>
      </c>
      <c r="M185" s="9" t="s">
        <v>83</v>
      </c>
      <c r="N185" s="9" t="str">
        <f t="shared" si="1"/>
        <v>ER</v>
      </c>
      <c r="O185" s="10">
        <v>8596.43</v>
      </c>
      <c r="P185" s="10">
        <v>5947.61</v>
      </c>
      <c r="Q185" s="11">
        <v>23.5</v>
      </c>
      <c r="R185" s="13" t="str">
        <f>IF(Patient_Data!$L185&lt;2,"Low Risk",IF(Patient_Data!$L185&lt;4,"Moderate Risk","High Risk"))</f>
        <v>Low Risk</v>
      </c>
      <c r="S185" s="12" t="str">
        <f>IF(Patient_Data[[#This Row],[Age]]&lt;=18,"Pediatric",IF(Patient_Data[[#This Row],[Age]]&lt;=64,"Adult","Geriatric"))</f>
        <v>Adult</v>
      </c>
    </row>
    <row r="186" spans="1:19" ht="15.75" customHeight="1" x14ac:dyDescent="0.3">
      <c r="A186" s="4" t="s">
        <v>438</v>
      </c>
      <c r="B186" s="5" t="str">
        <f>TEXT(Patient_Data!$E186,"mmmm")</f>
        <v>December</v>
      </c>
      <c r="C186" s="6" t="str">
        <f t="shared" si="0"/>
        <v>Dec</v>
      </c>
      <c r="D186" s="6">
        <f>MONTH(Patient_Data!$E186)</f>
        <v>12</v>
      </c>
      <c r="E186" s="7">
        <v>45999</v>
      </c>
      <c r="F186" s="55" t="str">
        <f>TEXT(Patient_Data[[#This Row],[Admission_Date]],"YYYY")</f>
        <v>2025</v>
      </c>
      <c r="G186" s="8" t="s">
        <v>439</v>
      </c>
      <c r="H186" s="8" t="s">
        <v>28</v>
      </c>
      <c r="I186" s="4" t="s">
        <v>29</v>
      </c>
      <c r="J186" s="4">
        <v>61</v>
      </c>
      <c r="K186" s="4" t="s">
        <v>30</v>
      </c>
      <c r="L186" s="8">
        <v>1</v>
      </c>
      <c r="M186" s="9" t="s">
        <v>46</v>
      </c>
      <c r="N186" s="9" t="str">
        <f t="shared" si="1"/>
        <v>Ortho</v>
      </c>
      <c r="O186" s="10">
        <v>6247.97</v>
      </c>
      <c r="P186" s="10">
        <v>4460.78</v>
      </c>
      <c r="Q186" s="11">
        <v>10.9</v>
      </c>
      <c r="R186" s="13" t="str">
        <f>IF(Patient_Data!$L186&lt;2,"Low Risk",IF(Patient_Data!$L186&lt;4,"Moderate Risk","High Risk"))</f>
        <v>Low Risk</v>
      </c>
      <c r="S186" s="12" t="str">
        <f>IF(Patient_Data[[#This Row],[Age]]&lt;=18,"Pediatric",IF(Patient_Data[[#This Row],[Age]]&lt;=64,"Adult","Geriatric"))</f>
        <v>Adult</v>
      </c>
    </row>
    <row r="187" spans="1:19" ht="15.75" customHeight="1" x14ac:dyDescent="0.3">
      <c r="A187" s="4" t="s">
        <v>440</v>
      </c>
      <c r="B187" s="5" t="str">
        <f>TEXT(Patient_Data!$E187,"mmmm")</f>
        <v>July</v>
      </c>
      <c r="C187" s="6" t="str">
        <f t="shared" si="0"/>
        <v>Jul</v>
      </c>
      <c r="D187" s="6">
        <f>MONTH(Patient_Data!$E187)</f>
        <v>7</v>
      </c>
      <c r="E187" s="7">
        <v>45483</v>
      </c>
      <c r="F187" s="55" t="str">
        <f>TEXT(Patient_Data[[#This Row],[Admission_Date]],"YYYY")</f>
        <v>2024</v>
      </c>
      <c r="G187" s="8" t="s">
        <v>441</v>
      </c>
      <c r="H187" s="8" t="s">
        <v>28</v>
      </c>
      <c r="I187" s="4" t="s">
        <v>35</v>
      </c>
      <c r="J187" s="4">
        <v>12</v>
      </c>
      <c r="K187" s="4" t="s">
        <v>54</v>
      </c>
      <c r="L187" s="8">
        <v>3</v>
      </c>
      <c r="M187" s="9" t="s">
        <v>79</v>
      </c>
      <c r="N187" s="9" t="str">
        <f t="shared" si="1"/>
        <v>PD</v>
      </c>
      <c r="O187" s="10">
        <v>2323.0300000000002</v>
      </c>
      <c r="P187" s="10">
        <v>1739.01</v>
      </c>
      <c r="Q187" s="11">
        <v>5.4</v>
      </c>
      <c r="R187" s="13" t="str">
        <f>IF(Patient_Data!$L187&lt;2,"Low Risk",IF(Patient_Data!$L187&lt;4,"Moderate Risk","High Risk"))</f>
        <v>Moderate Risk</v>
      </c>
      <c r="S187" s="12" t="str">
        <f>IF(Patient_Data[[#This Row],[Age]]&lt;=18,"Pediatric",IF(Patient_Data[[#This Row],[Age]]&lt;=64,"Adult","Geriatric"))</f>
        <v>Pediatric</v>
      </c>
    </row>
    <row r="188" spans="1:19" ht="15.75" customHeight="1" x14ac:dyDescent="0.3">
      <c r="A188" s="4" t="s">
        <v>442</v>
      </c>
      <c r="B188" s="5" t="str">
        <f>TEXT(Patient_Data!$E188,"mmmm")</f>
        <v>December</v>
      </c>
      <c r="C188" s="6" t="str">
        <f t="shared" si="0"/>
        <v>Dec</v>
      </c>
      <c r="D188" s="6">
        <f>MONTH(Patient_Data!$E188)</f>
        <v>12</v>
      </c>
      <c r="E188" s="7">
        <v>45651</v>
      </c>
      <c r="F188" s="55" t="str">
        <f>TEXT(Patient_Data[[#This Row],[Admission_Date]],"YYYY")</f>
        <v>2024</v>
      </c>
      <c r="G188" s="8" t="s">
        <v>443</v>
      </c>
      <c r="H188" s="8" t="s">
        <v>42</v>
      </c>
      <c r="I188" s="4" t="s">
        <v>29</v>
      </c>
      <c r="J188" s="4">
        <v>59</v>
      </c>
      <c r="K188" s="4" t="s">
        <v>54</v>
      </c>
      <c r="L188" s="8">
        <v>5</v>
      </c>
      <c r="M188" s="9" t="s">
        <v>36</v>
      </c>
      <c r="N188" s="9" t="str">
        <f t="shared" si="1"/>
        <v>Cardio</v>
      </c>
      <c r="O188" s="10">
        <v>19417.98</v>
      </c>
      <c r="P188" s="10">
        <v>14784.06</v>
      </c>
      <c r="Q188" s="11">
        <v>3.3</v>
      </c>
      <c r="R188" s="13" t="str">
        <f>IF(Patient_Data!$L188&lt;2,"Low Risk",IF(Patient_Data!$L188&lt;4,"Moderate Risk","High Risk"))</f>
        <v>High Risk</v>
      </c>
      <c r="S188" s="12" t="str">
        <f>IF(Patient_Data[[#This Row],[Age]]&lt;=18,"Pediatric",IF(Patient_Data[[#This Row],[Age]]&lt;=64,"Adult","Geriatric"))</f>
        <v>Adult</v>
      </c>
    </row>
    <row r="189" spans="1:19" ht="15.75" customHeight="1" x14ac:dyDescent="0.3">
      <c r="A189" s="4" t="s">
        <v>444</v>
      </c>
      <c r="B189" s="5" t="str">
        <f>TEXT(Patient_Data!$E189,"mmmm")</f>
        <v>July</v>
      </c>
      <c r="C189" s="6" t="str">
        <f t="shared" si="0"/>
        <v>Jul</v>
      </c>
      <c r="D189" s="6">
        <f>MONTH(Patient_Data!$E189)</f>
        <v>7</v>
      </c>
      <c r="E189" s="7">
        <v>45499</v>
      </c>
      <c r="F189" s="55" t="str">
        <f>TEXT(Patient_Data[[#This Row],[Admission_Date]],"YYYY")</f>
        <v>2024</v>
      </c>
      <c r="G189" s="8" t="s">
        <v>445</v>
      </c>
      <c r="H189" s="8" t="s">
        <v>132</v>
      </c>
      <c r="I189" s="4" t="s">
        <v>29</v>
      </c>
      <c r="J189" s="4">
        <v>47</v>
      </c>
      <c r="K189" s="4" t="s">
        <v>54</v>
      </c>
      <c r="L189" s="8">
        <v>4</v>
      </c>
      <c r="M189" s="9" t="s">
        <v>46</v>
      </c>
      <c r="N189" s="9" t="str">
        <f t="shared" si="1"/>
        <v>Ortho</v>
      </c>
      <c r="O189" s="10">
        <v>8553.5300000000007</v>
      </c>
      <c r="P189" s="10">
        <v>5003.45</v>
      </c>
      <c r="Q189" s="11">
        <v>5.3</v>
      </c>
      <c r="R189" s="13" t="str">
        <f>IF(Patient_Data!$L189&lt;2,"Low Risk",IF(Patient_Data!$L189&lt;4,"Moderate Risk","High Risk"))</f>
        <v>High Risk</v>
      </c>
      <c r="S189" s="12" t="str">
        <f>IF(Patient_Data[[#This Row],[Age]]&lt;=18,"Pediatric",IF(Patient_Data[[#This Row],[Age]]&lt;=64,"Adult","Geriatric"))</f>
        <v>Adult</v>
      </c>
    </row>
    <row r="190" spans="1:19" ht="15.75" customHeight="1" x14ac:dyDescent="0.3">
      <c r="A190" s="4" t="s">
        <v>446</v>
      </c>
      <c r="B190" s="5" t="str">
        <f>TEXT(Patient_Data!$E190,"mmmm")</f>
        <v>October</v>
      </c>
      <c r="C190" s="6" t="str">
        <f t="shared" si="0"/>
        <v>Oct</v>
      </c>
      <c r="D190" s="6">
        <f>MONTH(Patient_Data!$E190)</f>
        <v>10</v>
      </c>
      <c r="E190" s="7">
        <v>45217</v>
      </c>
      <c r="F190" s="55" t="str">
        <f>TEXT(Patient_Data[[#This Row],[Admission_Date]],"YYYY")</f>
        <v>2023</v>
      </c>
      <c r="G190" s="8" t="s">
        <v>403</v>
      </c>
      <c r="H190" s="8" t="s">
        <v>98</v>
      </c>
      <c r="I190" s="4" t="s">
        <v>29</v>
      </c>
      <c r="J190" s="4">
        <v>72</v>
      </c>
      <c r="K190" s="4" t="s">
        <v>30</v>
      </c>
      <c r="L190" s="8">
        <v>2</v>
      </c>
      <c r="M190" s="9" t="s">
        <v>39</v>
      </c>
      <c r="N190" s="9" t="str">
        <f t="shared" si="1"/>
        <v>GM</v>
      </c>
      <c r="O190" s="10">
        <v>5218.72</v>
      </c>
      <c r="P190" s="10">
        <v>3249.02</v>
      </c>
      <c r="Q190" s="11">
        <v>8.1999999999999993</v>
      </c>
      <c r="R190" s="13" t="str">
        <f>IF(Patient_Data!$L190&lt;2,"Low Risk",IF(Patient_Data!$L190&lt;4,"Moderate Risk","High Risk"))</f>
        <v>Moderate Risk</v>
      </c>
      <c r="S190" s="12" t="str">
        <f>IF(Patient_Data[[#This Row],[Age]]&lt;=18,"Pediatric",IF(Patient_Data[[#This Row],[Age]]&lt;=64,"Adult","Geriatric"))</f>
        <v>Geriatric</v>
      </c>
    </row>
    <row r="191" spans="1:19" ht="15.75" customHeight="1" x14ac:dyDescent="0.3">
      <c r="A191" s="4" t="s">
        <v>447</v>
      </c>
      <c r="B191" s="5" t="str">
        <f>TEXT(Patient_Data!$E191,"mmmm")</f>
        <v>August</v>
      </c>
      <c r="C191" s="6" t="str">
        <f t="shared" si="0"/>
        <v>Aug</v>
      </c>
      <c r="D191" s="6">
        <f>MONTH(Patient_Data!$E191)</f>
        <v>8</v>
      </c>
      <c r="E191" s="7">
        <v>45534</v>
      </c>
      <c r="F191" s="55" t="str">
        <f>TEXT(Patient_Data[[#This Row],[Admission_Date]],"YYYY")</f>
        <v>2024</v>
      </c>
      <c r="G191" s="8" t="s">
        <v>448</v>
      </c>
      <c r="H191" s="8" t="s">
        <v>28</v>
      </c>
      <c r="I191" s="4" t="s">
        <v>35</v>
      </c>
      <c r="J191" s="4">
        <v>11</v>
      </c>
      <c r="K191" s="4" t="s">
        <v>54</v>
      </c>
      <c r="L191" s="8">
        <v>3</v>
      </c>
      <c r="M191" s="9" t="s">
        <v>79</v>
      </c>
      <c r="N191" s="9" t="str">
        <f t="shared" si="1"/>
        <v>PD</v>
      </c>
      <c r="O191" s="10">
        <v>1178.55</v>
      </c>
      <c r="P191" s="10">
        <v>799.07</v>
      </c>
      <c r="Q191" s="11">
        <v>5.6</v>
      </c>
      <c r="R191" s="13" t="str">
        <f>IF(Patient_Data!$L191&lt;2,"Low Risk",IF(Patient_Data!$L191&lt;4,"Moderate Risk","High Risk"))</f>
        <v>Moderate Risk</v>
      </c>
      <c r="S191" s="12" t="str">
        <f>IF(Patient_Data[[#This Row],[Age]]&lt;=18,"Pediatric",IF(Patient_Data[[#This Row],[Age]]&lt;=64,"Adult","Geriatric"))</f>
        <v>Pediatric</v>
      </c>
    </row>
    <row r="192" spans="1:19" ht="15.75" customHeight="1" x14ac:dyDescent="0.3">
      <c r="A192" s="4" t="s">
        <v>449</v>
      </c>
      <c r="B192" s="5" t="str">
        <f>TEXT(Patient_Data!$E192,"mmmm")</f>
        <v>July</v>
      </c>
      <c r="C192" s="6" t="str">
        <f t="shared" si="0"/>
        <v>Jul</v>
      </c>
      <c r="D192" s="6">
        <f>MONTH(Patient_Data!$E192)</f>
        <v>7</v>
      </c>
      <c r="E192" s="7">
        <v>45847</v>
      </c>
      <c r="F192" s="55" t="str">
        <f>TEXT(Patient_Data[[#This Row],[Admission_Date]],"YYYY")</f>
        <v>2025</v>
      </c>
      <c r="G192" s="8" t="s">
        <v>450</v>
      </c>
      <c r="H192" s="8" t="s">
        <v>75</v>
      </c>
      <c r="I192" s="4" t="s">
        <v>29</v>
      </c>
      <c r="J192" s="4">
        <v>70</v>
      </c>
      <c r="K192" s="4" t="s">
        <v>54</v>
      </c>
      <c r="L192" s="8">
        <v>1</v>
      </c>
      <c r="M192" s="9" t="s">
        <v>31</v>
      </c>
      <c r="N192" s="9" t="str">
        <f t="shared" si="1"/>
        <v>Neuro</v>
      </c>
      <c r="O192" s="10">
        <v>7459.02</v>
      </c>
      <c r="P192" s="10">
        <v>5080.74</v>
      </c>
      <c r="Q192" s="11">
        <v>10.4</v>
      </c>
      <c r="R192" s="13" t="str">
        <f>IF(Patient_Data!$L192&lt;2,"Low Risk",IF(Patient_Data!$L192&lt;4,"Moderate Risk","High Risk"))</f>
        <v>Low Risk</v>
      </c>
      <c r="S192" s="12" t="str">
        <f>IF(Patient_Data[[#This Row],[Age]]&lt;=18,"Pediatric",IF(Patient_Data[[#This Row],[Age]]&lt;=64,"Adult","Geriatric"))</f>
        <v>Geriatric</v>
      </c>
    </row>
    <row r="193" spans="1:19" ht="15.75" customHeight="1" x14ac:dyDescent="0.3">
      <c r="A193" s="4" t="s">
        <v>451</v>
      </c>
      <c r="B193" s="5" t="str">
        <f>TEXT(Patient_Data!$E193,"mmmm")</f>
        <v>December</v>
      </c>
      <c r="C193" s="6" t="str">
        <f t="shared" si="0"/>
        <v>Dec</v>
      </c>
      <c r="D193" s="6">
        <f>MONTH(Patient_Data!$E193)</f>
        <v>12</v>
      </c>
      <c r="E193" s="7">
        <v>46010</v>
      </c>
      <c r="F193" s="55" t="str">
        <f>TEXT(Patient_Data[[#This Row],[Admission_Date]],"YYYY")</f>
        <v>2025</v>
      </c>
      <c r="G193" s="8" t="s">
        <v>452</v>
      </c>
      <c r="H193" s="8" t="s">
        <v>82</v>
      </c>
      <c r="I193" s="4" t="s">
        <v>29</v>
      </c>
      <c r="J193" s="4">
        <v>4</v>
      </c>
      <c r="K193" s="4" t="s">
        <v>30</v>
      </c>
      <c r="L193" s="8">
        <v>4</v>
      </c>
      <c r="M193" s="9" t="s">
        <v>79</v>
      </c>
      <c r="N193" s="9" t="str">
        <f t="shared" si="1"/>
        <v>PD</v>
      </c>
      <c r="O193" s="10">
        <v>3545.93</v>
      </c>
      <c r="P193" s="10">
        <v>2513.35</v>
      </c>
      <c r="Q193" s="11">
        <v>3.9</v>
      </c>
      <c r="R193" s="13" t="str">
        <f>IF(Patient_Data!$L193&lt;2,"Low Risk",IF(Patient_Data!$L193&lt;4,"Moderate Risk","High Risk"))</f>
        <v>High Risk</v>
      </c>
      <c r="S193" s="12" t="str">
        <f>IF(Patient_Data[[#This Row],[Age]]&lt;=18,"Pediatric",IF(Patient_Data[[#This Row],[Age]]&lt;=64,"Adult","Geriatric"))</f>
        <v>Pediatric</v>
      </c>
    </row>
    <row r="194" spans="1:19" ht="15.75" customHeight="1" x14ac:dyDescent="0.3">
      <c r="A194" s="4" t="s">
        <v>453</v>
      </c>
      <c r="B194" s="5" t="str">
        <f>TEXT(Patient_Data!$E194,"mmmm")</f>
        <v>November</v>
      </c>
      <c r="C194" s="6" t="str">
        <f t="shared" si="0"/>
        <v>Nov</v>
      </c>
      <c r="D194" s="6">
        <f>MONTH(Patient_Data!$E194)</f>
        <v>11</v>
      </c>
      <c r="E194" s="7">
        <v>45246</v>
      </c>
      <c r="F194" s="55" t="str">
        <f>TEXT(Patient_Data[[#This Row],[Admission_Date]],"YYYY")</f>
        <v>2023</v>
      </c>
      <c r="G194" s="8" t="s">
        <v>454</v>
      </c>
      <c r="H194" s="8" t="s">
        <v>53</v>
      </c>
      <c r="I194" s="4" t="s">
        <v>35</v>
      </c>
      <c r="J194" s="4">
        <v>55</v>
      </c>
      <c r="K194" s="4" t="s">
        <v>30</v>
      </c>
      <c r="L194" s="8">
        <v>2</v>
      </c>
      <c r="M194" s="9" t="s">
        <v>46</v>
      </c>
      <c r="N194" s="9" t="str">
        <f t="shared" si="1"/>
        <v>Ortho</v>
      </c>
      <c r="O194" s="10">
        <v>7224.62</v>
      </c>
      <c r="P194" s="10">
        <v>5367.57</v>
      </c>
      <c r="Q194" s="11">
        <v>11.7</v>
      </c>
      <c r="R194" s="13" t="str">
        <f>IF(Patient_Data!$L194&lt;2,"Low Risk",IF(Patient_Data!$L194&lt;4,"Moderate Risk","High Risk"))</f>
        <v>Moderate Risk</v>
      </c>
      <c r="S194" s="12" t="str">
        <f>IF(Patient_Data[[#This Row],[Age]]&lt;=18,"Pediatric",IF(Patient_Data[[#This Row],[Age]]&lt;=64,"Adult","Geriatric"))</f>
        <v>Adult</v>
      </c>
    </row>
    <row r="195" spans="1:19" ht="15.75" customHeight="1" x14ac:dyDescent="0.3">
      <c r="A195" s="4" t="s">
        <v>455</v>
      </c>
      <c r="B195" s="5" t="str">
        <f>TEXT(Patient_Data!$E195,"mmmm")</f>
        <v>September</v>
      </c>
      <c r="C195" s="6" t="str">
        <f t="shared" si="0"/>
        <v>Sep</v>
      </c>
      <c r="D195" s="6">
        <f>MONTH(Patient_Data!$E195)</f>
        <v>9</v>
      </c>
      <c r="E195" s="7">
        <v>45562</v>
      </c>
      <c r="F195" s="55" t="str">
        <f>TEXT(Patient_Data[[#This Row],[Admission_Date]],"YYYY")</f>
        <v>2024</v>
      </c>
      <c r="G195" s="8" t="s">
        <v>456</v>
      </c>
      <c r="H195" s="8" t="s">
        <v>82</v>
      </c>
      <c r="I195" s="4" t="s">
        <v>35</v>
      </c>
      <c r="J195" s="4">
        <v>3</v>
      </c>
      <c r="K195" s="4" t="s">
        <v>45</v>
      </c>
      <c r="L195" s="8">
        <v>2</v>
      </c>
      <c r="M195" s="9" t="s">
        <v>79</v>
      </c>
      <c r="N195" s="9" t="str">
        <f t="shared" si="1"/>
        <v>PD</v>
      </c>
      <c r="O195" s="10">
        <v>2001.42</v>
      </c>
      <c r="P195" s="10">
        <v>1554.68</v>
      </c>
      <c r="Q195" s="11">
        <v>4.2</v>
      </c>
      <c r="R195" s="13" t="str">
        <f>IF(Patient_Data!$L195&lt;2,"Low Risk",IF(Patient_Data!$L195&lt;4,"Moderate Risk","High Risk"))</f>
        <v>Moderate Risk</v>
      </c>
      <c r="S195" s="12" t="str">
        <f>IF(Patient_Data[[#This Row],[Age]]&lt;=18,"Pediatric",IF(Patient_Data[[#This Row],[Age]]&lt;=64,"Adult","Geriatric"))</f>
        <v>Pediatric</v>
      </c>
    </row>
    <row r="196" spans="1:19" ht="15.75" customHeight="1" x14ac:dyDescent="0.3">
      <c r="A196" s="4" t="s">
        <v>457</v>
      </c>
      <c r="B196" s="5" t="str">
        <f>TEXT(Patient_Data!$E196,"mmmm")</f>
        <v>January</v>
      </c>
      <c r="C196" s="6" t="str">
        <f t="shared" si="0"/>
        <v>Jan</v>
      </c>
      <c r="D196" s="6">
        <f>MONTH(Patient_Data!$E196)</f>
        <v>1</v>
      </c>
      <c r="E196" s="7">
        <v>45309</v>
      </c>
      <c r="F196" s="55" t="str">
        <f>TEXT(Patient_Data[[#This Row],[Admission_Date]],"YYYY")</f>
        <v>2024</v>
      </c>
      <c r="G196" s="8" t="s">
        <v>458</v>
      </c>
      <c r="H196" s="8" t="s">
        <v>28</v>
      </c>
      <c r="I196" s="4" t="s">
        <v>35</v>
      </c>
      <c r="J196" s="4">
        <v>72</v>
      </c>
      <c r="K196" s="4" t="s">
        <v>54</v>
      </c>
      <c r="L196" s="8">
        <v>2</v>
      </c>
      <c r="M196" s="9" t="s">
        <v>39</v>
      </c>
      <c r="N196" s="9" t="str">
        <f t="shared" si="1"/>
        <v>GM</v>
      </c>
      <c r="O196" s="10">
        <v>1777.96</v>
      </c>
      <c r="P196" s="10">
        <v>1095.22</v>
      </c>
      <c r="Q196" s="11">
        <v>8</v>
      </c>
      <c r="R196" s="13" t="str">
        <f>IF(Patient_Data!$L196&lt;2,"Low Risk",IF(Patient_Data!$L196&lt;4,"Moderate Risk","High Risk"))</f>
        <v>Moderate Risk</v>
      </c>
      <c r="S196" s="12" t="str">
        <f>IF(Patient_Data[[#This Row],[Age]]&lt;=18,"Pediatric",IF(Patient_Data[[#This Row],[Age]]&lt;=64,"Adult","Geriatric"))</f>
        <v>Geriatric</v>
      </c>
    </row>
    <row r="197" spans="1:19" ht="15.75" customHeight="1" x14ac:dyDescent="0.3">
      <c r="A197" s="4" t="s">
        <v>459</v>
      </c>
      <c r="B197" s="5" t="str">
        <f>TEXT(Patient_Data!$E197,"mmmm")</f>
        <v>July</v>
      </c>
      <c r="C197" s="6" t="str">
        <f t="shared" si="0"/>
        <v>Jul</v>
      </c>
      <c r="D197" s="6">
        <f>MONTH(Patient_Data!$E197)</f>
        <v>7</v>
      </c>
      <c r="E197" s="7">
        <v>46210</v>
      </c>
      <c r="F197" s="55" t="str">
        <f>TEXT(Patient_Data[[#This Row],[Admission_Date]],"YYYY")</f>
        <v>2026</v>
      </c>
      <c r="G197" s="8" t="s">
        <v>460</v>
      </c>
      <c r="H197" s="8" t="s">
        <v>34</v>
      </c>
      <c r="I197" s="4" t="s">
        <v>29</v>
      </c>
      <c r="J197" s="4">
        <v>8</v>
      </c>
      <c r="K197" s="4" t="s">
        <v>30</v>
      </c>
      <c r="L197" s="8">
        <v>2</v>
      </c>
      <c r="M197" s="9" t="s">
        <v>79</v>
      </c>
      <c r="N197" s="9" t="str">
        <f t="shared" si="1"/>
        <v>PD</v>
      </c>
      <c r="O197" s="10">
        <v>2696.06</v>
      </c>
      <c r="P197" s="10">
        <v>1648.6</v>
      </c>
      <c r="Q197" s="11">
        <v>0.5</v>
      </c>
      <c r="R197" s="13" t="str">
        <f>IF(Patient_Data!$L197&lt;2,"Low Risk",IF(Patient_Data!$L197&lt;4,"Moderate Risk","High Risk"))</f>
        <v>Moderate Risk</v>
      </c>
      <c r="S197" s="12" t="str">
        <f>IF(Patient_Data[[#This Row],[Age]]&lt;=18,"Pediatric",IF(Patient_Data[[#This Row],[Age]]&lt;=64,"Adult","Geriatric"))</f>
        <v>Pediatric</v>
      </c>
    </row>
    <row r="198" spans="1:19" ht="15.75" customHeight="1" x14ac:dyDescent="0.3">
      <c r="A198" s="4" t="s">
        <v>461</v>
      </c>
      <c r="B198" s="5" t="str">
        <f>TEXT(Patient_Data!$E198,"mmmm")</f>
        <v>November</v>
      </c>
      <c r="C198" s="6" t="str">
        <f t="shared" si="0"/>
        <v>Nov</v>
      </c>
      <c r="D198" s="6">
        <f>MONTH(Patient_Data!$E198)</f>
        <v>11</v>
      </c>
      <c r="E198" s="7">
        <v>45985</v>
      </c>
      <c r="F198" s="55" t="str">
        <f>TEXT(Patient_Data[[#This Row],[Admission_Date]],"YYYY")</f>
        <v>2025</v>
      </c>
      <c r="G198" s="8" t="s">
        <v>462</v>
      </c>
      <c r="H198" s="8" t="s">
        <v>53</v>
      </c>
      <c r="I198" s="4" t="s">
        <v>29</v>
      </c>
      <c r="J198" s="4">
        <v>62</v>
      </c>
      <c r="K198" s="4" t="s">
        <v>30</v>
      </c>
      <c r="L198" s="8">
        <v>1</v>
      </c>
      <c r="M198" s="9" t="s">
        <v>83</v>
      </c>
      <c r="N198" s="9" t="str">
        <f t="shared" si="1"/>
        <v>ER</v>
      </c>
      <c r="O198" s="10">
        <v>3778.09</v>
      </c>
      <c r="P198" s="10">
        <v>2605.1799999999998</v>
      </c>
      <c r="Q198" s="11">
        <v>23.4</v>
      </c>
      <c r="R198" s="13" t="str">
        <f>IF(Patient_Data!$L198&lt;2,"Low Risk",IF(Patient_Data!$L198&lt;4,"Moderate Risk","High Risk"))</f>
        <v>Low Risk</v>
      </c>
      <c r="S198" s="12" t="str">
        <f>IF(Patient_Data[[#This Row],[Age]]&lt;=18,"Pediatric",IF(Patient_Data[[#This Row],[Age]]&lt;=64,"Adult","Geriatric"))</f>
        <v>Adult</v>
      </c>
    </row>
    <row r="199" spans="1:19" ht="15.75" customHeight="1" x14ac:dyDescent="0.3">
      <c r="A199" s="4" t="s">
        <v>463</v>
      </c>
      <c r="B199" s="5" t="str">
        <f>TEXT(Patient_Data!$E199,"mmmm")</f>
        <v>July</v>
      </c>
      <c r="C199" s="6" t="str">
        <f t="shared" si="0"/>
        <v>Jul</v>
      </c>
      <c r="D199" s="6">
        <f>MONTH(Patient_Data!$E199)</f>
        <v>7</v>
      </c>
      <c r="E199" s="7">
        <v>45845</v>
      </c>
      <c r="F199" s="55" t="str">
        <f>TEXT(Patient_Data[[#This Row],[Admission_Date]],"YYYY")</f>
        <v>2025</v>
      </c>
      <c r="G199" s="8" t="s">
        <v>464</v>
      </c>
      <c r="H199" s="8" t="s">
        <v>34</v>
      </c>
      <c r="I199" s="4" t="s">
        <v>29</v>
      </c>
      <c r="J199" s="4">
        <v>28</v>
      </c>
      <c r="K199" s="4" t="s">
        <v>30</v>
      </c>
      <c r="L199" s="8">
        <v>1</v>
      </c>
      <c r="M199" s="9" t="s">
        <v>31</v>
      </c>
      <c r="N199" s="9" t="str">
        <f t="shared" si="1"/>
        <v>Neuro</v>
      </c>
      <c r="O199" s="10">
        <v>10484.370000000001</v>
      </c>
      <c r="P199" s="10">
        <v>7054.13</v>
      </c>
      <c r="Q199" s="11">
        <v>3.7</v>
      </c>
      <c r="R199" s="13" t="str">
        <f>IF(Patient_Data!$L199&lt;2,"Low Risk",IF(Patient_Data!$L199&lt;4,"Moderate Risk","High Risk"))</f>
        <v>Low Risk</v>
      </c>
      <c r="S199" s="12" t="str">
        <f>IF(Patient_Data[[#This Row],[Age]]&lt;=18,"Pediatric",IF(Patient_Data[[#This Row],[Age]]&lt;=64,"Adult","Geriatric"))</f>
        <v>Adult</v>
      </c>
    </row>
    <row r="200" spans="1:19" ht="15.75" customHeight="1" x14ac:dyDescent="0.3">
      <c r="A200" s="4" t="s">
        <v>465</v>
      </c>
      <c r="B200" s="5" t="str">
        <f>TEXT(Patient_Data!$E200,"mmmm")</f>
        <v>October</v>
      </c>
      <c r="C200" s="6" t="str">
        <f t="shared" si="0"/>
        <v>Oct</v>
      </c>
      <c r="D200" s="6">
        <f>MONTH(Patient_Data!$E200)</f>
        <v>10</v>
      </c>
      <c r="E200" s="7">
        <v>45223</v>
      </c>
      <c r="F200" s="55" t="str">
        <f>TEXT(Patient_Data[[#This Row],[Admission_Date]],"YYYY")</f>
        <v>2023</v>
      </c>
      <c r="G200" s="8" t="s">
        <v>466</v>
      </c>
      <c r="H200" s="8" t="s">
        <v>42</v>
      </c>
      <c r="I200" s="4" t="s">
        <v>29</v>
      </c>
      <c r="J200" s="4">
        <v>90</v>
      </c>
      <c r="K200" s="4" t="s">
        <v>54</v>
      </c>
      <c r="L200" s="8">
        <v>4</v>
      </c>
      <c r="M200" s="9" t="s">
        <v>50</v>
      </c>
      <c r="N200" s="9" t="str">
        <f t="shared" si="1"/>
        <v>ICU</v>
      </c>
      <c r="O200" s="10">
        <v>11288.34</v>
      </c>
      <c r="P200" s="10">
        <v>8019.44</v>
      </c>
      <c r="Q200" s="11">
        <v>14.7</v>
      </c>
      <c r="R200" s="13" t="str">
        <f>IF(Patient_Data!$L200&lt;2,"Low Risk",IF(Patient_Data!$L200&lt;4,"Moderate Risk","High Risk"))</f>
        <v>High Risk</v>
      </c>
      <c r="S200" s="12" t="str">
        <f>IF(Patient_Data[[#This Row],[Age]]&lt;=18,"Pediatric",IF(Patient_Data[[#This Row],[Age]]&lt;=64,"Adult","Geriatric"))</f>
        <v>Geriatric</v>
      </c>
    </row>
    <row r="201" spans="1:19" ht="15.75" customHeight="1" x14ac:dyDescent="0.3">
      <c r="A201" s="4" t="s">
        <v>467</v>
      </c>
      <c r="B201" s="5" t="str">
        <f>TEXT(Patient_Data!$E201,"mmmm")</f>
        <v>February</v>
      </c>
      <c r="C201" s="6" t="str">
        <f t="shared" si="0"/>
        <v>Feb</v>
      </c>
      <c r="D201" s="6">
        <f>MONTH(Patient_Data!$E201)</f>
        <v>2</v>
      </c>
      <c r="E201" s="7">
        <v>45701</v>
      </c>
      <c r="F201" s="55" t="str">
        <f>TEXT(Patient_Data[[#This Row],[Admission_Date]],"YYYY")</f>
        <v>2025</v>
      </c>
      <c r="G201" s="8" t="s">
        <v>468</v>
      </c>
      <c r="H201" s="8" t="s">
        <v>82</v>
      </c>
      <c r="I201" s="4" t="s">
        <v>29</v>
      </c>
      <c r="J201" s="4">
        <v>51</v>
      </c>
      <c r="K201" s="4" t="s">
        <v>54</v>
      </c>
      <c r="L201" s="8">
        <v>3</v>
      </c>
      <c r="M201" s="9" t="s">
        <v>72</v>
      </c>
      <c r="N201" s="9" t="str">
        <f t="shared" si="1"/>
        <v>Surgery</v>
      </c>
      <c r="O201" s="10">
        <v>15397.83</v>
      </c>
      <c r="P201" s="10">
        <v>11269.22</v>
      </c>
      <c r="Q201" s="11">
        <v>3.6</v>
      </c>
      <c r="R201" s="13" t="str">
        <f>IF(Patient_Data!$L201&lt;2,"Low Risk",IF(Patient_Data!$L201&lt;4,"Moderate Risk","High Risk"))</f>
        <v>Moderate Risk</v>
      </c>
      <c r="S201" s="12" t="str">
        <f>IF(Patient_Data[[#This Row],[Age]]&lt;=18,"Pediatric",IF(Patient_Data[[#This Row],[Age]]&lt;=64,"Adult","Geriatric"))</f>
        <v>Adult</v>
      </c>
    </row>
    <row r="202" spans="1:19" ht="15.75" customHeight="1" x14ac:dyDescent="0.3">
      <c r="A202" s="4" t="s">
        <v>469</v>
      </c>
      <c r="B202" s="5" t="str">
        <f>TEXT(Patient_Data!$E202,"mmmm")</f>
        <v>August</v>
      </c>
      <c r="C202" s="6" t="str">
        <f t="shared" si="0"/>
        <v>Aug</v>
      </c>
      <c r="D202" s="6">
        <f>MONTH(Patient_Data!$E202)</f>
        <v>8</v>
      </c>
      <c r="E202" s="7">
        <v>45532</v>
      </c>
      <c r="F202" s="55" t="str">
        <f>TEXT(Patient_Data[[#This Row],[Admission_Date]],"YYYY")</f>
        <v>2024</v>
      </c>
      <c r="G202" s="8" t="s">
        <v>470</v>
      </c>
      <c r="H202" s="8" t="s">
        <v>98</v>
      </c>
      <c r="I202" s="4" t="s">
        <v>35</v>
      </c>
      <c r="J202" s="4">
        <v>23</v>
      </c>
      <c r="K202" s="4" t="s">
        <v>30</v>
      </c>
      <c r="L202" s="8">
        <v>1</v>
      </c>
      <c r="M202" s="9" t="s">
        <v>83</v>
      </c>
      <c r="N202" s="9" t="str">
        <f t="shared" si="1"/>
        <v>ER</v>
      </c>
      <c r="O202" s="10">
        <v>2592.17</v>
      </c>
      <c r="P202" s="10">
        <v>2079.65</v>
      </c>
      <c r="Q202" s="11">
        <v>13.7</v>
      </c>
      <c r="R202" s="13" t="str">
        <f>IF(Patient_Data!$L202&lt;2,"Low Risk",IF(Patient_Data!$L202&lt;4,"Moderate Risk","High Risk"))</f>
        <v>Low Risk</v>
      </c>
      <c r="S202" s="12" t="str">
        <f>IF(Patient_Data[[#This Row],[Age]]&lt;=18,"Pediatric",IF(Patient_Data[[#This Row],[Age]]&lt;=64,"Adult","Geriatric"))</f>
        <v>Adult</v>
      </c>
    </row>
    <row r="203" spans="1:19" ht="15.75" customHeight="1" x14ac:dyDescent="0.3">
      <c r="A203" s="4" t="s">
        <v>471</v>
      </c>
      <c r="B203" s="5" t="str">
        <f>TEXT(Patient_Data!$E203,"mmmm")</f>
        <v>February</v>
      </c>
      <c r="C203" s="6" t="str">
        <f t="shared" si="0"/>
        <v>Feb</v>
      </c>
      <c r="D203" s="6">
        <f>MONTH(Patient_Data!$E203)</f>
        <v>2</v>
      </c>
      <c r="E203" s="7">
        <v>45710</v>
      </c>
      <c r="F203" s="55" t="str">
        <f>TEXT(Patient_Data[[#This Row],[Admission_Date]],"YYYY")</f>
        <v>2025</v>
      </c>
      <c r="G203" s="8" t="s">
        <v>351</v>
      </c>
      <c r="H203" s="8" t="s">
        <v>34</v>
      </c>
      <c r="I203" s="4" t="s">
        <v>35</v>
      </c>
      <c r="J203" s="4">
        <v>43</v>
      </c>
      <c r="K203" s="4" t="s">
        <v>45</v>
      </c>
      <c r="L203" s="8">
        <v>4</v>
      </c>
      <c r="M203" s="9" t="s">
        <v>72</v>
      </c>
      <c r="N203" s="9" t="str">
        <f t="shared" si="1"/>
        <v>Surgery</v>
      </c>
      <c r="O203" s="10">
        <v>18807.04</v>
      </c>
      <c r="P203" s="10">
        <v>10941.68</v>
      </c>
      <c r="Q203" s="11">
        <v>4.2</v>
      </c>
      <c r="R203" s="13" t="str">
        <f>IF(Patient_Data!$L203&lt;2,"Low Risk",IF(Patient_Data!$L203&lt;4,"Moderate Risk","High Risk"))</f>
        <v>High Risk</v>
      </c>
      <c r="S203" s="12" t="str">
        <f>IF(Patient_Data[[#This Row],[Age]]&lt;=18,"Pediatric",IF(Patient_Data[[#This Row],[Age]]&lt;=64,"Adult","Geriatric"))</f>
        <v>Adult</v>
      </c>
    </row>
    <row r="204" spans="1:19" ht="15.75" customHeight="1" x14ac:dyDescent="0.3">
      <c r="A204" s="4" t="s">
        <v>472</v>
      </c>
      <c r="B204" s="5" t="str">
        <f>TEXT(Patient_Data!$E204,"mmmm")</f>
        <v>February</v>
      </c>
      <c r="C204" s="6" t="str">
        <f t="shared" si="0"/>
        <v>Feb</v>
      </c>
      <c r="D204" s="6">
        <f>MONTH(Patient_Data!$E204)</f>
        <v>2</v>
      </c>
      <c r="E204" s="7">
        <v>46056</v>
      </c>
      <c r="F204" s="55" t="str">
        <f>TEXT(Patient_Data[[#This Row],[Admission_Date]],"YYYY")</f>
        <v>2026</v>
      </c>
      <c r="G204" s="8" t="s">
        <v>473</v>
      </c>
      <c r="H204" s="8" t="s">
        <v>49</v>
      </c>
      <c r="I204" s="4" t="s">
        <v>35</v>
      </c>
      <c r="J204" s="4">
        <v>62</v>
      </c>
      <c r="K204" s="4" t="s">
        <v>30</v>
      </c>
      <c r="L204" s="8">
        <v>1</v>
      </c>
      <c r="M204" s="9" t="s">
        <v>36</v>
      </c>
      <c r="N204" s="9" t="str">
        <f t="shared" si="1"/>
        <v>Cardio</v>
      </c>
      <c r="O204" s="10">
        <v>10011.629999999999</v>
      </c>
      <c r="P204" s="10">
        <v>6171.89</v>
      </c>
      <c r="Q204" s="11">
        <v>8.1</v>
      </c>
      <c r="R204" s="13" t="str">
        <f>IF(Patient_Data!$L204&lt;2,"Low Risk",IF(Patient_Data!$L204&lt;4,"Moderate Risk","High Risk"))</f>
        <v>Low Risk</v>
      </c>
      <c r="S204" s="12" t="str">
        <f>IF(Patient_Data[[#This Row],[Age]]&lt;=18,"Pediatric",IF(Patient_Data[[#This Row],[Age]]&lt;=64,"Adult","Geriatric"))</f>
        <v>Adult</v>
      </c>
    </row>
    <row r="205" spans="1:19" ht="15.75" customHeight="1" x14ac:dyDescent="0.3">
      <c r="A205" s="4" t="s">
        <v>474</v>
      </c>
      <c r="B205" s="5" t="str">
        <f>TEXT(Patient_Data!$E205,"mmmm")</f>
        <v>August</v>
      </c>
      <c r="C205" s="6" t="str">
        <f t="shared" si="0"/>
        <v>Aug</v>
      </c>
      <c r="D205" s="6">
        <f>MONTH(Patient_Data!$E205)</f>
        <v>8</v>
      </c>
      <c r="E205" s="7">
        <v>45874</v>
      </c>
      <c r="F205" s="55" t="str">
        <f>TEXT(Patient_Data[[#This Row],[Admission_Date]],"YYYY")</f>
        <v>2025</v>
      </c>
      <c r="G205" s="8" t="s">
        <v>475</v>
      </c>
      <c r="H205" s="8" t="s">
        <v>53</v>
      </c>
      <c r="I205" s="4" t="s">
        <v>29</v>
      </c>
      <c r="J205" s="4">
        <v>33</v>
      </c>
      <c r="K205" s="4" t="s">
        <v>54</v>
      </c>
      <c r="L205" s="8">
        <v>3</v>
      </c>
      <c r="M205" s="9" t="s">
        <v>39</v>
      </c>
      <c r="N205" s="9" t="str">
        <f t="shared" si="1"/>
        <v>GM</v>
      </c>
      <c r="O205" s="10">
        <v>3608.28</v>
      </c>
      <c r="P205" s="10">
        <v>2379.6999999999998</v>
      </c>
      <c r="Q205" s="11">
        <v>8.8000000000000007</v>
      </c>
      <c r="R205" s="13" t="str">
        <f>IF(Patient_Data!$L205&lt;2,"Low Risk",IF(Patient_Data!$L205&lt;4,"Moderate Risk","High Risk"))</f>
        <v>Moderate Risk</v>
      </c>
      <c r="S205" s="12" t="str">
        <f>IF(Patient_Data[[#This Row],[Age]]&lt;=18,"Pediatric",IF(Patient_Data[[#This Row],[Age]]&lt;=64,"Adult","Geriatric"))</f>
        <v>Adult</v>
      </c>
    </row>
    <row r="206" spans="1:19" ht="15.75" customHeight="1" x14ac:dyDescent="0.3">
      <c r="A206" s="4" t="s">
        <v>476</v>
      </c>
      <c r="B206" s="5" t="str">
        <f>TEXT(Patient_Data!$E206,"mmmm")</f>
        <v>July</v>
      </c>
      <c r="C206" s="6" t="str">
        <f t="shared" si="0"/>
        <v>Jul</v>
      </c>
      <c r="D206" s="6">
        <f>MONTH(Patient_Data!$E206)</f>
        <v>7</v>
      </c>
      <c r="E206" s="7">
        <v>46214</v>
      </c>
      <c r="F206" s="55" t="str">
        <f>TEXT(Patient_Data[[#This Row],[Admission_Date]],"YYYY")</f>
        <v>2026</v>
      </c>
      <c r="G206" s="8" t="s">
        <v>477</v>
      </c>
      <c r="H206" s="8" t="s">
        <v>82</v>
      </c>
      <c r="I206" s="4" t="s">
        <v>35</v>
      </c>
      <c r="J206" s="4">
        <v>55</v>
      </c>
      <c r="K206" s="4" t="s">
        <v>30</v>
      </c>
      <c r="L206" s="8">
        <v>2</v>
      </c>
      <c r="M206" s="9" t="s">
        <v>83</v>
      </c>
      <c r="N206" s="9" t="str">
        <f t="shared" si="1"/>
        <v>ER</v>
      </c>
      <c r="O206" s="10">
        <v>4180.74</v>
      </c>
      <c r="P206" s="10">
        <v>2988.3</v>
      </c>
      <c r="Q206" s="11">
        <v>23.4</v>
      </c>
      <c r="R206" s="13" t="str">
        <f>IF(Patient_Data!$L206&lt;2,"Low Risk",IF(Patient_Data!$L206&lt;4,"Moderate Risk","High Risk"))</f>
        <v>Moderate Risk</v>
      </c>
      <c r="S206" s="12" t="str">
        <f>IF(Patient_Data[[#This Row],[Age]]&lt;=18,"Pediatric",IF(Patient_Data[[#This Row],[Age]]&lt;=64,"Adult","Geriatric"))</f>
        <v>Adult</v>
      </c>
    </row>
    <row r="207" spans="1:19" ht="15.75" customHeight="1" x14ac:dyDescent="0.3">
      <c r="A207" s="4" t="s">
        <v>478</v>
      </c>
      <c r="B207" s="5" t="str">
        <f>TEXT(Patient_Data!$E207,"mmmm")</f>
        <v>February</v>
      </c>
      <c r="C207" s="6" t="str">
        <f t="shared" si="0"/>
        <v>Feb</v>
      </c>
      <c r="D207" s="6">
        <f>MONTH(Patient_Data!$E207)</f>
        <v>2</v>
      </c>
      <c r="E207" s="7">
        <v>46060</v>
      </c>
      <c r="F207" s="55" t="str">
        <f>TEXT(Patient_Data[[#This Row],[Admission_Date]],"YYYY")</f>
        <v>2026</v>
      </c>
      <c r="G207" s="8" t="s">
        <v>479</v>
      </c>
      <c r="H207" s="8" t="s">
        <v>53</v>
      </c>
      <c r="I207" s="4" t="s">
        <v>29</v>
      </c>
      <c r="J207" s="4">
        <v>50</v>
      </c>
      <c r="K207" s="4" t="s">
        <v>45</v>
      </c>
      <c r="L207" s="8">
        <v>5</v>
      </c>
      <c r="M207" s="9" t="s">
        <v>46</v>
      </c>
      <c r="N207" s="9" t="str">
        <f t="shared" si="1"/>
        <v>Ortho</v>
      </c>
      <c r="O207" s="10">
        <v>13469.43</v>
      </c>
      <c r="P207" s="10">
        <v>9488.6</v>
      </c>
      <c r="Q207" s="11">
        <v>7.5</v>
      </c>
      <c r="R207" s="13" t="str">
        <f>IF(Patient_Data!$L207&lt;2,"Low Risk",IF(Patient_Data!$L207&lt;4,"Moderate Risk","High Risk"))</f>
        <v>High Risk</v>
      </c>
      <c r="S207" s="12" t="str">
        <f>IF(Patient_Data[[#This Row],[Age]]&lt;=18,"Pediatric",IF(Patient_Data[[#This Row],[Age]]&lt;=64,"Adult","Geriatric"))</f>
        <v>Adult</v>
      </c>
    </row>
    <row r="208" spans="1:19" ht="15.75" customHeight="1" x14ac:dyDescent="0.3">
      <c r="A208" s="4" t="s">
        <v>480</v>
      </c>
      <c r="B208" s="5" t="str">
        <f>TEXT(Patient_Data!$E208,"mmmm")</f>
        <v>January</v>
      </c>
      <c r="C208" s="6" t="str">
        <f t="shared" si="0"/>
        <v>Jan</v>
      </c>
      <c r="D208" s="6">
        <f>MONTH(Patient_Data!$E208)</f>
        <v>1</v>
      </c>
      <c r="E208" s="7">
        <v>45310</v>
      </c>
      <c r="F208" s="55" t="str">
        <f>TEXT(Patient_Data[[#This Row],[Admission_Date]],"YYYY")</f>
        <v>2024</v>
      </c>
      <c r="G208" s="8" t="s">
        <v>481</v>
      </c>
      <c r="H208" s="8" t="s">
        <v>82</v>
      </c>
      <c r="I208" s="4" t="s">
        <v>35</v>
      </c>
      <c r="J208" s="4">
        <v>81</v>
      </c>
      <c r="K208" s="4" t="s">
        <v>54</v>
      </c>
      <c r="L208" s="8">
        <v>4</v>
      </c>
      <c r="M208" s="9" t="s">
        <v>50</v>
      </c>
      <c r="N208" s="9" t="str">
        <f t="shared" si="1"/>
        <v>ICU</v>
      </c>
      <c r="O208" s="10">
        <v>16140.34</v>
      </c>
      <c r="P208" s="10">
        <v>11923.25</v>
      </c>
      <c r="Q208" s="11">
        <v>17.600000000000001</v>
      </c>
      <c r="R208" s="13" t="str">
        <f>IF(Patient_Data!$L208&lt;2,"Low Risk",IF(Patient_Data!$L208&lt;4,"Moderate Risk","High Risk"))</f>
        <v>High Risk</v>
      </c>
      <c r="S208" s="12" t="str">
        <f>IF(Patient_Data[[#This Row],[Age]]&lt;=18,"Pediatric",IF(Patient_Data[[#This Row],[Age]]&lt;=64,"Adult","Geriatric"))</f>
        <v>Geriatric</v>
      </c>
    </row>
    <row r="209" spans="1:19" ht="15.75" customHeight="1" x14ac:dyDescent="0.3">
      <c r="A209" s="4" t="s">
        <v>482</v>
      </c>
      <c r="B209" s="5" t="str">
        <f>TEXT(Patient_Data!$E209,"mmmm")</f>
        <v>May</v>
      </c>
      <c r="C209" s="6" t="str">
        <f t="shared" si="0"/>
        <v>May</v>
      </c>
      <c r="D209" s="6">
        <f>MONTH(Patient_Data!$E209)</f>
        <v>5</v>
      </c>
      <c r="E209" s="7">
        <v>45422</v>
      </c>
      <c r="F209" s="55" t="str">
        <f>TEXT(Patient_Data[[#This Row],[Admission_Date]],"YYYY")</f>
        <v>2024</v>
      </c>
      <c r="G209" s="8" t="s">
        <v>483</v>
      </c>
      <c r="H209" s="8" t="s">
        <v>53</v>
      </c>
      <c r="I209" s="4" t="s">
        <v>35</v>
      </c>
      <c r="J209" s="4">
        <v>60</v>
      </c>
      <c r="K209" s="4" t="s">
        <v>30</v>
      </c>
      <c r="L209" s="8">
        <v>2</v>
      </c>
      <c r="M209" s="9" t="s">
        <v>36</v>
      </c>
      <c r="N209" s="9" t="str">
        <f t="shared" si="1"/>
        <v>Cardio</v>
      </c>
      <c r="O209" s="10">
        <v>5537.57</v>
      </c>
      <c r="P209" s="10">
        <v>4269.3500000000004</v>
      </c>
      <c r="Q209" s="11">
        <v>7.6</v>
      </c>
      <c r="R209" s="13" t="str">
        <f>IF(Patient_Data!$L209&lt;2,"Low Risk",IF(Patient_Data!$L209&lt;4,"Moderate Risk","High Risk"))</f>
        <v>Moderate Risk</v>
      </c>
      <c r="S209" s="12" t="str">
        <f>IF(Patient_Data[[#This Row],[Age]]&lt;=18,"Pediatric",IF(Patient_Data[[#This Row],[Age]]&lt;=64,"Adult","Geriatric"))</f>
        <v>Adult</v>
      </c>
    </row>
    <row r="210" spans="1:19" ht="15.75" customHeight="1" x14ac:dyDescent="0.3">
      <c r="A210" s="4" t="s">
        <v>484</v>
      </c>
      <c r="B210" s="5" t="str">
        <f>TEXT(Patient_Data!$E210,"mmmm")</f>
        <v>May</v>
      </c>
      <c r="C210" s="6" t="str">
        <f t="shared" si="0"/>
        <v>May</v>
      </c>
      <c r="D210" s="6">
        <f>MONTH(Patient_Data!$E210)</f>
        <v>5</v>
      </c>
      <c r="E210" s="7">
        <v>45782</v>
      </c>
      <c r="F210" s="55" t="str">
        <f>TEXT(Patient_Data[[#This Row],[Admission_Date]],"YYYY")</f>
        <v>2025</v>
      </c>
      <c r="G210" s="8" t="s">
        <v>485</v>
      </c>
      <c r="H210" s="8" t="s">
        <v>82</v>
      </c>
      <c r="I210" s="4" t="s">
        <v>29</v>
      </c>
      <c r="J210" s="4">
        <v>34</v>
      </c>
      <c r="K210" s="4" t="s">
        <v>54</v>
      </c>
      <c r="L210" s="8">
        <v>4</v>
      </c>
      <c r="M210" s="9" t="s">
        <v>72</v>
      </c>
      <c r="N210" s="9" t="str">
        <f t="shared" si="1"/>
        <v>Surgery</v>
      </c>
      <c r="O210" s="10">
        <v>22262.28</v>
      </c>
      <c r="P210" s="10">
        <v>12972.92</v>
      </c>
      <c r="Q210" s="11">
        <v>7.6</v>
      </c>
      <c r="R210" s="13" t="str">
        <f>IF(Patient_Data!$L210&lt;2,"Low Risk",IF(Patient_Data!$L210&lt;4,"Moderate Risk","High Risk"))</f>
        <v>High Risk</v>
      </c>
      <c r="S210" s="12" t="str">
        <f>IF(Patient_Data[[#This Row],[Age]]&lt;=18,"Pediatric",IF(Patient_Data[[#This Row],[Age]]&lt;=64,"Adult","Geriatric"))</f>
        <v>Adult</v>
      </c>
    </row>
    <row r="211" spans="1:19" ht="15.75" customHeight="1" x14ac:dyDescent="0.3">
      <c r="A211" s="4" t="s">
        <v>486</v>
      </c>
      <c r="B211" s="5" t="str">
        <f>TEXT(Patient_Data!$E211,"mmmm")</f>
        <v>July</v>
      </c>
      <c r="C211" s="6" t="str">
        <f t="shared" si="0"/>
        <v>Jul</v>
      </c>
      <c r="D211" s="6">
        <f>MONTH(Patient_Data!$E211)</f>
        <v>7</v>
      </c>
      <c r="E211" s="7">
        <v>46205</v>
      </c>
      <c r="F211" s="55" t="str">
        <f>TEXT(Patient_Data[[#This Row],[Admission_Date]],"YYYY")</f>
        <v>2026</v>
      </c>
      <c r="G211" s="8" t="s">
        <v>487</v>
      </c>
      <c r="H211" s="8" t="s">
        <v>34</v>
      </c>
      <c r="I211" s="4" t="s">
        <v>35</v>
      </c>
      <c r="J211" s="4">
        <v>53</v>
      </c>
      <c r="K211" s="4" t="s">
        <v>30</v>
      </c>
      <c r="L211" s="8">
        <v>2</v>
      </c>
      <c r="M211" s="9" t="s">
        <v>46</v>
      </c>
      <c r="N211" s="9" t="str">
        <f t="shared" si="1"/>
        <v>Ortho</v>
      </c>
      <c r="O211" s="10">
        <v>5374.85</v>
      </c>
      <c r="P211" s="10">
        <v>3315.46</v>
      </c>
      <c r="Q211" s="11">
        <v>4.5999999999999996</v>
      </c>
      <c r="R211" s="13" t="str">
        <f>IF(Patient_Data!$L211&lt;2,"Low Risk",IF(Patient_Data!$L211&lt;4,"Moderate Risk","High Risk"))</f>
        <v>Moderate Risk</v>
      </c>
      <c r="S211" s="12" t="str">
        <f>IF(Patient_Data[[#This Row],[Age]]&lt;=18,"Pediatric",IF(Patient_Data[[#This Row],[Age]]&lt;=64,"Adult","Geriatric"))</f>
        <v>Adult</v>
      </c>
    </row>
    <row r="212" spans="1:19" ht="15.75" customHeight="1" x14ac:dyDescent="0.3">
      <c r="A212" s="4" t="s">
        <v>488</v>
      </c>
      <c r="B212" s="5" t="str">
        <f>TEXT(Patient_Data!$E212,"mmmm")</f>
        <v>May</v>
      </c>
      <c r="C212" s="6" t="str">
        <f t="shared" si="0"/>
        <v>May</v>
      </c>
      <c r="D212" s="6">
        <f>MONTH(Patient_Data!$E212)</f>
        <v>5</v>
      </c>
      <c r="E212" s="7">
        <v>45800</v>
      </c>
      <c r="F212" s="55" t="str">
        <f>TEXT(Patient_Data[[#This Row],[Admission_Date]],"YYYY")</f>
        <v>2025</v>
      </c>
      <c r="G212" s="8" t="s">
        <v>489</v>
      </c>
      <c r="H212" s="8" t="s">
        <v>28</v>
      </c>
      <c r="I212" s="4" t="s">
        <v>29</v>
      </c>
      <c r="J212" s="4">
        <v>31</v>
      </c>
      <c r="K212" s="4" t="s">
        <v>30</v>
      </c>
      <c r="L212" s="8">
        <v>1</v>
      </c>
      <c r="M212" s="9" t="s">
        <v>39</v>
      </c>
      <c r="N212" s="9" t="str">
        <f t="shared" si="1"/>
        <v>GM</v>
      </c>
      <c r="O212" s="10">
        <v>2886.35</v>
      </c>
      <c r="P212" s="10">
        <v>1884.86</v>
      </c>
      <c r="Q212" s="11">
        <v>4.7</v>
      </c>
      <c r="R212" s="13" t="str">
        <f>IF(Patient_Data!$L212&lt;2,"Low Risk",IF(Patient_Data!$L212&lt;4,"Moderate Risk","High Risk"))</f>
        <v>Low Risk</v>
      </c>
      <c r="S212" s="12" t="str">
        <f>IF(Patient_Data[[#This Row],[Age]]&lt;=18,"Pediatric",IF(Patient_Data[[#This Row],[Age]]&lt;=64,"Adult","Geriatric"))</f>
        <v>Adult</v>
      </c>
    </row>
    <row r="213" spans="1:19" ht="15.75" customHeight="1" x14ac:dyDescent="0.3">
      <c r="A213" s="4" t="s">
        <v>490</v>
      </c>
      <c r="B213" s="5" t="str">
        <f>TEXT(Patient_Data!$E213,"mmmm")</f>
        <v>December</v>
      </c>
      <c r="C213" s="6" t="str">
        <f t="shared" si="0"/>
        <v>Dec</v>
      </c>
      <c r="D213" s="6">
        <f>MONTH(Patient_Data!$E213)</f>
        <v>12</v>
      </c>
      <c r="E213" s="7">
        <v>46003</v>
      </c>
      <c r="F213" s="55" t="str">
        <f>TEXT(Patient_Data[[#This Row],[Admission_Date]],"YYYY")</f>
        <v>2025</v>
      </c>
      <c r="G213" s="8" t="s">
        <v>491</v>
      </c>
      <c r="H213" s="8" t="s">
        <v>34</v>
      </c>
      <c r="I213" s="4" t="s">
        <v>35</v>
      </c>
      <c r="J213" s="4">
        <v>75</v>
      </c>
      <c r="K213" s="4" t="s">
        <v>54</v>
      </c>
      <c r="L213" s="8">
        <v>4</v>
      </c>
      <c r="M213" s="9" t="s">
        <v>72</v>
      </c>
      <c r="N213" s="9" t="str">
        <f t="shared" si="1"/>
        <v>Surgery</v>
      </c>
      <c r="O213" s="10">
        <v>22039.24</v>
      </c>
      <c r="P213" s="10">
        <v>14811.09</v>
      </c>
      <c r="Q213" s="11">
        <v>5.6</v>
      </c>
      <c r="R213" s="13" t="str">
        <f>IF(Patient_Data!$L213&lt;2,"Low Risk",IF(Patient_Data!$L213&lt;4,"Moderate Risk","High Risk"))</f>
        <v>High Risk</v>
      </c>
      <c r="S213" s="12" t="str">
        <f>IF(Patient_Data[[#This Row],[Age]]&lt;=18,"Pediatric",IF(Patient_Data[[#This Row],[Age]]&lt;=64,"Adult","Geriatric"))</f>
        <v>Geriatric</v>
      </c>
    </row>
    <row r="214" spans="1:19" ht="15.75" customHeight="1" x14ac:dyDescent="0.3">
      <c r="A214" s="4" t="s">
        <v>492</v>
      </c>
      <c r="B214" s="5" t="str">
        <f>TEXT(Patient_Data!$E214,"mmmm")</f>
        <v>June</v>
      </c>
      <c r="C214" s="6" t="str">
        <f t="shared" si="0"/>
        <v>Jun</v>
      </c>
      <c r="D214" s="6">
        <f>MONTH(Patient_Data!$E214)</f>
        <v>6</v>
      </c>
      <c r="E214" s="7">
        <v>45835</v>
      </c>
      <c r="F214" s="55" t="str">
        <f>TEXT(Patient_Data[[#This Row],[Admission_Date]],"YYYY")</f>
        <v>2025</v>
      </c>
      <c r="G214" s="8" t="s">
        <v>493</v>
      </c>
      <c r="H214" s="8" t="s">
        <v>34</v>
      </c>
      <c r="I214" s="4" t="s">
        <v>35</v>
      </c>
      <c r="J214" s="4">
        <v>23</v>
      </c>
      <c r="K214" s="4" t="s">
        <v>30</v>
      </c>
      <c r="L214" s="8">
        <v>2</v>
      </c>
      <c r="M214" s="9" t="s">
        <v>39</v>
      </c>
      <c r="N214" s="9" t="str">
        <f t="shared" si="1"/>
        <v>GM</v>
      </c>
      <c r="O214" s="10">
        <v>2685.63</v>
      </c>
      <c r="P214" s="10">
        <v>1913.54</v>
      </c>
      <c r="Q214" s="11">
        <v>4.2</v>
      </c>
      <c r="R214" s="13" t="str">
        <f>IF(Patient_Data!$L214&lt;2,"Low Risk",IF(Patient_Data!$L214&lt;4,"Moderate Risk","High Risk"))</f>
        <v>Moderate Risk</v>
      </c>
      <c r="S214" s="12" t="str">
        <f>IF(Patient_Data[[#This Row],[Age]]&lt;=18,"Pediatric",IF(Patient_Data[[#This Row],[Age]]&lt;=64,"Adult","Geriatric"))</f>
        <v>Adult</v>
      </c>
    </row>
    <row r="215" spans="1:19" ht="15.75" customHeight="1" x14ac:dyDescent="0.3">
      <c r="A215" s="4" t="s">
        <v>494</v>
      </c>
      <c r="B215" s="5" t="str">
        <f>TEXT(Patient_Data!$E215,"mmmm")</f>
        <v>May</v>
      </c>
      <c r="C215" s="6" t="str">
        <f t="shared" si="0"/>
        <v>May</v>
      </c>
      <c r="D215" s="6">
        <f>MONTH(Patient_Data!$E215)</f>
        <v>5</v>
      </c>
      <c r="E215" s="7">
        <v>45427</v>
      </c>
      <c r="F215" s="55" t="str">
        <f>TEXT(Patient_Data[[#This Row],[Admission_Date]],"YYYY")</f>
        <v>2024</v>
      </c>
      <c r="G215" s="8" t="s">
        <v>495</v>
      </c>
      <c r="H215" s="8" t="s">
        <v>132</v>
      </c>
      <c r="I215" s="4" t="s">
        <v>35</v>
      </c>
      <c r="J215" s="4">
        <v>21</v>
      </c>
      <c r="K215" s="4" t="s">
        <v>30</v>
      </c>
      <c r="L215" s="8">
        <v>2</v>
      </c>
      <c r="M215" s="9" t="s">
        <v>31</v>
      </c>
      <c r="N215" s="9" t="str">
        <f t="shared" si="1"/>
        <v>Neuro</v>
      </c>
      <c r="O215" s="10">
        <v>8773.6200000000008</v>
      </c>
      <c r="P215" s="10">
        <v>6485.54</v>
      </c>
      <c r="Q215" s="11">
        <v>10.1</v>
      </c>
      <c r="R215" s="13" t="str">
        <f>IF(Patient_Data!$L215&lt;2,"Low Risk",IF(Patient_Data!$L215&lt;4,"Moderate Risk","High Risk"))</f>
        <v>Moderate Risk</v>
      </c>
      <c r="S215" s="12" t="str">
        <f>IF(Patient_Data[[#This Row],[Age]]&lt;=18,"Pediatric",IF(Patient_Data[[#This Row],[Age]]&lt;=64,"Adult","Geriatric"))</f>
        <v>Adult</v>
      </c>
    </row>
    <row r="216" spans="1:19" ht="15.75" customHeight="1" x14ac:dyDescent="0.3">
      <c r="A216" s="4" t="s">
        <v>496</v>
      </c>
      <c r="B216" s="5" t="str">
        <f>TEXT(Patient_Data!$E216,"mmmm")</f>
        <v>September</v>
      </c>
      <c r="C216" s="6" t="str">
        <f t="shared" si="0"/>
        <v>Sep</v>
      </c>
      <c r="D216" s="6">
        <f>MONTH(Patient_Data!$E216)</f>
        <v>9</v>
      </c>
      <c r="E216" s="7">
        <v>45559</v>
      </c>
      <c r="F216" s="55" t="str">
        <f>TEXT(Patient_Data[[#This Row],[Admission_Date]],"YYYY")</f>
        <v>2024</v>
      </c>
      <c r="G216" s="8" t="s">
        <v>497</v>
      </c>
      <c r="H216" s="8" t="s">
        <v>28</v>
      </c>
      <c r="I216" s="4" t="s">
        <v>29</v>
      </c>
      <c r="J216" s="4">
        <v>70</v>
      </c>
      <c r="K216" s="4" t="s">
        <v>45</v>
      </c>
      <c r="L216" s="8">
        <v>4</v>
      </c>
      <c r="M216" s="9" t="s">
        <v>72</v>
      </c>
      <c r="N216" s="9" t="str">
        <f t="shared" si="1"/>
        <v>Surgery</v>
      </c>
      <c r="O216" s="10">
        <v>18573.560000000001</v>
      </c>
      <c r="P216" s="10">
        <v>14209.51</v>
      </c>
      <c r="Q216" s="11">
        <v>11.7</v>
      </c>
      <c r="R216" s="13" t="str">
        <f>IF(Patient_Data!$L216&lt;2,"Low Risk",IF(Patient_Data!$L216&lt;4,"Moderate Risk","High Risk"))</f>
        <v>High Risk</v>
      </c>
      <c r="S216" s="12" t="str">
        <f>IF(Patient_Data[[#This Row],[Age]]&lt;=18,"Pediatric",IF(Patient_Data[[#This Row],[Age]]&lt;=64,"Adult","Geriatric"))</f>
        <v>Geriatric</v>
      </c>
    </row>
    <row r="217" spans="1:19" ht="15.75" customHeight="1" x14ac:dyDescent="0.3">
      <c r="A217" s="4" t="s">
        <v>498</v>
      </c>
      <c r="B217" s="5" t="str">
        <f>TEXT(Patient_Data!$E217,"mmmm")</f>
        <v>January</v>
      </c>
      <c r="C217" s="6" t="str">
        <f t="shared" si="0"/>
        <v>Jan</v>
      </c>
      <c r="D217" s="6">
        <f>MONTH(Patient_Data!$E217)</f>
        <v>1</v>
      </c>
      <c r="E217" s="7">
        <v>46028</v>
      </c>
      <c r="F217" s="55" t="str">
        <f>TEXT(Patient_Data[[#This Row],[Admission_Date]],"YYYY")</f>
        <v>2026</v>
      </c>
      <c r="G217" s="8" t="s">
        <v>499</v>
      </c>
      <c r="H217" s="8" t="s">
        <v>28</v>
      </c>
      <c r="I217" s="4" t="s">
        <v>35</v>
      </c>
      <c r="J217" s="4">
        <v>28</v>
      </c>
      <c r="K217" s="4" t="s">
        <v>30</v>
      </c>
      <c r="L217" s="8">
        <v>2</v>
      </c>
      <c r="M217" s="9" t="s">
        <v>31</v>
      </c>
      <c r="N217" s="9" t="str">
        <f t="shared" si="1"/>
        <v>Neuro</v>
      </c>
      <c r="O217" s="10">
        <v>8448.19</v>
      </c>
      <c r="P217" s="10">
        <v>4935.95</v>
      </c>
      <c r="Q217" s="11">
        <v>4.5</v>
      </c>
      <c r="R217" s="13" t="str">
        <f>IF(Patient_Data!$L217&lt;2,"Low Risk",IF(Patient_Data!$L217&lt;4,"Moderate Risk","High Risk"))</f>
        <v>Moderate Risk</v>
      </c>
      <c r="S217" s="12" t="str">
        <f>IF(Patient_Data[[#This Row],[Age]]&lt;=18,"Pediatric",IF(Patient_Data[[#This Row],[Age]]&lt;=64,"Adult","Geriatric"))</f>
        <v>Adult</v>
      </c>
    </row>
    <row r="218" spans="1:19" ht="15.75" customHeight="1" x14ac:dyDescent="0.3">
      <c r="A218" s="4" t="s">
        <v>500</v>
      </c>
      <c r="B218" s="5" t="str">
        <f>TEXT(Patient_Data!$E218,"mmmm")</f>
        <v>October</v>
      </c>
      <c r="C218" s="6" t="str">
        <f t="shared" si="0"/>
        <v>Oct</v>
      </c>
      <c r="D218" s="6">
        <f>MONTH(Patient_Data!$E218)</f>
        <v>10</v>
      </c>
      <c r="E218" s="7">
        <v>45943</v>
      </c>
      <c r="F218" s="55" t="str">
        <f>TEXT(Patient_Data[[#This Row],[Admission_Date]],"YYYY")</f>
        <v>2025</v>
      </c>
      <c r="G218" s="8" t="s">
        <v>501</v>
      </c>
      <c r="H218" s="8" t="s">
        <v>82</v>
      </c>
      <c r="I218" s="4" t="s">
        <v>35</v>
      </c>
      <c r="J218" s="4">
        <v>30</v>
      </c>
      <c r="K218" s="4" t="s">
        <v>54</v>
      </c>
      <c r="L218" s="8">
        <v>2</v>
      </c>
      <c r="M218" s="9" t="s">
        <v>39</v>
      </c>
      <c r="N218" s="9" t="str">
        <f t="shared" si="1"/>
        <v>GM</v>
      </c>
      <c r="O218" s="10">
        <v>5174.6400000000003</v>
      </c>
      <c r="P218" s="10">
        <v>3197.33</v>
      </c>
      <c r="Q218" s="11">
        <v>5.0999999999999996</v>
      </c>
      <c r="R218" s="13" t="str">
        <f>IF(Patient_Data!$L218&lt;2,"Low Risk",IF(Patient_Data!$L218&lt;4,"Moderate Risk","High Risk"))</f>
        <v>Moderate Risk</v>
      </c>
      <c r="S218" s="12" t="str">
        <f>IF(Patient_Data[[#This Row],[Age]]&lt;=18,"Pediatric",IF(Patient_Data[[#This Row],[Age]]&lt;=64,"Adult","Geriatric"))</f>
        <v>Adult</v>
      </c>
    </row>
    <row r="219" spans="1:19" ht="15.75" customHeight="1" x14ac:dyDescent="0.3">
      <c r="A219" s="4" t="s">
        <v>502</v>
      </c>
      <c r="B219" s="5" t="str">
        <f>TEXT(Patient_Data!$E219,"mmmm")</f>
        <v>August</v>
      </c>
      <c r="C219" s="6" t="str">
        <f t="shared" si="0"/>
        <v>Aug</v>
      </c>
      <c r="D219" s="6">
        <f>MONTH(Patient_Data!$E219)</f>
        <v>8</v>
      </c>
      <c r="E219" s="7">
        <v>45523</v>
      </c>
      <c r="F219" s="55" t="str">
        <f>TEXT(Patient_Data[[#This Row],[Admission_Date]],"YYYY")</f>
        <v>2024</v>
      </c>
      <c r="G219" s="8" t="s">
        <v>503</v>
      </c>
      <c r="H219" s="8" t="s">
        <v>82</v>
      </c>
      <c r="I219" s="4" t="s">
        <v>35</v>
      </c>
      <c r="J219" s="4">
        <v>79</v>
      </c>
      <c r="K219" s="4" t="s">
        <v>30</v>
      </c>
      <c r="L219" s="8">
        <v>4</v>
      </c>
      <c r="M219" s="9" t="s">
        <v>50</v>
      </c>
      <c r="N219" s="9" t="str">
        <f t="shared" si="1"/>
        <v>ICU</v>
      </c>
      <c r="O219" s="10">
        <v>19837.53</v>
      </c>
      <c r="P219" s="10">
        <v>12784.02</v>
      </c>
      <c r="Q219" s="11">
        <v>11</v>
      </c>
      <c r="R219" s="13" t="str">
        <f>IF(Patient_Data!$L219&lt;2,"Low Risk",IF(Patient_Data!$L219&lt;4,"Moderate Risk","High Risk"))</f>
        <v>High Risk</v>
      </c>
      <c r="S219" s="12" t="str">
        <f>IF(Patient_Data[[#This Row],[Age]]&lt;=18,"Pediatric",IF(Patient_Data[[#This Row],[Age]]&lt;=64,"Adult","Geriatric"))</f>
        <v>Geriatric</v>
      </c>
    </row>
    <row r="220" spans="1:19" ht="15.75" customHeight="1" x14ac:dyDescent="0.3">
      <c r="A220" s="4" t="s">
        <v>504</v>
      </c>
      <c r="B220" s="5" t="str">
        <f>TEXT(Patient_Data!$E220,"mmmm")</f>
        <v>May</v>
      </c>
      <c r="C220" s="6" t="str">
        <f t="shared" si="0"/>
        <v>May</v>
      </c>
      <c r="D220" s="6">
        <f>MONTH(Patient_Data!$E220)</f>
        <v>5</v>
      </c>
      <c r="E220" s="7">
        <v>45783</v>
      </c>
      <c r="F220" s="55" t="str">
        <f>TEXT(Patient_Data[[#This Row],[Admission_Date]],"YYYY")</f>
        <v>2025</v>
      </c>
      <c r="G220" s="8" t="s">
        <v>505</v>
      </c>
      <c r="H220" s="8" t="s">
        <v>28</v>
      </c>
      <c r="I220" s="4" t="s">
        <v>29</v>
      </c>
      <c r="J220" s="4">
        <v>19</v>
      </c>
      <c r="K220" s="4" t="s">
        <v>54</v>
      </c>
      <c r="L220" s="8">
        <v>4</v>
      </c>
      <c r="M220" s="9" t="s">
        <v>83</v>
      </c>
      <c r="N220" s="9" t="str">
        <f t="shared" si="1"/>
        <v>ER</v>
      </c>
      <c r="O220" s="10">
        <v>10064.280000000001</v>
      </c>
      <c r="P220" s="10">
        <v>6885.47</v>
      </c>
      <c r="Q220" s="11">
        <v>17.8</v>
      </c>
      <c r="R220" s="13" t="str">
        <f>IF(Patient_Data!$L220&lt;2,"Low Risk",IF(Patient_Data!$L220&lt;4,"Moderate Risk","High Risk"))</f>
        <v>High Risk</v>
      </c>
      <c r="S220" s="12" t="str">
        <f>IF(Patient_Data[[#This Row],[Age]]&lt;=18,"Pediatric",IF(Patient_Data[[#This Row],[Age]]&lt;=64,"Adult","Geriatric"))</f>
        <v>Adult</v>
      </c>
    </row>
    <row r="221" spans="1:19" ht="15.75" customHeight="1" x14ac:dyDescent="0.3">
      <c r="A221" s="4" t="s">
        <v>506</v>
      </c>
      <c r="B221" s="5" t="str">
        <f>TEXT(Patient_Data!$E221,"mmmm")</f>
        <v>August</v>
      </c>
      <c r="C221" s="6" t="str">
        <f t="shared" si="0"/>
        <v>Aug</v>
      </c>
      <c r="D221" s="6">
        <f>MONTH(Patient_Data!$E221)</f>
        <v>8</v>
      </c>
      <c r="E221" s="7">
        <v>45167</v>
      </c>
      <c r="F221" s="55" t="str">
        <f>TEXT(Patient_Data[[#This Row],[Admission_Date]],"YYYY")</f>
        <v>2023</v>
      </c>
      <c r="G221" s="8" t="s">
        <v>507</v>
      </c>
      <c r="H221" s="8" t="s">
        <v>42</v>
      </c>
      <c r="I221" s="4" t="s">
        <v>29</v>
      </c>
      <c r="J221" s="4">
        <v>81</v>
      </c>
      <c r="K221" s="4" t="s">
        <v>30</v>
      </c>
      <c r="L221" s="8">
        <v>1</v>
      </c>
      <c r="M221" s="9" t="s">
        <v>46</v>
      </c>
      <c r="N221" s="9" t="str">
        <f t="shared" si="1"/>
        <v>Ortho</v>
      </c>
      <c r="O221" s="10">
        <v>6291.31</v>
      </c>
      <c r="P221" s="10">
        <v>4483.12</v>
      </c>
      <c r="Q221" s="11">
        <v>9.9</v>
      </c>
      <c r="R221" s="13" t="str">
        <f>IF(Patient_Data!$L221&lt;2,"Low Risk",IF(Patient_Data!$L221&lt;4,"Moderate Risk","High Risk"))</f>
        <v>Low Risk</v>
      </c>
      <c r="S221" s="12" t="str">
        <f>IF(Patient_Data[[#This Row],[Age]]&lt;=18,"Pediatric",IF(Patient_Data[[#This Row],[Age]]&lt;=64,"Adult","Geriatric"))</f>
        <v>Geriatric</v>
      </c>
    </row>
    <row r="222" spans="1:19" ht="15.75" customHeight="1" x14ac:dyDescent="0.3">
      <c r="A222" s="4" t="s">
        <v>508</v>
      </c>
      <c r="B222" s="5" t="str">
        <f>TEXT(Patient_Data!$E222,"mmmm")</f>
        <v>May</v>
      </c>
      <c r="C222" s="6" t="str">
        <f t="shared" si="0"/>
        <v>May</v>
      </c>
      <c r="D222" s="6">
        <f>MONTH(Patient_Data!$E222)</f>
        <v>5</v>
      </c>
      <c r="E222" s="7">
        <v>45789</v>
      </c>
      <c r="F222" s="55" t="str">
        <f>TEXT(Patient_Data[[#This Row],[Admission_Date]],"YYYY")</f>
        <v>2025</v>
      </c>
      <c r="G222" s="8" t="s">
        <v>509</v>
      </c>
      <c r="H222" s="8" t="s">
        <v>53</v>
      </c>
      <c r="I222" s="4" t="s">
        <v>35</v>
      </c>
      <c r="J222" s="4">
        <v>71</v>
      </c>
      <c r="K222" s="4" t="s">
        <v>54</v>
      </c>
      <c r="L222" s="8">
        <v>5</v>
      </c>
      <c r="M222" s="9" t="s">
        <v>39</v>
      </c>
      <c r="N222" s="9" t="str">
        <f t="shared" si="1"/>
        <v>GM</v>
      </c>
      <c r="O222" s="10">
        <v>3708.81</v>
      </c>
      <c r="P222" s="10">
        <v>2741.03</v>
      </c>
      <c r="Q222" s="11">
        <v>4.2</v>
      </c>
      <c r="R222" s="13" t="str">
        <f>IF(Patient_Data!$L222&lt;2,"Low Risk",IF(Patient_Data!$L222&lt;4,"Moderate Risk","High Risk"))</f>
        <v>High Risk</v>
      </c>
      <c r="S222" s="12" t="str">
        <f>IF(Patient_Data[[#This Row],[Age]]&lt;=18,"Pediatric",IF(Patient_Data[[#This Row],[Age]]&lt;=64,"Adult","Geriatric"))</f>
        <v>Geriatric</v>
      </c>
    </row>
    <row r="223" spans="1:19" ht="15.75" customHeight="1" x14ac:dyDescent="0.3">
      <c r="A223" s="4" t="s">
        <v>510</v>
      </c>
      <c r="B223" s="5" t="str">
        <f>TEXT(Patient_Data!$E223,"mmmm")</f>
        <v>April</v>
      </c>
      <c r="C223" s="6" t="str">
        <f t="shared" si="0"/>
        <v>Apr</v>
      </c>
      <c r="D223" s="6">
        <f>MONTH(Patient_Data!$E223)</f>
        <v>4</v>
      </c>
      <c r="E223" s="7">
        <v>45754</v>
      </c>
      <c r="F223" s="55" t="str">
        <f>TEXT(Patient_Data[[#This Row],[Admission_Date]],"YYYY")</f>
        <v>2025</v>
      </c>
      <c r="G223" s="8" t="s">
        <v>511</v>
      </c>
      <c r="H223" s="8" t="s">
        <v>34</v>
      </c>
      <c r="I223" s="4" t="s">
        <v>29</v>
      </c>
      <c r="J223" s="4">
        <v>54</v>
      </c>
      <c r="K223" s="4" t="s">
        <v>45</v>
      </c>
      <c r="L223" s="8">
        <v>3</v>
      </c>
      <c r="M223" s="9" t="s">
        <v>72</v>
      </c>
      <c r="N223" s="9" t="str">
        <f t="shared" si="1"/>
        <v>Surgery</v>
      </c>
      <c r="O223" s="10">
        <v>17631.580000000002</v>
      </c>
      <c r="P223" s="10">
        <v>13423.2</v>
      </c>
      <c r="Q223" s="11">
        <v>2.9</v>
      </c>
      <c r="R223" s="13" t="str">
        <f>IF(Patient_Data!$L223&lt;2,"Low Risk",IF(Patient_Data!$L223&lt;4,"Moderate Risk","High Risk"))</f>
        <v>Moderate Risk</v>
      </c>
      <c r="S223" s="12" t="str">
        <f>IF(Patient_Data[[#This Row],[Age]]&lt;=18,"Pediatric",IF(Patient_Data[[#This Row],[Age]]&lt;=64,"Adult","Geriatric"))</f>
        <v>Adult</v>
      </c>
    </row>
    <row r="224" spans="1:19" ht="15.75" customHeight="1" x14ac:dyDescent="0.3">
      <c r="A224" s="4" t="s">
        <v>512</v>
      </c>
      <c r="B224" s="5" t="str">
        <f>TEXT(Patient_Data!$E224,"mmmm")</f>
        <v>November</v>
      </c>
      <c r="C224" s="6" t="str">
        <f t="shared" si="0"/>
        <v>Nov</v>
      </c>
      <c r="D224" s="6">
        <f>MONTH(Patient_Data!$E224)</f>
        <v>11</v>
      </c>
      <c r="E224" s="7">
        <v>45597</v>
      </c>
      <c r="F224" s="55" t="str">
        <f>TEXT(Patient_Data[[#This Row],[Admission_Date]],"YYYY")</f>
        <v>2024</v>
      </c>
      <c r="G224" s="8" t="s">
        <v>513</v>
      </c>
      <c r="H224" s="8" t="s">
        <v>132</v>
      </c>
      <c r="I224" s="4" t="s">
        <v>29</v>
      </c>
      <c r="J224" s="4">
        <v>92</v>
      </c>
      <c r="K224" s="4" t="s">
        <v>54</v>
      </c>
      <c r="L224" s="8">
        <v>5</v>
      </c>
      <c r="M224" s="9" t="s">
        <v>50</v>
      </c>
      <c r="N224" s="9" t="str">
        <f t="shared" si="1"/>
        <v>ICU</v>
      </c>
      <c r="O224" s="10">
        <v>11403.9</v>
      </c>
      <c r="P224" s="10">
        <v>6735.06</v>
      </c>
      <c r="Q224" s="11">
        <v>15.1</v>
      </c>
      <c r="R224" s="13" t="str">
        <f>IF(Patient_Data!$L224&lt;2,"Low Risk",IF(Patient_Data!$L224&lt;4,"Moderate Risk","High Risk"))</f>
        <v>High Risk</v>
      </c>
      <c r="S224" s="12" t="str">
        <f>IF(Patient_Data[[#This Row],[Age]]&lt;=18,"Pediatric",IF(Patient_Data[[#This Row],[Age]]&lt;=64,"Adult","Geriatric"))</f>
        <v>Geriatric</v>
      </c>
    </row>
    <row r="225" spans="1:19" ht="15.75" customHeight="1" x14ac:dyDescent="0.3">
      <c r="A225" s="4" t="s">
        <v>514</v>
      </c>
      <c r="B225" s="5" t="str">
        <f>TEXT(Patient_Data!$E225,"mmmm")</f>
        <v>June</v>
      </c>
      <c r="C225" s="6" t="str">
        <f t="shared" si="0"/>
        <v>Jun</v>
      </c>
      <c r="D225" s="6">
        <f>MONTH(Patient_Data!$E225)</f>
        <v>6</v>
      </c>
      <c r="E225" s="7">
        <v>45826</v>
      </c>
      <c r="F225" s="55" t="str">
        <f>TEXT(Patient_Data[[#This Row],[Admission_Date]],"YYYY")</f>
        <v>2025</v>
      </c>
      <c r="G225" s="8" t="s">
        <v>515</v>
      </c>
      <c r="H225" s="8" t="s">
        <v>49</v>
      </c>
      <c r="I225" s="4" t="s">
        <v>35</v>
      </c>
      <c r="J225" s="4">
        <v>72</v>
      </c>
      <c r="K225" s="4" t="s">
        <v>45</v>
      </c>
      <c r="L225" s="8">
        <v>4</v>
      </c>
      <c r="M225" s="9" t="s">
        <v>36</v>
      </c>
      <c r="N225" s="9" t="str">
        <f t="shared" si="1"/>
        <v>Cardio</v>
      </c>
      <c r="O225" s="10">
        <v>16292.04</v>
      </c>
      <c r="P225" s="10">
        <v>10030.94</v>
      </c>
      <c r="Q225" s="11">
        <v>11.6</v>
      </c>
      <c r="R225" s="13" t="str">
        <f>IF(Patient_Data!$L225&lt;2,"Low Risk",IF(Patient_Data!$L225&lt;4,"Moderate Risk","High Risk"))</f>
        <v>High Risk</v>
      </c>
      <c r="S225" s="12" t="str">
        <f>IF(Patient_Data[[#This Row],[Age]]&lt;=18,"Pediatric",IF(Patient_Data[[#This Row],[Age]]&lt;=64,"Adult","Geriatric"))</f>
        <v>Geriatric</v>
      </c>
    </row>
    <row r="226" spans="1:19" ht="15.75" customHeight="1" x14ac:dyDescent="0.3">
      <c r="A226" s="4" t="s">
        <v>516</v>
      </c>
      <c r="B226" s="5" t="str">
        <f>TEXT(Patient_Data!$E226,"mmmm")</f>
        <v>April</v>
      </c>
      <c r="C226" s="6" t="str">
        <f t="shared" si="0"/>
        <v>Apr</v>
      </c>
      <c r="D226" s="6">
        <f>MONTH(Patient_Data!$E226)</f>
        <v>4</v>
      </c>
      <c r="E226" s="7">
        <v>46119</v>
      </c>
      <c r="F226" s="55" t="str">
        <f>TEXT(Patient_Data[[#This Row],[Admission_Date]],"YYYY")</f>
        <v>2026</v>
      </c>
      <c r="G226" s="8" t="s">
        <v>517</v>
      </c>
      <c r="H226" s="8" t="s">
        <v>28</v>
      </c>
      <c r="I226" s="4" t="s">
        <v>29</v>
      </c>
      <c r="J226" s="4">
        <v>79</v>
      </c>
      <c r="K226" s="4" t="s">
        <v>45</v>
      </c>
      <c r="L226" s="8">
        <v>4</v>
      </c>
      <c r="M226" s="9" t="s">
        <v>72</v>
      </c>
      <c r="N226" s="9" t="str">
        <f t="shared" si="1"/>
        <v>Surgery</v>
      </c>
      <c r="O226" s="10">
        <v>20415.02</v>
      </c>
      <c r="P226" s="10">
        <v>13124.81</v>
      </c>
      <c r="Q226" s="11">
        <v>7.4</v>
      </c>
      <c r="R226" s="13" t="str">
        <f>IF(Patient_Data!$L226&lt;2,"Low Risk",IF(Patient_Data!$L226&lt;4,"Moderate Risk","High Risk"))</f>
        <v>High Risk</v>
      </c>
      <c r="S226" s="12" t="str">
        <f>IF(Patient_Data[[#This Row],[Age]]&lt;=18,"Pediatric",IF(Patient_Data[[#This Row],[Age]]&lt;=64,"Adult","Geriatric"))</f>
        <v>Geriatric</v>
      </c>
    </row>
    <row r="227" spans="1:19" ht="15.75" customHeight="1" x14ac:dyDescent="0.3">
      <c r="A227" s="4" t="s">
        <v>518</v>
      </c>
      <c r="B227" s="5" t="str">
        <f>TEXT(Patient_Data!$E227,"mmmm")</f>
        <v>February</v>
      </c>
      <c r="C227" s="6" t="str">
        <f t="shared" si="0"/>
        <v>Feb</v>
      </c>
      <c r="D227" s="6">
        <f>MONTH(Patient_Data!$E227)</f>
        <v>2</v>
      </c>
      <c r="E227" s="7">
        <v>46071</v>
      </c>
      <c r="F227" s="55" t="str">
        <f>TEXT(Patient_Data[[#This Row],[Admission_Date]],"YYYY")</f>
        <v>2026</v>
      </c>
      <c r="G227" s="8" t="s">
        <v>519</v>
      </c>
      <c r="H227" s="8" t="s">
        <v>34</v>
      </c>
      <c r="I227" s="4" t="s">
        <v>29</v>
      </c>
      <c r="J227" s="4">
        <v>46</v>
      </c>
      <c r="K227" s="4" t="s">
        <v>30</v>
      </c>
      <c r="L227" s="8">
        <v>1</v>
      </c>
      <c r="M227" s="9" t="s">
        <v>83</v>
      </c>
      <c r="N227" s="9" t="str">
        <f t="shared" si="1"/>
        <v>ER</v>
      </c>
      <c r="O227" s="10">
        <v>5383.65</v>
      </c>
      <c r="P227" s="10">
        <v>3689.45</v>
      </c>
      <c r="Q227" s="11">
        <v>10.3</v>
      </c>
      <c r="R227" s="13" t="str">
        <f>IF(Patient_Data!$L227&lt;2,"Low Risk",IF(Patient_Data!$L227&lt;4,"Moderate Risk","High Risk"))</f>
        <v>Low Risk</v>
      </c>
      <c r="S227" s="12" t="str">
        <f>IF(Patient_Data[[#This Row],[Age]]&lt;=18,"Pediatric",IF(Patient_Data[[#This Row],[Age]]&lt;=64,"Adult","Geriatric"))</f>
        <v>Adult</v>
      </c>
    </row>
    <row r="228" spans="1:19" ht="15.75" customHeight="1" x14ac:dyDescent="0.3">
      <c r="A228" s="4" t="s">
        <v>520</v>
      </c>
      <c r="B228" s="5" t="str">
        <f>TEXT(Patient_Data!$E228,"mmmm")</f>
        <v>February</v>
      </c>
      <c r="C228" s="6" t="str">
        <f t="shared" si="0"/>
        <v>Feb</v>
      </c>
      <c r="D228" s="6">
        <f>MONTH(Patient_Data!$E228)</f>
        <v>2</v>
      </c>
      <c r="E228" s="7">
        <v>46072</v>
      </c>
      <c r="F228" s="55" t="str">
        <f>TEXT(Patient_Data[[#This Row],[Admission_Date]],"YYYY")</f>
        <v>2026</v>
      </c>
      <c r="G228" s="8" t="s">
        <v>521</v>
      </c>
      <c r="H228" s="8" t="s">
        <v>28</v>
      </c>
      <c r="I228" s="4" t="s">
        <v>35</v>
      </c>
      <c r="J228" s="4">
        <v>47</v>
      </c>
      <c r="K228" s="4" t="s">
        <v>30</v>
      </c>
      <c r="L228" s="8">
        <v>1</v>
      </c>
      <c r="M228" s="9" t="s">
        <v>31</v>
      </c>
      <c r="N228" s="9" t="str">
        <f t="shared" si="1"/>
        <v>Neuro</v>
      </c>
      <c r="O228" s="10">
        <v>8645.14</v>
      </c>
      <c r="P228" s="10">
        <v>6098</v>
      </c>
      <c r="Q228" s="11">
        <v>5.8</v>
      </c>
      <c r="R228" s="13" t="str">
        <f>IF(Patient_Data!$L228&lt;2,"Low Risk",IF(Patient_Data!$L228&lt;4,"Moderate Risk","High Risk"))</f>
        <v>Low Risk</v>
      </c>
      <c r="S228" s="12" t="str">
        <f>IF(Patient_Data[[#This Row],[Age]]&lt;=18,"Pediatric",IF(Patient_Data[[#This Row],[Age]]&lt;=64,"Adult","Geriatric"))</f>
        <v>Adult</v>
      </c>
    </row>
    <row r="229" spans="1:19" ht="15.75" customHeight="1" x14ac:dyDescent="0.3">
      <c r="A229" s="4" t="s">
        <v>522</v>
      </c>
      <c r="B229" s="5" t="str">
        <f>TEXT(Patient_Data!$E229,"mmmm")</f>
        <v>November</v>
      </c>
      <c r="C229" s="6" t="str">
        <f t="shared" si="0"/>
        <v>Nov</v>
      </c>
      <c r="D229" s="6">
        <f>MONTH(Patient_Data!$E229)</f>
        <v>11</v>
      </c>
      <c r="E229" s="7">
        <v>45604</v>
      </c>
      <c r="F229" s="55" t="str">
        <f>TEXT(Patient_Data[[#This Row],[Admission_Date]],"YYYY")</f>
        <v>2024</v>
      </c>
      <c r="G229" s="8" t="s">
        <v>523</v>
      </c>
      <c r="H229" s="8" t="s">
        <v>132</v>
      </c>
      <c r="I229" s="4" t="s">
        <v>35</v>
      </c>
      <c r="J229" s="4">
        <v>36</v>
      </c>
      <c r="K229" s="4" t="s">
        <v>30</v>
      </c>
      <c r="L229" s="8">
        <v>4</v>
      </c>
      <c r="M229" s="9" t="s">
        <v>72</v>
      </c>
      <c r="N229" s="9" t="str">
        <f t="shared" si="1"/>
        <v>Surgery</v>
      </c>
      <c r="O229" s="10">
        <v>19801.259999999998</v>
      </c>
      <c r="P229" s="10">
        <v>14550.12</v>
      </c>
      <c r="Q229" s="11">
        <v>11.9</v>
      </c>
      <c r="R229" s="13" t="str">
        <f>IF(Patient_Data!$L229&lt;2,"Low Risk",IF(Patient_Data!$L229&lt;4,"Moderate Risk","High Risk"))</f>
        <v>High Risk</v>
      </c>
      <c r="S229" s="12" t="str">
        <f>IF(Patient_Data[[#This Row],[Age]]&lt;=18,"Pediatric",IF(Patient_Data[[#This Row],[Age]]&lt;=64,"Adult","Geriatric"))</f>
        <v>Adult</v>
      </c>
    </row>
    <row r="230" spans="1:19" ht="15.75" customHeight="1" x14ac:dyDescent="0.3">
      <c r="A230" s="4" t="s">
        <v>524</v>
      </c>
      <c r="B230" s="5" t="str">
        <f>TEXT(Patient_Data!$E230,"mmmm")</f>
        <v>July</v>
      </c>
      <c r="C230" s="6" t="str">
        <f t="shared" si="0"/>
        <v>Jul</v>
      </c>
      <c r="D230" s="6">
        <f>MONTH(Patient_Data!$E230)</f>
        <v>7</v>
      </c>
      <c r="E230" s="7">
        <v>46213</v>
      </c>
      <c r="F230" s="55" t="str">
        <f>TEXT(Patient_Data[[#This Row],[Admission_Date]],"YYYY")</f>
        <v>2026</v>
      </c>
      <c r="G230" s="8" t="s">
        <v>525</v>
      </c>
      <c r="H230" s="8" t="s">
        <v>53</v>
      </c>
      <c r="I230" s="4" t="s">
        <v>35</v>
      </c>
      <c r="J230" s="4">
        <v>63</v>
      </c>
      <c r="K230" s="4" t="s">
        <v>30</v>
      </c>
      <c r="L230" s="8">
        <v>3</v>
      </c>
      <c r="M230" s="9" t="s">
        <v>72</v>
      </c>
      <c r="N230" s="9" t="str">
        <f t="shared" si="1"/>
        <v>Surgery</v>
      </c>
      <c r="O230" s="10">
        <v>14115.26</v>
      </c>
      <c r="P230" s="10">
        <v>10819.6</v>
      </c>
      <c r="Q230" s="11">
        <v>11.5</v>
      </c>
      <c r="R230" s="13" t="str">
        <f>IF(Patient_Data!$L230&lt;2,"Low Risk",IF(Patient_Data!$L230&lt;4,"Moderate Risk","High Risk"))</f>
        <v>Moderate Risk</v>
      </c>
      <c r="S230" s="12" t="str">
        <f>IF(Patient_Data[[#This Row],[Age]]&lt;=18,"Pediatric",IF(Patient_Data[[#This Row],[Age]]&lt;=64,"Adult","Geriatric"))</f>
        <v>Adult</v>
      </c>
    </row>
    <row r="231" spans="1:19" ht="15.75" customHeight="1" x14ac:dyDescent="0.3">
      <c r="A231" s="4" t="s">
        <v>526</v>
      </c>
      <c r="B231" s="5" t="str">
        <f>TEXT(Patient_Data!$E231,"mmmm")</f>
        <v>April</v>
      </c>
      <c r="C231" s="6" t="str">
        <f t="shared" si="0"/>
        <v>Apr</v>
      </c>
      <c r="D231" s="6">
        <f>MONTH(Patient_Data!$E231)</f>
        <v>4</v>
      </c>
      <c r="E231" s="7">
        <v>46136</v>
      </c>
      <c r="F231" s="55" t="str">
        <f>TEXT(Patient_Data[[#This Row],[Admission_Date]],"YYYY")</f>
        <v>2026</v>
      </c>
      <c r="G231" s="8" t="s">
        <v>527</v>
      </c>
      <c r="H231" s="8" t="s">
        <v>34</v>
      </c>
      <c r="I231" s="4" t="s">
        <v>29</v>
      </c>
      <c r="J231" s="4">
        <v>36</v>
      </c>
      <c r="K231" s="4" t="s">
        <v>54</v>
      </c>
      <c r="L231" s="8">
        <v>4</v>
      </c>
      <c r="M231" s="9" t="s">
        <v>72</v>
      </c>
      <c r="N231" s="9" t="str">
        <f t="shared" si="1"/>
        <v>Surgery</v>
      </c>
      <c r="O231" s="10">
        <v>21689.8</v>
      </c>
      <c r="P231" s="10">
        <v>12652.88</v>
      </c>
      <c r="Q231" s="11">
        <v>9.1</v>
      </c>
      <c r="R231" s="13" t="str">
        <f>IF(Patient_Data!$L231&lt;2,"Low Risk",IF(Patient_Data!$L231&lt;4,"Moderate Risk","High Risk"))</f>
        <v>High Risk</v>
      </c>
      <c r="S231" s="12" t="str">
        <f>IF(Patient_Data[[#This Row],[Age]]&lt;=18,"Pediatric",IF(Patient_Data[[#This Row],[Age]]&lt;=64,"Adult","Geriatric"))</f>
        <v>Adult</v>
      </c>
    </row>
    <row r="232" spans="1:19" ht="15.75" customHeight="1" x14ac:dyDescent="0.3">
      <c r="A232" s="4" t="s">
        <v>528</v>
      </c>
      <c r="B232" s="5" t="str">
        <f>TEXT(Patient_Data!$E232,"mmmm")</f>
        <v>April</v>
      </c>
      <c r="C232" s="6" t="str">
        <f t="shared" si="0"/>
        <v>Apr</v>
      </c>
      <c r="D232" s="6">
        <f>MONTH(Patient_Data!$E232)</f>
        <v>4</v>
      </c>
      <c r="E232" s="7">
        <v>45748</v>
      </c>
      <c r="F232" s="55" t="str">
        <f>TEXT(Patient_Data[[#This Row],[Admission_Date]],"YYYY")</f>
        <v>2025</v>
      </c>
      <c r="G232" s="8" t="s">
        <v>529</v>
      </c>
      <c r="H232" s="8" t="s">
        <v>98</v>
      </c>
      <c r="I232" s="4" t="s">
        <v>29</v>
      </c>
      <c r="J232" s="4">
        <v>33</v>
      </c>
      <c r="K232" s="4" t="s">
        <v>30</v>
      </c>
      <c r="L232" s="8">
        <v>1</v>
      </c>
      <c r="M232" s="9" t="s">
        <v>31</v>
      </c>
      <c r="N232" s="9" t="str">
        <f t="shared" si="1"/>
        <v>Neuro</v>
      </c>
      <c r="O232" s="10">
        <v>5401.5</v>
      </c>
      <c r="P232" s="10">
        <v>3377.32</v>
      </c>
      <c r="Q232" s="11">
        <v>10.3</v>
      </c>
      <c r="R232" s="13" t="str">
        <f>IF(Patient_Data!$L232&lt;2,"Low Risk",IF(Patient_Data!$L232&lt;4,"Moderate Risk","High Risk"))</f>
        <v>Low Risk</v>
      </c>
      <c r="S232" s="12" t="str">
        <f>IF(Patient_Data[[#This Row],[Age]]&lt;=18,"Pediatric",IF(Patient_Data[[#This Row],[Age]]&lt;=64,"Adult","Geriatric"))</f>
        <v>Adult</v>
      </c>
    </row>
    <row r="233" spans="1:19" ht="15.75" customHeight="1" x14ac:dyDescent="0.3">
      <c r="A233" s="4" t="s">
        <v>530</v>
      </c>
      <c r="B233" s="5" t="str">
        <f>TEXT(Patient_Data!$E233,"mmmm")</f>
        <v>July</v>
      </c>
      <c r="C233" s="6" t="str">
        <f t="shared" si="0"/>
        <v>Jul</v>
      </c>
      <c r="D233" s="6">
        <f>MONTH(Patient_Data!$E233)</f>
        <v>7</v>
      </c>
      <c r="E233" s="7">
        <v>45853</v>
      </c>
      <c r="F233" s="55" t="str">
        <f>TEXT(Patient_Data[[#This Row],[Admission_Date]],"YYYY")</f>
        <v>2025</v>
      </c>
      <c r="G233" s="8" t="s">
        <v>531</v>
      </c>
      <c r="H233" s="8" t="s">
        <v>49</v>
      </c>
      <c r="I233" s="4" t="s">
        <v>35</v>
      </c>
      <c r="J233" s="4">
        <v>58</v>
      </c>
      <c r="K233" s="4" t="s">
        <v>54</v>
      </c>
      <c r="L233" s="8">
        <v>5</v>
      </c>
      <c r="M233" s="9" t="s">
        <v>72</v>
      </c>
      <c r="N233" s="9" t="str">
        <f t="shared" si="1"/>
        <v>Surgery</v>
      </c>
      <c r="O233" s="10">
        <v>13776.55</v>
      </c>
      <c r="P233" s="10">
        <v>8866.59</v>
      </c>
      <c r="Q233" s="11">
        <v>6.2</v>
      </c>
      <c r="R233" s="13" t="str">
        <f>IF(Patient_Data!$L233&lt;2,"Low Risk",IF(Patient_Data!$L233&lt;4,"Moderate Risk","High Risk"))</f>
        <v>High Risk</v>
      </c>
      <c r="S233" s="12" t="str">
        <f>IF(Patient_Data[[#This Row],[Age]]&lt;=18,"Pediatric",IF(Patient_Data[[#This Row],[Age]]&lt;=64,"Adult","Geriatric"))</f>
        <v>Adult</v>
      </c>
    </row>
    <row r="234" spans="1:19" ht="15.75" customHeight="1" x14ac:dyDescent="0.3">
      <c r="A234" s="4" t="s">
        <v>532</v>
      </c>
      <c r="B234" s="5" t="str">
        <f>TEXT(Patient_Data!$E234,"mmmm")</f>
        <v>March</v>
      </c>
      <c r="C234" s="6" t="str">
        <f t="shared" si="0"/>
        <v>Mar</v>
      </c>
      <c r="D234" s="6">
        <f>MONTH(Patient_Data!$E234)</f>
        <v>3</v>
      </c>
      <c r="E234" s="7">
        <v>45358</v>
      </c>
      <c r="F234" s="55" t="str">
        <f>TEXT(Patient_Data[[#This Row],[Admission_Date]],"YYYY")</f>
        <v>2024</v>
      </c>
      <c r="G234" s="8" t="s">
        <v>533</v>
      </c>
      <c r="H234" s="8" t="s">
        <v>98</v>
      </c>
      <c r="I234" s="4" t="s">
        <v>35</v>
      </c>
      <c r="J234" s="4">
        <v>78</v>
      </c>
      <c r="K234" s="4" t="s">
        <v>54</v>
      </c>
      <c r="L234" s="8">
        <v>1</v>
      </c>
      <c r="M234" s="9" t="s">
        <v>36</v>
      </c>
      <c r="N234" s="9" t="str">
        <f t="shared" si="1"/>
        <v>Cardio</v>
      </c>
      <c r="O234" s="10">
        <v>11227.48</v>
      </c>
      <c r="P234" s="10">
        <v>7600.81</v>
      </c>
      <c r="Q234" s="11">
        <v>9.8000000000000007</v>
      </c>
      <c r="R234" s="13" t="str">
        <f>IF(Patient_Data!$L234&lt;2,"Low Risk",IF(Patient_Data!$L234&lt;4,"Moderate Risk","High Risk"))</f>
        <v>Low Risk</v>
      </c>
      <c r="S234" s="12" t="str">
        <f>IF(Patient_Data[[#This Row],[Age]]&lt;=18,"Pediatric",IF(Patient_Data[[#This Row],[Age]]&lt;=64,"Adult","Geriatric"))</f>
        <v>Geriatric</v>
      </c>
    </row>
    <row r="235" spans="1:19" ht="15.75" customHeight="1" x14ac:dyDescent="0.3">
      <c r="A235" s="4" t="s">
        <v>534</v>
      </c>
      <c r="B235" s="5" t="str">
        <f>TEXT(Patient_Data!$E235,"mmmm")</f>
        <v>June</v>
      </c>
      <c r="C235" s="6" t="str">
        <f t="shared" si="0"/>
        <v>Jun</v>
      </c>
      <c r="D235" s="6">
        <f>MONTH(Patient_Data!$E235)</f>
        <v>6</v>
      </c>
      <c r="E235" s="7">
        <v>45468</v>
      </c>
      <c r="F235" s="55" t="str">
        <f>TEXT(Patient_Data[[#This Row],[Admission_Date]],"YYYY")</f>
        <v>2024</v>
      </c>
      <c r="G235" s="8" t="s">
        <v>535</v>
      </c>
      <c r="H235" s="8" t="s">
        <v>53</v>
      </c>
      <c r="I235" s="4" t="s">
        <v>35</v>
      </c>
      <c r="J235" s="4">
        <v>68</v>
      </c>
      <c r="K235" s="4" t="s">
        <v>54</v>
      </c>
      <c r="L235" s="8">
        <v>4</v>
      </c>
      <c r="M235" s="9" t="s">
        <v>50</v>
      </c>
      <c r="N235" s="9" t="str">
        <f t="shared" si="1"/>
        <v>ICU</v>
      </c>
      <c r="O235" s="10">
        <v>18779.37</v>
      </c>
      <c r="P235" s="10">
        <v>13250.36</v>
      </c>
      <c r="Q235" s="11">
        <v>13.1</v>
      </c>
      <c r="R235" s="13" t="str">
        <f>IF(Patient_Data!$L235&lt;2,"Low Risk",IF(Patient_Data!$L235&lt;4,"Moderate Risk","High Risk"))</f>
        <v>High Risk</v>
      </c>
      <c r="S235" s="12" t="str">
        <f>IF(Patient_Data[[#This Row],[Age]]&lt;=18,"Pediatric",IF(Patient_Data[[#This Row],[Age]]&lt;=64,"Adult","Geriatric"))</f>
        <v>Geriatric</v>
      </c>
    </row>
    <row r="236" spans="1:19" ht="15.75" customHeight="1" x14ac:dyDescent="0.3">
      <c r="A236" s="4" t="s">
        <v>536</v>
      </c>
      <c r="B236" s="5" t="str">
        <f>TEXT(Patient_Data!$E236,"mmmm")</f>
        <v>October</v>
      </c>
      <c r="C236" s="6" t="str">
        <f t="shared" si="0"/>
        <v>Oct</v>
      </c>
      <c r="D236" s="6">
        <f>MONTH(Patient_Data!$E236)</f>
        <v>10</v>
      </c>
      <c r="E236" s="7">
        <v>45217</v>
      </c>
      <c r="F236" s="55" t="str">
        <f>TEXT(Patient_Data[[#This Row],[Admission_Date]],"YYYY")</f>
        <v>2023</v>
      </c>
      <c r="G236" s="8" t="s">
        <v>537</v>
      </c>
      <c r="H236" s="8" t="s">
        <v>34</v>
      </c>
      <c r="I236" s="4" t="s">
        <v>29</v>
      </c>
      <c r="J236" s="4">
        <v>50</v>
      </c>
      <c r="K236" s="4" t="s">
        <v>30</v>
      </c>
      <c r="L236" s="8">
        <v>3</v>
      </c>
      <c r="M236" s="9" t="s">
        <v>39</v>
      </c>
      <c r="N236" s="9" t="str">
        <f t="shared" si="1"/>
        <v>GM</v>
      </c>
      <c r="O236" s="10">
        <v>4284.3100000000004</v>
      </c>
      <c r="P236" s="10">
        <v>3205.95</v>
      </c>
      <c r="Q236" s="11">
        <v>9.8000000000000007</v>
      </c>
      <c r="R236" s="13" t="str">
        <f>IF(Patient_Data!$L236&lt;2,"Low Risk",IF(Patient_Data!$L236&lt;4,"Moderate Risk","High Risk"))</f>
        <v>Moderate Risk</v>
      </c>
      <c r="S236" s="12" t="str">
        <f>IF(Patient_Data[[#This Row],[Age]]&lt;=18,"Pediatric",IF(Patient_Data[[#This Row],[Age]]&lt;=64,"Adult","Geriatric"))</f>
        <v>Adult</v>
      </c>
    </row>
    <row r="237" spans="1:19" ht="15.75" customHeight="1" x14ac:dyDescent="0.3">
      <c r="A237" s="4" t="s">
        <v>538</v>
      </c>
      <c r="B237" s="5" t="str">
        <f>TEXT(Patient_Data!$E237,"mmmm")</f>
        <v>December</v>
      </c>
      <c r="C237" s="6" t="str">
        <f t="shared" si="0"/>
        <v>Dec</v>
      </c>
      <c r="D237" s="6">
        <f>MONTH(Patient_Data!$E237)</f>
        <v>12</v>
      </c>
      <c r="E237" s="7">
        <v>45261</v>
      </c>
      <c r="F237" s="55" t="str">
        <f>TEXT(Patient_Data[[#This Row],[Admission_Date]],"YYYY")</f>
        <v>2023</v>
      </c>
      <c r="G237" s="8" t="s">
        <v>539</v>
      </c>
      <c r="H237" s="8" t="s">
        <v>82</v>
      </c>
      <c r="I237" s="4" t="s">
        <v>29</v>
      </c>
      <c r="J237" s="4">
        <v>23</v>
      </c>
      <c r="K237" s="4" t="s">
        <v>30</v>
      </c>
      <c r="L237" s="8">
        <v>1</v>
      </c>
      <c r="M237" s="9" t="s">
        <v>36</v>
      </c>
      <c r="N237" s="9" t="str">
        <f t="shared" si="1"/>
        <v>Cardio</v>
      </c>
      <c r="O237" s="10">
        <v>5335.41</v>
      </c>
      <c r="P237" s="10">
        <v>4099.71</v>
      </c>
      <c r="Q237" s="11">
        <v>5.6</v>
      </c>
      <c r="R237" s="13" t="str">
        <f>IF(Patient_Data!$L237&lt;2,"Low Risk",IF(Patient_Data!$L237&lt;4,"Moderate Risk","High Risk"))</f>
        <v>Low Risk</v>
      </c>
      <c r="S237" s="12" t="str">
        <f>IF(Patient_Data[[#This Row],[Age]]&lt;=18,"Pediatric",IF(Patient_Data[[#This Row],[Age]]&lt;=64,"Adult","Geriatric"))</f>
        <v>Adult</v>
      </c>
    </row>
    <row r="238" spans="1:19" ht="15.75" customHeight="1" x14ac:dyDescent="0.3">
      <c r="A238" s="4" t="s">
        <v>540</v>
      </c>
      <c r="B238" s="5" t="str">
        <f>TEXT(Patient_Data!$E238,"mmmm")</f>
        <v>January</v>
      </c>
      <c r="C238" s="6" t="str">
        <f t="shared" si="0"/>
        <v>Jan</v>
      </c>
      <c r="D238" s="6">
        <f>MONTH(Patient_Data!$E238)</f>
        <v>1</v>
      </c>
      <c r="E238" s="7">
        <v>45316</v>
      </c>
      <c r="F238" s="55" t="str">
        <f>TEXT(Patient_Data[[#This Row],[Admission_Date]],"YYYY")</f>
        <v>2024</v>
      </c>
      <c r="G238" s="8" t="s">
        <v>541</v>
      </c>
      <c r="H238" s="8" t="s">
        <v>132</v>
      </c>
      <c r="I238" s="4" t="s">
        <v>35</v>
      </c>
      <c r="J238" s="4">
        <v>9</v>
      </c>
      <c r="K238" s="4" t="s">
        <v>30</v>
      </c>
      <c r="L238" s="8">
        <v>1</v>
      </c>
      <c r="M238" s="9" t="s">
        <v>79</v>
      </c>
      <c r="N238" s="9" t="str">
        <f t="shared" si="1"/>
        <v>PD</v>
      </c>
      <c r="O238" s="10">
        <v>2173.87</v>
      </c>
      <c r="P238" s="10">
        <v>1295.24</v>
      </c>
      <c r="Q238" s="11">
        <v>4.3</v>
      </c>
      <c r="R238" s="13" t="str">
        <f>IF(Patient_Data!$L238&lt;2,"Low Risk",IF(Patient_Data!$L238&lt;4,"Moderate Risk","High Risk"))</f>
        <v>Low Risk</v>
      </c>
      <c r="S238" s="12" t="str">
        <f>IF(Patient_Data[[#This Row],[Age]]&lt;=18,"Pediatric",IF(Patient_Data[[#This Row],[Age]]&lt;=64,"Adult","Geriatric"))</f>
        <v>Pediatric</v>
      </c>
    </row>
    <row r="239" spans="1:19" ht="15.75" customHeight="1" x14ac:dyDescent="0.3">
      <c r="A239" s="4" t="s">
        <v>542</v>
      </c>
      <c r="B239" s="5" t="str">
        <f>TEXT(Patient_Data!$E239,"mmmm")</f>
        <v>March</v>
      </c>
      <c r="C239" s="6" t="str">
        <f t="shared" si="0"/>
        <v>Mar</v>
      </c>
      <c r="D239" s="6">
        <f>MONTH(Patient_Data!$E239)</f>
        <v>3</v>
      </c>
      <c r="E239" s="7">
        <v>46099</v>
      </c>
      <c r="F239" s="55" t="str">
        <f>TEXT(Patient_Data[[#This Row],[Admission_Date]],"YYYY")</f>
        <v>2026</v>
      </c>
      <c r="G239" s="8" t="s">
        <v>543</v>
      </c>
      <c r="H239" s="8" t="s">
        <v>82</v>
      </c>
      <c r="I239" s="4" t="s">
        <v>35</v>
      </c>
      <c r="J239" s="4">
        <v>44</v>
      </c>
      <c r="K239" s="4" t="s">
        <v>30</v>
      </c>
      <c r="L239" s="8">
        <v>1</v>
      </c>
      <c r="M239" s="9" t="s">
        <v>36</v>
      </c>
      <c r="N239" s="9" t="str">
        <f t="shared" si="1"/>
        <v>Cardio</v>
      </c>
      <c r="O239" s="10">
        <v>5166.4399999999996</v>
      </c>
      <c r="P239" s="10">
        <v>3221.13</v>
      </c>
      <c r="Q239" s="11">
        <v>8.6999999999999993</v>
      </c>
      <c r="R239" s="13" t="str">
        <f>IF(Patient_Data!$L239&lt;2,"Low Risk",IF(Patient_Data!$L239&lt;4,"Moderate Risk","High Risk"))</f>
        <v>Low Risk</v>
      </c>
      <c r="S239" s="12" t="str">
        <f>IF(Patient_Data[[#This Row],[Age]]&lt;=18,"Pediatric",IF(Patient_Data[[#This Row],[Age]]&lt;=64,"Adult","Geriatric"))</f>
        <v>Adult</v>
      </c>
    </row>
    <row r="240" spans="1:19" ht="15.75" customHeight="1" x14ac:dyDescent="0.3">
      <c r="A240" s="4" t="s">
        <v>544</v>
      </c>
      <c r="B240" s="5" t="str">
        <f>TEXT(Patient_Data!$E240,"mmmm")</f>
        <v>December</v>
      </c>
      <c r="C240" s="6" t="str">
        <f t="shared" si="0"/>
        <v>Dec</v>
      </c>
      <c r="D240" s="6">
        <f>MONTH(Patient_Data!$E240)</f>
        <v>12</v>
      </c>
      <c r="E240" s="7">
        <v>46015</v>
      </c>
      <c r="F240" s="55" t="str">
        <f>TEXT(Patient_Data[[#This Row],[Admission_Date]],"YYYY")</f>
        <v>2025</v>
      </c>
      <c r="G240" s="8" t="s">
        <v>545</v>
      </c>
      <c r="H240" s="8" t="s">
        <v>75</v>
      </c>
      <c r="I240" s="4" t="s">
        <v>35</v>
      </c>
      <c r="J240" s="4">
        <v>40</v>
      </c>
      <c r="K240" s="4" t="s">
        <v>30</v>
      </c>
      <c r="L240" s="8">
        <v>1</v>
      </c>
      <c r="M240" s="9" t="s">
        <v>83</v>
      </c>
      <c r="N240" s="9" t="str">
        <f t="shared" si="1"/>
        <v>ER</v>
      </c>
      <c r="O240" s="10">
        <v>7289.84</v>
      </c>
      <c r="P240" s="10">
        <v>4801.5</v>
      </c>
      <c r="Q240" s="11">
        <v>17</v>
      </c>
      <c r="R240" s="13" t="str">
        <f>IF(Patient_Data!$L240&lt;2,"Low Risk",IF(Patient_Data!$L240&lt;4,"Moderate Risk","High Risk"))</f>
        <v>Low Risk</v>
      </c>
      <c r="S240" s="12" t="str">
        <f>IF(Patient_Data[[#This Row],[Age]]&lt;=18,"Pediatric",IF(Patient_Data[[#This Row],[Age]]&lt;=64,"Adult","Geriatric"))</f>
        <v>Adult</v>
      </c>
    </row>
    <row r="241" spans="1:19" ht="15.75" customHeight="1" x14ac:dyDescent="0.3">
      <c r="A241" s="4" t="s">
        <v>546</v>
      </c>
      <c r="B241" s="5" t="str">
        <f>TEXT(Patient_Data!$E241,"mmmm")</f>
        <v>September</v>
      </c>
      <c r="C241" s="6" t="str">
        <f t="shared" si="0"/>
        <v>Sep</v>
      </c>
      <c r="D241" s="6">
        <f>MONTH(Patient_Data!$E241)</f>
        <v>9</v>
      </c>
      <c r="E241" s="7">
        <v>45565</v>
      </c>
      <c r="F241" s="55" t="str">
        <f>TEXT(Patient_Data[[#This Row],[Admission_Date]],"YYYY")</f>
        <v>2024</v>
      </c>
      <c r="G241" s="8" t="s">
        <v>547</v>
      </c>
      <c r="H241" s="8" t="s">
        <v>42</v>
      </c>
      <c r="I241" s="4" t="s">
        <v>29</v>
      </c>
      <c r="J241" s="4">
        <v>83</v>
      </c>
      <c r="K241" s="4" t="s">
        <v>30</v>
      </c>
      <c r="L241" s="8">
        <v>2</v>
      </c>
      <c r="M241" s="9" t="s">
        <v>83</v>
      </c>
      <c r="N241" s="9" t="str">
        <f t="shared" si="1"/>
        <v>ER</v>
      </c>
      <c r="O241" s="10">
        <v>5589.12</v>
      </c>
      <c r="P241" s="10">
        <v>3843.91</v>
      </c>
      <c r="Q241" s="11">
        <v>12.4</v>
      </c>
      <c r="R241" s="13" t="str">
        <f>IF(Patient_Data!$L241&lt;2,"Low Risk",IF(Patient_Data!$L241&lt;4,"Moderate Risk","High Risk"))</f>
        <v>Moderate Risk</v>
      </c>
      <c r="S241" s="12" t="str">
        <f>IF(Patient_Data[[#This Row],[Age]]&lt;=18,"Pediatric",IF(Patient_Data[[#This Row],[Age]]&lt;=64,"Adult","Geriatric"))</f>
        <v>Geriatric</v>
      </c>
    </row>
    <row r="242" spans="1:19" ht="15.75" customHeight="1" x14ac:dyDescent="0.3">
      <c r="A242" s="4" t="s">
        <v>548</v>
      </c>
      <c r="B242" s="5" t="str">
        <f>TEXT(Patient_Data!$E242,"mmmm")</f>
        <v>October</v>
      </c>
      <c r="C242" s="6" t="str">
        <f t="shared" si="0"/>
        <v>Oct</v>
      </c>
      <c r="D242" s="6">
        <f>MONTH(Patient_Data!$E242)</f>
        <v>10</v>
      </c>
      <c r="E242" s="7">
        <v>45953</v>
      </c>
      <c r="F242" s="55" t="str">
        <f>TEXT(Patient_Data[[#This Row],[Admission_Date]],"YYYY")</f>
        <v>2025</v>
      </c>
      <c r="G242" s="8" t="s">
        <v>549</v>
      </c>
      <c r="H242" s="8" t="s">
        <v>49</v>
      </c>
      <c r="I242" s="4" t="s">
        <v>29</v>
      </c>
      <c r="J242" s="4">
        <v>52</v>
      </c>
      <c r="K242" s="4" t="s">
        <v>30</v>
      </c>
      <c r="L242" s="8">
        <v>1</v>
      </c>
      <c r="M242" s="9" t="s">
        <v>83</v>
      </c>
      <c r="N242" s="9" t="str">
        <f t="shared" si="1"/>
        <v>ER</v>
      </c>
      <c r="O242" s="10">
        <v>6849.72</v>
      </c>
      <c r="P242" s="10">
        <v>4945.2</v>
      </c>
      <c r="Q242" s="11">
        <v>18.8</v>
      </c>
      <c r="R242" s="13" t="str">
        <f>IF(Patient_Data!$L242&lt;2,"Low Risk",IF(Patient_Data!$L242&lt;4,"Moderate Risk","High Risk"))</f>
        <v>Low Risk</v>
      </c>
      <c r="S242" s="12" t="str">
        <f>IF(Patient_Data[[#This Row],[Age]]&lt;=18,"Pediatric",IF(Patient_Data[[#This Row],[Age]]&lt;=64,"Adult","Geriatric"))</f>
        <v>Adult</v>
      </c>
    </row>
    <row r="243" spans="1:19" ht="15.75" customHeight="1" x14ac:dyDescent="0.3">
      <c r="A243" s="4" t="s">
        <v>550</v>
      </c>
      <c r="B243" s="5" t="str">
        <f>TEXT(Patient_Data!$E243,"mmmm")</f>
        <v>June</v>
      </c>
      <c r="C243" s="6" t="str">
        <f t="shared" si="0"/>
        <v>Jun</v>
      </c>
      <c r="D243" s="6">
        <f>MONTH(Patient_Data!$E243)</f>
        <v>6</v>
      </c>
      <c r="E243" s="7">
        <v>45469</v>
      </c>
      <c r="F243" s="55" t="str">
        <f>TEXT(Patient_Data[[#This Row],[Admission_Date]],"YYYY")</f>
        <v>2024</v>
      </c>
      <c r="G243" s="8" t="s">
        <v>551</v>
      </c>
      <c r="H243" s="8" t="s">
        <v>98</v>
      </c>
      <c r="I243" s="4" t="s">
        <v>35</v>
      </c>
      <c r="J243" s="4">
        <v>85</v>
      </c>
      <c r="K243" s="4" t="s">
        <v>54</v>
      </c>
      <c r="L243" s="8">
        <v>4</v>
      </c>
      <c r="M243" s="9" t="s">
        <v>39</v>
      </c>
      <c r="N243" s="9" t="str">
        <f t="shared" si="1"/>
        <v>GM</v>
      </c>
      <c r="O243" s="10">
        <v>6620.16</v>
      </c>
      <c r="P243" s="10">
        <v>4897.5200000000004</v>
      </c>
      <c r="Q243" s="11">
        <v>8.1</v>
      </c>
      <c r="R243" s="13" t="str">
        <f>IF(Patient_Data!$L243&lt;2,"Low Risk",IF(Patient_Data!$L243&lt;4,"Moderate Risk","High Risk"))</f>
        <v>High Risk</v>
      </c>
      <c r="S243" s="12" t="str">
        <f>IF(Patient_Data[[#This Row],[Age]]&lt;=18,"Pediatric",IF(Patient_Data[[#This Row],[Age]]&lt;=64,"Adult","Geriatric"))</f>
        <v>Geriatric</v>
      </c>
    </row>
    <row r="244" spans="1:19" ht="15.75" customHeight="1" x14ac:dyDescent="0.3">
      <c r="A244" s="4" t="s">
        <v>552</v>
      </c>
      <c r="B244" s="5" t="str">
        <f>TEXT(Patient_Data!$E244,"mmmm")</f>
        <v>April</v>
      </c>
      <c r="C244" s="6" t="str">
        <f t="shared" si="0"/>
        <v>Apr</v>
      </c>
      <c r="D244" s="6">
        <f>MONTH(Patient_Data!$E244)</f>
        <v>4</v>
      </c>
      <c r="E244" s="7">
        <v>45385</v>
      </c>
      <c r="F244" s="55" t="str">
        <f>TEXT(Patient_Data[[#This Row],[Admission_Date]],"YYYY")</f>
        <v>2024</v>
      </c>
      <c r="G244" s="8" t="s">
        <v>553</v>
      </c>
      <c r="H244" s="8" t="s">
        <v>82</v>
      </c>
      <c r="I244" s="4" t="s">
        <v>29</v>
      </c>
      <c r="J244" s="4">
        <v>41</v>
      </c>
      <c r="K244" s="4" t="s">
        <v>30</v>
      </c>
      <c r="L244" s="8">
        <v>1</v>
      </c>
      <c r="M244" s="9" t="s">
        <v>83</v>
      </c>
      <c r="N244" s="9" t="str">
        <f t="shared" si="1"/>
        <v>ER</v>
      </c>
      <c r="O244" s="10">
        <v>3038.05</v>
      </c>
      <c r="P244" s="10">
        <v>2488.92</v>
      </c>
      <c r="Q244" s="11">
        <v>22.5</v>
      </c>
      <c r="R244" s="13" t="str">
        <f>IF(Patient_Data!$L244&lt;2,"Low Risk",IF(Patient_Data!$L244&lt;4,"Moderate Risk","High Risk"))</f>
        <v>Low Risk</v>
      </c>
      <c r="S244" s="12" t="str">
        <f>IF(Patient_Data[[#This Row],[Age]]&lt;=18,"Pediatric",IF(Patient_Data[[#This Row],[Age]]&lt;=64,"Adult","Geriatric"))</f>
        <v>Adult</v>
      </c>
    </row>
    <row r="245" spans="1:19" ht="15.75" customHeight="1" x14ac:dyDescent="0.3">
      <c r="A245" s="4" t="s">
        <v>554</v>
      </c>
      <c r="B245" s="5" t="str">
        <f>TEXT(Patient_Data!$E245,"mmmm")</f>
        <v>January</v>
      </c>
      <c r="C245" s="6" t="str">
        <f t="shared" si="0"/>
        <v>Jan</v>
      </c>
      <c r="D245" s="6">
        <f>MONTH(Patient_Data!$E245)</f>
        <v>1</v>
      </c>
      <c r="E245" s="7">
        <v>46037</v>
      </c>
      <c r="F245" s="55" t="str">
        <f>TEXT(Patient_Data[[#This Row],[Admission_Date]],"YYYY")</f>
        <v>2026</v>
      </c>
      <c r="G245" s="8" t="s">
        <v>555</v>
      </c>
      <c r="H245" s="8" t="s">
        <v>75</v>
      </c>
      <c r="I245" s="4" t="s">
        <v>35</v>
      </c>
      <c r="J245" s="4">
        <v>85</v>
      </c>
      <c r="K245" s="4" t="s">
        <v>54</v>
      </c>
      <c r="L245" s="8">
        <v>4</v>
      </c>
      <c r="M245" s="9" t="s">
        <v>72</v>
      </c>
      <c r="N245" s="9" t="str">
        <f t="shared" si="1"/>
        <v>Surgery</v>
      </c>
      <c r="O245" s="10">
        <v>12360.99</v>
      </c>
      <c r="P245" s="10">
        <v>7203.77</v>
      </c>
      <c r="Q245" s="11">
        <v>4.3</v>
      </c>
      <c r="R245" s="13" t="str">
        <f>IF(Patient_Data!$L245&lt;2,"Low Risk",IF(Patient_Data!$L245&lt;4,"Moderate Risk","High Risk"))</f>
        <v>High Risk</v>
      </c>
      <c r="S245" s="12" t="str">
        <f>IF(Patient_Data[[#This Row],[Age]]&lt;=18,"Pediatric",IF(Patient_Data[[#This Row],[Age]]&lt;=64,"Adult","Geriatric"))</f>
        <v>Geriatric</v>
      </c>
    </row>
    <row r="246" spans="1:19" ht="15.75" customHeight="1" x14ac:dyDescent="0.3">
      <c r="A246" s="4" t="s">
        <v>556</v>
      </c>
      <c r="B246" s="5" t="str">
        <f>TEXT(Patient_Data!$E246,"mmmm")</f>
        <v>November</v>
      </c>
      <c r="C246" s="6" t="str">
        <f t="shared" si="0"/>
        <v>Nov</v>
      </c>
      <c r="D246" s="6">
        <f>MONTH(Patient_Data!$E246)</f>
        <v>11</v>
      </c>
      <c r="E246" s="7">
        <v>45615</v>
      </c>
      <c r="F246" s="55" t="str">
        <f>TEXT(Patient_Data[[#This Row],[Admission_Date]],"YYYY")</f>
        <v>2024</v>
      </c>
      <c r="G246" s="8" t="s">
        <v>557</v>
      </c>
      <c r="H246" s="8" t="s">
        <v>28</v>
      </c>
      <c r="I246" s="4" t="s">
        <v>35</v>
      </c>
      <c r="J246" s="4">
        <v>79</v>
      </c>
      <c r="K246" s="4" t="s">
        <v>54</v>
      </c>
      <c r="L246" s="8">
        <v>4</v>
      </c>
      <c r="M246" s="9" t="s">
        <v>50</v>
      </c>
      <c r="N246" s="9" t="str">
        <f t="shared" si="1"/>
        <v>ICU</v>
      </c>
      <c r="O246" s="10">
        <v>11626.65</v>
      </c>
      <c r="P246" s="10">
        <v>7178.66</v>
      </c>
      <c r="Q246" s="11">
        <v>10.8</v>
      </c>
      <c r="R246" s="13" t="str">
        <f>IF(Patient_Data!$L246&lt;2,"Low Risk",IF(Patient_Data!$L246&lt;4,"Moderate Risk","High Risk"))</f>
        <v>High Risk</v>
      </c>
      <c r="S246" s="12" t="str">
        <f>IF(Patient_Data[[#This Row],[Age]]&lt;=18,"Pediatric",IF(Patient_Data[[#This Row],[Age]]&lt;=64,"Adult","Geriatric"))</f>
        <v>Geriatric</v>
      </c>
    </row>
    <row r="247" spans="1:19" ht="15.75" customHeight="1" x14ac:dyDescent="0.3">
      <c r="A247" s="4" t="s">
        <v>558</v>
      </c>
      <c r="B247" s="5" t="str">
        <f>TEXT(Patient_Data!$E247,"mmmm")</f>
        <v>August</v>
      </c>
      <c r="C247" s="6" t="str">
        <f t="shared" si="0"/>
        <v>Aug</v>
      </c>
      <c r="D247" s="6">
        <f>MONTH(Patient_Data!$E247)</f>
        <v>8</v>
      </c>
      <c r="E247" s="7">
        <v>45527</v>
      </c>
      <c r="F247" s="55" t="str">
        <f>TEXT(Patient_Data[[#This Row],[Admission_Date]],"YYYY")</f>
        <v>2024</v>
      </c>
      <c r="G247" s="8" t="s">
        <v>559</v>
      </c>
      <c r="H247" s="8" t="s">
        <v>28</v>
      </c>
      <c r="I247" s="4" t="s">
        <v>29</v>
      </c>
      <c r="J247" s="4">
        <v>94</v>
      </c>
      <c r="K247" s="4" t="s">
        <v>30</v>
      </c>
      <c r="L247" s="8">
        <v>2</v>
      </c>
      <c r="M247" s="9" t="s">
        <v>46</v>
      </c>
      <c r="N247" s="9" t="str">
        <f t="shared" si="1"/>
        <v>Ortho</v>
      </c>
      <c r="O247" s="10">
        <v>8707.1299999999992</v>
      </c>
      <c r="P247" s="10">
        <v>5602.96</v>
      </c>
      <c r="Q247" s="11">
        <v>3.8</v>
      </c>
      <c r="R247" s="13" t="str">
        <f>IF(Patient_Data!$L247&lt;2,"Low Risk",IF(Patient_Data!$L247&lt;4,"Moderate Risk","High Risk"))</f>
        <v>Moderate Risk</v>
      </c>
      <c r="S247" s="12" t="str">
        <f>IF(Patient_Data[[#This Row],[Age]]&lt;=18,"Pediatric",IF(Patient_Data[[#This Row],[Age]]&lt;=64,"Adult","Geriatric"))</f>
        <v>Geriatric</v>
      </c>
    </row>
    <row r="248" spans="1:19" ht="15.75" customHeight="1" x14ac:dyDescent="0.3">
      <c r="A248" s="4" t="s">
        <v>560</v>
      </c>
      <c r="B248" s="5" t="str">
        <f>TEXT(Patient_Data!$E248,"mmmm")</f>
        <v>April</v>
      </c>
      <c r="C248" s="6" t="str">
        <f t="shared" si="0"/>
        <v>Apr</v>
      </c>
      <c r="D248" s="6">
        <f>MONTH(Patient_Data!$E248)</f>
        <v>4</v>
      </c>
      <c r="E248" s="7">
        <v>46118</v>
      </c>
      <c r="F248" s="55" t="str">
        <f>TEXT(Patient_Data[[#This Row],[Admission_Date]],"YYYY")</f>
        <v>2026</v>
      </c>
      <c r="G248" s="8" t="s">
        <v>561</v>
      </c>
      <c r="H248" s="8" t="s">
        <v>34</v>
      </c>
      <c r="I248" s="4" t="s">
        <v>29</v>
      </c>
      <c r="J248" s="4">
        <v>47</v>
      </c>
      <c r="K248" s="4" t="s">
        <v>30</v>
      </c>
      <c r="L248" s="8">
        <v>1</v>
      </c>
      <c r="M248" s="9" t="s">
        <v>31</v>
      </c>
      <c r="N248" s="9" t="str">
        <f t="shared" si="1"/>
        <v>Neuro</v>
      </c>
      <c r="O248" s="10">
        <v>6701.24</v>
      </c>
      <c r="P248" s="10">
        <v>4515.43</v>
      </c>
      <c r="Q248" s="11">
        <v>3.2</v>
      </c>
      <c r="R248" s="13" t="str">
        <f>IF(Patient_Data!$L248&lt;2,"Low Risk",IF(Patient_Data!$L248&lt;4,"Moderate Risk","High Risk"))</f>
        <v>Low Risk</v>
      </c>
      <c r="S248" s="12" t="str">
        <f>IF(Patient_Data[[#This Row],[Age]]&lt;=18,"Pediatric",IF(Patient_Data[[#This Row],[Age]]&lt;=64,"Adult","Geriatric"))</f>
        <v>Adult</v>
      </c>
    </row>
    <row r="249" spans="1:19" ht="15.75" customHeight="1" x14ac:dyDescent="0.3">
      <c r="A249" s="4" t="s">
        <v>562</v>
      </c>
      <c r="B249" s="5" t="str">
        <f>TEXT(Patient_Data!$E249,"mmmm")</f>
        <v>May</v>
      </c>
      <c r="C249" s="6" t="str">
        <f t="shared" si="0"/>
        <v>May</v>
      </c>
      <c r="D249" s="6">
        <f>MONTH(Patient_Data!$E249)</f>
        <v>5</v>
      </c>
      <c r="E249" s="7">
        <v>45415</v>
      </c>
      <c r="F249" s="55" t="str">
        <f>TEXT(Patient_Data[[#This Row],[Admission_Date]],"YYYY")</f>
        <v>2024</v>
      </c>
      <c r="G249" s="8" t="s">
        <v>563</v>
      </c>
      <c r="H249" s="8" t="s">
        <v>82</v>
      </c>
      <c r="I249" s="4" t="s">
        <v>29</v>
      </c>
      <c r="J249" s="4">
        <v>5</v>
      </c>
      <c r="K249" s="4" t="s">
        <v>45</v>
      </c>
      <c r="L249" s="8">
        <v>1</v>
      </c>
      <c r="M249" s="9" t="s">
        <v>79</v>
      </c>
      <c r="N249" s="9" t="str">
        <f t="shared" si="1"/>
        <v>PD</v>
      </c>
      <c r="O249" s="10">
        <v>2027.23</v>
      </c>
      <c r="P249" s="10">
        <v>1466.26</v>
      </c>
      <c r="Q249" s="11">
        <v>5.9</v>
      </c>
      <c r="R249" s="13" t="str">
        <f>IF(Patient_Data!$L249&lt;2,"Low Risk",IF(Patient_Data!$L249&lt;4,"Moderate Risk","High Risk"))</f>
        <v>Low Risk</v>
      </c>
      <c r="S249" s="12" t="str">
        <f>IF(Patient_Data[[#This Row],[Age]]&lt;=18,"Pediatric",IF(Patient_Data[[#This Row],[Age]]&lt;=64,"Adult","Geriatric"))</f>
        <v>Pediatric</v>
      </c>
    </row>
    <row r="250" spans="1:19" ht="15.75" customHeight="1" x14ac:dyDescent="0.3">
      <c r="A250" s="4" t="s">
        <v>564</v>
      </c>
      <c r="B250" s="5" t="str">
        <f>TEXT(Patient_Data!$E250,"mmmm")</f>
        <v>March</v>
      </c>
      <c r="C250" s="6" t="str">
        <f t="shared" si="0"/>
        <v>Mar</v>
      </c>
      <c r="D250" s="6">
        <f>MONTH(Patient_Data!$E250)</f>
        <v>3</v>
      </c>
      <c r="E250" s="7">
        <v>46101</v>
      </c>
      <c r="F250" s="55" t="str">
        <f>TEXT(Patient_Data[[#This Row],[Admission_Date]],"YYYY")</f>
        <v>2026</v>
      </c>
      <c r="G250" s="8" t="s">
        <v>565</v>
      </c>
      <c r="H250" s="8" t="s">
        <v>53</v>
      </c>
      <c r="I250" s="4" t="s">
        <v>35</v>
      </c>
      <c r="J250" s="4">
        <v>90</v>
      </c>
      <c r="K250" s="4" t="s">
        <v>54</v>
      </c>
      <c r="L250" s="8">
        <v>4</v>
      </c>
      <c r="M250" s="9" t="s">
        <v>50</v>
      </c>
      <c r="N250" s="9" t="str">
        <f t="shared" si="1"/>
        <v>ICU</v>
      </c>
      <c r="O250" s="10">
        <v>13407.95</v>
      </c>
      <c r="P250" s="10">
        <v>9882.2000000000007</v>
      </c>
      <c r="Q250" s="11">
        <v>11.8</v>
      </c>
      <c r="R250" s="13" t="str">
        <f>IF(Patient_Data!$L250&lt;2,"Low Risk",IF(Patient_Data!$L250&lt;4,"Moderate Risk","High Risk"))</f>
        <v>High Risk</v>
      </c>
      <c r="S250" s="12" t="str">
        <f>IF(Patient_Data[[#This Row],[Age]]&lt;=18,"Pediatric",IF(Patient_Data[[#This Row],[Age]]&lt;=64,"Adult","Geriatric"))</f>
        <v>Geriatric</v>
      </c>
    </row>
    <row r="251" spans="1:19" ht="15.75" customHeight="1" x14ac:dyDescent="0.3">
      <c r="A251" s="4" t="s">
        <v>566</v>
      </c>
      <c r="B251" s="5" t="str">
        <f>TEXT(Patient_Data!$E251,"mmmm")</f>
        <v>May</v>
      </c>
      <c r="C251" s="6" t="str">
        <f t="shared" si="0"/>
        <v>May</v>
      </c>
      <c r="D251" s="6">
        <f>MONTH(Patient_Data!$E251)</f>
        <v>5</v>
      </c>
      <c r="E251" s="7">
        <v>45440</v>
      </c>
      <c r="F251" s="55" t="str">
        <f>TEXT(Patient_Data[[#This Row],[Admission_Date]],"YYYY")</f>
        <v>2024</v>
      </c>
      <c r="G251" s="8" t="s">
        <v>567</v>
      </c>
      <c r="H251" s="8" t="s">
        <v>42</v>
      </c>
      <c r="I251" s="4" t="s">
        <v>29</v>
      </c>
      <c r="J251" s="4">
        <v>76</v>
      </c>
      <c r="K251" s="4" t="s">
        <v>54</v>
      </c>
      <c r="L251" s="8">
        <v>5</v>
      </c>
      <c r="M251" s="9" t="s">
        <v>46</v>
      </c>
      <c r="N251" s="9" t="str">
        <f t="shared" si="1"/>
        <v>Ortho</v>
      </c>
      <c r="O251" s="10">
        <v>11066.83</v>
      </c>
      <c r="P251" s="10">
        <v>8488.39</v>
      </c>
      <c r="Q251" s="11">
        <v>9.6999999999999993</v>
      </c>
      <c r="R251" s="13" t="str">
        <f>IF(Patient_Data!$L251&lt;2,"Low Risk",IF(Patient_Data!$L251&lt;4,"Moderate Risk","High Risk"))</f>
        <v>High Risk</v>
      </c>
      <c r="S251" s="12" t="str">
        <f>IF(Patient_Data[[#This Row],[Age]]&lt;=18,"Pediatric",IF(Patient_Data[[#This Row],[Age]]&lt;=64,"Adult","Geriatric"))</f>
        <v>Geriatric</v>
      </c>
    </row>
    <row r="252" spans="1:19" ht="15.75" customHeight="1" x14ac:dyDescent="0.3">
      <c r="A252" s="4" t="s">
        <v>568</v>
      </c>
      <c r="B252" s="5" t="str">
        <f>TEXT(Patient_Data!$E252,"mmmm")</f>
        <v>April</v>
      </c>
      <c r="C252" s="6" t="str">
        <f t="shared" si="0"/>
        <v>Apr</v>
      </c>
      <c r="D252" s="6">
        <f>MONTH(Patient_Data!$E252)</f>
        <v>4</v>
      </c>
      <c r="E252" s="7">
        <v>46118</v>
      </c>
      <c r="F252" s="55" t="str">
        <f>TEXT(Patient_Data[[#This Row],[Admission_Date]],"YYYY")</f>
        <v>2026</v>
      </c>
      <c r="G252" s="8" t="s">
        <v>569</v>
      </c>
      <c r="H252" s="8" t="s">
        <v>49</v>
      </c>
      <c r="I252" s="4" t="s">
        <v>35</v>
      </c>
      <c r="J252" s="4">
        <v>75</v>
      </c>
      <c r="K252" s="4" t="s">
        <v>30</v>
      </c>
      <c r="L252" s="8">
        <v>1</v>
      </c>
      <c r="M252" s="9" t="s">
        <v>31</v>
      </c>
      <c r="N252" s="9" t="str">
        <f t="shared" si="1"/>
        <v>Neuro</v>
      </c>
      <c r="O252" s="10">
        <v>7740.06</v>
      </c>
      <c r="P252" s="10">
        <v>4558.03</v>
      </c>
      <c r="Q252" s="11">
        <v>8.6</v>
      </c>
      <c r="R252" s="13" t="str">
        <f>IF(Patient_Data!$L252&lt;2,"Low Risk",IF(Patient_Data!$L252&lt;4,"Moderate Risk","High Risk"))</f>
        <v>Low Risk</v>
      </c>
      <c r="S252" s="12" t="str">
        <f>IF(Patient_Data[[#This Row],[Age]]&lt;=18,"Pediatric",IF(Patient_Data[[#This Row],[Age]]&lt;=64,"Adult","Geriatric"))</f>
        <v>Geriatric</v>
      </c>
    </row>
    <row r="253" spans="1:19" ht="15.75" customHeight="1" x14ac:dyDescent="0.3">
      <c r="A253" s="4" t="s">
        <v>570</v>
      </c>
      <c r="B253" s="5" t="str">
        <f>TEXT(Patient_Data!$E253,"mmmm")</f>
        <v>February</v>
      </c>
      <c r="C253" s="6" t="str">
        <f t="shared" si="0"/>
        <v>Feb</v>
      </c>
      <c r="D253" s="6">
        <f>MONTH(Patient_Data!$E253)</f>
        <v>2</v>
      </c>
      <c r="E253" s="7">
        <v>46073</v>
      </c>
      <c r="F253" s="55" t="str">
        <f>TEXT(Patient_Data[[#This Row],[Admission_Date]],"YYYY")</f>
        <v>2026</v>
      </c>
      <c r="G253" s="8" t="s">
        <v>571</v>
      </c>
      <c r="H253" s="8" t="s">
        <v>34</v>
      </c>
      <c r="I253" s="4" t="s">
        <v>35</v>
      </c>
      <c r="J253" s="4">
        <v>82</v>
      </c>
      <c r="K253" s="4" t="s">
        <v>45</v>
      </c>
      <c r="L253" s="8">
        <v>3</v>
      </c>
      <c r="M253" s="9" t="s">
        <v>36</v>
      </c>
      <c r="N253" s="9" t="str">
        <f t="shared" si="1"/>
        <v>Cardio</v>
      </c>
      <c r="O253" s="10">
        <v>9479.68</v>
      </c>
      <c r="P253" s="10">
        <v>5851.4</v>
      </c>
      <c r="Q253" s="11">
        <v>8.6</v>
      </c>
      <c r="R253" s="13" t="str">
        <f>IF(Patient_Data!$L253&lt;2,"Low Risk",IF(Patient_Data!$L253&lt;4,"Moderate Risk","High Risk"))</f>
        <v>Moderate Risk</v>
      </c>
      <c r="S253" s="12" t="str">
        <f>IF(Patient_Data[[#This Row],[Age]]&lt;=18,"Pediatric",IF(Patient_Data[[#This Row],[Age]]&lt;=64,"Adult","Geriatric"))</f>
        <v>Geriatric</v>
      </c>
    </row>
    <row r="254" spans="1:19" ht="15.75" customHeight="1" x14ac:dyDescent="0.3">
      <c r="A254" s="4" t="s">
        <v>572</v>
      </c>
      <c r="B254" s="5" t="str">
        <f>TEXT(Patient_Data!$E254,"mmmm")</f>
        <v>February</v>
      </c>
      <c r="C254" s="6" t="str">
        <f t="shared" si="0"/>
        <v>Feb</v>
      </c>
      <c r="D254" s="6">
        <f>MONTH(Patient_Data!$E254)</f>
        <v>2</v>
      </c>
      <c r="E254" s="7">
        <v>46080</v>
      </c>
      <c r="F254" s="55" t="str">
        <f>TEXT(Patient_Data[[#This Row],[Admission_Date]],"YYYY")</f>
        <v>2026</v>
      </c>
      <c r="G254" s="8" t="s">
        <v>573</v>
      </c>
      <c r="H254" s="8" t="s">
        <v>98</v>
      </c>
      <c r="I254" s="4" t="s">
        <v>35</v>
      </c>
      <c r="J254" s="4">
        <v>66</v>
      </c>
      <c r="K254" s="4" t="s">
        <v>54</v>
      </c>
      <c r="L254" s="8">
        <v>3</v>
      </c>
      <c r="M254" s="9" t="s">
        <v>36</v>
      </c>
      <c r="N254" s="9" t="str">
        <f t="shared" si="1"/>
        <v>Cardio</v>
      </c>
      <c r="O254" s="10">
        <v>9320.1</v>
      </c>
      <c r="P254" s="10">
        <v>6058.46</v>
      </c>
      <c r="Q254" s="11">
        <v>11.7</v>
      </c>
      <c r="R254" s="13" t="str">
        <f>IF(Patient_Data!$L254&lt;2,"Low Risk",IF(Patient_Data!$L254&lt;4,"Moderate Risk","High Risk"))</f>
        <v>Moderate Risk</v>
      </c>
      <c r="S254" s="12" t="str">
        <f>IF(Patient_Data[[#This Row],[Age]]&lt;=18,"Pediatric",IF(Patient_Data[[#This Row],[Age]]&lt;=64,"Adult","Geriatric"))</f>
        <v>Geriatric</v>
      </c>
    </row>
    <row r="255" spans="1:19" ht="15.75" customHeight="1" x14ac:dyDescent="0.3">
      <c r="A255" s="4" t="s">
        <v>574</v>
      </c>
      <c r="B255" s="5" t="str">
        <f>TEXT(Patient_Data!$E255,"mmmm")</f>
        <v>July</v>
      </c>
      <c r="C255" s="6" t="str">
        <f t="shared" si="0"/>
        <v>Jul</v>
      </c>
      <c r="D255" s="6">
        <f>MONTH(Patient_Data!$E255)</f>
        <v>7</v>
      </c>
      <c r="E255" s="7">
        <v>45492</v>
      </c>
      <c r="F255" s="55" t="str">
        <f>TEXT(Patient_Data[[#This Row],[Admission_Date]],"YYYY")</f>
        <v>2024</v>
      </c>
      <c r="G255" s="8" t="s">
        <v>575</v>
      </c>
      <c r="H255" s="8" t="s">
        <v>28</v>
      </c>
      <c r="I255" s="4" t="s">
        <v>29</v>
      </c>
      <c r="J255" s="4">
        <v>17</v>
      </c>
      <c r="K255" s="4" t="s">
        <v>45</v>
      </c>
      <c r="L255" s="8">
        <v>3</v>
      </c>
      <c r="M255" s="9" t="s">
        <v>79</v>
      </c>
      <c r="N255" s="9" t="str">
        <f t="shared" si="1"/>
        <v>PD</v>
      </c>
      <c r="O255" s="10">
        <v>1776.79</v>
      </c>
      <c r="P255" s="10">
        <v>1205.6500000000001</v>
      </c>
      <c r="Q255" s="11">
        <v>1.9</v>
      </c>
      <c r="R255" s="13" t="str">
        <f>IF(Patient_Data!$L255&lt;2,"Low Risk",IF(Patient_Data!$L255&lt;4,"Moderate Risk","High Risk"))</f>
        <v>Moderate Risk</v>
      </c>
      <c r="S255" s="12" t="str">
        <f>IF(Patient_Data[[#This Row],[Age]]&lt;=18,"Pediatric",IF(Patient_Data[[#This Row],[Age]]&lt;=64,"Adult","Geriatric"))</f>
        <v>Pediatric</v>
      </c>
    </row>
    <row r="256" spans="1:19" ht="15.75" customHeight="1" x14ac:dyDescent="0.3">
      <c r="A256" s="4" t="s">
        <v>576</v>
      </c>
      <c r="B256" s="5" t="str">
        <f>TEXT(Patient_Data!$E256,"mmmm")</f>
        <v>April</v>
      </c>
      <c r="C256" s="6" t="str">
        <f t="shared" si="0"/>
        <v>Apr</v>
      </c>
      <c r="D256" s="6">
        <f>MONTH(Patient_Data!$E256)</f>
        <v>4</v>
      </c>
      <c r="E256" s="7">
        <v>46139</v>
      </c>
      <c r="F256" s="55" t="str">
        <f>TEXT(Patient_Data[[#This Row],[Admission_Date]],"YYYY")</f>
        <v>2026</v>
      </c>
      <c r="G256" s="8" t="s">
        <v>577</v>
      </c>
      <c r="H256" s="8" t="s">
        <v>132</v>
      </c>
      <c r="I256" s="4" t="s">
        <v>29</v>
      </c>
      <c r="J256" s="4">
        <v>54</v>
      </c>
      <c r="K256" s="4" t="s">
        <v>54</v>
      </c>
      <c r="L256" s="8">
        <v>2</v>
      </c>
      <c r="M256" s="9" t="s">
        <v>31</v>
      </c>
      <c r="N256" s="9" t="str">
        <f t="shared" si="1"/>
        <v>Neuro</v>
      </c>
      <c r="O256" s="10">
        <v>6680.04</v>
      </c>
      <c r="P256" s="10">
        <v>4707.2299999999996</v>
      </c>
      <c r="Q256" s="11">
        <v>3.9</v>
      </c>
      <c r="R256" s="13" t="str">
        <f>IF(Patient_Data!$L256&lt;2,"Low Risk",IF(Patient_Data!$L256&lt;4,"Moderate Risk","High Risk"))</f>
        <v>Moderate Risk</v>
      </c>
      <c r="S256" s="12" t="str">
        <f>IF(Patient_Data[[#This Row],[Age]]&lt;=18,"Pediatric",IF(Patient_Data[[#This Row],[Age]]&lt;=64,"Adult","Geriatric"))</f>
        <v>Adult</v>
      </c>
    </row>
    <row r="257" spans="1:19" ht="15.75" customHeight="1" x14ac:dyDescent="0.3">
      <c r="A257" s="4" t="s">
        <v>578</v>
      </c>
      <c r="B257" s="5" t="str">
        <f>TEXT(Patient_Data!$E257,"mmmm")</f>
        <v>January</v>
      </c>
      <c r="C257" s="6" t="str">
        <f t="shared" ref="C257:C511" si="2">LEFT(B257,3)</f>
        <v>Jan</v>
      </c>
      <c r="D257" s="6">
        <f>MONTH(Patient_Data!$E257)</f>
        <v>1</v>
      </c>
      <c r="E257" s="7">
        <v>45673</v>
      </c>
      <c r="F257" s="55" t="str">
        <f>TEXT(Patient_Data[[#This Row],[Admission_Date]],"YYYY")</f>
        <v>2025</v>
      </c>
      <c r="G257" s="8" t="s">
        <v>579</v>
      </c>
      <c r="H257" s="8" t="s">
        <v>132</v>
      </c>
      <c r="I257" s="4" t="s">
        <v>29</v>
      </c>
      <c r="J257" s="4">
        <v>64</v>
      </c>
      <c r="K257" s="4" t="s">
        <v>30</v>
      </c>
      <c r="L257" s="8">
        <v>2</v>
      </c>
      <c r="M257" s="9" t="s">
        <v>46</v>
      </c>
      <c r="N257" s="9" t="str">
        <f t="shared" ref="N257:N511" si="3">IF(M257="Cardiology","Cardio",IF(M257="Intensive Care Unit","ICU",IF(M257="Neurology","Neuro",IF(M257="Emergency Room","ER",IF(M257="Pediatrics","PD",IF(M257="Surgery","Surgery",IF(M257="General Medicine","GM",IF(M257="Orthopedics","Ortho",""))))))))</f>
        <v>Ortho</v>
      </c>
      <c r="O257" s="10">
        <v>9062.7000000000007</v>
      </c>
      <c r="P257" s="10">
        <v>6710.97</v>
      </c>
      <c r="Q257" s="11">
        <v>11.9</v>
      </c>
      <c r="R257" s="13" t="str">
        <f>IF(Patient_Data!$L257&lt;2,"Low Risk",IF(Patient_Data!$L257&lt;4,"Moderate Risk","High Risk"))</f>
        <v>Moderate Risk</v>
      </c>
      <c r="S257" s="12" t="str">
        <f>IF(Patient_Data[[#This Row],[Age]]&lt;=18,"Pediatric",IF(Patient_Data[[#This Row],[Age]]&lt;=64,"Adult","Geriatric"))</f>
        <v>Adult</v>
      </c>
    </row>
    <row r="258" spans="1:19" ht="15.75" customHeight="1" x14ac:dyDescent="0.3">
      <c r="A258" s="4" t="s">
        <v>580</v>
      </c>
      <c r="B258" s="5" t="str">
        <f>TEXT(Patient_Data!$E258,"mmmm")</f>
        <v>March</v>
      </c>
      <c r="C258" s="6" t="str">
        <f t="shared" si="2"/>
        <v>Mar</v>
      </c>
      <c r="D258" s="6">
        <f>MONTH(Patient_Data!$E258)</f>
        <v>3</v>
      </c>
      <c r="E258" s="7">
        <v>45734</v>
      </c>
      <c r="F258" s="55" t="str">
        <f>TEXT(Patient_Data[[#This Row],[Admission_Date]],"YYYY")</f>
        <v>2025</v>
      </c>
      <c r="G258" s="8" t="s">
        <v>581</v>
      </c>
      <c r="H258" s="8" t="s">
        <v>98</v>
      </c>
      <c r="I258" s="4" t="s">
        <v>35</v>
      </c>
      <c r="J258" s="4">
        <v>40</v>
      </c>
      <c r="K258" s="4" t="s">
        <v>30</v>
      </c>
      <c r="L258" s="8">
        <v>1</v>
      </c>
      <c r="M258" s="9" t="s">
        <v>83</v>
      </c>
      <c r="N258" s="9" t="str">
        <f t="shared" si="3"/>
        <v>ER</v>
      </c>
      <c r="O258" s="10">
        <v>2524.4899999999998</v>
      </c>
      <c r="P258" s="10">
        <v>2091.41</v>
      </c>
      <c r="Q258" s="11">
        <v>21.6</v>
      </c>
      <c r="R258" s="13" t="str">
        <f>IF(Patient_Data!$L258&lt;2,"Low Risk",IF(Patient_Data!$L258&lt;4,"Moderate Risk","High Risk"))</f>
        <v>Low Risk</v>
      </c>
      <c r="S258" s="12" t="str">
        <f>IF(Patient_Data[[#This Row],[Age]]&lt;=18,"Pediatric",IF(Patient_Data[[#This Row],[Age]]&lt;=64,"Adult","Geriatric"))</f>
        <v>Adult</v>
      </c>
    </row>
    <row r="259" spans="1:19" ht="15.75" customHeight="1" x14ac:dyDescent="0.3">
      <c r="A259" s="4" t="s">
        <v>582</v>
      </c>
      <c r="B259" s="5" t="str">
        <f>TEXT(Patient_Data!$E259,"mmmm")</f>
        <v>March</v>
      </c>
      <c r="C259" s="6" t="str">
        <f t="shared" si="2"/>
        <v>Mar</v>
      </c>
      <c r="D259" s="6">
        <f>MONTH(Patient_Data!$E259)</f>
        <v>3</v>
      </c>
      <c r="E259" s="7">
        <v>45729</v>
      </c>
      <c r="F259" s="55" t="str">
        <f>TEXT(Patient_Data[[#This Row],[Admission_Date]],"YYYY")</f>
        <v>2025</v>
      </c>
      <c r="G259" s="8" t="s">
        <v>583</v>
      </c>
      <c r="H259" s="8" t="s">
        <v>28</v>
      </c>
      <c r="I259" s="4" t="s">
        <v>29</v>
      </c>
      <c r="J259" s="4">
        <v>57</v>
      </c>
      <c r="K259" s="4" t="s">
        <v>45</v>
      </c>
      <c r="L259" s="8">
        <v>4</v>
      </c>
      <c r="M259" s="9" t="s">
        <v>50</v>
      </c>
      <c r="N259" s="9" t="str">
        <f t="shared" si="3"/>
        <v>ICU</v>
      </c>
      <c r="O259" s="10">
        <v>10685.73</v>
      </c>
      <c r="P259" s="10">
        <v>6330.52</v>
      </c>
      <c r="Q259" s="11">
        <v>16.600000000000001</v>
      </c>
      <c r="R259" s="13" t="str">
        <f>IF(Patient_Data!$L259&lt;2,"Low Risk",IF(Patient_Data!$L259&lt;4,"Moderate Risk","High Risk"))</f>
        <v>High Risk</v>
      </c>
      <c r="S259" s="12" t="str">
        <f>IF(Patient_Data[[#This Row],[Age]]&lt;=18,"Pediatric",IF(Patient_Data[[#This Row],[Age]]&lt;=64,"Adult","Geriatric"))</f>
        <v>Adult</v>
      </c>
    </row>
    <row r="260" spans="1:19" ht="15.75" customHeight="1" x14ac:dyDescent="0.3">
      <c r="A260" s="4" t="s">
        <v>584</v>
      </c>
      <c r="B260" s="5" t="str">
        <f>TEXT(Patient_Data!$E260,"mmmm")</f>
        <v>February</v>
      </c>
      <c r="C260" s="6" t="str">
        <f t="shared" si="2"/>
        <v>Feb</v>
      </c>
      <c r="D260" s="6">
        <f>MONTH(Patient_Data!$E260)</f>
        <v>2</v>
      </c>
      <c r="E260" s="7">
        <v>46067</v>
      </c>
      <c r="F260" s="55" t="str">
        <f>TEXT(Patient_Data[[#This Row],[Admission_Date]],"YYYY")</f>
        <v>2026</v>
      </c>
      <c r="G260" s="8" t="s">
        <v>585</v>
      </c>
      <c r="H260" s="8" t="s">
        <v>82</v>
      </c>
      <c r="I260" s="4" t="s">
        <v>29</v>
      </c>
      <c r="J260" s="4">
        <v>1</v>
      </c>
      <c r="K260" s="4" t="s">
        <v>30</v>
      </c>
      <c r="L260" s="8">
        <v>2</v>
      </c>
      <c r="M260" s="9" t="s">
        <v>79</v>
      </c>
      <c r="N260" s="9" t="str">
        <f t="shared" si="3"/>
        <v>PD</v>
      </c>
      <c r="O260" s="10">
        <v>2051.14</v>
      </c>
      <c r="P260" s="10">
        <v>1255.2</v>
      </c>
      <c r="Q260" s="11">
        <v>0.5</v>
      </c>
      <c r="R260" s="13" t="str">
        <f>IF(Patient_Data!$L260&lt;2,"Low Risk",IF(Patient_Data!$L260&lt;4,"Moderate Risk","High Risk"))</f>
        <v>Moderate Risk</v>
      </c>
      <c r="S260" s="12" t="str">
        <f>IF(Patient_Data[[#This Row],[Age]]&lt;=18,"Pediatric",IF(Patient_Data[[#This Row],[Age]]&lt;=64,"Adult","Geriatric"))</f>
        <v>Pediatric</v>
      </c>
    </row>
    <row r="261" spans="1:19" ht="15.75" customHeight="1" x14ac:dyDescent="0.3">
      <c r="A261" s="4" t="s">
        <v>586</v>
      </c>
      <c r="B261" s="5" t="str">
        <f>TEXT(Patient_Data!$E261,"mmmm")</f>
        <v>July</v>
      </c>
      <c r="C261" s="6" t="str">
        <f t="shared" si="2"/>
        <v>Jul</v>
      </c>
      <c r="D261" s="6">
        <f>MONTH(Patient_Data!$E261)</f>
        <v>7</v>
      </c>
      <c r="E261" s="7">
        <v>45854</v>
      </c>
      <c r="F261" s="55" t="str">
        <f>TEXT(Patient_Data[[#This Row],[Admission_Date]],"YYYY")</f>
        <v>2025</v>
      </c>
      <c r="G261" s="8" t="s">
        <v>587</v>
      </c>
      <c r="H261" s="8" t="s">
        <v>132</v>
      </c>
      <c r="I261" s="4" t="s">
        <v>29</v>
      </c>
      <c r="J261" s="4">
        <v>3</v>
      </c>
      <c r="K261" s="4" t="s">
        <v>45</v>
      </c>
      <c r="L261" s="8">
        <v>4</v>
      </c>
      <c r="M261" s="9" t="s">
        <v>79</v>
      </c>
      <c r="N261" s="9" t="str">
        <f t="shared" si="3"/>
        <v>PD</v>
      </c>
      <c r="O261" s="10">
        <v>1473.98</v>
      </c>
      <c r="P261" s="10">
        <v>990.55</v>
      </c>
      <c r="Q261" s="11">
        <v>5.9</v>
      </c>
      <c r="R261" s="13" t="str">
        <f>IF(Patient_Data!$L261&lt;2,"Low Risk",IF(Patient_Data!$L261&lt;4,"Moderate Risk","High Risk"))</f>
        <v>High Risk</v>
      </c>
      <c r="S261" s="12" t="str">
        <f>IF(Patient_Data[[#This Row],[Age]]&lt;=18,"Pediatric",IF(Patient_Data[[#This Row],[Age]]&lt;=64,"Adult","Geriatric"))</f>
        <v>Pediatric</v>
      </c>
    </row>
    <row r="262" spans="1:19" ht="15.75" customHeight="1" x14ac:dyDescent="0.3">
      <c r="A262" s="4" t="s">
        <v>588</v>
      </c>
      <c r="B262" s="5" t="str">
        <f>TEXT(Patient_Data!$E262,"mmmm")</f>
        <v>June</v>
      </c>
      <c r="C262" s="6" t="str">
        <f t="shared" si="2"/>
        <v>Jun</v>
      </c>
      <c r="D262" s="6">
        <f>MONTH(Patient_Data!$E262)</f>
        <v>6</v>
      </c>
      <c r="E262" s="7">
        <v>45821</v>
      </c>
      <c r="F262" s="55" t="str">
        <f>TEXT(Patient_Data[[#This Row],[Admission_Date]],"YYYY")</f>
        <v>2025</v>
      </c>
      <c r="G262" s="8" t="s">
        <v>589</v>
      </c>
      <c r="H262" s="14" t="s">
        <v>167</v>
      </c>
      <c r="I262" s="4" t="s">
        <v>35</v>
      </c>
      <c r="J262" s="4">
        <v>28</v>
      </c>
      <c r="K262" s="4" t="s">
        <v>30</v>
      </c>
      <c r="L262" s="8">
        <v>1</v>
      </c>
      <c r="M262" s="9" t="s">
        <v>39</v>
      </c>
      <c r="N262" s="9" t="str">
        <f t="shared" si="3"/>
        <v>GM</v>
      </c>
      <c r="O262" s="10">
        <v>1788.23</v>
      </c>
      <c r="P262" s="10">
        <v>1231.71</v>
      </c>
      <c r="Q262" s="11">
        <v>4.2</v>
      </c>
      <c r="R262" s="13" t="str">
        <f>IF(Patient_Data!$L262&lt;2,"Low Risk",IF(Patient_Data!$L262&lt;4,"Moderate Risk","High Risk"))</f>
        <v>Low Risk</v>
      </c>
      <c r="S262" s="12" t="str">
        <f>IF(Patient_Data[[#This Row],[Age]]&lt;=18,"Pediatric",IF(Patient_Data[[#This Row],[Age]]&lt;=64,"Adult","Geriatric"))</f>
        <v>Adult</v>
      </c>
    </row>
    <row r="263" spans="1:19" ht="15.75" customHeight="1" x14ac:dyDescent="0.3">
      <c r="A263" s="4" t="s">
        <v>590</v>
      </c>
      <c r="B263" s="5" t="str">
        <f>TEXT(Patient_Data!$E263,"mmmm")</f>
        <v>February</v>
      </c>
      <c r="C263" s="6" t="str">
        <f t="shared" si="2"/>
        <v>Feb</v>
      </c>
      <c r="D263" s="6">
        <f>MONTH(Patient_Data!$E263)</f>
        <v>2</v>
      </c>
      <c r="E263" s="7">
        <v>45332</v>
      </c>
      <c r="F263" s="55" t="str">
        <f>TEXT(Patient_Data[[#This Row],[Admission_Date]],"YYYY")</f>
        <v>2024</v>
      </c>
      <c r="G263" s="8" t="s">
        <v>591</v>
      </c>
      <c r="H263" s="14" t="s">
        <v>64</v>
      </c>
      <c r="I263" s="4" t="s">
        <v>29</v>
      </c>
      <c r="J263" s="4">
        <v>57</v>
      </c>
      <c r="K263" s="4" t="s">
        <v>45</v>
      </c>
      <c r="L263" s="8">
        <v>4</v>
      </c>
      <c r="M263" s="9" t="s">
        <v>50</v>
      </c>
      <c r="N263" s="9" t="str">
        <f t="shared" si="3"/>
        <v>ICU</v>
      </c>
      <c r="O263" s="10">
        <v>13148.89</v>
      </c>
      <c r="P263" s="10">
        <v>9270.6200000000008</v>
      </c>
      <c r="Q263" s="11">
        <v>8.3000000000000007</v>
      </c>
      <c r="R263" s="13" t="str">
        <f>IF(Patient_Data!$L263&lt;2,"Low Risk",IF(Patient_Data!$L263&lt;4,"Moderate Risk","High Risk"))</f>
        <v>High Risk</v>
      </c>
      <c r="S263" s="12" t="str">
        <f>IF(Patient_Data[[#This Row],[Age]]&lt;=18,"Pediatric",IF(Patient_Data[[#This Row],[Age]]&lt;=64,"Adult","Geriatric"))</f>
        <v>Adult</v>
      </c>
    </row>
    <row r="264" spans="1:19" ht="15.75" customHeight="1" x14ac:dyDescent="0.3">
      <c r="A264" s="4" t="s">
        <v>592</v>
      </c>
      <c r="B264" s="5" t="str">
        <f>TEXT(Patient_Data!$E264,"mmmm")</f>
        <v>December</v>
      </c>
      <c r="C264" s="6" t="str">
        <f t="shared" si="2"/>
        <v>Dec</v>
      </c>
      <c r="D264" s="6">
        <f>MONTH(Patient_Data!$E264)</f>
        <v>12</v>
      </c>
      <c r="E264" s="7">
        <v>46018</v>
      </c>
      <c r="F264" s="55" t="str">
        <f>TEXT(Patient_Data[[#This Row],[Admission_Date]],"YYYY")</f>
        <v>2025</v>
      </c>
      <c r="G264" s="8" t="s">
        <v>593</v>
      </c>
      <c r="H264" s="14" t="s">
        <v>101</v>
      </c>
      <c r="I264" s="4" t="s">
        <v>29</v>
      </c>
      <c r="J264" s="4">
        <v>70</v>
      </c>
      <c r="K264" s="4" t="s">
        <v>30</v>
      </c>
      <c r="L264" s="8">
        <v>2</v>
      </c>
      <c r="M264" s="9" t="s">
        <v>83</v>
      </c>
      <c r="N264" s="9" t="str">
        <f t="shared" si="3"/>
        <v>ER</v>
      </c>
      <c r="O264" s="10">
        <v>7623.22</v>
      </c>
      <c r="P264" s="10">
        <v>5655.35</v>
      </c>
      <c r="Q264" s="11">
        <v>11.3</v>
      </c>
      <c r="R264" s="13" t="str">
        <f>IF(Patient_Data!$L264&lt;2,"Low Risk",IF(Patient_Data!$L264&lt;4,"Moderate Risk","High Risk"))</f>
        <v>Moderate Risk</v>
      </c>
      <c r="S264" s="12" t="str">
        <f>IF(Patient_Data[[#This Row],[Age]]&lt;=18,"Pediatric",IF(Patient_Data[[#This Row],[Age]]&lt;=64,"Adult","Geriatric"))</f>
        <v>Geriatric</v>
      </c>
    </row>
    <row r="265" spans="1:19" ht="15.75" customHeight="1" x14ac:dyDescent="0.3">
      <c r="A265" s="4" t="s">
        <v>594</v>
      </c>
      <c r="B265" s="5" t="str">
        <f>TEXT(Patient_Data!$E265,"mmmm")</f>
        <v>January</v>
      </c>
      <c r="C265" s="6" t="str">
        <f t="shared" si="2"/>
        <v>Jan</v>
      </c>
      <c r="D265" s="6">
        <f>MONTH(Patient_Data!$E265)</f>
        <v>1</v>
      </c>
      <c r="E265" s="7">
        <v>46027</v>
      </c>
      <c r="F265" s="55" t="str">
        <f>TEXT(Patient_Data[[#This Row],[Admission_Date]],"YYYY")</f>
        <v>2026</v>
      </c>
      <c r="G265" s="8" t="s">
        <v>595</v>
      </c>
      <c r="H265" s="14" t="s">
        <v>140</v>
      </c>
      <c r="I265" s="4" t="s">
        <v>29</v>
      </c>
      <c r="J265" s="4">
        <v>74</v>
      </c>
      <c r="K265" s="4" t="s">
        <v>54</v>
      </c>
      <c r="L265" s="8">
        <v>3</v>
      </c>
      <c r="M265" s="9" t="s">
        <v>46</v>
      </c>
      <c r="N265" s="9" t="str">
        <f t="shared" si="3"/>
        <v>Ortho</v>
      </c>
      <c r="O265" s="10">
        <v>10045.16</v>
      </c>
      <c r="P265" s="10">
        <v>7676.72</v>
      </c>
      <c r="Q265" s="11">
        <v>5.3</v>
      </c>
      <c r="R265" s="13" t="str">
        <f>IF(Patient_Data!$L265&lt;2,"Low Risk",IF(Patient_Data!$L265&lt;4,"Moderate Risk","High Risk"))</f>
        <v>Moderate Risk</v>
      </c>
      <c r="S265" s="12" t="str">
        <f>IF(Patient_Data[[#This Row],[Age]]&lt;=18,"Pediatric",IF(Patient_Data[[#This Row],[Age]]&lt;=64,"Adult","Geriatric"))</f>
        <v>Geriatric</v>
      </c>
    </row>
    <row r="266" spans="1:19" ht="15.75" customHeight="1" x14ac:dyDescent="0.3">
      <c r="A266" s="4" t="s">
        <v>596</v>
      </c>
      <c r="B266" s="5" t="str">
        <f>TEXT(Patient_Data!$E266,"mmmm")</f>
        <v>November</v>
      </c>
      <c r="C266" s="6" t="str">
        <f t="shared" si="2"/>
        <v>Nov</v>
      </c>
      <c r="D266" s="6">
        <f>MONTH(Patient_Data!$E266)</f>
        <v>11</v>
      </c>
      <c r="E266" s="7">
        <v>45964</v>
      </c>
      <c r="F266" s="55" t="str">
        <f>TEXT(Patient_Data[[#This Row],[Admission_Date]],"YYYY")</f>
        <v>2025</v>
      </c>
      <c r="G266" s="8" t="s">
        <v>597</v>
      </c>
      <c r="H266" s="14" t="s">
        <v>34</v>
      </c>
      <c r="I266" s="4" t="s">
        <v>29</v>
      </c>
      <c r="J266" s="4">
        <v>84</v>
      </c>
      <c r="K266" s="4" t="s">
        <v>30</v>
      </c>
      <c r="L266" s="8">
        <v>2</v>
      </c>
      <c r="M266" s="9" t="s">
        <v>36</v>
      </c>
      <c r="N266" s="9" t="str">
        <f t="shared" si="3"/>
        <v>Cardio</v>
      </c>
      <c r="O266" s="10">
        <v>11194.31</v>
      </c>
      <c r="P266" s="10">
        <v>6553.5</v>
      </c>
      <c r="Q266" s="11">
        <v>7.6</v>
      </c>
      <c r="R266" s="13" t="str">
        <f>IF(Patient_Data!$L266&lt;2,"Low Risk",IF(Patient_Data!$L266&lt;4,"Moderate Risk","High Risk"))</f>
        <v>Moderate Risk</v>
      </c>
      <c r="S266" s="12" t="str">
        <f>IF(Patient_Data[[#This Row],[Age]]&lt;=18,"Pediatric",IF(Patient_Data[[#This Row],[Age]]&lt;=64,"Adult","Geriatric"))</f>
        <v>Geriatric</v>
      </c>
    </row>
    <row r="267" spans="1:19" ht="15.75" customHeight="1" x14ac:dyDescent="0.3">
      <c r="A267" s="4" t="s">
        <v>598</v>
      </c>
      <c r="B267" s="5" t="str">
        <f>TEXT(Patient_Data!$E267,"mmmm")</f>
        <v>October</v>
      </c>
      <c r="C267" s="6" t="str">
        <f t="shared" si="2"/>
        <v>Oct</v>
      </c>
      <c r="D267" s="6">
        <f>MONTH(Patient_Data!$E267)</f>
        <v>10</v>
      </c>
      <c r="E267" s="7">
        <v>45946</v>
      </c>
      <c r="F267" s="55" t="str">
        <f>TEXT(Patient_Data[[#This Row],[Admission_Date]],"YYYY")</f>
        <v>2025</v>
      </c>
      <c r="G267" s="8" t="s">
        <v>599</v>
      </c>
      <c r="H267" s="14" t="s">
        <v>137</v>
      </c>
      <c r="I267" s="4" t="s">
        <v>29</v>
      </c>
      <c r="J267" s="4">
        <v>42</v>
      </c>
      <c r="K267" s="4" t="s">
        <v>30</v>
      </c>
      <c r="L267" s="8">
        <v>1</v>
      </c>
      <c r="M267" s="9" t="s">
        <v>31</v>
      </c>
      <c r="N267" s="9" t="str">
        <f t="shared" si="3"/>
        <v>Neuro</v>
      </c>
      <c r="O267" s="10">
        <v>5206.92</v>
      </c>
      <c r="P267" s="10">
        <v>3211.42</v>
      </c>
      <c r="Q267" s="11">
        <v>4.4000000000000004</v>
      </c>
      <c r="R267" s="13" t="str">
        <f>IF(Patient_Data!$L267&lt;2,"Low Risk",IF(Patient_Data!$L267&lt;4,"Moderate Risk","High Risk"))</f>
        <v>Low Risk</v>
      </c>
      <c r="S267" s="12" t="str">
        <f>IF(Patient_Data[[#This Row],[Age]]&lt;=18,"Pediatric",IF(Patient_Data[[#This Row],[Age]]&lt;=64,"Adult","Geriatric"))</f>
        <v>Adult</v>
      </c>
    </row>
    <row r="268" spans="1:19" ht="15.75" customHeight="1" x14ac:dyDescent="0.3">
      <c r="A268" s="4" t="s">
        <v>600</v>
      </c>
      <c r="B268" s="5" t="str">
        <f>TEXT(Patient_Data!$E268,"mmmm")</f>
        <v>May</v>
      </c>
      <c r="C268" s="6" t="str">
        <f t="shared" si="2"/>
        <v>May</v>
      </c>
      <c r="D268" s="6">
        <f>MONTH(Patient_Data!$E268)</f>
        <v>5</v>
      </c>
      <c r="E268" s="7">
        <v>46143</v>
      </c>
      <c r="F268" s="55" t="str">
        <f>TEXT(Patient_Data[[#This Row],[Admission_Date]],"YYYY")</f>
        <v>2026</v>
      </c>
      <c r="G268" s="8" t="s">
        <v>601</v>
      </c>
      <c r="H268" s="14" t="s">
        <v>602</v>
      </c>
      <c r="I268" s="4" t="s">
        <v>29</v>
      </c>
      <c r="J268" s="4">
        <v>69</v>
      </c>
      <c r="K268" s="4" t="s">
        <v>45</v>
      </c>
      <c r="L268" s="8">
        <v>4</v>
      </c>
      <c r="M268" s="9" t="s">
        <v>72</v>
      </c>
      <c r="N268" s="9" t="str">
        <f t="shared" si="3"/>
        <v>Surgery</v>
      </c>
      <c r="O268" s="10">
        <v>14055.05</v>
      </c>
      <c r="P268" s="10">
        <v>9017.6299999999992</v>
      </c>
      <c r="Q268" s="11">
        <v>2.8</v>
      </c>
      <c r="R268" s="13" t="str">
        <f>IF(Patient_Data!$L268&lt;2,"Low Risk",IF(Patient_Data!$L268&lt;4,"Moderate Risk","High Risk"))</f>
        <v>High Risk</v>
      </c>
      <c r="S268" s="12" t="str">
        <f>IF(Patient_Data[[#This Row],[Age]]&lt;=18,"Pediatric",IF(Patient_Data[[#This Row],[Age]]&lt;=64,"Adult","Geriatric"))</f>
        <v>Geriatric</v>
      </c>
    </row>
    <row r="269" spans="1:19" ht="15.75" customHeight="1" x14ac:dyDescent="0.3">
      <c r="A269" s="4" t="s">
        <v>603</v>
      </c>
      <c r="B269" s="5" t="str">
        <f>TEXT(Patient_Data!$E269,"mmmm")</f>
        <v>May</v>
      </c>
      <c r="C269" s="6" t="str">
        <f t="shared" si="2"/>
        <v>May</v>
      </c>
      <c r="D269" s="6">
        <f>MONTH(Patient_Data!$E269)</f>
        <v>5</v>
      </c>
      <c r="E269" s="7">
        <v>45778</v>
      </c>
      <c r="F269" s="55" t="str">
        <f>TEXT(Patient_Data[[#This Row],[Admission_Date]],"YYYY")</f>
        <v>2025</v>
      </c>
      <c r="G269" s="8" t="s">
        <v>604</v>
      </c>
      <c r="H269" s="14" t="s">
        <v>236</v>
      </c>
      <c r="I269" s="4" t="s">
        <v>35</v>
      </c>
      <c r="J269" s="4">
        <v>64</v>
      </c>
      <c r="K269" s="4" t="s">
        <v>45</v>
      </c>
      <c r="L269" s="8">
        <v>3</v>
      </c>
      <c r="M269" s="9" t="s">
        <v>72</v>
      </c>
      <c r="N269" s="9" t="str">
        <f t="shared" si="3"/>
        <v>Surgery</v>
      </c>
      <c r="O269" s="10">
        <v>12004.47</v>
      </c>
      <c r="P269" s="10">
        <v>8126.19</v>
      </c>
      <c r="Q269" s="11">
        <v>10.4</v>
      </c>
      <c r="R269" s="13" t="str">
        <f>IF(Patient_Data!$L269&lt;2,"Low Risk",IF(Patient_Data!$L269&lt;4,"Moderate Risk","High Risk"))</f>
        <v>Moderate Risk</v>
      </c>
      <c r="S269" s="12" t="str">
        <f>IF(Patient_Data[[#This Row],[Age]]&lt;=18,"Pediatric",IF(Patient_Data[[#This Row],[Age]]&lt;=64,"Adult","Geriatric"))</f>
        <v>Adult</v>
      </c>
    </row>
    <row r="270" spans="1:19" ht="15.75" customHeight="1" x14ac:dyDescent="0.3">
      <c r="A270" s="4" t="s">
        <v>605</v>
      </c>
      <c r="B270" s="5" t="str">
        <f>TEXT(Patient_Data!$E270,"mmmm")</f>
        <v>November</v>
      </c>
      <c r="C270" s="6" t="str">
        <f t="shared" si="2"/>
        <v>Nov</v>
      </c>
      <c r="D270" s="6">
        <f>MONTH(Patient_Data!$E270)</f>
        <v>11</v>
      </c>
      <c r="E270" s="7">
        <v>45965</v>
      </c>
      <c r="F270" s="55" t="str">
        <f>TEXT(Patient_Data[[#This Row],[Admission_Date]],"YYYY")</f>
        <v>2025</v>
      </c>
      <c r="G270" s="8" t="s">
        <v>606</v>
      </c>
      <c r="H270" s="14" t="s">
        <v>49</v>
      </c>
      <c r="I270" s="4" t="s">
        <v>35</v>
      </c>
      <c r="J270" s="4">
        <v>58</v>
      </c>
      <c r="K270" s="4" t="s">
        <v>30</v>
      </c>
      <c r="L270" s="8">
        <v>2</v>
      </c>
      <c r="M270" s="9" t="s">
        <v>83</v>
      </c>
      <c r="N270" s="9" t="str">
        <f t="shared" si="3"/>
        <v>ER</v>
      </c>
      <c r="O270" s="10">
        <v>4415.78</v>
      </c>
      <c r="P270" s="10">
        <v>3216.65</v>
      </c>
      <c r="Q270" s="11">
        <v>15.7</v>
      </c>
      <c r="R270" s="13" t="str">
        <f>IF(Patient_Data!$L270&lt;2,"Low Risk",IF(Patient_Data!$L270&lt;4,"Moderate Risk","High Risk"))</f>
        <v>Moderate Risk</v>
      </c>
      <c r="S270" s="12" t="str">
        <f>IF(Patient_Data[[#This Row],[Age]]&lt;=18,"Pediatric",IF(Patient_Data[[#This Row],[Age]]&lt;=64,"Adult","Geriatric"))</f>
        <v>Adult</v>
      </c>
    </row>
    <row r="271" spans="1:19" ht="15.75" customHeight="1" x14ac:dyDescent="0.3">
      <c r="A271" s="4" t="s">
        <v>607</v>
      </c>
      <c r="B271" s="5" t="str">
        <f>TEXT(Patient_Data!$E271,"mmmm")</f>
        <v>November</v>
      </c>
      <c r="C271" s="6" t="str">
        <f t="shared" si="2"/>
        <v>Nov</v>
      </c>
      <c r="D271" s="6">
        <f>MONTH(Patient_Data!$E271)</f>
        <v>11</v>
      </c>
      <c r="E271" s="7">
        <v>45618</v>
      </c>
      <c r="F271" s="55" t="str">
        <f>TEXT(Patient_Data[[#This Row],[Admission_Date]],"YYYY")</f>
        <v>2024</v>
      </c>
      <c r="G271" s="8" t="s">
        <v>608</v>
      </c>
      <c r="H271" s="14" t="s">
        <v>187</v>
      </c>
      <c r="I271" s="4" t="s">
        <v>35</v>
      </c>
      <c r="J271" s="4">
        <v>78</v>
      </c>
      <c r="K271" s="4" t="s">
        <v>30</v>
      </c>
      <c r="L271" s="8">
        <v>4</v>
      </c>
      <c r="M271" s="9" t="s">
        <v>50</v>
      </c>
      <c r="N271" s="9" t="str">
        <f t="shared" si="3"/>
        <v>ICU</v>
      </c>
      <c r="O271" s="10">
        <v>18574.490000000002</v>
      </c>
      <c r="P271" s="10">
        <v>13684.98</v>
      </c>
      <c r="Q271" s="11">
        <v>15.7</v>
      </c>
      <c r="R271" s="13" t="str">
        <f>IF(Patient_Data!$L271&lt;2,"Low Risk",IF(Patient_Data!$L271&lt;4,"Moderate Risk","High Risk"))</f>
        <v>High Risk</v>
      </c>
      <c r="S271" s="12" t="str">
        <f>IF(Patient_Data[[#This Row],[Age]]&lt;=18,"Pediatric",IF(Patient_Data[[#This Row],[Age]]&lt;=64,"Adult","Geriatric"))</f>
        <v>Geriatric</v>
      </c>
    </row>
    <row r="272" spans="1:19" ht="15.75" customHeight="1" x14ac:dyDescent="0.3">
      <c r="A272" s="4" t="s">
        <v>609</v>
      </c>
      <c r="B272" s="5" t="str">
        <f>TEXT(Patient_Data!$E272,"mmmm")</f>
        <v>February</v>
      </c>
      <c r="C272" s="6" t="str">
        <f t="shared" si="2"/>
        <v>Feb</v>
      </c>
      <c r="D272" s="6">
        <f>MONTH(Patient_Data!$E272)</f>
        <v>2</v>
      </c>
      <c r="E272" s="7">
        <v>46059</v>
      </c>
      <c r="F272" s="55" t="str">
        <f>TEXT(Patient_Data[[#This Row],[Admission_Date]],"YYYY")</f>
        <v>2026</v>
      </c>
      <c r="G272" s="8" t="s">
        <v>610</v>
      </c>
      <c r="H272" s="14" t="s">
        <v>57</v>
      </c>
      <c r="I272" s="4" t="s">
        <v>35</v>
      </c>
      <c r="J272" s="4">
        <v>15</v>
      </c>
      <c r="K272" s="4" t="s">
        <v>30</v>
      </c>
      <c r="L272" s="8">
        <v>1</v>
      </c>
      <c r="M272" s="9" t="s">
        <v>79</v>
      </c>
      <c r="N272" s="9" t="str">
        <f t="shared" si="3"/>
        <v>PD</v>
      </c>
      <c r="O272" s="10">
        <v>1650.77</v>
      </c>
      <c r="P272" s="10">
        <v>1293.79</v>
      </c>
      <c r="Q272" s="11">
        <v>4.9000000000000004</v>
      </c>
      <c r="R272" s="13" t="str">
        <f>IF(Patient_Data!$L272&lt;2,"Low Risk",IF(Patient_Data!$L272&lt;4,"Moderate Risk","High Risk"))</f>
        <v>Low Risk</v>
      </c>
      <c r="S272" s="12" t="str">
        <f>IF(Patient_Data[[#This Row],[Age]]&lt;=18,"Pediatric",IF(Patient_Data[[#This Row],[Age]]&lt;=64,"Adult","Geriatric"))</f>
        <v>Pediatric</v>
      </c>
    </row>
    <row r="273" spans="1:19" ht="15.75" customHeight="1" x14ac:dyDescent="0.3">
      <c r="A273" s="4" t="s">
        <v>611</v>
      </c>
      <c r="B273" s="5" t="str">
        <f>TEXT(Patient_Data!$E273,"mmmm")</f>
        <v>May</v>
      </c>
      <c r="C273" s="6" t="str">
        <f t="shared" si="2"/>
        <v>May</v>
      </c>
      <c r="D273" s="6">
        <f>MONTH(Patient_Data!$E273)</f>
        <v>5</v>
      </c>
      <c r="E273" s="7">
        <v>46161</v>
      </c>
      <c r="F273" s="55" t="str">
        <f>TEXT(Patient_Data[[#This Row],[Admission_Date]],"YYYY")</f>
        <v>2026</v>
      </c>
      <c r="G273" s="8" t="s">
        <v>612</v>
      </c>
      <c r="H273" s="14" t="s">
        <v>82</v>
      </c>
      <c r="I273" s="4" t="s">
        <v>29</v>
      </c>
      <c r="J273" s="4">
        <v>85</v>
      </c>
      <c r="K273" s="4" t="s">
        <v>30</v>
      </c>
      <c r="L273" s="8">
        <v>3</v>
      </c>
      <c r="M273" s="9" t="s">
        <v>31</v>
      </c>
      <c r="N273" s="9" t="str">
        <f t="shared" si="3"/>
        <v>Neuro</v>
      </c>
      <c r="O273" s="10">
        <v>13542.93</v>
      </c>
      <c r="P273" s="10">
        <v>7928.5</v>
      </c>
      <c r="Q273" s="11">
        <v>9.1999999999999993</v>
      </c>
      <c r="R273" s="13" t="str">
        <f>IF(Patient_Data!$L273&lt;2,"Low Risk",IF(Patient_Data!$L273&lt;4,"Moderate Risk","High Risk"))</f>
        <v>Moderate Risk</v>
      </c>
      <c r="S273" s="12" t="str">
        <f>IF(Patient_Data[[#This Row],[Age]]&lt;=18,"Pediatric",IF(Patient_Data[[#This Row],[Age]]&lt;=64,"Adult","Geriatric"))</f>
        <v>Geriatric</v>
      </c>
    </row>
    <row r="274" spans="1:19" ht="15.75" customHeight="1" x14ac:dyDescent="0.3">
      <c r="A274" s="4" t="s">
        <v>613</v>
      </c>
      <c r="B274" s="5" t="str">
        <f>TEXT(Patient_Data!$E274,"mmmm")</f>
        <v>October</v>
      </c>
      <c r="C274" s="6" t="str">
        <f t="shared" si="2"/>
        <v>Oct</v>
      </c>
      <c r="D274" s="6">
        <f>MONTH(Patient_Data!$E274)</f>
        <v>10</v>
      </c>
      <c r="E274" s="7">
        <v>45226</v>
      </c>
      <c r="F274" s="55" t="str">
        <f>TEXT(Patient_Data[[#This Row],[Admission_Date]],"YYYY")</f>
        <v>2023</v>
      </c>
      <c r="G274" s="8" t="s">
        <v>614</v>
      </c>
      <c r="H274" s="14" t="s">
        <v>82</v>
      </c>
      <c r="I274" s="4" t="s">
        <v>35</v>
      </c>
      <c r="J274" s="4">
        <v>26</v>
      </c>
      <c r="K274" s="4" t="s">
        <v>45</v>
      </c>
      <c r="L274" s="8">
        <v>5</v>
      </c>
      <c r="M274" s="9" t="s">
        <v>72</v>
      </c>
      <c r="N274" s="9" t="str">
        <f t="shared" si="3"/>
        <v>Surgery</v>
      </c>
      <c r="O274" s="10">
        <v>21874.43</v>
      </c>
      <c r="P274" s="10">
        <v>13425.8</v>
      </c>
      <c r="Q274" s="11">
        <v>10.3</v>
      </c>
      <c r="R274" s="13" t="str">
        <f>IF(Patient_Data!$L274&lt;2,"Low Risk",IF(Patient_Data!$L274&lt;4,"Moderate Risk","High Risk"))</f>
        <v>High Risk</v>
      </c>
      <c r="S274" s="12" t="str">
        <f>IF(Patient_Data[[#This Row],[Age]]&lt;=18,"Pediatric",IF(Patient_Data[[#This Row],[Age]]&lt;=64,"Adult","Geriatric"))</f>
        <v>Adult</v>
      </c>
    </row>
    <row r="275" spans="1:19" ht="15.75" customHeight="1" x14ac:dyDescent="0.3">
      <c r="A275" s="4" t="s">
        <v>615</v>
      </c>
      <c r="B275" s="5" t="str">
        <f>TEXT(Patient_Data!$E275,"mmmm")</f>
        <v>December</v>
      </c>
      <c r="C275" s="6" t="str">
        <f t="shared" si="2"/>
        <v>Dec</v>
      </c>
      <c r="D275" s="6">
        <f>MONTH(Patient_Data!$E275)</f>
        <v>12</v>
      </c>
      <c r="E275" s="7">
        <v>45995</v>
      </c>
      <c r="F275" s="55" t="str">
        <f>TEXT(Patient_Data[[#This Row],[Admission_Date]],"YYYY")</f>
        <v>2025</v>
      </c>
      <c r="G275" s="8" t="s">
        <v>616</v>
      </c>
      <c r="H275" s="14" t="s">
        <v>42</v>
      </c>
      <c r="I275" s="4" t="s">
        <v>29</v>
      </c>
      <c r="J275" s="4">
        <v>38</v>
      </c>
      <c r="K275" s="4" t="s">
        <v>30</v>
      </c>
      <c r="L275" s="8">
        <v>3</v>
      </c>
      <c r="M275" s="9" t="s">
        <v>83</v>
      </c>
      <c r="N275" s="9" t="str">
        <f t="shared" si="3"/>
        <v>ER</v>
      </c>
      <c r="O275" s="10">
        <v>5927.59</v>
      </c>
      <c r="P275" s="10">
        <v>3971.26</v>
      </c>
      <c r="Q275" s="11">
        <v>22.2</v>
      </c>
      <c r="R275" s="13" t="str">
        <f>IF(Patient_Data!$L275&lt;2,"Low Risk",IF(Patient_Data!$L275&lt;4,"Moderate Risk","High Risk"))</f>
        <v>Moderate Risk</v>
      </c>
      <c r="S275" s="12" t="str">
        <f>IF(Patient_Data[[#This Row],[Age]]&lt;=18,"Pediatric",IF(Patient_Data[[#This Row],[Age]]&lt;=64,"Adult","Geriatric"))</f>
        <v>Adult</v>
      </c>
    </row>
    <row r="276" spans="1:19" ht="15.75" customHeight="1" x14ac:dyDescent="0.3">
      <c r="A276" s="4" t="s">
        <v>617</v>
      </c>
      <c r="B276" s="5" t="str">
        <f>TEXT(Patient_Data!$E276,"mmmm")</f>
        <v>August</v>
      </c>
      <c r="C276" s="6" t="str">
        <f t="shared" si="2"/>
        <v>Aug</v>
      </c>
      <c r="D276" s="6">
        <f>MONTH(Patient_Data!$E276)</f>
        <v>8</v>
      </c>
      <c r="E276" s="7">
        <v>45505</v>
      </c>
      <c r="F276" s="55" t="str">
        <f>TEXT(Patient_Data[[#This Row],[Admission_Date]],"YYYY")</f>
        <v>2024</v>
      </c>
      <c r="G276" s="8" t="s">
        <v>618</v>
      </c>
      <c r="H276" s="14" t="s">
        <v>49</v>
      </c>
      <c r="I276" s="4" t="s">
        <v>29</v>
      </c>
      <c r="J276" s="4">
        <v>27</v>
      </c>
      <c r="K276" s="4" t="s">
        <v>54</v>
      </c>
      <c r="L276" s="8">
        <v>1</v>
      </c>
      <c r="M276" s="9" t="s">
        <v>39</v>
      </c>
      <c r="N276" s="9" t="str">
        <f t="shared" si="3"/>
        <v>GM</v>
      </c>
      <c r="O276" s="10">
        <v>4004.42</v>
      </c>
      <c r="P276" s="10">
        <v>2724.56</v>
      </c>
      <c r="Q276" s="11">
        <v>5.2</v>
      </c>
      <c r="R276" s="13" t="str">
        <f>IF(Patient_Data!$L276&lt;2,"Low Risk",IF(Patient_Data!$L276&lt;4,"Moderate Risk","High Risk"))</f>
        <v>Low Risk</v>
      </c>
      <c r="S276" s="12" t="str">
        <f>IF(Patient_Data[[#This Row],[Age]]&lt;=18,"Pediatric",IF(Patient_Data[[#This Row],[Age]]&lt;=64,"Adult","Geriatric"))</f>
        <v>Adult</v>
      </c>
    </row>
    <row r="277" spans="1:19" ht="15.75" customHeight="1" x14ac:dyDescent="0.3">
      <c r="A277" s="4" t="s">
        <v>619</v>
      </c>
      <c r="B277" s="5" t="str">
        <f>TEXT(Patient_Data!$E277,"mmmm")</f>
        <v>October</v>
      </c>
      <c r="C277" s="6" t="str">
        <f t="shared" si="2"/>
        <v>Oct</v>
      </c>
      <c r="D277" s="6">
        <f>MONTH(Patient_Data!$E277)</f>
        <v>10</v>
      </c>
      <c r="E277" s="7">
        <v>45222</v>
      </c>
      <c r="F277" s="55" t="str">
        <f>TEXT(Patient_Data[[#This Row],[Admission_Date]],"YYYY")</f>
        <v>2023</v>
      </c>
      <c r="G277" s="8" t="s">
        <v>620</v>
      </c>
      <c r="H277" s="14" t="s">
        <v>49</v>
      </c>
      <c r="I277" s="4" t="s">
        <v>35</v>
      </c>
      <c r="J277" s="4">
        <v>67</v>
      </c>
      <c r="K277" s="4" t="s">
        <v>45</v>
      </c>
      <c r="L277" s="8">
        <v>4</v>
      </c>
      <c r="M277" s="9" t="s">
        <v>50</v>
      </c>
      <c r="N277" s="9" t="str">
        <f t="shared" si="3"/>
        <v>ICU</v>
      </c>
      <c r="O277" s="10">
        <v>14637.58</v>
      </c>
      <c r="P277" s="10">
        <v>10326.31</v>
      </c>
      <c r="Q277" s="11">
        <v>10</v>
      </c>
      <c r="R277" s="13" t="str">
        <f>IF(Patient_Data!$L277&lt;2,"Low Risk",IF(Patient_Data!$L277&lt;4,"Moderate Risk","High Risk"))</f>
        <v>High Risk</v>
      </c>
      <c r="S277" s="12" t="str">
        <f>IF(Patient_Data[[#This Row],[Age]]&lt;=18,"Pediatric",IF(Patient_Data[[#This Row],[Age]]&lt;=64,"Adult","Geriatric"))</f>
        <v>Geriatric</v>
      </c>
    </row>
    <row r="278" spans="1:19" ht="15.75" customHeight="1" x14ac:dyDescent="0.3">
      <c r="A278" s="4" t="s">
        <v>621</v>
      </c>
      <c r="B278" s="5" t="str">
        <f>TEXT(Patient_Data!$E278,"mmmm")</f>
        <v>November</v>
      </c>
      <c r="C278" s="6" t="str">
        <f t="shared" si="2"/>
        <v>Nov</v>
      </c>
      <c r="D278" s="6">
        <f>MONTH(Patient_Data!$E278)</f>
        <v>11</v>
      </c>
      <c r="E278" s="7">
        <v>45973</v>
      </c>
      <c r="F278" s="55" t="str">
        <f>TEXT(Patient_Data[[#This Row],[Admission_Date]],"YYYY")</f>
        <v>2025</v>
      </c>
      <c r="G278" s="8" t="s">
        <v>622</v>
      </c>
      <c r="H278" s="14" t="s">
        <v>623</v>
      </c>
      <c r="I278" s="4" t="s">
        <v>35</v>
      </c>
      <c r="J278" s="4">
        <v>51</v>
      </c>
      <c r="K278" s="4" t="s">
        <v>45</v>
      </c>
      <c r="L278" s="8">
        <v>4</v>
      </c>
      <c r="M278" s="9" t="s">
        <v>83</v>
      </c>
      <c r="N278" s="9" t="str">
        <f t="shared" si="3"/>
        <v>ER</v>
      </c>
      <c r="O278" s="10">
        <v>4668.66</v>
      </c>
      <c r="P278" s="10">
        <v>3500.92</v>
      </c>
      <c r="Q278" s="11">
        <v>11.6</v>
      </c>
      <c r="R278" s="13" t="str">
        <f>IF(Patient_Data!$L278&lt;2,"Low Risk",IF(Patient_Data!$L278&lt;4,"Moderate Risk","High Risk"))</f>
        <v>High Risk</v>
      </c>
      <c r="S278" s="12" t="str">
        <f>IF(Patient_Data[[#This Row],[Age]]&lt;=18,"Pediatric",IF(Patient_Data[[#This Row],[Age]]&lt;=64,"Adult","Geriatric"))</f>
        <v>Adult</v>
      </c>
    </row>
    <row r="279" spans="1:19" ht="15.75" customHeight="1" x14ac:dyDescent="0.3">
      <c r="A279" s="4" t="s">
        <v>624</v>
      </c>
      <c r="B279" s="5" t="str">
        <f>TEXT(Patient_Data!$E279,"mmmm")</f>
        <v>October</v>
      </c>
      <c r="C279" s="6" t="str">
        <f t="shared" si="2"/>
        <v>Oct</v>
      </c>
      <c r="D279" s="6">
        <f>MONTH(Patient_Data!$E279)</f>
        <v>10</v>
      </c>
      <c r="E279" s="7">
        <v>45222</v>
      </c>
      <c r="F279" s="55" t="str">
        <f>TEXT(Patient_Data[[#This Row],[Admission_Date]],"YYYY")</f>
        <v>2023</v>
      </c>
      <c r="G279" s="8" t="s">
        <v>625</v>
      </c>
      <c r="H279" s="14" t="s">
        <v>28</v>
      </c>
      <c r="I279" s="4" t="s">
        <v>35</v>
      </c>
      <c r="J279" s="4">
        <v>18</v>
      </c>
      <c r="K279" s="4" t="s">
        <v>30</v>
      </c>
      <c r="L279" s="8">
        <v>1</v>
      </c>
      <c r="M279" s="9" t="s">
        <v>83</v>
      </c>
      <c r="N279" s="9" t="str">
        <f t="shared" si="3"/>
        <v>ER</v>
      </c>
      <c r="O279" s="10">
        <v>7346.27</v>
      </c>
      <c r="P279" s="10">
        <v>5774.37</v>
      </c>
      <c r="Q279" s="11">
        <v>23.9</v>
      </c>
      <c r="R279" s="13" t="str">
        <f>IF(Patient_Data!$L279&lt;2,"Low Risk",IF(Patient_Data!$L279&lt;4,"Moderate Risk","High Risk"))</f>
        <v>Low Risk</v>
      </c>
      <c r="S279" s="12" t="str">
        <f>IF(Patient_Data[[#This Row],[Age]]&lt;=18,"Pediatric",IF(Patient_Data[[#This Row],[Age]]&lt;=64,"Adult","Geriatric"))</f>
        <v>Pediatric</v>
      </c>
    </row>
    <row r="280" spans="1:19" ht="15.75" customHeight="1" x14ac:dyDescent="0.3">
      <c r="A280" s="4" t="s">
        <v>626</v>
      </c>
      <c r="B280" s="5" t="str">
        <f>TEXT(Patient_Data!$E280,"mmmm")</f>
        <v>February</v>
      </c>
      <c r="C280" s="6" t="str">
        <f t="shared" si="2"/>
        <v>Feb</v>
      </c>
      <c r="D280" s="6">
        <f>MONTH(Patient_Data!$E280)</f>
        <v>2</v>
      </c>
      <c r="E280" s="7">
        <v>45338</v>
      </c>
      <c r="F280" s="55" t="str">
        <f>TEXT(Patient_Data[[#This Row],[Admission_Date]],"YYYY")</f>
        <v>2024</v>
      </c>
      <c r="G280" s="8" t="s">
        <v>627</v>
      </c>
      <c r="H280" s="14" t="s">
        <v>101</v>
      </c>
      <c r="I280" s="4" t="s">
        <v>29</v>
      </c>
      <c r="J280" s="4">
        <v>61</v>
      </c>
      <c r="K280" s="4" t="s">
        <v>54</v>
      </c>
      <c r="L280" s="8">
        <v>5</v>
      </c>
      <c r="M280" s="9" t="s">
        <v>50</v>
      </c>
      <c r="N280" s="9" t="str">
        <f t="shared" si="3"/>
        <v>ICU</v>
      </c>
      <c r="O280" s="10">
        <v>19592.689999999999</v>
      </c>
      <c r="P280" s="10">
        <v>11458.96</v>
      </c>
      <c r="Q280" s="11">
        <v>11.9</v>
      </c>
      <c r="R280" s="13" t="str">
        <f>IF(Patient_Data!$L280&lt;2,"Low Risk",IF(Patient_Data!$L280&lt;4,"Moderate Risk","High Risk"))</f>
        <v>High Risk</v>
      </c>
      <c r="S280" s="12" t="str">
        <f>IF(Patient_Data[[#This Row],[Age]]&lt;=18,"Pediatric",IF(Patient_Data[[#This Row],[Age]]&lt;=64,"Adult","Geriatric"))</f>
        <v>Adult</v>
      </c>
    </row>
    <row r="281" spans="1:19" ht="15.75" customHeight="1" x14ac:dyDescent="0.3">
      <c r="A281" s="4" t="s">
        <v>628</v>
      </c>
      <c r="B281" s="5" t="str">
        <f>TEXT(Patient_Data!$E281,"mmmm")</f>
        <v>January</v>
      </c>
      <c r="C281" s="6" t="str">
        <f t="shared" si="2"/>
        <v>Jan</v>
      </c>
      <c r="D281" s="6">
        <f>MONTH(Patient_Data!$E281)</f>
        <v>1</v>
      </c>
      <c r="E281" s="7">
        <v>46044</v>
      </c>
      <c r="F281" s="55" t="str">
        <f>TEXT(Patient_Data[[#This Row],[Admission_Date]],"YYYY")</f>
        <v>2026</v>
      </c>
      <c r="G281" s="8" t="s">
        <v>629</v>
      </c>
      <c r="H281" s="14" t="s">
        <v>132</v>
      </c>
      <c r="I281" s="4" t="s">
        <v>29</v>
      </c>
      <c r="J281" s="4">
        <v>47</v>
      </c>
      <c r="K281" s="4" t="s">
        <v>54</v>
      </c>
      <c r="L281" s="8">
        <v>3</v>
      </c>
      <c r="M281" s="9" t="s">
        <v>46</v>
      </c>
      <c r="N281" s="9" t="str">
        <f t="shared" si="3"/>
        <v>Ortho</v>
      </c>
      <c r="O281" s="10">
        <v>6292.38</v>
      </c>
      <c r="P281" s="10">
        <v>3905.55</v>
      </c>
      <c r="Q281" s="11">
        <v>8.4</v>
      </c>
      <c r="R281" s="13" t="str">
        <f>IF(Patient_Data!$L281&lt;2,"Low Risk",IF(Patient_Data!$L281&lt;4,"Moderate Risk","High Risk"))</f>
        <v>Moderate Risk</v>
      </c>
      <c r="S281" s="12" t="str">
        <f>IF(Patient_Data[[#This Row],[Age]]&lt;=18,"Pediatric",IF(Patient_Data[[#This Row],[Age]]&lt;=64,"Adult","Geriatric"))</f>
        <v>Adult</v>
      </c>
    </row>
    <row r="282" spans="1:19" ht="15.75" customHeight="1" x14ac:dyDescent="0.3">
      <c r="A282" s="4" t="s">
        <v>630</v>
      </c>
      <c r="B282" s="5" t="str">
        <f>TEXT(Patient_Data!$E282,"mmmm")</f>
        <v>September</v>
      </c>
      <c r="C282" s="6" t="str">
        <f t="shared" si="2"/>
        <v>Sep</v>
      </c>
      <c r="D282" s="6">
        <f>MONTH(Patient_Data!$E282)</f>
        <v>9</v>
      </c>
      <c r="E282" s="7">
        <v>45539</v>
      </c>
      <c r="F282" s="55" t="str">
        <f>TEXT(Patient_Data[[#This Row],[Admission_Date]],"YYYY")</f>
        <v>2024</v>
      </c>
      <c r="G282" s="8" t="s">
        <v>631</v>
      </c>
      <c r="H282" s="14" t="s">
        <v>53</v>
      </c>
      <c r="I282" s="4" t="s">
        <v>29</v>
      </c>
      <c r="J282" s="4">
        <v>66</v>
      </c>
      <c r="K282" s="4" t="s">
        <v>54</v>
      </c>
      <c r="L282" s="8">
        <v>4</v>
      </c>
      <c r="M282" s="9" t="s">
        <v>50</v>
      </c>
      <c r="N282" s="9" t="str">
        <f t="shared" si="3"/>
        <v>ICU</v>
      </c>
      <c r="O282" s="10">
        <v>19083.22</v>
      </c>
      <c r="P282" s="10">
        <v>12345.26</v>
      </c>
      <c r="Q282" s="11">
        <v>16.5</v>
      </c>
      <c r="R282" s="13" t="str">
        <f>IF(Patient_Data!$L282&lt;2,"Low Risk",IF(Patient_Data!$L282&lt;4,"Moderate Risk","High Risk"))</f>
        <v>High Risk</v>
      </c>
      <c r="S282" s="12" t="str">
        <f>IF(Patient_Data[[#This Row],[Age]]&lt;=18,"Pediatric",IF(Patient_Data[[#This Row],[Age]]&lt;=64,"Adult","Geriatric"))</f>
        <v>Geriatric</v>
      </c>
    </row>
    <row r="283" spans="1:19" ht="15.75" customHeight="1" x14ac:dyDescent="0.3">
      <c r="A283" s="4" t="s">
        <v>632</v>
      </c>
      <c r="B283" s="5" t="str">
        <f>TEXT(Patient_Data!$E283,"mmmm")</f>
        <v>October</v>
      </c>
      <c r="C283" s="6" t="str">
        <f t="shared" si="2"/>
        <v>Oct</v>
      </c>
      <c r="D283" s="6">
        <f>MONTH(Patient_Data!$E283)</f>
        <v>10</v>
      </c>
      <c r="E283" s="7">
        <v>45943</v>
      </c>
      <c r="F283" s="55" t="str">
        <f>TEXT(Patient_Data[[#This Row],[Admission_Date]],"YYYY")</f>
        <v>2025</v>
      </c>
      <c r="G283" s="8" t="s">
        <v>633</v>
      </c>
      <c r="H283" s="14" t="s">
        <v>223</v>
      </c>
      <c r="I283" s="4" t="s">
        <v>35</v>
      </c>
      <c r="J283" s="4">
        <v>76</v>
      </c>
      <c r="K283" s="4" t="s">
        <v>54</v>
      </c>
      <c r="L283" s="8">
        <v>4</v>
      </c>
      <c r="M283" s="9" t="s">
        <v>36</v>
      </c>
      <c r="N283" s="9" t="str">
        <f t="shared" si="3"/>
        <v>Cardio</v>
      </c>
      <c r="O283" s="10">
        <v>17176.13</v>
      </c>
      <c r="P283" s="10">
        <v>11573.61</v>
      </c>
      <c r="Q283" s="11">
        <v>8.1999999999999993</v>
      </c>
      <c r="R283" s="13" t="str">
        <f>IF(Patient_Data!$L283&lt;2,"Low Risk",IF(Patient_Data!$L283&lt;4,"Moderate Risk","High Risk"))</f>
        <v>High Risk</v>
      </c>
      <c r="S283" s="12" t="str">
        <f>IF(Patient_Data[[#This Row],[Age]]&lt;=18,"Pediatric",IF(Patient_Data[[#This Row],[Age]]&lt;=64,"Adult","Geriatric"))</f>
        <v>Geriatric</v>
      </c>
    </row>
    <row r="284" spans="1:19" ht="15.75" customHeight="1" x14ac:dyDescent="0.3">
      <c r="A284" s="4" t="s">
        <v>634</v>
      </c>
      <c r="B284" s="5" t="str">
        <f>TEXT(Patient_Data!$E284,"mmmm")</f>
        <v>March</v>
      </c>
      <c r="C284" s="6" t="str">
        <f t="shared" si="2"/>
        <v>Mar</v>
      </c>
      <c r="D284" s="6">
        <f>MONTH(Patient_Data!$E284)</f>
        <v>3</v>
      </c>
      <c r="E284" s="7">
        <v>45736</v>
      </c>
      <c r="F284" s="55" t="str">
        <f>TEXT(Patient_Data[[#This Row],[Admission_Date]],"YYYY")</f>
        <v>2025</v>
      </c>
      <c r="G284" s="8" t="s">
        <v>635</v>
      </c>
      <c r="H284" s="14" t="s">
        <v>98</v>
      </c>
      <c r="I284" s="4" t="s">
        <v>35</v>
      </c>
      <c r="J284" s="4">
        <v>26</v>
      </c>
      <c r="K284" s="4" t="s">
        <v>54</v>
      </c>
      <c r="L284" s="8">
        <v>1</v>
      </c>
      <c r="M284" s="9" t="s">
        <v>39</v>
      </c>
      <c r="N284" s="9" t="str">
        <f t="shared" si="3"/>
        <v>GM</v>
      </c>
      <c r="O284" s="10">
        <v>1251.3</v>
      </c>
      <c r="P284" s="10">
        <v>923.91</v>
      </c>
      <c r="Q284" s="11">
        <v>6</v>
      </c>
      <c r="R284" s="13" t="str">
        <f>IF(Patient_Data!$L284&lt;2,"Low Risk",IF(Patient_Data!$L284&lt;4,"Moderate Risk","High Risk"))</f>
        <v>Low Risk</v>
      </c>
      <c r="S284" s="12" t="str">
        <f>IF(Patient_Data[[#This Row],[Age]]&lt;=18,"Pediatric",IF(Patient_Data[[#This Row],[Age]]&lt;=64,"Adult","Geriatric"))</f>
        <v>Adult</v>
      </c>
    </row>
    <row r="285" spans="1:19" ht="15.75" customHeight="1" x14ac:dyDescent="0.3">
      <c r="A285" s="4" t="s">
        <v>636</v>
      </c>
      <c r="B285" s="5" t="str">
        <f>TEXT(Patient_Data!$E285,"mmmm")</f>
        <v>January</v>
      </c>
      <c r="C285" s="6" t="str">
        <f t="shared" si="2"/>
        <v>Jan</v>
      </c>
      <c r="D285" s="6">
        <f>MONTH(Patient_Data!$E285)</f>
        <v>1</v>
      </c>
      <c r="E285" s="7">
        <v>46030</v>
      </c>
      <c r="F285" s="55" t="str">
        <f>TEXT(Patient_Data[[#This Row],[Admission_Date]],"YYYY")</f>
        <v>2026</v>
      </c>
      <c r="G285" s="8" t="s">
        <v>637</v>
      </c>
      <c r="H285" s="14" t="s">
        <v>638</v>
      </c>
      <c r="I285" s="4" t="s">
        <v>35</v>
      </c>
      <c r="J285" s="4">
        <v>79</v>
      </c>
      <c r="K285" s="4" t="s">
        <v>54</v>
      </c>
      <c r="L285" s="8">
        <v>4</v>
      </c>
      <c r="M285" s="9" t="s">
        <v>50</v>
      </c>
      <c r="N285" s="9" t="str">
        <f t="shared" si="3"/>
        <v>ICU</v>
      </c>
      <c r="O285" s="10">
        <v>12525.57</v>
      </c>
      <c r="P285" s="10">
        <v>9251.67</v>
      </c>
      <c r="Q285" s="11">
        <v>13.5</v>
      </c>
      <c r="R285" s="13" t="str">
        <f>IF(Patient_Data!$L285&lt;2,"Low Risk",IF(Patient_Data!$L285&lt;4,"Moderate Risk","High Risk"))</f>
        <v>High Risk</v>
      </c>
      <c r="S285" s="12" t="str">
        <f>IF(Patient_Data[[#This Row],[Age]]&lt;=18,"Pediatric",IF(Patient_Data[[#This Row],[Age]]&lt;=64,"Adult","Geriatric"))</f>
        <v>Geriatric</v>
      </c>
    </row>
    <row r="286" spans="1:19" ht="15.75" customHeight="1" x14ac:dyDescent="0.3">
      <c r="A286" s="4" t="s">
        <v>639</v>
      </c>
      <c r="B286" s="5" t="str">
        <f>TEXT(Patient_Data!$E286,"mmmm")</f>
        <v>April</v>
      </c>
      <c r="C286" s="6" t="str">
        <f t="shared" si="2"/>
        <v>Apr</v>
      </c>
      <c r="D286" s="6">
        <f>MONTH(Patient_Data!$E286)</f>
        <v>4</v>
      </c>
      <c r="E286" s="7">
        <v>46130</v>
      </c>
      <c r="F286" s="55" t="str">
        <f>TEXT(Patient_Data[[#This Row],[Admission_Date]],"YYYY")</f>
        <v>2026</v>
      </c>
      <c r="G286" s="8" t="s">
        <v>640</v>
      </c>
      <c r="H286" s="14" t="s">
        <v>28</v>
      </c>
      <c r="I286" s="4" t="s">
        <v>35</v>
      </c>
      <c r="J286" s="4">
        <v>56</v>
      </c>
      <c r="K286" s="4" t="s">
        <v>30</v>
      </c>
      <c r="L286" s="8">
        <v>1</v>
      </c>
      <c r="M286" s="9" t="s">
        <v>36</v>
      </c>
      <c r="N286" s="9" t="str">
        <f t="shared" si="3"/>
        <v>Cardio</v>
      </c>
      <c r="O286" s="10">
        <v>9394.8799999999992</v>
      </c>
      <c r="P286" s="10">
        <v>7208.91</v>
      </c>
      <c r="Q286" s="11">
        <v>8.6</v>
      </c>
      <c r="R286" s="13" t="str">
        <f>IF(Patient_Data!$L286&lt;2,"Low Risk",IF(Patient_Data!$L286&lt;4,"Moderate Risk","High Risk"))</f>
        <v>Low Risk</v>
      </c>
      <c r="S286" s="12" t="str">
        <f>IF(Patient_Data[[#This Row],[Age]]&lt;=18,"Pediatric",IF(Patient_Data[[#This Row],[Age]]&lt;=64,"Adult","Geriatric"))</f>
        <v>Adult</v>
      </c>
    </row>
    <row r="287" spans="1:19" ht="15.75" customHeight="1" x14ac:dyDescent="0.3">
      <c r="A287" s="4" t="s">
        <v>641</v>
      </c>
      <c r="B287" s="5" t="str">
        <f>TEXT(Patient_Data!$E287,"mmmm")</f>
        <v>December</v>
      </c>
      <c r="C287" s="6" t="str">
        <f t="shared" si="2"/>
        <v>Dec</v>
      </c>
      <c r="D287" s="6">
        <f>MONTH(Patient_Data!$E287)</f>
        <v>12</v>
      </c>
      <c r="E287" s="7">
        <v>45273</v>
      </c>
      <c r="F287" s="55" t="str">
        <f>TEXT(Patient_Data[[#This Row],[Admission_Date]],"YYYY")</f>
        <v>2023</v>
      </c>
      <c r="G287" s="8" t="s">
        <v>642</v>
      </c>
      <c r="H287" s="14" t="s">
        <v>82</v>
      </c>
      <c r="I287" s="4" t="s">
        <v>29</v>
      </c>
      <c r="J287" s="4">
        <v>59</v>
      </c>
      <c r="K287" s="4" t="s">
        <v>30</v>
      </c>
      <c r="L287" s="8">
        <v>1</v>
      </c>
      <c r="M287" s="9" t="s">
        <v>39</v>
      </c>
      <c r="N287" s="9" t="str">
        <f t="shared" si="3"/>
        <v>GM</v>
      </c>
      <c r="O287" s="10">
        <v>1702.66</v>
      </c>
      <c r="P287" s="10">
        <v>1034.74</v>
      </c>
      <c r="Q287" s="11">
        <v>5.9</v>
      </c>
      <c r="R287" s="13" t="str">
        <f>IF(Patient_Data!$L287&lt;2,"Low Risk",IF(Patient_Data!$L287&lt;4,"Moderate Risk","High Risk"))</f>
        <v>Low Risk</v>
      </c>
      <c r="S287" s="12" t="str">
        <f>IF(Patient_Data[[#This Row],[Age]]&lt;=18,"Pediatric",IF(Patient_Data[[#This Row],[Age]]&lt;=64,"Adult","Geriatric"))</f>
        <v>Adult</v>
      </c>
    </row>
    <row r="288" spans="1:19" ht="15.75" customHeight="1" x14ac:dyDescent="0.3">
      <c r="A288" s="4" t="s">
        <v>643</v>
      </c>
      <c r="B288" s="5" t="str">
        <f>TEXT(Patient_Data!$E288,"mmmm")</f>
        <v>August</v>
      </c>
      <c r="C288" s="6" t="str">
        <f t="shared" si="2"/>
        <v>Aug</v>
      </c>
      <c r="D288" s="6">
        <f>MONTH(Patient_Data!$E288)</f>
        <v>8</v>
      </c>
      <c r="E288" s="7">
        <v>45883</v>
      </c>
      <c r="F288" s="55" t="str">
        <f>TEXT(Patient_Data[[#This Row],[Admission_Date]],"YYYY")</f>
        <v>2025</v>
      </c>
      <c r="G288" s="8" t="s">
        <v>644</v>
      </c>
      <c r="H288" s="14" t="s">
        <v>164</v>
      </c>
      <c r="I288" s="4" t="s">
        <v>35</v>
      </c>
      <c r="J288" s="4">
        <v>38</v>
      </c>
      <c r="K288" s="4" t="s">
        <v>54</v>
      </c>
      <c r="L288" s="8">
        <v>2</v>
      </c>
      <c r="M288" s="9" t="s">
        <v>39</v>
      </c>
      <c r="N288" s="9" t="str">
        <f t="shared" si="3"/>
        <v>GM</v>
      </c>
      <c r="O288" s="10">
        <v>4340.1899999999996</v>
      </c>
      <c r="P288" s="10">
        <v>2686.72</v>
      </c>
      <c r="Q288" s="11">
        <v>4.9000000000000004</v>
      </c>
      <c r="R288" s="13" t="str">
        <f>IF(Patient_Data!$L288&lt;2,"Low Risk",IF(Patient_Data!$L288&lt;4,"Moderate Risk","High Risk"))</f>
        <v>Moderate Risk</v>
      </c>
      <c r="S288" s="12" t="str">
        <f>IF(Patient_Data[[#This Row],[Age]]&lt;=18,"Pediatric",IF(Patient_Data[[#This Row],[Age]]&lt;=64,"Adult","Geriatric"))</f>
        <v>Adult</v>
      </c>
    </row>
    <row r="289" spans="1:19" ht="15.75" customHeight="1" x14ac:dyDescent="0.3">
      <c r="A289" s="4" t="s">
        <v>645</v>
      </c>
      <c r="B289" s="5" t="str">
        <f>TEXT(Patient_Data!$E289,"mmmm")</f>
        <v>January</v>
      </c>
      <c r="C289" s="6" t="str">
        <f t="shared" si="2"/>
        <v>Jan</v>
      </c>
      <c r="D289" s="6">
        <f>MONTH(Patient_Data!$E289)</f>
        <v>1</v>
      </c>
      <c r="E289" s="7">
        <v>45673</v>
      </c>
      <c r="F289" s="55" t="str">
        <f>TEXT(Patient_Data[[#This Row],[Admission_Date]],"YYYY")</f>
        <v>2025</v>
      </c>
      <c r="G289" s="8" t="s">
        <v>646</v>
      </c>
      <c r="H289" s="14" t="s">
        <v>28</v>
      </c>
      <c r="I289" s="4" t="s">
        <v>29</v>
      </c>
      <c r="J289" s="4">
        <v>53</v>
      </c>
      <c r="K289" s="4" t="s">
        <v>30</v>
      </c>
      <c r="L289" s="8">
        <v>2</v>
      </c>
      <c r="M289" s="9" t="s">
        <v>39</v>
      </c>
      <c r="N289" s="9" t="str">
        <f t="shared" si="3"/>
        <v>GM</v>
      </c>
      <c r="O289" s="10">
        <v>5600.33</v>
      </c>
      <c r="P289" s="10">
        <v>3625.81</v>
      </c>
      <c r="Q289" s="11">
        <v>5.2</v>
      </c>
      <c r="R289" s="13" t="str">
        <f>IF(Patient_Data!$L289&lt;2,"Low Risk",IF(Patient_Data!$L289&lt;4,"Moderate Risk","High Risk"))</f>
        <v>Moderate Risk</v>
      </c>
      <c r="S289" s="12" t="str">
        <f>IF(Patient_Data[[#This Row],[Age]]&lt;=18,"Pediatric",IF(Patient_Data[[#This Row],[Age]]&lt;=64,"Adult","Geriatric"))</f>
        <v>Adult</v>
      </c>
    </row>
    <row r="290" spans="1:19" ht="15.75" customHeight="1" x14ac:dyDescent="0.3">
      <c r="A290" s="4" t="s">
        <v>647</v>
      </c>
      <c r="B290" s="5" t="str">
        <f>TEXT(Patient_Data!$E290,"mmmm")</f>
        <v>October</v>
      </c>
      <c r="C290" s="6" t="str">
        <f t="shared" si="2"/>
        <v>Oct</v>
      </c>
      <c r="D290" s="6">
        <f>MONTH(Patient_Data!$E290)</f>
        <v>10</v>
      </c>
      <c r="E290" s="7">
        <v>45575</v>
      </c>
      <c r="F290" s="55" t="str">
        <f>TEXT(Patient_Data[[#This Row],[Admission_Date]],"YYYY")</f>
        <v>2024</v>
      </c>
      <c r="G290" s="8" t="s">
        <v>648</v>
      </c>
      <c r="H290" s="14" t="s">
        <v>170</v>
      </c>
      <c r="I290" s="4" t="s">
        <v>29</v>
      </c>
      <c r="J290" s="4">
        <v>62</v>
      </c>
      <c r="K290" s="4" t="s">
        <v>54</v>
      </c>
      <c r="L290" s="8">
        <v>5</v>
      </c>
      <c r="M290" s="9" t="s">
        <v>50</v>
      </c>
      <c r="N290" s="9" t="str">
        <f t="shared" si="3"/>
        <v>ICU</v>
      </c>
      <c r="O290" s="10">
        <v>18422.830000000002</v>
      </c>
      <c r="P290" s="10">
        <v>12471.3</v>
      </c>
      <c r="Q290" s="11">
        <v>16</v>
      </c>
      <c r="R290" s="13" t="str">
        <f>IF(Patient_Data!$L290&lt;2,"Low Risk",IF(Patient_Data!$L290&lt;4,"Moderate Risk","High Risk"))</f>
        <v>High Risk</v>
      </c>
      <c r="S290" s="12" t="str">
        <f>IF(Patient_Data[[#This Row],[Age]]&lt;=18,"Pediatric",IF(Patient_Data[[#This Row],[Age]]&lt;=64,"Adult","Geriatric"))</f>
        <v>Adult</v>
      </c>
    </row>
    <row r="291" spans="1:19" ht="15.75" customHeight="1" x14ac:dyDescent="0.3">
      <c r="A291" s="4" t="s">
        <v>649</v>
      </c>
      <c r="B291" s="5" t="str">
        <f>TEXT(Patient_Data!$E291,"mmmm")</f>
        <v>October</v>
      </c>
      <c r="C291" s="6" t="str">
        <f t="shared" si="2"/>
        <v>Oct</v>
      </c>
      <c r="D291" s="6">
        <f>MONTH(Patient_Data!$E291)</f>
        <v>10</v>
      </c>
      <c r="E291" s="7">
        <v>45208</v>
      </c>
      <c r="F291" s="55" t="str">
        <f>TEXT(Patient_Data[[#This Row],[Admission_Date]],"YYYY")</f>
        <v>2023</v>
      </c>
      <c r="G291" s="8" t="s">
        <v>650</v>
      </c>
      <c r="H291" s="14" t="s">
        <v>190</v>
      </c>
      <c r="I291" s="4" t="s">
        <v>29</v>
      </c>
      <c r="J291" s="4">
        <v>55</v>
      </c>
      <c r="K291" s="4" t="s">
        <v>54</v>
      </c>
      <c r="L291" s="8">
        <v>5</v>
      </c>
      <c r="M291" s="9" t="s">
        <v>50</v>
      </c>
      <c r="N291" s="9" t="str">
        <f t="shared" si="3"/>
        <v>ICU</v>
      </c>
      <c r="O291" s="10">
        <v>22063.15</v>
      </c>
      <c r="P291" s="10">
        <v>15541</v>
      </c>
      <c r="Q291" s="11">
        <v>12.1</v>
      </c>
      <c r="R291" s="13" t="str">
        <f>IF(Patient_Data!$L291&lt;2,"Low Risk",IF(Patient_Data!$L291&lt;4,"Moderate Risk","High Risk"))</f>
        <v>High Risk</v>
      </c>
      <c r="S291" s="12" t="str">
        <f>IF(Patient_Data[[#This Row],[Age]]&lt;=18,"Pediatric",IF(Patient_Data[[#This Row],[Age]]&lt;=64,"Adult","Geriatric"))</f>
        <v>Adult</v>
      </c>
    </row>
    <row r="292" spans="1:19" ht="15.75" customHeight="1" x14ac:dyDescent="0.3">
      <c r="A292" s="4" t="s">
        <v>651</v>
      </c>
      <c r="B292" s="5" t="str">
        <f>TEXT(Patient_Data!$E292,"mmmm")</f>
        <v>April</v>
      </c>
      <c r="C292" s="6" t="str">
        <f t="shared" si="2"/>
        <v>Apr</v>
      </c>
      <c r="D292" s="6">
        <f>MONTH(Patient_Data!$E292)</f>
        <v>4</v>
      </c>
      <c r="E292" s="7">
        <v>46136</v>
      </c>
      <c r="F292" s="55" t="str">
        <f>TEXT(Patient_Data[[#This Row],[Admission_Date]],"YYYY")</f>
        <v>2026</v>
      </c>
      <c r="G292" s="8" t="s">
        <v>652</v>
      </c>
      <c r="H292" s="14" t="s">
        <v>49</v>
      </c>
      <c r="I292" s="4" t="s">
        <v>29</v>
      </c>
      <c r="J292" s="4">
        <v>51</v>
      </c>
      <c r="K292" s="4" t="s">
        <v>30</v>
      </c>
      <c r="L292" s="8">
        <v>2</v>
      </c>
      <c r="M292" s="9" t="s">
        <v>39</v>
      </c>
      <c r="N292" s="9" t="str">
        <f t="shared" si="3"/>
        <v>GM</v>
      </c>
      <c r="O292" s="10">
        <v>3947.44</v>
      </c>
      <c r="P292" s="10">
        <v>2951.23</v>
      </c>
      <c r="Q292" s="11">
        <v>8.6999999999999993</v>
      </c>
      <c r="R292" s="13" t="str">
        <f>IF(Patient_Data!$L292&lt;2,"Low Risk",IF(Patient_Data!$L292&lt;4,"Moderate Risk","High Risk"))</f>
        <v>Moderate Risk</v>
      </c>
      <c r="S292" s="12" t="str">
        <f>IF(Patient_Data[[#This Row],[Age]]&lt;=18,"Pediatric",IF(Patient_Data[[#This Row],[Age]]&lt;=64,"Adult","Geriatric"))</f>
        <v>Adult</v>
      </c>
    </row>
    <row r="293" spans="1:19" ht="15.75" customHeight="1" x14ac:dyDescent="0.3">
      <c r="A293" s="4" t="s">
        <v>653</v>
      </c>
      <c r="B293" s="5" t="str">
        <f>TEXT(Patient_Data!$E293,"mmmm")</f>
        <v>April</v>
      </c>
      <c r="C293" s="6" t="str">
        <f t="shared" si="2"/>
        <v>Apr</v>
      </c>
      <c r="D293" s="6">
        <f>MONTH(Patient_Data!$E293)</f>
        <v>4</v>
      </c>
      <c r="E293" s="7">
        <v>45401</v>
      </c>
      <c r="F293" s="55" t="str">
        <f>TEXT(Patient_Data[[#This Row],[Admission_Date]],"YYYY")</f>
        <v>2024</v>
      </c>
      <c r="G293" s="8" t="s">
        <v>654</v>
      </c>
      <c r="H293" s="14" t="s">
        <v>108</v>
      </c>
      <c r="I293" s="4" t="s">
        <v>35</v>
      </c>
      <c r="J293" s="4">
        <v>79</v>
      </c>
      <c r="K293" s="4" t="s">
        <v>30</v>
      </c>
      <c r="L293" s="8">
        <v>4</v>
      </c>
      <c r="M293" s="9" t="s">
        <v>72</v>
      </c>
      <c r="N293" s="9" t="str">
        <f t="shared" si="3"/>
        <v>Surgery</v>
      </c>
      <c r="O293" s="10">
        <v>17498.7</v>
      </c>
      <c r="P293" s="10">
        <v>13378.21</v>
      </c>
      <c r="Q293" s="11">
        <v>9.9</v>
      </c>
      <c r="R293" s="13" t="str">
        <f>IF(Patient_Data!$L293&lt;2,"Low Risk",IF(Patient_Data!$L293&lt;4,"Moderate Risk","High Risk"))</f>
        <v>High Risk</v>
      </c>
      <c r="S293" s="12" t="str">
        <f>IF(Patient_Data[[#This Row],[Age]]&lt;=18,"Pediatric",IF(Patient_Data[[#This Row],[Age]]&lt;=64,"Adult","Geriatric"))</f>
        <v>Geriatric</v>
      </c>
    </row>
    <row r="294" spans="1:19" ht="15.75" customHeight="1" x14ac:dyDescent="0.3">
      <c r="A294" s="4" t="s">
        <v>655</v>
      </c>
      <c r="B294" s="5" t="str">
        <f>TEXT(Patient_Data!$E294,"mmmm")</f>
        <v>February</v>
      </c>
      <c r="C294" s="6" t="str">
        <f t="shared" si="2"/>
        <v>Feb</v>
      </c>
      <c r="D294" s="6">
        <f>MONTH(Patient_Data!$E294)</f>
        <v>2</v>
      </c>
      <c r="E294" s="7">
        <v>45691</v>
      </c>
      <c r="F294" s="55" t="str">
        <f>TEXT(Patient_Data[[#This Row],[Admission_Date]],"YYYY")</f>
        <v>2025</v>
      </c>
      <c r="G294" s="8" t="s">
        <v>146</v>
      </c>
      <c r="H294" s="14" t="s">
        <v>187</v>
      </c>
      <c r="I294" s="4" t="s">
        <v>29</v>
      </c>
      <c r="J294" s="4">
        <v>76</v>
      </c>
      <c r="K294" s="4" t="s">
        <v>30</v>
      </c>
      <c r="L294" s="8">
        <v>3</v>
      </c>
      <c r="M294" s="9" t="s">
        <v>39</v>
      </c>
      <c r="N294" s="9" t="str">
        <f t="shared" si="3"/>
        <v>GM</v>
      </c>
      <c r="O294" s="10">
        <v>5536.47</v>
      </c>
      <c r="P294" s="10">
        <v>3284.75</v>
      </c>
      <c r="Q294" s="11">
        <v>9.1999999999999993</v>
      </c>
      <c r="R294" s="13" t="str">
        <f>IF(Patient_Data!$L294&lt;2,"Low Risk",IF(Patient_Data!$L294&lt;4,"Moderate Risk","High Risk"))</f>
        <v>Moderate Risk</v>
      </c>
      <c r="S294" s="12" t="str">
        <f>IF(Patient_Data[[#This Row],[Age]]&lt;=18,"Pediatric",IF(Patient_Data[[#This Row],[Age]]&lt;=64,"Adult","Geriatric"))</f>
        <v>Geriatric</v>
      </c>
    </row>
    <row r="295" spans="1:19" ht="15.75" customHeight="1" x14ac:dyDescent="0.3">
      <c r="A295" s="4" t="s">
        <v>656</v>
      </c>
      <c r="B295" s="5" t="str">
        <f>TEXT(Patient_Data!$E295,"mmmm")</f>
        <v>September</v>
      </c>
      <c r="C295" s="6" t="str">
        <f t="shared" si="2"/>
        <v>Sep</v>
      </c>
      <c r="D295" s="6">
        <f>MONTH(Patient_Data!$E295)</f>
        <v>9</v>
      </c>
      <c r="E295" s="7">
        <v>45922</v>
      </c>
      <c r="F295" s="55" t="str">
        <f>TEXT(Patient_Data[[#This Row],[Admission_Date]],"YYYY")</f>
        <v>2025</v>
      </c>
      <c r="G295" s="8" t="s">
        <v>657</v>
      </c>
      <c r="H295" s="14" t="s">
        <v>239</v>
      </c>
      <c r="I295" s="4" t="s">
        <v>29</v>
      </c>
      <c r="J295" s="4">
        <v>28</v>
      </c>
      <c r="K295" s="4" t="s">
        <v>45</v>
      </c>
      <c r="L295" s="8">
        <v>4</v>
      </c>
      <c r="M295" s="9" t="s">
        <v>39</v>
      </c>
      <c r="N295" s="9" t="str">
        <f t="shared" si="3"/>
        <v>GM</v>
      </c>
      <c r="O295" s="10">
        <v>6010.47</v>
      </c>
      <c r="P295" s="10">
        <v>3725.59</v>
      </c>
      <c r="Q295" s="11">
        <v>7.4</v>
      </c>
      <c r="R295" s="13" t="str">
        <f>IF(Patient_Data!$L295&lt;2,"Low Risk",IF(Patient_Data!$L295&lt;4,"Moderate Risk","High Risk"))</f>
        <v>High Risk</v>
      </c>
      <c r="S295" s="12" t="str">
        <f>IF(Patient_Data[[#This Row],[Age]]&lt;=18,"Pediatric",IF(Patient_Data[[#This Row],[Age]]&lt;=64,"Adult","Geriatric"))</f>
        <v>Adult</v>
      </c>
    </row>
    <row r="296" spans="1:19" ht="15.75" customHeight="1" x14ac:dyDescent="0.3">
      <c r="A296" s="4" t="s">
        <v>658</v>
      </c>
      <c r="B296" s="5" t="str">
        <f>TEXT(Patient_Data!$E296,"mmmm")</f>
        <v>August</v>
      </c>
      <c r="C296" s="6" t="str">
        <f t="shared" si="2"/>
        <v>Aug</v>
      </c>
      <c r="D296" s="6">
        <f>MONTH(Patient_Data!$E296)</f>
        <v>8</v>
      </c>
      <c r="E296" s="7">
        <v>45510</v>
      </c>
      <c r="F296" s="55" t="str">
        <f>TEXT(Patient_Data[[#This Row],[Admission_Date]],"YYYY")</f>
        <v>2024</v>
      </c>
      <c r="G296" s="8" t="s">
        <v>659</v>
      </c>
      <c r="H296" s="14" t="s">
        <v>167</v>
      </c>
      <c r="I296" s="4" t="s">
        <v>29</v>
      </c>
      <c r="J296" s="4">
        <v>49</v>
      </c>
      <c r="K296" s="4" t="s">
        <v>54</v>
      </c>
      <c r="L296" s="8">
        <v>2</v>
      </c>
      <c r="M296" s="9" t="s">
        <v>36</v>
      </c>
      <c r="N296" s="9" t="str">
        <f t="shared" si="3"/>
        <v>Cardio</v>
      </c>
      <c r="O296" s="10">
        <v>11407.21</v>
      </c>
      <c r="P296" s="10">
        <v>7385.41</v>
      </c>
      <c r="Q296" s="11">
        <v>10.6</v>
      </c>
      <c r="R296" s="13" t="str">
        <f>IF(Patient_Data!$L296&lt;2,"Low Risk",IF(Patient_Data!$L296&lt;4,"Moderate Risk","High Risk"))</f>
        <v>Moderate Risk</v>
      </c>
      <c r="S296" s="12" t="str">
        <f>IF(Patient_Data[[#This Row],[Age]]&lt;=18,"Pediatric",IF(Patient_Data[[#This Row],[Age]]&lt;=64,"Adult","Geriatric"))</f>
        <v>Adult</v>
      </c>
    </row>
    <row r="297" spans="1:19" ht="15.75" customHeight="1" x14ac:dyDescent="0.3">
      <c r="A297" s="4" t="s">
        <v>660</v>
      </c>
      <c r="B297" s="5" t="str">
        <f>TEXT(Patient_Data!$E297,"mmmm")</f>
        <v>April</v>
      </c>
      <c r="C297" s="6" t="str">
        <f t="shared" si="2"/>
        <v>Apr</v>
      </c>
      <c r="D297" s="6">
        <f>MONTH(Patient_Data!$E297)</f>
        <v>4</v>
      </c>
      <c r="E297" s="7">
        <v>45401</v>
      </c>
      <c r="F297" s="55" t="str">
        <f>TEXT(Patient_Data[[#This Row],[Admission_Date]],"YYYY")</f>
        <v>2024</v>
      </c>
      <c r="G297" s="8" t="s">
        <v>661</v>
      </c>
      <c r="H297" s="14" t="s">
        <v>132</v>
      </c>
      <c r="I297" s="4" t="s">
        <v>29</v>
      </c>
      <c r="J297" s="4">
        <v>9</v>
      </c>
      <c r="K297" s="4" t="s">
        <v>30</v>
      </c>
      <c r="L297" s="8">
        <v>1</v>
      </c>
      <c r="M297" s="9" t="s">
        <v>79</v>
      </c>
      <c r="N297" s="9" t="str">
        <f t="shared" si="3"/>
        <v>PD</v>
      </c>
      <c r="O297" s="10">
        <v>2256.1</v>
      </c>
      <c r="P297" s="10">
        <v>1552.39</v>
      </c>
      <c r="Q297" s="11">
        <v>5.0999999999999996</v>
      </c>
      <c r="R297" s="13" t="str">
        <f>IF(Patient_Data!$L297&lt;2,"Low Risk",IF(Patient_Data!$L297&lt;4,"Moderate Risk","High Risk"))</f>
        <v>Low Risk</v>
      </c>
      <c r="S297" s="12" t="str">
        <f>IF(Patient_Data[[#This Row],[Age]]&lt;=18,"Pediatric",IF(Patient_Data[[#This Row],[Age]]&lt;=64,"Adult","Geriatric"))</f>
        <v>Pediatric</v>
      </c>
    </row>
    <row r="298" spans="1:19" ht="15.75" customHeight="1" x14ac:dyDescent="0.3">
      <c r="A298" s="4" t="s">
        <v>662</v>
      </c>
      <c r="B298" s="5" t="str">
        <f>TEXT(Patient_Data!$E298,"mmmm")</f>
        <v>July</v>
      </c>
      <c r="C298" s="6" t="str">
        <f t="shared" si="2"/>
        <v>Jul</v>
      </c>
      <c r="D298" s="6">
        <f>MONTH(Patient_Data!$E298)</f>
        <v>7</v>
      </c>
      <c r="E298" s="7">
        <v>45502</v>
      </c>
      <c r="F298" s="55" t="str">
        <f>TEXT(Patient_Data[[#This Row],[Admission_Date]],"YYYY")</f>
        <v>2024</v>
      </c>
      <c r="G298" s="8" t="s">
        <v>663</v>
      </c>
      <c r="H298" s="14" t="s">
        <v>53</v>
      </c>
      <c r="I298" s="4" t="s">
        <v>35</v>
      </c>
      <c r="J298" s="4">
        <v>55</v>
      </c>
      <c r="K298" s="4" t="s">
        <v>30</v>
      </c>
      <c r="L298" s="8">
        <v>1</v>
      </c>
      <c r="M298" s="9" t="s">
        <v>36</v>
      </c>
      <c r="N298" s="9" t="str">
        <f t="shared" si="3"/>
        <v>Cardio</v>
      </c>
      <c r="O298" s="10">
        <v>7004.19</v>
      </c>
      <c r="P298" s="10">
        <v>4985.33</v>
      </c>
      <c r="Q298" s="11">
        <v>10.3</v>
      </c>
      <c r="R298" s="13" t="str">
        <f>IF(Patient_Data!$L298&lt;2,"Low Risk",IF(Patient_Data!$L298&lt;4,"Moderate Risk","High Risk"))</f>
        <v>Low Risk</v>
      </c>
      <c r="S298" s="12" t="str">
        <f>IF(Patient_Data[[#This Row],[Age]]&lt;=18,"Pediatric",IF(Patient_Data[[#This Row],[Age]]&lt;=64,"Adult","Geriatric"))</f>
        <v>Adult</v>
      </c>
    </row>
    <row r="299" spans="1:19" ht="15.75" customHeight="1" x14ac:dyDescent="0.3">
      <c r="A299" s="4" t="s">
        <v>664</v>
      </c>
      <c r="B299" s="5" t="str">
        <f>TEXT(Patient_Data!$E299,"mmmm")</f>
        <v>May</v>
      </c>
      <c r="C299" s="6" t="str">
        <f t="shared" si="2"/>
        <v>May</v>
      </c>
      <c r="D299" s="6">
        <f>MONTH(Patient_Data!$E299)</f>
        <v>5</v>
      </c>
      <c r="E299" s="7">
        <v>45804</v>
      </c>
      <c r="F299" s="55" t="str">
        <f>TEXT(Patient_Data[[#This Row],[Admission_Date]],"YYYY")</f>
        <v>2025</v>
      </c>
      <c r="G299" s="8" t="s">
        <v>665</v>
      </c>
      <c r="H299" s="14" t="s">
        <v>53</v>
      </c>
      <c r="I299" s="4" t="s">
        <v>35</v>
      </c>
      <c r="J299" s="4">
        <v>34</v>
      </c>
      <c r="K299" s="4" t="s">
        <v>54</v>
      </c>
      <c r="L299" s="8">
        <v>3</v>
      </c>
      <c r="M299" s="9" t="s">
        <v>83</v>
      </c>
      <c r="N299" s="9" t="str">
        <f t="shared" si="3"/>
        <v>ER</v>
      </c>
      <c r="O299" s="10">
        <v>8130.06</v>
      </c>
      <c r="P299" s="10">
        <v>6050.14</v>
      </c>
      <c r="Q299" s="11">
        <v>14.4</v>
      </c>
      <c r="R299" s="13" t="str">
        <f>IF(Patient_Data!$L299&lt;2,"Low Risk",IF(Patient_Data!$L299&lt;4,"Moderate Risk","High Risk"))</f>
        <v>Moderate Risk</v>
      </c>
      <c r="S299" s="12" t="str">
        <f>IF(Patient_Data[[#This Row],[Age]]&lt;=18,"Pediatric",IF(Patient_Data[[#This Row],[Age]]&lt;=64,"Adult","Geriatric"))</f>
        <v>Adult</v>
      </c>
    </row>
    <row r="300" spans="1:19" ht="15.75" customHeight="1" x14ac:dyDescent="0.3">
      <c r="A300" s="4" t="s">
        <v>666</v>
      </c>
      <c r="B300" s="5" t="str">
        <f>TEXT(Patient_Data!$E300,"mmmm")</f>
        <v>May</v>
      </c>
      <c r="C300" s="6" t="str">
        <f t="shared" si="2"/>
        <v>May</v>
      </c>
      <c r="D300" s="6">
        <f>MONTH(Patient_Data!$E300)</f>
        <v>5</v>
      </c>
      <c r="E300" s="7">
        <v>45805</v>
      </c>
      <c r="F300" s="55" t="str">
        <f>TEXT(Patient_Data[[#This Row],[Admission_Date]],"YYYY")</f>
        <v>2025</v>
      </c>
      <c r="G300" s="8" t="s">
        <v>667</v>
      </c>
      <c r="H300" s="14" t="s">
        <v>28</v>
      </c>
      <c r="I300" s="4" t="s">
        <v>29</v>
      </c>
      <c r="J300" s="4">
        <v>55</v>
      </c>
      <c r="K300" s="4" t="s">
        <v>45</v>
      </c>
      <c r="L300" s="8">
        <v>3</v>
      </c>
      <c r="M300" s="9" t="s">
        <v>46</v>
      </c>
      <c r="N300" s="9" t="str">
        <f t="shared" si="3"/>
        <v>Ortho</v>
      </c>
      <c r="O300" s="10">
        <v>5815.81</v>
      </c>
      <c r="P300" s="10">
        <v>4515.22</v>
      </c>
      <c r="Q300" s="11">
        <v>11.9</v>
      </c>
      <c r="R300" s="13" t="str">
        <f>IF(Patient_Data!$L300&lt;2,"Low Risk",IF(Patient_Data!$L300&lt;4,"Moderate Risk","High Risk"))</f>
        <v>Moderate Risk</v>
      </c>
      <c r="S300" s="12" t="str">
        <f>IF(Patient_Data[[#This Row],[Age]]&lt;=18,"Pediatric",IF(Patient_Data[[#This Row],[Age]]&lt;=64,"Adult","Geriatric"))</f>
        <v>Adult</v>
      </c>
    </row>
    <row r="301" spans="1:19" ht="15.75" customHeight="1" x14ac:dyDescent="0.3">
      <c r="A301" s="4" t="s">
        <v>668</v>
      </c>
      <c r="B301" s="5" t="str">
        <f>TEXT(Patient_Data!$E301,"mmmm")</f>
        <v>October</v>
      </c>
      <c r="C301" s="6" t="str">
        <f t="shared" si="2"/>
        <v>Oct</v>
      </c>
      <c r="D301" s="6">
        <f>MONTH(Patient_Data!$E301)</f>
        <v>10</v>
      </c>
      <c r="E301" s="7">
        <v>45573</v>
      </c>
      <c r="F301" s="55" t="str">
        <f>TEXT(Patient_Data[[#This Row],[Admission_Date]],"YYYY")</f>
        <v>2024</v>
      </c>
      <c r="G301" s="8" t="s">
        <v>669</v>
      </c>
      <c r="H301" s="14" t="s">
        <v>42</v>
      </c>
      <c r="I301" s="4" t="s">
        <v>29</v>
      </c>
      <c r="J301" s="4">
        <v>83</v>
      </c>
      <c r="K301" s="4" t="s">
        <v>30</v>
      </c>
      <c r="L301" s="8">
        <v>2</v>
      </c>
      <c r="M301" s="9" t="s">
        <v>31</v>
      </c>
      <c r="N301" s="9" t="str">
        <f t="shared" si="3"/>
        <v>Neuro</v>
      </c>
      <c r="O301" s="10">
        <v>12252.6</v>
      </c>
      <c r="P301" s="10">
        <v>7188.11</v>
      </c>
      <c r="Q301" s="11">
        <v>10.199999999999999</v>
      </c>
      <c r="R301" s="13" t="str">
        <f>IF(Patient_Data!$L301&lt;2,"Low Risk",IF(Patient_Data!$L301&lt;4,"Moderate Risk","High Risk"))</f>
        <v>Moderate Risk</v>
      </c>
      <c r="S301" s="12" t="str">
        <f>IF(Patient_Data[[#This Row],[Age]]&lt;=18,"Pediatric",IF(Patient_Data[[#This Row],[Age]]&lt;=64,"Adult","Geriatric"))</f>
        <v>Geriatric</v>
      </c>
    </row>
    <row r="302" spans="1:19" ht="15.75" customHeight="1" x14ac:dyDescent="0.3">
      <c r="A302" s="4" t="s">
        <v>670</v>
      </c>
      <c r="B302" s="5" t="str">
        <f>TEXT(Patient_Data!$E302,"mmmm")</f>
        <v>January</v>
      </c>
      <c r="C302" s="6" t="str">
        <f t="shared" si="2"/>
        <v>Jan</v>
      </c>
      <c r="D302" s="6">
        <f>MONTH(Patient_Data!$E302)</f>
        <v>1</v>
      </c>
      <c r="E302" s="7">
        <v>45322</v>
      </c>
      <c r="F302" s="55" t="str">
        <f>TEXT(Patient_Data[[#This Row],[Admission_Date]],"YYYY")</f>
        <v>2024</v>
      </c>
      <c r="G302" s="8" t="s">
        <v>671</v>
      </c>
      <c r="H302" s="14" t="s">
        <v>236</v>
      </c>
      <c r="I302" s="4" t="s">
        <v>35</v>
      </c>
      <c r="J302" s="4">
        <v>62</v>
      </c>
      <c r="K302" s="4" t="s">
        <v>30</v>
      </c>
      <c r="L302" s="8">
        <v>1</v>
      </c>
      <c r="M302" s="9" t="s">
        <v>39</v>
      </c>
      <c r="N302" s="9" t="str">
        <f t="shared" si="3"/>
        <v>GM</v>
      </c>
      <c r="O302" s="10">
        <v>2793.35</v>
      </c>
      <c r="P302" s="10">
        <v>1753.54</v>
      </c>
      <c r="Q302" s="11">
        <v>6.2</v>
      </c>
      <c r="R302" s="13" t="str">
        <f>IF(Patient_Data!$L302&lt;2,"Low Risk",IF(Patient_Data!$L302&lt;4,"Moderate Risk","High Risk"))</f>
        <v>Low Risk</v>
      </c>
      <c r="S302" s="12" t="str">
        <f>IF(Patient_Data[[#This Row],[Age]]&lt;=18,"Pediatric",IF(Patient_Data[[#This Row],[Age]]&lt;=64,"Adult","Geriatric"))</f>
        <v>Adult</v>
      </c>
    </row>
    <row r="303" spans="1:19" ht="15.75" customHeight="1" x14ac:dyDescent="0.3">
      <c r="A303" s="4" t="s">
        <v>672</v>
      </c>
      <c r="B303" s="5" t="str">
        <f>TEXT(Patient_Data!$E303,"mmmm")</f>
        <v>January</v>
      </c>
      <c r="C303" s="6" t="str">
        <f t="shared" si="2"/>
        <v>Jan</v>
      </c>
      <c r="D303" s="6">
        <f>MONTH(Patient_Data!$E303)</f>
        <v>1</v>
      </c>
      <c r="E303" s="7">
        <v>45664</v>
      </c>
      <c r="F303" s="55" t="str">
        <f>TEXT(Patient_Data[[#This Row],[Admission_Date]],"YYYY")</f>
        <v>2025</v>
      </c>
      <c r="G303" s="8" t="s">
        <v>673</v>
      </c>
      <c r="H303" s="14" t="s">
        <v>674</v>
      </c>
      <c r="I303" s="4" t="s">
        <v>29</v>
      </c>
      <c r="J303" s="4">
        <v>66</v>
      </c>
      <c r="K303" s="4" t="s">
        <v>30</v>
      </c>
      <c r="L303" s="8">
        <v>2</v>
      </c>
      <c r="M303" s="9" t="s">
        <v>83</v>
      </c>
      <c r="N303" s="9" t="str">
        <f t="shared" si="3"/>
        <v>ER</v>
      </c>
      <c r="O303" s="10">
        <v>9430.85</v>
      </c>
      <c r="P303" s="10">
        <v>6212.54</v>
      </c>
      <c r="Q303" s="11">
        <v>22.1</v>
      </c>
      <c r="R303" s="13" t="str">
        <f>IF(Patient_Data!$L303&lt;2,"Low Risk",IF(Patient_Data!$L303&lt;4,"Moderate Risk","High Risk"))</f>
        <v>Moderate Risk</v>
      </c>
      <c r="S303" s="12" t="str">
        <f>IF(Patient_Data[[#This Row],[Age]]&lt;=18,"Pediatric",IF(Patient_Data[[#This Row],[Age]]&lt;=64,"Adult","Geriatric"))</f>
        <v>Geriatric</v>
      </c>
    </row>
    <row r="304" spans="1:19" ht="15.75" customHeight="1" x14ac:dyDescent="0.3">
      <c r="A304" s="4" t="s">
        <v>675</v>
      </c>
      <c r="B304" s="5" t="str">
        <f>TEXT(Patient_Data!$E304,"mmmm")</f>
        <v>May</v>
      </c>
      <c r="C304" s="6" t="str">
        <f t="shared" si="2"/>
        <v>May</v>
      </c>
      <c r="D304" s="6">
        <f>MONTH(Patient_Data!$E304)</f>
        <v>5</v>
      </c>
      <c r="E304" s="7">
        <v>45784</v>
      </c>
      <c r="F304" s="55" t="str">
        <f>TEXT(Patient_Data[[#This Row],[Admission_Date]],"YYYY")</f>
        <v>2025</v>
      </c>
      <c r="G304" s="8" t="s">
        <v>676</v>
      </c>
      <c r="H304" s="14" t="s">
        <v>111</v>
      </c>
      <c r="I304" s="4" t="s">
        <v>29</v>
      </c>
      <c r="J304" s="4">
        <v>79</v>
      </c>
      <c r="K304" s="4" t="s">
        <v>30</v>
      </c>
      <c r="L304" s="8">
        <v>3</v>
      </c>
      <c r="M304" s="9" t="s">
        <v>50</v>
      </c>
      <c r="N304" s="9" t="str">
        <f t="shared" si="3"/>
        <v>ICU</v>
      </c>
      <c r="O304" s="10">
        <v>12302.12</v>
      </c>
      <c r="P304" s="10">
        <v>8352.02</v>
      </c>
      <c r="Q304" s="11">
        <v>13.7</v>
      </c>
      <c r="R304" s="13" t="str">
        <f>IF(Patient_Data!$L304&lt;2,"Low Risk",IF(Patient_Data!$L304&lt;4,"Moderate Risk","High Risk"))</f>
        <v>Moderate Risk</v>
      </c>
      <c r="S304" s="12" t="str">
        <f>IF(Patient_Data[[#This Row],[Age]]&lt;=18,"Pediatric",IF(Patient_Data[[#This Row],[Age]]&lt;=64,"Adult","Geriatric"))</f>
        <v>Geriatric</v>
      </c>
    </row>
    <row r="305" spans="1:19" ht="15.75" customHeight="1" x14ac:dyDescent="0.3">
      <c r="A305" s="4" t="s">
        <v>677</v>
      </c>
      <c r="B305" s="5" t="str">
        <f>TEXT(Patient_Data!$E305,"mmmm")</f>
        <v>May</v>
      </c>
      <c r="C305" s="6" t="str">
        <f t="shared" si="2"/>
        <v>May</v>
      </c>
      <c r="D305" s="6">
        <f>MONTH(Patient_Data!$E305)</f>
        <v>5</v>
      </c>
      <c r="E305" s="7">
        <v>45414</v>
      </c>
      <c r="F305" s="55" t="str">
        <f>TEXT(Patient_Data[[#This Row],[Admission_Date]],"YYYY")</f>
        <v>2024</v>
      </c>
      <c r="G305" s="8" t="s">
        <v>678</v>
      </c>
      <c r="H305" s="14" t="s">
        <v>34</v>
      </c>
      <c r="I305" s="4" t="s">
        <v>29</v>
      </c>
      <c r="J305" s="4">
        <v>55</v>
      </c>
      <c r="K305" s="4" t="s">
        <v>54</v>
      </c>
      <c r="L305" s="8">
        <v>5</v>
      </c>
      <c r="M305" s="9" t="s">
        <v>50</v>
      </c>
      <c r="N305" s="9" t="str">
        <f t="shared" si="3"/>
        <v>ICU</v>
      </c>
      <c r="O305" s="10">
        <v>11401.87</v>
      </c>
      <c r="P305" s="10">
        <v>8116.51</v>
      </c>
      <c r="Q305" s="11">
        <v>16.899999999999999</v>
      </c>
      <c r="R305" s="13" t="str">
        <f>IF(Patient_Data!$L305&lt;2,"Low Risk",IF(Patient_Data!$L305&lt;4,"Moderate Risk","High Risk"))</f>
        <v>High Risk</v>
      </c>
      <c r="S305" s="12" t="str">
        <f>IF(Patient_Data[[#This Row],[Age]]&lt;=18,"Pediatric",IF(Patient_Data[[#This Row],[Age]]&lt;=64,"Adult","Geriatric"))</f>
        <v>Adult</v>
      </c>
    </row>
    <row r="306" spans="1:19" ht="15.75" customHeight="1" x14ac:dyDescent="0.3">
      <c r="A306" s="4" t="s">
        <v>679</v>
      </c>
      <c r="B306" s="5" t="str">
        <f>TEXT(Patient_Data!$E306,"mmmm")</f>
        <v>November</v>
      </c>
      <c r="C306" s="6" t="str">
        <f t="shared" si="2"/>
        <v>Nov</v>
      </c>
      <c r="D306" s="6">
        <f>MONTH(Patient_Data!$E306)</f>
        <v>11</v>
      </c>
      <c r="E306" s="7">
        <v>45251</v>
      </c>
      <c r="F306" s="55" t="str">
        <f>TEXT(Patient_Data[[#This Row],[Admission_Date]],"YYYY")</f>
        <v>2023</v>
      </c>
      <c r="G306" s="8" t="s">
        <v>680</v>
      </c>
      <c r="H306" s="14" t="s">
        <v>69</v>
      </c>
      <c r="I306" s="4" t="s">
        <v>29</v>
      </c>
      <c r="J306" s="4">
        <v>35</v>
      </c>
      <c r="K306" s="4" t="s">
        <v>54</v>
      </c>
      <c r="L306" s="8">
        <v>3</v>
      </c>
      <c r="M306" s="9" t="s">
        <v>72</v>
      </c>
      <c r="N306" s="9" t="str">
        <f t="shared" si="3"/>
        <v>Surgery</v>
      </c>
      <c r="O306" s="10">
        <v>17372.88</v>
      </c>
      <c r="P306" s="10">
        <v>12778.2</v>
      </c>
      <c r="Q306" s="11">
        <v>12</v>
      </c>
      <c r="R306" s="13" t="str">
        <f>IF(Patient_Data!$L306&lt;2,"Low Risk",IF(Patient_Data!$L306&lt;4,"Moderate Risk","High Risk"))</f>
        <v>Moderate Risk</v>
      </c>
      <c r="S306" s="12" t="str">
        <f>IF(Patient_Data[[#This Row],[Age]]&lt;=18,"Pediatric",IF(Patient_Data[[#This Row],[Age]]&lt;=64,"Adult","Geriatric"))</f>
        <v>Adult</v>
      </c>
    </row>
    <row r="307" spans="1:19" ht="15.75" customHeight="1" x14ac:dyDescent="0.3">
      <c r="A307" s="4" t="s">
        <v>681</v>
      </c>
      <c r="B307" s="5" t="str">
        <f>TEXT(Patient_Data!$E307,"mmmm")</f>
        <v>September</v>
      </c>
      <c r="C307" s="6" t="str">
        <f t="shared" si="2"/>
        <v>Sep</v>
      </c>
      <c r="D307" s="6">
        <f>MONTH(Patient_Data!$E307)</f>
        <v>9</v>
      </c>
      <c r="E307" s="7">
        <v>45925</v>
      </c>
      <c r="F307" s="55" t="str">
        <f>TEXT(Patient_Data[[#This Row],[Admission_Date]],"YYYY")</f>
        <v>2025</v>
      </c>
      <c r="G307" s="8" t="s">
        <v>682</v>
      </c>
      <c r="H307" s="14" t="s">
        <v>683</v>
      </c>
      <c r="I307" s="4" t="s">
        <v>35</v>
      </c>
      <c r="J307" s="4">
        <v>94</v>
      </c>
      <c r="K307" s="4" t="s">
        <v>45</v>
      </c>
      <c r="L307" s="8">
        <v>4</v>
      </c>
      <c r="M307" s="9" t="s">
        <v>50</v>
      </c>
      <c r="N307" s="9" t="str">
        <f t="shared" si="3"/>
        <v>ICU</v>
      </c>
      <c r="O307" s="10">
        <v>11204.49</v>
      </c>
      <c r="P307" s="10">
        <v>8587.41</v>
      </c>
      <c r="Q307" s="11">
        <v>9</v>
      </c>
      <c r="R307" s="13" t="str">
        <f>IF(Patient_Data!$L307&lt;2,"Low Risk",IF(Patient_Data!$L307&lt;4,"Moderate Risk","High Risk"))</f>
        <v>High Risk</v>
      </c>
      <c r="S307" s="12" t="str">
        <f>IF(Patient_Data[[#This Row],[Age]]&lt;=18,"Pediatric",IF(Patient_Data[[#This Row],[Age]]&lt;=64,"Adult","Geriatric"))</f>
        <v>Geriatric</v>
      </c>
    </row>
    <row r="308" spans="1:19" ht="15.75" customHeight="1" x14ac:dyDescent="0.3">
      <c r="A308" s="4" t="s">
        <v>684</v>
      </c>
      <c r="B308" s="5" t="str">
        <f>TEXT(Patient_Data!$E308,"mmmm")</f>
        <v>January</v>
      </c>
      <c r="C308" s="6" t="str">
        <f t="shared" si="2"/>
        <v>Jan</v>
      </c>
      <c r="D308" s="6">
        <f>MONTH(Patient_Data!$E308)</f>
        <v>1</v>
      </c>
      <c r="E308" s="7">
        <v>45308</v>
      </c>
      <c r="F308" s="55" t="str">
        <f>TEXT(Patient_Data[[#This Row],[Admission_Date]],"YYYY")</f>
        <v>2024</v>
      </c>
      <c r="G308" s="8" t="s">
        <v>685</v>
      </c>
      <c r="H308" s="14" t="s">
        <v>34</v>
      </c>
      <c r="I308" s="4" t="s">
        <v>29</v>
      </c>
      <c r="J308" s="4">
        <v>93</v>
      </c>
      <c r="K308" s="4" t="s">
        <v>45</v>
      </c>
      <c r="L308" s="8">
        <v>3</v>
      </c>
      <c r="M308" s="9" t="s">
        <v>46</v>
      </c>
      <c r="N308" s="9" t="str">
        <f t="shared" si="3"/>
        <v>Ortho</v>
      </c>
      <c r="O308" s="10">
        <v>8651.2199999999993</v>
      </c>
      <c r="P308" s="10">
        <v>5035.3100000000004</v>
      </c>
      <c r="Q308" s="11">
        <v>2.2000000000000002</v>
      </c>
      <c r="R308" s="13" t="str">
        <f>IF(Patient_Data!$L308&lt;2,"Low Risk",IF(Patient_Data!$L308&lt;4,"Moderate Risk","High Risk"))</f>
        <v>Moderate Risk</v>
      </c>
      <c r="S308" s="12" t="str">
        <f>IF(Patient_Data[[#This Row],[Age]]&lt;=18,"Pediatric",IF(Patient_Data[[#This Row],[Age]]&lt;=64,"Adult","Geriatric"))</f>
        <v>Geriatric</v>
      </c>
    </row>
    <row r="309" spans="1:19" ht="15.75" customHeight="1" x14ac:dyDescent="0.3">
      <c r="A309" s="4" t="s">
        <v>686</v>
      </c>
      <c r="B309" s="5" t="str">
        <f>TEXT(Patient_Data!$E309,"mmmm")</f>
        <v>June</v>
      </c>
      <c r="C309" s="6" t="str">
        <f t="shared" si="2"/>
        <v>Jun</v>
      </c>
      <c r="D309" s="6">
        <f>MONTH(Patient_Data!$E309)</f>
        <v>6</v>
      </c>
      <c r="E309" s="7">
        <v>46203</v>
      </c>
      <c r="F309" s="55" t="str">
        <f>TEXT(Patient_Data[[#This Row],[Admission_Date]],"YYYY")</f>
        <v>2026</v>
      </c>
      <c r="G309" s="8" t="s">
        <v>687</v>
      </c>
      <c r="H309" s="14" t="s">
        <v>42</v>
      </c>
      <c r="I309" s="4" t="s">
        <v>29</v>
      </c>
      <c r="J309" s="4">
        <v>14</v>
      </c>
      <c r="K309" s="4" t="s">
        <v>30</v>
      </c>
      <c r="L309" s="8">
        <v>1</v>
      </c>
      <c r="M309" s="9" t="s">
        <v>79</v>
      </c>
      <c r="N309" s="9" t="str">
        <f t="shared" si="3"/>
        <v>PD</v>
      </c>
      <c r="O309" s="10">
        <v>2497.21</v>
      </c>
      <c r="P309" s="10">
        <v>1561.7</v>
      </c>
      <c r="Q309" s="11">
        <v>4.8</v>
      </c>
      <c r="R309" s="13" t="str">
        <f>IF(Patient_Data!$L309&lt;2,"Low Risk",IF(Patient_Data!$L309&lt;4,"Moderate Risk","High Risk"))</f>
        <v>Low Risk</v>
      </c>
      <c r="S309" s="12" t="str">
        <f>IF(Patient_Data[[#This Row],[Age]]&lt;=18,"Pediatric",IF(Patient_Data[[#This Row],[Age]]&lt;=64,"Adult","Geriatric"))</f>
        <v>Pediatric</v>
      </c>
    </row>
    <row r="310" spans="1:19" ht="15.75" customHeight="1" x14ac:dyDescent="0.3">
      <c r="A310" s="4" t="s">
        <v>688</v>
      </c>
      <c r="B310" s="5" t="str">
        <f>TEXT(Patient_Data!$E310,"mmmm")</f>
        <v>July</v>
      </c>
      <c r="C310" s="6" t="str">
        <f t="shared" si="2"/>
        <v>Jul</v>
      </c>
      <c r="D310" s="6">
        <f>MONTH(Patient_Data!$E310)</f>
        <v>7</v>
      </c>
      <c r="E310" s="7">
        <v>45865</v>
      </c>
      <c r="F310" s="55" t="str">
        <f>TEXT(Patient_Data[[#This Row],[Admission_Date]],"YYYY")</f>
        <v>2025</v>
      </c>
      <c r="G310" s="8" t="s">
        <v>689</v>
      </c>
      <c r="H310" s="14" t="s">
        <v>223</v>
      </c>
      <c r="I310" s="4" t="s">
        <v>29</v>
      </c>
      <c r="J310" s="4">
        <v>54</v>
      </c>
      <c r="K310" s="4" t="s">
        <v>54</v>
      </c>
      <c r="L310" s="8">
        <v>4</v>
      </c>
      <c r="M310" s="9" t="s">
        <v>72</v>
      </c>
      <c r="N310" s="9" t="str">
        <f t="shared" si="3"/>
        <v>Surgery</v>
      </c>
      <c r="O310" s="10">
        <v>17919.349999999999</v>
      </c>
      <c r="P310" s="10">
        <v>11511.58</v>
      </c>
      <c r="Q310" s="11">
        <v>5.4</v>
      </c>
      <c r="R310" s="13" t="str">
        <f>IF(Patient_Data!$L310&lt;2,"Low Risk",IF(Patient_Data!$L310&lt;4,"Moderate Risk","High Risk"))</f>
        <v>High Risk</v>
      </c>
      <c r="S310" s="12" t="str">
        <f>IF(Patient_Data[[#This Row],[Age]]&lt;=18,"Pediatric",IF(Patient_Data[[#This Row],[Age]]&lt;=64,"Adult","Geriatric"))</f>
        <v>Adult</v>
      </c>
    </row>
    <row r="311" spans="1:19" ht="15.75" customHeight="1" x14ac:dyDescent="0.3">
      <c r="A311" s="4" t="s">
        <v>690</v>
      </c>
      <c r="B311" s="5" t="str">
        <f>TEXT(Patient_Data!$E311,"mmmm")</f>
        <v>January</v>
      </c>
      <c r="C311" s="6" t="str">
        <f t="shared" si="2"/>
        <v>Jan</v>
      </c>
      <c r="D311" s="6">
        <f>MONTH(Patient_Data!$E311)</f>
        <v>1</v>
      </c>
      <c r="E311" s="7">
        <v>46027</v>
      </c>
      <c r="F311" s="55" t="str">
        <f>TEXT(Patient_Data[[#This Row],[Admission_Date]],"YYYY")</f>
        <v>2026</v>
      </c>
      <c r="G311" s="8" t="s">
        <v>691</v>
      </c>
      <c r="H311" s="14" t="s">
        <v>28</v>
      </c>
      <c r="I311" s="4" t="s">
        <v>29</v>
      </c>
      <c r="J311" s="4">
        <v>84</v>
      </c>
      <c r="K311" s="4" t="s">
        <v>45</v>
      </c>
      <c r="L311" s="8">
        <v>4</v>
      </c>
      <c r="M311" s="9" t="s">
        <v>50</v>
      </c>
      <c r="N311" s="9" t="str">
        <f t="shared" si="3"/>
        <v>ICU</v>
      </c>
      <c r="O311" s="10">
        <v>18269.14</v>
      </c>
      <c r="P311" s="10">
        <v>12325.12</v>
      </c>
      <c r="Q311" s="11">
        <v>10.6</v>
      </c>
      <c r="R311" s="13" t="str">
        <f>IF(Patient_Data!$L311&lt;2,"Low Risk",IF(Patient_Data!$L311&lt;4,"Moderate Risk","High Risk"))</f>
        <v>High Risk</v>
      </c>
      <c r="S311" s="12" t="str">
        <f>IF(Patient_Data[[#This Row],[Age]]&lt;=18,"Pediatric",IF(Patient_Data[[#This Row],[Age]]&lt;=64,"Adult","Geriatric"))</f>
        <v>Geriatric</v>
      </c>
    </row>
    <row r="312" spans="1:19" ht="15.75" customHeight="1" x14ac:dyDescent="0.3">
      <c r="A312" s="4" t="s">
        <v>692</v>
      </c>
      <c r="B312" s="5" t="str">
        <f>TEXT(Patient_Data!$E312,"mmmm")</f>
        <v>May</v>
      </c>
      <c r="C312" s="6" t="str">
        <f t="shared" si="2"/>
        <v>May</v>
      </c>
      <c r="D312" s="6">
        <f>MONTH(Patient_Data!$E312)</f>
        <v>5</v>
      </c>
      <c r="E312" s="7">
        <v>46170</v>
      </c>
      <c r="F312" s="55" t="str">
        <f>TEXT(Patient_Data[[#This Row],[Admission_Date]],"YYYY")</f>
        <v>2026</v>
      </c>
      <c r="G312" s="8" t="s">
        <v>693</v>
      </c>
      <c r="H312" s="14" t="s">
        <v>674</v>
      </c>
      <c r="I312" s="4" t="s">
        <v>29</v>
      </c>
      <c r="J312" s="4">
        <v>56</v>
      </c>
      <c r="K312" s="4" t="s">
        <v>30</v>
      </c>
      <c r="L312" s="8">
        <v>1</v>
      </c>
      <c r="M312" s="9" t="s">
        <v>36</v>
      </c>
      <c r="N312" s="9" t="str">
        <f t="shared" si="3"/>
        <v>Cardio</v>
      </c>
      <c r="O312" s="10">
        <v>6991.71</v>
      </c>
      <c r="P312" s="10">
        <v>4925.3999999999996</v>
      </c>
      <c r="Q312" s="11">
        <v>3.9</v>
      </c>
      <c r="R312" s="13" t="str">
        <f>IF(Patient_Data!$L312&lt;2,"Low Risk",IF(Patient_Data!$L312&lt;4,"Moderate Risk","High Risk"))</f>
        <v>Low Risk</v>
      </c>
      <c r="S312" s="12" t="str">
        <f>IF(Patient_Data[[#This Row],[Age]]&lt;=18,"Pediatric",IF(Patient_Data[[#This Row],[Age]]&lt;=64,"Adult","Geriatric"))</f>
        <v>Adult</v>
      </c>
    </row>
    <row r="313" spans="1:19" ht="15.75" customHeight="1" x14ac:dyDescent="0.3">
      <c r="A313" s="4" t="s">
        <v>694</v>
      </c>
      <c r="B313" s="5" t="str">
        <f>TEXT(Patient_Data!$E313,"mmmm")</f>
        <v>April</v>
      </c>
      <c r="C313" s="6" t="str">
        <f t="shared" si="2"/>
        <v>Apr</v>
      </c>
      <c r="D313" s="6">
        <f>MONTH(Patient_Data!$E313)</f>
        <v>4</v>
      </c>
      <c r="E313" s="7">
        <v>45383</v>
      </c>
      <c r="F313" s="55" t="str">
        <f>TEXT(Patient_Data[[#This Row],[Admission_Date]],"YYYY")</f>
        <v>2024</v>
      </c>
      <c r="G313" s="8" t="s">
        <v>695</v>
      </c>
      <c r="H313" s="14" t="s">
        <v>116</v>
      </c>
      <c r="I313" s="4" t="s">
        <v>35</v>
      </c>
      <c r="J313" s="4">
        <v>32</v>
      </c>
      <c r="K313" s="4" t="s">
        <v>54</v>
      </c>
      <c r="L313" s="8">
        <v>4</v>
      </c>
      <c r="M313" s="9" t="s">
        <v>83</v>
      </c>
      <c r="N313" s="9" t="str">
        <f t="shared" si="3"/>
        <v>ER</v>
      </c>
      <c r="O313" s="10">
        <v>5718.4</v>
      </c>
      <c r="P313" s="10">
        <v>4308.03</v>
      </c>
      <c r="Q313" s="11">
        <v>16.7</v>
      </c>
      <c r="R313" s="13" t="str">
        <f>IF(Patient_Data!$L313&lt;2,"Low Risk",IF(Patient_Data!$L313&lt;4,"Moderate Risk","High Risk"))</f>
        <v>High Risk</v>
      </c>
      <c r="S313" s="12" t="str">
        <f>IF(Patient_Data[[#This Row],[Age]]&lt;=18,"Pediatric",IF(Patient_Data[[#This Row],[Age]]&lt;=64,"Adult","Geriatric"))</f>
        <v>Adult</v>
      </c>
    </row>
    <row r="314" spans="1:19" ht="15.75" customHeight="1" x14ac:dyDescent="0.3">
      <c r="A314" s="4" t="s">
        <v>696</v>
      </c>
      <c r="B314" s="5" t="str">
        <f>TEXT(Patient_Data!$E314,"mmmm")</f>
        <v>March</v>
      </c>
      <c r="C314" s="6" t="str">
        <f t="shared" si="2"/>
        <v>Mar</v>
      </c>
      <c r="D314" s="6">
        <f>MONTH(Patient_Data!$E314)</f>
        <v>3</v>
      </c>
      <c r="E314" s="7">
        <v>46108</v>
      </c>
      <c r="F314" s="55" t="str">
        <f>TEXT(Patient_Data[[#This Row],[Admission_Date]],"YYYY")</f>
        <v>2026</v>
      </c>
      <c r="G314" s="8" t="s">
        <v>697</v>
      </c>
      <c r="H314" s="14" t="s">
        <v>98</v>
      </c>
      <c r="I314" s="4" t="s">
        <v>35</v>
      </c>
      <c r="J314" s="4">
        <v>38</v>
      </c>
      <c r="K314" s="4" t="s">
        <v>45</v>
      </c>
      <c r="L314" s="8">
        <v>1</v>
      </c>
      <c r="M314" s="9" t="s">
        <v>39</v>
      </c>
      <c r="N314" s="9" t="str">
        <f t="shared" si="3"/>
        <v>GM</v>
      </c>
      <c r="O314" s="10">
        <v>2874.63</v>
      </c>
      <c r="P314" s="10">
        <v>2237.52</v>
      </c>
      <c r="Q314" s="11">
        <v>6.6</v>
      </c>
      <c r="R314" s="13" t="str">
        <f>IF(Patient_Data!$L314&lt;2,"Low Risk",IF(Patient_Data!$L314&lt;4,"Moderate Risk","High Risk"))</f>
        <v>Low Risk</v>
      </c>
      <c r="S314" s="12" t="str">
        <f>IF(Patient_Data[[#This Row],[Age]]&lt;=18,"Pediatric",IF(Patient_Data[[#This Row],[Age]]&lt;=64,"Adult","Geriatric"))</f>
        <v>Adult</v>
      </c>
    </row>
    <row r="315" spans="1:19" ht="15.75" customHeight="1" x14ac:dyDescent="0.3">
      <c r="A315" s="4" t="s">
        <v>698</v>
      </c>
      <c r="B315" s="5" t="str">
        <f>TEXT(Patient_Data!$E315,"mmmm")</f>
        <v>March</v>
      </c>
      <c r="C315" s="6" t="str">
        <f t="shared" si="2"/>
        <v>Mar</v>
      </c>
      <c r="D315" s="6">
        <f>MONTH(Patient_Data!$E315)</f>
        <v>3</v>
      </c>
      <c r="E315" s="7">
        <v>45720</v>
      </c>
      <c r="F315" s="55" t="str">
        <f>TEXT(Patient_Data[[#This Row],[Admission_Date]],"YYYY")</f>
        <v>2025</v>
      </c>
      <c r="G315" s="8" t="s">
        <v>699</v>
      </c>
      <c r="H315" s="14" t="s">
        <v>28</v>
      </c>
      <c r="I315" s="4" t="s">
        <v>35</v>
      </c>
      <c r="J315" s="4">
        <v>82</v>
      </c>
      <c r="K315" s="4" t="s">
        <v>30</v>
      </c>
      <c r="L315" s="8">
        <v>1</v>
      </c>
      <c r="M315" s="9" t="s">
        <v>36</v>
      </c>
      <c r="N315" s="9" t="str">
        <f t="shared" si="3"/>
        <v>Cardio</v>
      </c>
      <c r="O315" s="10">
        <v>9004.98</v>
      </c>
      <c r="P315" s="10">
        <v>5298.09</v>
      </c>
      <c r="Q315" s="11">
        <v>9.4</v>
      </c>
      <c r="R315" s="13" t="str">
        <f>IF(Patient_Data!$L315&lt;2,"Low Risk",IF(Patient_Data!$L315&lt;4,"Moderate Risk","High Risk"))</f>
        <v>Low Risk</v>
      </c>
      <c r="S315" s="12" t="str">
        <f>IF(Patient_Data[[#This Row],[Age]]&lt;=18,"Pediatric",IF(Patient_Data[[#This Row],[Age]]&lt;=64,"Adult","Geriatric"))</f>
        <v>Geriatric</v>
      </c>
    </row>
    <row r="316" spans="1:19" ht="15.75" customHeight="1" x14ac:dyDescent="0.3">
      <c r="A316" s="4" t="s">
        <v>700</v>
      </c>
      <c r="B316" s="5" t="str">
        <f>TEXT(Patient_Data!$E316,"mmmm")</f>
        <v>May</v>
      </c>
      <c r="C316" s="6" t="str">
        <f t="shared" si="2"/>
        <v>May</v>
      </c>
      <c r="D316" s="6">
        <f>MONTH(Patient_Data!$E316)</f>
        <v>5</v>
      </c>
      <c r="E316" s="7">
        <v>46157</v>
      </c>
      <c r="F316" s="55" t="str">
        <f>TEXT(Patient_Data[[#This Row],[Admission_Date]],"YYYY")</f>
        <v>2026</v>
      </c>
      <c r="G316" s="8" t="s">
        <v>701</v>
      </c>
      <c r="H316" s="14" t="s">
        <v>82</v>
      </c>
      <c r="I316" s="4" t="s">
        <v>29</v>
      </c>
      <c r="J316" s="4">
        <v>48</v>
      </c>
      <c r="K316" s="4" t="s">
        <v>30</v>
      </c>
      <c r="L316" s="8">
        <v>1</v>
      </c>
      <c r="M316" s="9" t="s">
        <v>36</v>
      </c>
      <c r="N316" s="9" t="str">
        <f t="shared" si="3"/>
        <v>Cardio</v>
      </c>
      <c r="O316" s="10">
        <v>8314.86</v>
      </c>
      <c r="P316" s="10">
        <v>5163.26</v>
      </c>
      <c r="Q316" s="11">
        <v>11.4</v>
      </c>
      <c r="R316" s="13" t="str">
        <f>IF(Patient_Data!$L316&lt;2,"Low Risk",IF(Patient_Data!$L316&lt;4,"Moderate Risk","High Risk"))</f>
        <v>Low Risk</v>
      </c>
      <c r="S316" s="12" t="str">
        <f>IF(Patient_Data[[#This Row],[Age]]&lt;=18,"Pediatric",IF(Patient_Data[[#This Row],[Age]]&lt;=64,"Adult","Geriatric"))</f>
        <v>Adult</v>
      </c>
    </row>
    <row r="317" spans="1:19" ht="15.75" customHeight="1" x14ac:dyDescent="0.3">
      <c r="A317" s="4" t="s">
        <v>702</v>
      </c>
      <c r="B317" s="5" t="str">
        <f>TEXT(Patient_Data!$E317,"mmmm")</f>
        <v>April</v>
      </c>
      <c r="C317" s="6" t="str">
        <f t="shared" si="2"/>
        <v>Apr</v>
      </c>
      <c r="D317" s="6">
        <f>MONTH(Patient_Data!$E317)</f>
        <v>4</v>
      </c>
      <c r="E317" s="7">
        <v>46119</v>
      </c>
      <c r="F317" s="55" t="str">
        <f>TEXT(Patient_Data[[#This Row],[Admission_Date]],"YYYY")</f>
        <v>2026</v>
      </c>
      <c r="G317" s="8" t="s">
        <v>703</v>
      </c>
      <c r="H317" s="14" t="s">
        <v>28</v>
      </c>
      <c r="I317" s="4" t="s">
        <v>29</v>
      </c>
      <c r="J317" s="4">
        <v>48</v>
      </c>
      <c r="K317" s="4" t="s">
        <v>30</v>
      </c>
      <c r="L317" s="8">
        <v>1</v>
      </c>
      <c r="M317" s="9" t="s">
        <v>31</v>
      </c>
      <c r="N317" s="9" t="str">
        <f t="shared" si="3"/>
        <v>Neuro</v>
      </c>
      <c r="O317" s="10">
        <v>6810.65</v>
      </c>
      <c r="P317" s="10">
        <v>4452.42</v>
      </c>
      <c r="Q317" s="11">
        <v>11.7</v>
      </c>
      <c r="R317" s="13" t="str">
        <f>IF(Patient_Data!$L317&lt;2,"Low Risk",IF(Patient_Data!$L317&lt;4,"Moderate Risk","High Risk"))</f>
        <v>Low Risk</v>
      </c>
      <c r="S317" s="12" t="str">
        <f>IF(Patient_Data[[#This Row],[Age]]&lt;=18,"Pediatric",IF(Patient_Data[[#This Row],[Age]]&lt;=64,"Adult","Geriatric"))</f>
        <v>Adult</v>
      </c>
    </row>
    <row r="318" spans="1:19" ht="15.75" customHeight="1" x14ac:dyDescent="0.3">
      <c r="A318" s="4" t="s">
        <v>704</v>
      </c>
      <c r="B318" s="5" t="str">
        <f>TEXT(Patient_Data!$E318,"mmmm")</f>
        <v>February</v>
      </c>
      <c r="C318" s="6" t="str">
        <f t="shared" si="2"/>
        <v>Feb</v>
      </c>
      <c r="D318" s="6">
        <f>MONTH(Patient_Data!$E318)</f>
        <v>2</v>
      </c>
      <c r="E318" s="7">
        <v>46059</v>
      </c>
      <c r="F318" s="55" t="str">
        <f>TEXT(Patient_Data[[#This Row],[Admission_Date]],"YYYY")</f>
        <v>2026</v>
      </c>
      <c r="G318" s="8" t="s">
        <v>705</v>
      </c>
      <c r="H318" s="14" t="s">
        <v>170</v>
      </c>
      <c r="I318" s="4" t="s">
        <v>35</v>
      </c>
      <c r="J318" s="4">
        <v>13</v>
      </c>
      <c r="K318" s="4" t="s">
        <v>45</v>
      </c>
      <c r="L318" s="8">
        <v>3</v>
      </c>
      <c r="M318" s="9" t="s">
        <v>79</v>
      </c>
      <c r="N318" s="9" t="str">
        <f t="shared" si="3"/>
        <v>PD</v>
      </c>
      <c r="O318" s="10">
        <v>2321.41</v>
      </c>
      <c r="P318" s="10">
        <v>1574.54</v>
      </c>
      <c r="Q318" s="11">
        <v>2.4</v>
      </c>
      <c r="R318" s="13" t="str">
        <f>IF(Patient_Data!$L318&lt;2,"Low Risk",IF(Patient_Data!$L318&lt;4,"Moderate Risk","High Risk"))</f>
        <v>Moderate Risk</v>
      </c>
      <c r="S318" s="12" t="str">
        <f>IF(Patient_Data[[#This Row],[Age]]&lt;=18,"Pediatric",IF(Patient_Data[[#This Row],[Age]]&lt;=64,"Adult","Geriatric"))</f>
        <v>Pediatric</v>
      </c>
    </row>
    <row r="319" spans="1:19" ht="15.75" customHeight="1" x14ac:dyDescent="0.3">
      <c r="A319" s="4" t="s">
        <v>706</v>
      </c>
      <c r="B319" s="5" t="str">
        <f>TEXT(Patient_Data!$E319,"mmmm")</f>
        <v>February</v>
      </c>
      <c r="C319" s="6" t="str">
        <f t="shared" si="2"/>
        <v>Feb</v>
      </c>
      <c r="D319" s="6">
        <f>MONTH(Patient_Data!$E319)</f>
        <v>2</v>
      </c>
      <c r="E319" s="7">
        <v>45716</v>
      </c>
      <c r="F319" s="55" t="str">
        <f>TEXT(Patient_Data[[#This Row],[Admission_Date]],"YYYY")</f>
        <v>2025</v>
      </c>
      <c r="G319" s="8" t="s">
        <v>707</v>
      </c>
      <c r="H319" s="14" t="s">
        <v>708</v>
      </c>
      <c r="I319" s="4" t="s">
        <v>29</v>
      </c>
      <c r="J319" s="4">
        <v>76</v>
      </c>
      <c r="K319" s="4" t="s">
        <v>30</v>
      </c>
      <c r="L319" s="8">
        <v>1</v>
      </c>
      <c r="M319" s="9" t="s">
        <v>46</v>
      </c>
      <c r="N319" s="9" t="str">
        <f t="shared" si="3"/>
        <v>Ortho</v>
      </c>
      <c r="O319" s="10">
        <v>5416.73</v>
      </c>
      <c r="P319" s="10">
        <v>3865.31</v>
      </c>
      <c r="Q319" s="11">
        <v>9.1999999999999993</v>
      </c>
      <c r="R319" s="13" t="str">
        <f>IF(Patient_Data!$L319&lt;2,"Low Risk",IF(Patient_Data!$L319&lt;4,"Moderate Risk","High Risk"))</f>
        <v>Low Risk</v>
      </c>
      <c r="S319" s="12" t="str">
        <f>IF(Patient_Data[[#This Row],[Age]]&lt;=18,"Pediatric",IF(Patient_Data[[#This Row],[Age]]&lt;=64,"Adult","Geriatric"))</f>
        <v>Geriatric</v>
      </c>
    </row>
    <row r="320" spans="1:19" ht="15.75" customHeight="1" x14ac:dyDescent="0.3">
      <c r="A320" s="4" t="s">
        <v>709</v>
      </c>
      <c r="B320" s="5" t="str">
        <f>TEXT(Patient_Data!$E320,"mmmm")</f>
        <v>June</v>
      </c>
      <c r="C320" s="6" t="str">
        <f t="shared" si="2"/>
        <v>Jun</v>
      </c>
      <c r="D320" s="6">
        <f>MONTH(Patient_Data!$E320)</f>
        <v>6</v>
      </c>
      <c r="E320" s="7">
        <v>45827</v>
      </c>
      <c r="F320" s="55" t="str">
        <f>TEXT(Patient_Data[[#This Row],[Admission_Date]],"YYYY")</f>
        <v>2025</v>
      </c>
      <c r="G320" s="8" t="s">
        <v>710</v>
      </c>
      <c r="H320" s="14" t="s">
        <v>132</v>
      </c>
      <c r="I320" s="4" t="s">
        <v>35</v>
      </c>
      <c r="J320" s="4">
        <v>27</v>
      </c>
      <c r="K320" s="4" t="s">
        <v>54</v>
      </c>
      <c r="L320" s="8">
        <v>5</v>
      </c>
      <c r="M320" s="9" t="s">
        <v>31</v>
      </c>
      <c r="N320" s="9" t="str">
        <f t="shared" si="3"/>
        <v>Neuro</v>
      </c>
      <c r="O320" s="10">
        <v>17918.310000000001</v>
      </c>
      <c r="P320" s="10">
        <v>13147.57</v>
      </c>
      <c r="Q320" s="11">
        <v>8.4</v>
      </c>
      <c r="R320" s="13" t="str">
        <f>IF(Patient_Data!$L320&lt;2,"Low Risk",IF(Patient_Data!$L320&lt;4,"Moderate Risk","High Risk"))</f>
        <v>High Risk</v>
      </c>
      <c r="S320" s="12" t="str">
        <f>IF(Patient_Data[[#This Row],[Age]]&lt;=18,"Pediatric",IF(Patient_Data[[#This Row],[Age]]&lt;=64,"Adult","Geriatric"))</f>
        <v>Adult</v>
      </c>
    </row>
    <row r="321" spans="1:19" ht="15.75" customHeight="1" x14ac:dyDescent="0.3">
      <c r="A321" s="4" t="s">
        <v>711</v>
      </c>
      <c r="B321" s="5" t="str">
        <f>TEXT(Patient_Data!$E321,"mmmm")</f>
        <v>February</v>
      </c>
      <c r="C321" s="6" t="str">
        <f t="shared" si="2"/>
        <v>Feb</v>
      </c>
      <c r="D321" s="6">
        <f>MONTH(Patient_Data!$E321)</f>
        <v>2</v>
      </c>
      <c r="E321" s="7">
        <v>45344</v>
      </c>
      <c r="F321" s="55" t="str">
        <f>TEXT(Patient_Data[[#This Row],[Admission_Date]],"YYYY")</f>
        <v>2024</v>
      </c>
      <c r="G321" s="8" t="s">
        <v>712</v>
      </c>
      <c r="H321" s="14" t="s">
        <v>137</v>
      </c>
      <c r="I321" s="4" t="s">
        <v>29</v>
      </c>
      <c r="J321" s="4">
        <v>51</v>
      </c>
      <c r="K321" s="4" t="s">
        <v>30</v>
      </c>
      <c r="L321" s="8">
        <v>2</v>
      </c>
      <c r="M321" s="9" t="s">
        <v>39</v>
      </c>
      <c r="N321" s="9" t="str">
        <f t="shared" si="3"/>
        <v>GM</v>
      </c>
      <c r="O321" s="10">
        <v>3186.6</v>
      </c>
      <c r="P321" s="10">
        <v>2456.2199999999998</v>
      </c>
      <c r="Q321" s="11">
        <v>4.3</v>
      </c>
      <c r="R321" s="13" t="str">
        <f>IF(Patient_Data!$L321&lt;2,"Low Risk",IF(Patient_Data!$L321&lt;4,"Moderate Risk","High Risk"))</f>
        <v>Moderate Risk</v>
      </c>
      <c r="S321" s="12" t="str">
        <f>IF(Patient_Data[[#This Row],[Age]]&lt;=18,"Pediatric",IF(Patient_Data[[#This Row],[Age]]&lt;=64,"Adult","Geriatric"))</f>
        <v>Adult</v>
      </c>
    </row>
    <row r="322" spans="1:19" ht="15.75" customHeight="1" x14ac:dyDescent="0.3">
      <c r="A322" s="4" t="s">
        <v>713</v>
      </c>
      <c r="B322" s="5" t="str">
        <f>TEXT(Patient_Data!$E322,"mmmm")</f>
        <v>January</v>
      </c>
      <c r="C322" s="6" t="str">
        <f t="shared" si="2"/>
        <v>Jan</v>
      </c>
      <c r="D322" s="6">
        <f>MONTH(Patient_Data!$E322)</f>
        <v>1</v>
      </c>
      <c r="E322" s="7">
        <v>45666</v>
      </c>
      <c r="F322" s="55" t="str">
        <f>TEXT(Patient_Data[[#This Row],[Admission_Date]],"YYYY")</f>
        <v>2025</v>
      </c>
      <c r="G322" s="8" t="s">
        <v>714</v>
      </c>
      <c r="H322" s="14" t="s">
        <v>34</v>
      </c>
      <c r="I322" s="4" t="s">
        <v>35</v>
      </c>
      <c r="J322" s="4">
        <v>50</v>
      </c>
      <c r="K322" s="4" t="s">
        <v>54</v>
      </c>
      <c r="L322" s="8">
        <v>4</v>
      </c>
      <c r="M322" s="9" t="s">
        <v>72</v>
      </c>
      <c r="N322" s="9" t="str">
        <f t="shared" si="3"/>
        <v>Surgery</v>
      </c>
      <c r="O322" s="10">
        <v>21508.799999999999</v>
      </c>
      <c r="P322" s="10">
        <v>12506.3</v>
      </c>
      <c r="Q322" s="11">
        <v>3.9</v>
      </c>
      <c r="R322" s="13" t="str">
        <f>IF(Patient_Data!$L322&lt;2,"Low Risk",IF(Patient_Data!$L322&lt;4,"Moderate Risk","High Risk"))</f>
        <v>High Risk</v>
      </c>
      <c r="S322" s="12" t="str">
        <f>IF(Patient_Data[[#This Row],[Age]]&lt;=18,"Pediatric",IF(Patient_Data[[#This Row],[Age]]&lt;=64,"Adult","Geriatric"))</f>
        <v>Adult</v>
      </c>
    </row>
    <row r="323" spans="1:19" ht="15.75" customHeight="1" x14ac:dyDescent="0.3">
      <c r="A323" s="4" t="s">
        <v>715</v>
      </c>
      <c r="B323" s="5" t="str">
        <f>TEXT(Patient_Data!$E323,"mmmm")</f>
        <v>April</v>
      </c>
      <c r="C323" s="6" t="str">
        <f t="shared" si="2"/>
        <v>Apr</v>
      </c>
      <c r="D323" s="6">
        <f>MONTH(Patient_Data!$E323)</f>
        <v>4</v>
      </c>
      <c r="E323" s="7">
        <v>46118</v>
      </c>
      <c r="F323" s="55" t="str">
        <f>TEXT(Patient_Data[[#This Row],[Admission_Date]],"YYYY")</f>
        <v>2026</v>
      </c>
      <c r="G323" s="8" t="s">
        <v>716</v>
      </c>
      <c r="H323" s="14" t="s">
        <v>125</v>
      </c>
      <c r="I323" s="4" t="s">
        <v>29</v>
      </c>
      <c r="J323" s="4">
        <v>75</v>
      </c>
      <c r="K323" s="4" t="s">
        <v>30</v>
      </c>
      <c r="L323" s="8">
        <v>2</v>
      </c>
      <c r="M323" s="9" t="s">
        <v>31</v>
      </c>
      <c r="N323" s="9" t="str">
        <f t="shared" si="3"/>
        <v>Neuro</v>
      </c>
      <c r="O323" s="10">
        <v>6050.17</v>
      </c>
      <c r="P323" s="10">
        <v>3690.6</v>
      </c>
      <c r="Q323" s="11"/>
      <c r="R323" s="13" t="str">
        <f>IF(Patient_Data!$L323&lt;2,"Low Risk",IF(Patient_Data!$L323&lt;4,"Moderate Risk","High Risk"))</f>
        <v>Moderate Risk</v>
      </c>
      <c r="S323" s="12" t="str">
        <f>IF(Patient_Data[[#This Row],[Age]]&lt;=18,"Pediatric",IF(Patient_Data[[#This Row],[Age]]&lt;=64,"Adult","Geriatric"))</f>
        <v>Geriatric</v>
      </c>
    </row>
    <row r="324" spans="1:19" ht="15.75" customHeight="1" x14ac:dyDescent="0.3">
      <c r="A324" s="4" t="s">
        <v>717</v>
      </c>
      <c r="B324" s="5" t="str">
        <f>TEXT(Patient_Data!$E324,"mmmm")</f>
        <v>October</v>
      </c>
      <c r="C324" s="6" t="str">
        <f t="shared" si="2"/>
        <v>Oct</v>
      </c>
      <c r="D324" s="6">
        <f>MONTH(Patient_Data!$E324)</f>
        <v>10</v>
      </c>
      <c r="E324" s="7">
        <v>45943</v>
      </c>
      <c r="F324" s="55" t="str">
        <f>TEXT(Patient_Data[[#This Row],[Admission_Date]],"YYYY")</f>
        <v>2025</v>
      </c>
      <c r="G324" s="8" t="s">
        <v>718</v>
      </c>
      <c r="H324" s="14" t="s">
        <v>34</v>
      </c>
      <c r="I324" s="4" t="s">
        <v>29</v>
      </c>
      <c r="J324" s="4">
        <v>83</v>
      </c>
      <c r="K324" s="4" t="s">
        <v>30</v>
      </c>
      <c r="L324" s="8">
        <v>1</v>
      </c>
      <c r="M324" s="9" t="s">
        <v>39</v>
      </c>
      <c r="N324" s="9" t="str">
        <f t="shared" si="3"/>
        <v>GM</v>
      </c>
      <c r="O324" s="10">
        <v>2017.56</v>
      </c>
      <c r="P324" s="10">
        <v>1344.84</v>
      </c>
      <c r="Q324" s="11">
        <v>6.7</v>
      </c>
      <c r="R324" s="13" t="str">
        <f>IF(Patient_Data!$L324&lt;2,"Low Risk",IF(Patient_Data!$L324&lt;4,"Moderate Risk","High Risk"))</f>
        <v>Low Risk</v>
      </c>
      <c r="S324" s="12" t="str">
        <f>IF(Patient_Data[[#This Row],[Age]]&lt;=18,"Pediatric",IF(Patient_Data[[#This Row],[Age]]&lt;=64,"Adult","Geriatric"))</f>
        <v>Geriatric</v>
      </c>
    </row>
    <row r="325" spans="1:19" ht="15.75" customHeight="1" x14ac:dyDescent="0.3">
      <c r="A325" s="4" t="s">
        <v>719</v>
      </c>
      <c r="B325" s="5" t="str">
        <f>TEXT(Patient_Data!$E325,"mmmm")</f>
        <v>July</v>
      </c>
      <c r="C325" s="6" t="str">
        <f t="shared" si="2"/>
        <v>Jul</v>
      </c>
      <c r="D325" s="6">
        <f>MONTH(Patient_Data!$E325)</f>
        <v>7</v>
      </c>
      <c r="E325" s="7">
        <v>45855</v>
      </c>
      <c r="F325" s="55" t="str">
        <f>TEXT(Patient_Data[[#This Row],[Admission_Date]],"YYYY")</f>
        <v>2025</v>
      </c>
      <c r="G325" s="8" t="s">
        <v>720</v>
      </c>
      <c r="H325" s="14" t="s">
        <v>140</v>
      </c>
      <c r="I325" s="4" t="s">
        <v>29</v>
      </c>
      <c r="J325" s="4">
        <v>39</v>
      </c>
      <c r="K325" s="4" t="s">
        <v>30</v>
      </c>
      <c r="L325" s="8">
        <v>2</v>
      </c>
      <c r="M325" s="9" t="s">
        <v>31</v>
      </c>
      <c r="N325" s="9" t="str">
        <f t="shared" si="3"/>
        <v>Neuro</v>
      </c>
      <c r="O325" s="10">
        <v>10065.25</v>
      </c>
      <c r="P325" s="10">
        <v>6774.92</v>
      </c>
      <c r="Q325" s="11">
        <v>3.9</v>
      </c>
      <c r="R325" s="13" t="str">
        <f>IF(Patient_Data!$L325&lt;2,"Low Risk",IF(Patient_Data!$L325&lt;4,"Moderate Risk","High Risk"))</f>
        <v>Moderate Risk</v>
      </c>
      <c r="S325" s="12" t="str">
        <f>IF(Patient_Data[[#This Row],[Age]]&lt;=18,"Pediatric",IF(Patient_Data[[#This Row],[Age]]&lt;=64,"Adult","Geriatric"))</f>
        <v>Adult</v>
      </c>
    </row>
    <row r="326" spans="1:19" ht="15.75" customHeight="1" x14ac:dyDescent="0.3">
      <c r="A326" s="4" t="s">
        <v>721</v>
      </c>
      <c r="B326" s="5" t="str">
        <f>TEXT(Patient_Data!$E326,"mmmm")</f>
        <v>October</v>
      </c>
      <c r="C326" s="6" t="str">
        <f t="shared" si="2"/>
        <v>Oct</v>
      </c>
      <c r="D326" s="6">
        <f>MONTH(Patient_Data!$E326)</f>
        <v>10</v>
      </c>
      <c r="E326" s="7">
        <v>45225</v>
      </c>
      <c r="F326" s="55" t="str">
        <f>TEXT(Patient_Data[[#This Row],[Admission_Date]],"YYYY")</f>
        <v>2023</v>
      </c>
      <c r="G326" s="8" t="s">
        <v>722</v>
      </c>
      <c r="H326" s="14" t="s">
        <v>28</v>
      </c>
      <c r="I326" s="4" t="s">
        <v>29</v>
      </c>
      <c r="J326" s="4">
        <v>51</v>
      </c>
      <c r="K326" s="4" t="s">
        <v>30</v>
      </c>
      <c r="L326" s="8">
        <v>1</v>
      </c>
      <c r="M326" s="9" t="s">
        <v>46</v>
      </c>
      <c r="N326" s="9" t="str">
        <f t="shared" si="3"/>
        <v>Ortho</v>
      </c>
      <c r="O326" s="10">
        <v>8039.75</v>
      </c>
      <c r="P326" s="10">
        <v>5707.02</v>
      </c>
      <c r="Q326" s="11">
        <v>9.9</v>
      </c>
      <c r="R326" s="13" t="str">
        <f>IF(Patient_Data!$L326&lt;2,"Low Risk",IF(Patient_Data!$L326&lt;4,"Moderate Risk","High Risk"))</f>
        <v>Low Risk</v>
      </c>
      <c r="S326" s="12" t="str">
        <f>IF(Patient_Data[[#This Row],[Age]]&lt;=18,"Pediatric",IF(Patient_Data[[#This Row],[Age]]&lt;=64,"Adult","Geriatric"))</f>
        <v>Adult</v>
      </c>
    </row>
    <row r="327" spans="1:19" ht="15.75" customHeight="1" x14ac:dyDescent="0.3">
      <c r="A327" s="4" t="s">
        <v>723</v>
      </c>
      <c r="B327" s="5" t="str">
        <f>TEXT(Patient_Data!$E327,"mmmm")</f>
        <v>September</v>
      </c>
      <c r="C327" s="6" t="str">
        <f t="shared" si="2"/>
        <v>Sep</v>
      </c>
      <c r="D327" s="6">
        <f>MONTH(Patient_Data!$E327)</f>
        <v>9</v>
      </c>
      <c r="E327" s="7">
        <v>45539</v>
      </c>
      <c r="F327" s="55" t="str">
        <f>TEXT(Patient_Data[[#This Row],[Admission_Date]],"YYYY")</f>
        <v>2024</v>
      </c>
      <c r="G327" s="8" t="s">
        <v>724</v>
      </c>
      <c r="H327" s="14" t="s">
        <v>78</v>
      </c>
      <c r="I327" s="4" t="s">
        <v>35</v>
      </c>
      <c r="J327" s="4">
        <v>20</v>
      </c>
      <c r="K327" s="4" t="s">
        <v>30</v>
      </c>
      <c r="L327" s="8">
        <v>1</v>
      </c>
      <c r="M327" s="9" t="s">
        <v>36</v>
      </c>
      <c r="N327" s="9" t="str">
        <f t="shared" si="3"/>
        <v>Cardio</v>
      </c>
      <c r="O327" s="10">
        <v>6863.9</v>
      </c>
      <c r="P327" s="10">
        <v>5010.6499999999996</v>
      </c>
      <c r="Q327" s="11"/>
      <c r="R327" s="13" t="str">
        <f>IF(Patient_Data!$L327&lt;2,"Low Risk",IF(Patient_Data!$L327&lt;4,"Moderate Risk","High Risk"))</f>
        <v>Low Risk</v>
      </c>
      <c r="S327" s="12" t="str">
        <f>IF(Patient_Data[[#This Row],[Age]]&lt;=18,"Pediatric",IF(Patient_Data[[#This Row],[Age]]&lt;=64,"Adult","Geriatric"))</f>
        <v>Adult</v>
      </c>
    </row>
    <row r="328" spans="1:19" ht="15.75" customHeight="1" x14ac:dyDescent="0.3">
      <c r="A328" s="4" t="s">
        <v>725</v>
      </c>
      <c r="B328" s="5" t="str">
        <f>TEXT(Patient_Data!$E328,"mmmm")</f>
        <v>September</v>
      </c>
      <c r="C328" s="6" t="str">
        <f t="shared" si="2"/>
        <v>Sep</v>
      </c>
      <c r="D328" s="6">
        <f>MONTH(Patient_Data!$E328)</f>
        <v>9</v>
      </c>
      <c r="E328" s="7">
        <v>45558</v>
      </c>
      <c r="F328" s="55" t="str">
        <f>TEXT(Patient_Data[[#This Row],[Admission_Date]],"YYYY")</f>
        <v>2024</v>
      </c>
      <c r="G328" s="8" t="s">
        <v>726</v>
      </c>
      <c r="H328" s="14" t="s">
        <v>98</v>
      </c>
      <c r="I328" s="4" t="s">
        <v>29</v>
      </c>
      <c r="J328" s="4">
        <v>74</v>
      </c>
      <c r="K328" s="4" t="s">
        <v>30</v>
      </c>
      <c r="L328" s="8">
        <v>2</v>
      </c>
      <c r="M328" s="9" t="s">
        <v>39</v>
      </c>
      <c r="N328" s="9" t="str">
        <f t="shared" si="3"/>
        <v>GM</v>
      </c>
      <c r="O328" s="10">
        <v>5043.2700000000004</v>
      </c>
      <c r="P328" s="10">
        <v>3884.89</v>
      </c>
      <c r="Q328" s="11">
        <v>6.5</v>
      </c>
      <c r="R328" s="13" t="str">
        <f>IF(Patient_Data!$L328&lt;2,"Low Risk",IF(Patient_Data!$L328&lt;4,"Moderate Risk","High Risk"))</f>
        <v>Moderate Risk</v>
      </c>
      <c r="S328" s="12" t="str">
        <f>IF(Patient_Data[[#This Row],[Age]]&lt;=18,"Pediatric",IF(Patient_Data[[#This Row],[Age]]&lt;=64,"Adult","Geriatric"))</f>
        <v>Geriatric</v>
      </c>
    </row>
    <row r="329" spans="1:19" ht="15.75" customHeight="1" x14ac:dyDescent="0.3">
      <c r="A329" s="4" t="s">
        <v>727</v>
      </c>
      <c r="B329" s="5" t="str">
        <f>TEXT(Patient_Data!$E329,"mmmm")</f>
        <v>February</v>
      </c>
      <c r="C329" s="6" t="str">
        <f t="shared" si="2"/>
        <v>Feb</v>
      </c>
      <c r="D329" s="6">
        <f>MONTH(Patient_Data!$E329)</f>
        <v>2</v>
      </c>
      <c r="E329" s="7">
        <v>45342</v>
      </c>
      <c r="F329" s="55" t="str">
        <f>TEXT(Patient_Data[[#This Row],[Admission_Date]],"YYYY")</f>
        <v>2024</v>
      </c>
      <c r="G329" s="8" t="s">
        <v>728</v>
      </c>
      <c r="H329" s="14" t="s">
        <v>199</v>
      </c>
      <c r="I329" s="4" t="s">
        <v>29</v>
      </c>
      <c r="J329" s="4">
        <v>79</v>
      </c>
      <c r="K329" s="4" t="s">
        <v>30</v>
      </c>
      <c r="L329" s="8">
        <v>1</v>
      </c>
      <c r="M329" s="9" t="s">
        <v>39</v>
      </c>
      <c r="N329" s="9" t="str">
        <f t="shared" si="3"/>
        <v>GM</v>
      </c>
      <c r="O329" s="10">
        <v>2176.98</v>
      </c>
      <c r="P329" s="10">
        <v>1325.05</v>
      </c>
      <c r="Q329" s="11">
        <v>7.8</v>
      </c>
      <c r="R329" s="13" t="str">
        <f>IF(Patient_Data!$L329&lt;2,"Low Risk",IF(Patient_Data!$L329&lt;4,"Moderate Risk","High Risk"))</f>
        <v>Low Risk</v>
      </c>
      <c r="S329" s="12" t="str">
        <f>IF(Patient_Data[[#This Row],[Age]]&lt;=18,"Pediatric",IF(Patient_Data[[#This Row],[Age]]&lt;=64,"Adult","Geriatric"))</f>
        <v>Geriatric</v>
      </c>
    </row>
    <row r="330" spans="1:19" ht="15.75" customHeight="1" x14ac:dyDescent="0.3">
      <c r="A330" s="4" t="s">
        <v>729</v>
      </c>
      <c r="B330" s="5" t="str">
        <f>TEXT(Patient_Data!$E330,"mmmm")</f>
        <v>May</v>
      </c>
      <c r="C330" s="6" t="str">
        <f t="shared" si="2"/>
        <v>May</v>
      </c>
      <c r="D330" s="6">
        <f>MONTH(Patient_Data!$E330)</f>
        <v>5</v>
      </c>
      <c r="E330" s="7">
        <v>46167</v>
      </c>
      <c r="F330" s="55" t="str">
        <f>TEXT(Patient_Data[[#This Row],[Admission_Date]],"YYYY")</f>
        <v>2026</v>
      </c>
      <c r="G330" s="8" t="s">
        <v>730</v>
      </c>
      <c r="H330" s="8" t="s">
        <v>34</v>
      </c>
      <c r="I330" s="4" t="s">
        <v>35</v>
      </c>
      <c r="J330" s="4">
        <v>50</v>
      </c>
      <c r="K330" s="4" t="s">
        <v>30</v>
      </c>
      <c r="L330" s="8">
        <v>1</v>
      </c>
      <c r="M330" s="9" t="s">
        <v>83</v>
      </c>
      <c r="N330" s="9" t="str">
        <f t="shared" si="3"/>
        <v>ER</v>
      </c>
      <c r="O330" s="10">
        <v>7262.05</v>
      </c>
      <c r="P330" s="10">
        <v>4591.45</v>
      </c>
      <c r="Q330" s="11">
        <v>20.2</v>
      </c>
      <c r="R330" s="13" t="str">
        <f>IF(Patient_Data!$L330&lt;2,"Low Risk",IF(Patient_Data!$L330&lt;4,"Moderate Risk","High Risk"))</f>
        <v>Low Risk</v>
      </c>
      <c r="S330" s="12" t="str">
        <f>IF(Patient_Data[[#This Row],[Age]]&lt;=18,"Pediatric",IF(Patient_Data[[#This Row],[Age]]&lt;=64,"Adult","Geriatric"))</f>
        <v>Adult</v>
      </c>
    </row>
    <row r="331" spans="1:19" ht="15.75" customHeight="1" x14ac:dyDescent="0.3">
      <c r="A331" s="4" t="s">
        <v>731</v>
      </c>
      <c r="B331" s="5" t="str">
        <f>TEXT(Patient_Data!$E331,"mmmm")</f>
        <v>January</v>
      </c>
      <c r="C331" s="6" t="str">
        <f t="shared" si="2"/>
        <v>Jan</v>
      </c>
      <c r="D331" s="6">
        <f>MONTH(Patient_Data!$E331)</f>
        <v>1</v>
      </c>
      <c r="E331" s="7">
        <v>45659</v>
      </c>
      <c r="F331" s="55" t="str">
        <f>TEXT(Patient_Data[[#This Row],[Admission_Date]],"YYYY")</f>
        <v>2025</v>
      </c>
      <c r="G331" s="8" t="s">
        <v>732</v>
      </c>
      <c r="H331" s="8" t="s">
        <v>49</v>
      </c>
      <c r="I331" s="4" t="s">
        <v>35</v>
      </c>
      <c r="J331" s="4">
        <v>62</v>
      </c>
      <c r="K331" s="4" t="s">
        <v>30</v>
      </c>
      <c r="L331" s="8">
        <v>1</v>
      </c>
      <c r="M331" s="9" t="s">
        <v>31</v>
      </c>
      <c r="N331" s="9" t="str">
        <f t="shared" si="3"/>
        <v>Neuro</v>
      </c>
      <c r="O331" s="10">
        <v>9112.1299999999992</v>
      </c>
      <c r="P331" s="10">
        <v>5898.96</v>
      </c>
      <c r="Q331" s="11">
        <v>8.4</v>
      </c>
      <c r="R331" s="13" t="str">
        <f>IF(Patient_Data!$L331&lt;2,"Low Risk",IF(Patient_Data!$L331&lt;4,"Moderate Risk","High Risk"))</f>
        <v>Low Risk</v>
      </c>
      <c r="S331" s="12" t="str">
        <f>IF(Patient_Data[[#This Row],[Age]]&lt;=18,"Pediatric",IF(Patient_Data[[#This Row],[Age]]&lt;=64,"Adult","Geriatric"))</f>
        <v>Adult</v>
      </c>
    </row>
    <row r="332" spans="1:19" ht="15.75" customHeight="1" x14ac:dyDescent="0.3">
      <c r="A332" s="4" t="s">
        <v>733</v>
      </c>
      <c r="B332" s="5" t="str">
        <f>TEXT(Patient_Data!$E332,"mmmm")</f>
        <v>April</v>
      </c>
      <c r="C332" s="6" t="str">
        <f t="shared" si="2"/>
        <v>Apr</v>
      </c>
      <c r="D332" s="6">
        <f>MONTH(Patient_Data!$E332)</f>
        <v>4</v>
      </c>
      <c r="E332" s="7">
        <v>46142</v>
      </c>
      <c r="F332" s="55" t="str">
        <f>TEXT(Patient_Data[[#This Row],[Admission_Date]],"YYYY")</f>
        <v>2026</v>
      </c>
      <c r="G332" s="8" t="s">
        <v>734</v>
      </c>
      <c r="H332" s="8" t="s">
        <v>82</v>
      </c>
      <c r="I332" s="4" t="s">
        <v>35</v>
      </c>
      <c r="J332" s="4">
        <v>87</v>
      </c>
      <c r="K332" s="4" t="s">
        <v>30</v>
      </c>
      <c r="L332" s="8">
        <v>2</v>
      </c>
      <c r="M332" s="9" t="s">
        <v>46</v>
      </c>
      <c r="N332" s="9" t="str">
        <f t="shared" si="3"/>
        <v>Ortho</v>
      </c>
      <c r="O332" s="10">
        <v>5260.42</v>
      </c>
      <c r="P332" s="10">
        <v>3574.08</v>
      </c>
      <c r="Q332" s="11">
        <v>6.2</v>
      </c>
      <c r="R332" s="13" t="str">
        <f>IF(Patient_Data!$L332&lt;2,"Low Risk",IF(Patient_Data!$L332&lt;4,"Moderate Risk","High Risk"))</f>
        <v>Moderate Risk</v>
      </c>
      <c r="S332" s="12" t="str">
        <f>IF(Patient_Data[[#This Row],[Age]]&lt;=18,"Pediatric",IF(Patient_Data[[#This Row],[Age]]&lt;=64,"Adult","Geriatric"))</f>
        <v>Geriatric</v>
      </c>
    </row>
    <row r="333" spans="1:19" ht="15.75" customHeight="1" x14ac:dyDescent="0.3">
      <c r="A333" s="4" t="s">
        <v>735</v>
      </c>
      <c r="B333" s="5" t="str">
        <f>TEXT(Patient_Data!$E333,"mmmm")</f>
        <v>October</v>
      </c>
      <c r="C333" s="6" t="str">
        <f t="shared" si="2"/>
        <v>Oct</v>
      </c>
      <c r="D333" s="6">
        <f>MONTH(Patient_Data!$E333)</f>
        <v>10</v>
      </c>
      <c r="E333" s="7">
        <v>45202</v>
      </c>
      <c r="F333" s="55" t="str">
        <f>TEXT(Patient_Data[[#This Row],[Admission_Date]],"YYYY")</f>
        <v>2023</v>
      </c>
      <c r="G333" s="8" t="s">
        <v>736</v>
      </c>
      <c r="H333" s="8" t="s">
        <v>82</v>
      </c>
      <c r="I333" s="4" t="s">
        <v>29</v>
      </c>
      <c r="J333" s="4">
        <v>45</v>
      </c>
      <c r="K333" s="4" t="s">
        <v>30</v>
      </c>
      <c r="L333" s="8">
        <v>1</v>
      </c>
      <c r="M333" s="9" t="s">
        <v>83</v>
      </c>
      <c r="N333" s="9" t="str">
        <f t="shared" si="3"/>
        <v>ER</v>
      </c>
      <c r="O333" s="10">
        <v>3426.59</v>
      </c>
      <c r="P333" s="10">
        <v>2513.0100000000002</v>
      </c>
      <c r="Q333" s="11">
        <v>14.3</v>
      </c>
      <c r="R333" s="13" t="str">
        <f>IF(Patient_Data!$L333&lt;2,"Low Risk",IF(Patient_Data!$L333&lt;4,"Moderate Risk","High Risk"))</f>
        <v>Low Risk</v>
      </c>
      <c r="S333" s="12" t="str">
        <f>IF(Patient_Data[[#This Row],[Age]]&lt;=18,"Pediatric",IF(Patient_Data[[#This Row],[Age]]&lt;=64,"Adult","Geriatric"))</f>
        <v>Adult</v>
      </c>
    </row>
    <row r="334" spans="1:19" ht="15.75" customHeight="1" x14ac:dyDescent="0.3">
      <c r="A334" s="4" t="s">
        <v>737</v>
      </c>
      <c r="B334" s="5" t="str">
        <f>TEXT(Patient_Data!$E334,"mmmm")</f>
        <v>March</v>
      </c>
      <c r="C334" s="6" t="str">
        <f t="shared" si="2"/>
        <v>Mar</v>
      </c>
      <c r="D334" s="6">
        <f>MONTH(Patient_Data!$E334)</f>
        <v>3</v>
      </c>
      <c r="E334" s="7">
        <v>45357</v>
      </c>
      <c r="F334" s="55" t="str">
        <f>TEXT(Patient_Data[[#This Row],[Admission_Date]],"YYYY")</f>
        <v>2024</v>
      </c>
      <c r="G334" s="8" t="s">
        <v>738</v>
      </c>
      <c r="H334" s="8" t="s">
        <v>82</v>
      </c>
      <c r="I334" s="4" t="s">
        <v>35</v>
      </c>
      <c r="J334" s="4">
        <v>79</v>
      </c>
      <c r="K334" s="4" t="s">
        <v>30</v>
      </c>
      <c r="L334" s="8">
        <v>2</v>
      </c>
      <c r="M334" s="9" t="s">
        <v>36</v>
      </c>
      <c r="N334" s="9" t="str">
        <f t="shared" si="3"/>
        <v>Cardio</v>
      </c>
      <c r="O334" s="10">
        <v>10471.86</v>
      </c>
      <c r="P334" s="10">
        <v>7729.26</v>
      </c>
      <c r="Q334" s="11">
        <v>10.6</v>
      </c>
      <c r="R334" s="13" t="str">
        <f>IF(Patient_Data!$L334&lt;2,"Low Risk",IF(Patient_Data!$L334&lt;4,"Moderate Risk","High Risk"))</f>
        <v>Moderate Risk</v>
      </c>
      <c r="S334" s="12" t="str">
        <f>IF(Patient_Data[[#This Row],[Age]]&lt;=18,"Pediatric",IF(Patient_Data[[#This Row],[Age]]&lt;=64,"Adult","Geriatric"))</f>
        <v>Geriatric</v>
      </c>
    </row>
    <row r="335" spans="1:19" ht="15.75" customHeight="1" x14ac:dyDescent="0.3">
      <c r="A335" s="4" t="s">
        <v>739</v>
      </c>
      <c r="B335" s="5" t="str">
        <f>TEXT(Patient_Data!$E335,"mmmm")</f>
        <v>April</v>
      </c>
      <c r="C335" s="6" t="str">
        <f t="shared" si="2"/>
        <v>Apr</v>
      </c>
      <c r="D335" s="6">
        <f>MONTH(Patient_Data!$E335)</f>
        <v>4</v>
      </c>
      <c r="E335" s="7">
        <v>45769</v>
      </c>
      <c r="F335" s="55" t="str">
        <f>TEXT(Patient_Data[[#This Row],[Admission_Date]],"YYYY")</f>
        <v>2025</v>
      </c>
      <c r="G335" s="8" t="s">
        <v>740</v>
      </c>
      <c r="H335" s="8" t="s">
        <v>34</v>
      </c>
      <c r="I335" s="4" t="s">
        <v>29</v>
      </c>
      <c r="J335" s="4">
        <v>60</v>
      </c>
      <c r="K335" s="4" t="s">
        <v>30</v>
      </c>
      <c r="L335" s="8">
        <v>1</v>
      </c>
      <c r="M335" s="9" t="s">
        <v>36</v>
      </c>
      <c r="N335" s="9" t="str">
        <f t="shared" si="3"/>
        <v>Cardio</v>
      </c>
      <c r="O335" s="10">
        <v>11315.95</v>
      </c>
      <c r="P335" s="10">
        <v>8624.1200000000008</v>
      </c>
      <c r="Q335" s="11">
        <v>3</v>
      </c>
      <c r="R335" s="13" t="str">
        <f>IF(Patient_Data!$L335&lt;2,"Low Risk",IF(Patient_Data!$L335&lt;4,"Moderate Risk","High Risk"))</f>
        <v>Low Risk</v>
      </c>
      <c r="S335" s="12" t="str">
        <f>IF(Patient_Data[[#This Row],[Age]]&lt;=18,"Pediatric",IF(Patient_Data[[#This Row],[Age]]&lt;=64,"Adult","Geriatric"))</f>
        <v>Adult</v>
      </c>
    </row>
    <row r="336" spans="1:19" ht="15.75" customHeight="1" x14ac:dyDescent="0.3">
      <c r="A336" s="4" t="s">
        <v>741</v>
      </c>
      <c r="B336" s="5" t="str">
        <f>TEXT(Patient_Data!$E336,"mmmm")</f>
        <v>January</v>
      </c>
      <c r="C336" s="6" t="str">
        <f t="shared" si="2"/>
        <v>Jan</v>
      </c>
      <c r="D336" s="6">
        <f>MONTH(Patient_Data!$E336)</f>
        <v>1</v>
      </c>
      <c r="E336" s="7">
        <v>45665</v>
      </c>
      <c r="F336" s="55" t="str">
        <f>TEXT(Patient_Data[[#This Row],[Admission_Date]],"YYYY")</f>
        <v>2025</v>
      </c>
      <c r="G336" s="8" t="s">
        <v>742</v>
      </c>
      <c r="H336" s="8" t="s">
        <v>53</v>
      </c>
      <c r="I336" s="4" t="s">
        <v>35</v>
      </c>
      <c r="J336" s="4">
        <v>85</v>
      </c>
      <c r="K336" s="4" t="s">
        <v>54</v>
      </c>
      <c r="L336" s="8">
        <v>3</v>
      </c>
      <c r="M336" s="9" t="s">
        <v>72</v>
      </c>
      <c r="N336" s="9" t="str">
        <f t="shared" si="3"/>
        <v>Surgery</v>
      </c>
      <c r="O336" s="10">
        <v>15338.71</v>
      </c>
      <c r="P336" s="10">
        <v>8917.25</v>
      </c>
      <c r="Q336" s="11">
        <v>2.6</v>
      </c>
      <c r="R336" s="13" t="str">
        <f>IF(Patient_Data!$L336&lt;2,"Low Risk",IF(Patient_Data!$L336&lt;4,"Moderate Risk","High Risk"))</f>
        <v>Moderate Risk</v>
      </c>
      <c r="S336" s="12" t="str">
        <f>IF(Patient_Data[[#This Row],[Age]]&lt;=18,"Pediatric",IF(Patient_Data[[#This Row],[Age]]&lt;=64,"Adult","Geriatric"))</f>
        <v>Geriatric</v>
      </c>
    </row>
    <row r="337" spans="1:19" ht="15.75" customHeight="1" x14ac:dyDescent="0.3">
      <c r="A337" s="4" t="s">
        <v>743</v>
      </c>
      <c r="B337" s="5" t="str">
        <f>TEXT(Patient_Data!$E337,"mmmm")</f>
        <v>September</v>
      </c>
      <c r="C337" s="6" t="str">
        <f t="shared" si="2"/>
        <v>Sep</v>
      </c>
      <c r="D337" s="6">
        <f>MONTH(Patient_Data!$E337)</f>
        <v>9</v>
      </c>
      <c r="E337" s="7">
        <v>45922</v>
      </c>
      <c r="F337" s="55" t="str">
        <f>TEXT(Patient_Data[[#This Row],[Admission_Date]],"YYYY")</f>
        <v>2025</v>
      </c>
      <c r="G337" s="8" t="s">
        <v>744</v>
      </c>
      <c r="H337" s="8" t="s">
        <v>82</v>
      </c>
      <c r="I337" s="4" t="s">
        <v>35</v>
      </c>
      <c r="J337" s="4">
        <v>57</v>
      </c>
      <c r="K337" s="4" t="s">
        <v>30</v>
      </c>
      <c r="L337" s="8">
        <v>2</v>
      </c>
      <c r="M337" s="9" t="s">
        <v>36</v>
      </c>
      <c r="N337" s="9" t="str">
        <f t="shared" si="3"/>
        <v>Cardio</v>
      </c>
      <c r="O337" s="10">
        <v>12398.33</v>
      </c>
      <c r="P337" s="10">
        <v>7614.18</v>
      </c>
      <c r="Q337" s="11">
        <v>6.4</v>
      </c>
      <c r="R337" s="13" t="str">
        <f>IF(Patient_Data!$L337&lt;2,"Low Risk",IF(Patient_Data!$L337&lt;4,"Moderate Risk","High Risk"))</f>
        <v>Moderate Risk</v>
      </c>
      <c r="S337" s="12" t="str">
        <f>IF(Patient_Data[[#This Row],[Age]]&lt;=18,"Pediatric",IF(Patient_Data[[#This Row],[Age]]&lt;=64,"Adult","Geriatric"))</f>
        <v>Adult</v>
      </c>
    </row>
    <row r="338" spans="1:19" ht="15.75" customHeight="1" x14ac:dyDescent="0.3">
      <c r="A338" s="4" t="s">
        <v>745</v>
      </c>
      <c r="B338" s="5" t="str">
        <f>TEXT(Patient_Data!$E338,"mmmm")</f>
        <v>April</v>
      </c>
      <c r="C338" s="6" t="str">
        <f t="shared" si="2"/>
        <v>Apr</v>
      </c>
      <c r="D338" s="6">
        <f>MONTH(Patient_Data!$E338)</f>
        <v>4</v>
      </c>
      <c r="E338" s="7">
        <v>46136</v>
      </c>
      <c r="F338" s="55" t="str">
        <f>TEXT(Patient_Data[[#This Row],[Admission_Date]],"YYYY")</f>
        <v>2026</v>
      </c>
      <c r="G338" s="8" t="s">
        <v>746</v>
      </c>
      <c r="H338" s="8" t="s">
        <v>28</v>
      </c>
      <c r="I338" s="4" t="s">
        <v>35</v>
      </c>
      <c r="J338" s="4">
        <v>64</v>
      </c>
      <c r="K338" s="4" t="s">
        <v>45</v>
      </c>
      <c r="L338" s="8">
        <v>5</v>
      </c>
      <c r="M338" s="9" t="s">
        <v>50</v>
      </c>
      <c r="N338" s="9" t="str">
        <f t="shared" si="3"/>
        <v>ICU</v>
      </c>
      <c r="O338" s="10">
        <v>25334.61</v>
      </c>
      <c r="P338" s="10">
        <v>16328.55</v>
      </c>
      <c r="Q338" s="11">
        <v>14.3</v>
      </c>
      <c r="R338" s="13" t="str">
        <f>IF(Patient_Data!$L338&lt;2,"Low Risk",IF(Patient_Data!$L338&lt;4,"Moderate Risk","High Risk"))</f>
        <v>High Risk</v>
      </c>
      <c r="S338" s="12" t="str">
        <f>IF(Patient_Data[[#This Row],[Age]]&lt;=18,"Pediatric",IF(Patient_Data[[#This Row],[Age]]&lt;=64,"Adult","Geriatric"))</f>
        <v>Adult</v>
      </c>
    </row>
    <row r="339" spans="1:19" ht="15.75" customHeight="1" x14ac:dyDescent="0.3">
      <c r="A339" s="4" t="s">
        <v>747</v>
      </c>
      <c r="B339" s="5" t="str">
        <f>TEXT(Patient_Data!$E339,"mmmm")</f>
        <v>January</v>
      </c>
      <c r="C339" s="6" t="str">
        <f t="shared" si="2"/>
        <v>Jan</v>
      </c>
      <c r="D339" s="6">
        <f>MONTH(Patient_Data!$E339)</f>
        <v>1</v>
      </c>
      <c r="E339" s="7">
        <v>45681</v>
      </c>
      <c r="F339" s="55" t="str">
        <f>TEXT(Patient_Data[[#This Row],[Admission_Date]],"YYYY")</f>
        <v>2025</v>
      </c>
      <c r="G339" s="8" t="s">
        <v>748</v>
      </c>
      <c r="H339" s="8" t="s">
        <v>132</v>
      </c>
      <c r="I339" s="4" t="s">
        <v>35</v>
      </c>
      <c r="J339" s="4">
        <v>28</v>
      </c>
      <c r="K339" s="4" t="s">
        <v>30</v>
      </c>
      <c r="L339" s="8">
        <v>1</v>
      </c>
      <c r="M339" s="9" t="s">
        <v>31</v>
      </c>
      <c r="N339" s="9" t="str">
        <f t="shared" si="3"/>
        <v>Neuro</v>
      </c>
      <c r="O339" s="10">
        <v>4236.24</v>
      </c>
      <c r="P339" s="10">
        <v>2904.68</v>
      </c>
      <c r="Q339" s="11">
        <v>8.3000000000000007</v>
      </c>
      <c r="R339" s="13" t="str">
        <f>IF(Patient_Data!$L339&lt;2,"Low Risk",IF(Patient_Data!$L339&lt;4,"Moderate Risk","High Risk"))</f>
        <v>Low Risk</v>
      </c>
      <c r="S339" s="12" t="str">
        <f>IF(Patient_Data[[#This Row],[Age]]&lt;=18,"Pediatric",IF(Patient_Data[[#This Row],[Age]]&lt;=64,"Adult","Geriatric"))</f>
        <v>Adult</v>
      </c>
    </row>
    <row r="340" spans="1:19" ht="15.75" customHeight="1" x14ac:dyDescent="0.3">
      <c r="A340" s="4" t="s">
        <v>749</v>
      </c>
      <c r="B340" s="5" t="str">
        <f>TEXT(Patient_Data!$E340,"mmmm")</f>
        <v>December</v>
      </c>
      <c r="C340" s="6" t="str">
        <f t="shared" si="2"/>
        <v>Dec</v>
      </c>
      <c r="D340" s="6">
        <f>MONTH(Patient_Data!$E340)</f>
        <v>12</v>
      </c>
      <c r="E340" s="7">
        <v>45639</v>
      </c>
      <c r="F340" s="55" t="str">
        <f>TEXT(Patient_Data[[#This Row],[Admission_Date]],"YYYY")</f>
        <v>2024</v>
      </c>
      <c r="G340" s="8" t="s">
        <v>750</v>
      </c>
      <c r="H340" s="8" t="s">
        <v>98</v>
      </c>
      <c r="I340" s="4" t="s">
        <v>35</v>
      </c>
      <c r="J340" s="4">
        <v>59</v>
      </c>
      <c r="K340" s="4" t="s">
        <v>30</v>
      </c>
      <c r="L340" s="8">
        <v>3</v>
      </c>
      <c r="M340" s="9" t="s">
        <v>83</v>
      </c>
      <c r="N340" s="9" t="str">
        <f t="shared" si="3"/>
        <v>ER</v>
      </c>
      <c r="O340" s="10">
        <v>4494.78</v>
      </c>
      <c r="P340" s="10">
        <v>3266.35</v>
      </c>
      <c r="Q340" s="11">
        <v>15</v>
      </c>
      <c r="R340" s="13" t="str">
        <f>IF(Patient_Data!$L340&lt;2,"Low Risk",IF(Patient_Data!$L340&lt;4,"Moderate Risk","High Risk"))</f>
        <v>Moderate Risk</v>
      </c>
      <c r="S340" s="12" t="str">
        <f>IF(Patient_Data[[#This Row],[Age]]&lt;=18,"Pediatric",IF(Patient_Data[[#This Row],[Age]]&lt;=64,"Adult","Geriatric"))</f>
        <v>Adult</v>
      </c>
    </row>
    <row r="341" spans="1:19" ht="15.75" customHeight="1" x14ac:dyDescent="0.3">
      <c r="A341" s="4" t="s">
        <v>751</v>
      </c>
      <c r="B341" s="5" t="str">
        <f>TEXT(Patient_Data!$E341,"mmmm")</f>
        <v>May</v>
      </c>
      <c r="C341" s="6" t="str">
        <f t="shared" si="2"/>
        <v>May</v>
      </c>
      <c r="D341" s="6">
        <f>MONTH(Patient_Data!$E341)</f>
        <v>5</v>
      </c>
      <c r="E341" s="7">
        <v>45414</v>
      </c>
      <c r="F341" s="55" t="str">
        <f>TEXT(Patient_Data[[#This Row],[Admission_Date]],"YYYY")</f>
        <v>2024</v>
      </c>
      <c r="G341" s="8" t="s">
        <v>752</v>
      </c>
      <c r="H341" s="8" t="s">
        <v>82</v>
      </c>
      <c r="I341" s="4" t="s">
        <v>29</v>
      </c>
      <c r="J341" s="4">
        <v>56</v>
      </c>
      <c r="K341" s="4" t="s">
        <v>54</v>
      </c>
      <c r="L341" s="8">
        <v>4</v>
      </c>
      <c r="M341" s="9" t="s">
        <v>50</v>
      </c>
      <c r="N341" s="9" t="str">
        <f t="shared" si="3"/>
        <v>ICU</v>
      </c>
      <c r="O341" s="10">
        <v>12377.97</v>
      </c>
      <c r="P341" s="10">
        <v>9179.1200000000008</v>
      </c>
      <c r="Q341" s="11">
        <v>17.899999999999999</v>
      </c>
      <c r="R341" s="13" t="str">
        <f>IF(Patient_Data!$L341&lt;2,"Low Risk",IF(Patient_Data!$L341&lt;4,"Moderate Risk","High Risk"))</f>
        <v>High Risk</v>
      </c>
      <c r="S341" s="12" t="str">
        <f>IF(Patient_Data[[#This Row],[Age]]&lt;=18,"Pediatric",IF(Patient_Data[[#This Row],[Age]]&lt;=64,"Adult","Geriatric"))</f>
        <v>Adult</v>
      </c>
    </row>
    <row r="342" spans="1:19" ht="15.75" customHeight="1" x14ac:dyDescent="0.3">
      <c r="A342" s="4" t="s">
        <v>753</v>
      </c>
      <c r="B342" s="5" t="str">
        <f>TEXT(Patient_Data!$E342,"mmmm")</f>
        <v>September</v>
      </c>
      <c r="C342" s="6" t="str">
        <f t="shared" si="2"/>
        <v>Sep</v>
      </c>
      <c r="D342" s="6">
        <f>MONTH(Patient_Data!$E342)</f>
        <v>9</v>
      </c>
      <c r="E342" s="7">
        <v>45561</v>
      </c>
      <c r="F342" s="55" t="str">
        <f>TEXT(Patient_Data[[#This Row],[Admission_Date]],"YYYY")</f>
        <v>2024</v>
      </c>
      <c r="G342" s="8" t="s">
        <v>754</v>
      </c>
      <c r="H342" s="8" t="s">
        <v>53</v>
      </c>
      <c r="I342" s="4" t="s">
        <v>35</v>
      </c>
      <c r="J342" s="4">
        <v>60</v>
      </c>
      <c r="K342" s="4" t="s">
        <v>30</v>
      </c>
      <c r="L342" s="8">
        <v>1</v>
      </c>
      <c r="M342" s="9" t="s">
        <v>39</v>
      </c>
      <c r="N342" s="9" t="str">
        <f t="shared" si="3"/>
        <v>GM</v>
      </c>
      <c r="O342" s="10">
        <v>2539.37</v>
      </c>
      <c r="P342" s="10">
        <v>1985.92</v>
      </c>
      <c r="Q342" s="11">
        <v>7</v>
      </c>
      <c r="R342" s="13" t="str">
        <f>IF(Patient_Data!$L342&lt;2,"Low Risk",IF(Patient_Data!$L342&lt;4,"Moderate Risk","High Risk"))</f>
        <v>Low Risk</v>
      </c>
      <c r="S342" s="12" t="str">
        <f>IF(Patient_Data[[#This Row],[Age]]&lt;=18,"Pediatric",IF(Patient_Data[[#This Row],[Age]]&lt;=64,"Adult","Geriatric"))</f>
        <v>Adult</v>
      </c>
    </row>
    <row r="343" spans="1:19" ht="15.75" customHeight="1" x14ac:dyDescent="0.3">
      <c r="A343" s="4" t="s">
        <v>755</v>
      </c>
      <c r="B343" s="5" t="str">
        <f>TEXT(Patient_Data!$E343,"mmmm")</f>
        <v>June</v>
      </c>
      <c r="C343" s="6" t="str">
        <f t="shared" si="2"/>
        <v>Jun</v>
      </c>
      <c r="D343" s="6">
        <f>MONTH(Patient_Data!$E343)</f>
        <v>6</v>
      </c>
      <c r="E343" s="7">
        <v>45813</v>
      </c>
      <c r="F343" s="55" t="str">
        <f>TEXT(Patient_Data[[#This Row],[Admission_Date]],"YYYY")</f>
        <v>2025</v>
      </c>
      <c r="G343" s="8" t="s">
        <v>756</v>
      </c>
      <c r="H343" s="8" t="s">
        <v>53</v>
      </c>
      <c r="I343" s="4" t="s">
        <v>29</v>
      </c>
      <c r="J343" s="4">
        <v>72</v>
      </c>
      <c r="K343" s="4" t="s">
        <v>30</v>
      </c>
      <c r="L343" s="8">
        <v>1</v>
      </c>
      <c r="M343" s="9" t="s">
        <v>31</v>
      </c>
      <c r="N343" s="9" t="str">
        <f t="shared" si="3"/>
        <v>Neuro</v>
      </c>
      <c r="O343" s="10">
        <v>6785</v>
      </c>
      <c r="P343" s="10">
        <v>3968.1</v>
      </c>
      <c r="Q343" s="11">
        <v>4.0999999999999996</v>
      </c>
      <c r="R343" s="13" t="str">
        <f>IF(Patient_Data!$L343&lt;2,"Low Risk",IF(Patient_Data!$L343&lt;4,"Moderate Risk","High Risk"))</f>
        <v>Low Risk</v>
      </c>
      <c r="S343" s="12" t="str">
        <f>IF(Patient_Data[[#This Row],[Age]]&lt;=18,"Pediatric",IF(Patient_Data[[#This Row],[Age]]&lt;=64,"Adult","Geriatric"))</f>
        <v>Geriatric</v>
      </c>
    </row>
    <row r="344" spans="1:19" ht="15.75" customHeight="1" x14ac:dyDescent="0.3">
      <c r="A344" s="4" t="s">
        <v>757</v>
      </c>
      <c r="B344" s="5" t="str">
        <f>TEXT(Patient_Data!$E344,"mmmm")</f>
        <v>April</v>
      </c>
      <c r="C344" s="6" t="str">
        <f t="shared" si="2"/>
        <v>Apr</v>
      </c>
      <c r="D344" s="6">
        <f>MONTH(Patient_Data!$E344)</f>
        <v>4</v>
      </c>
      <c r="E344" s="7">
        <v>45411</v>
      </c>
      <c r="F344" s="55" t="str">
        <f>TEXT(Patient_Data[[#This Row],[Admission_Date]],"YYYY")</f>
        <v>2024</v>
      </c>
      <c r="G344" s="8" t="s">
        <v>758</v>
      </c>
      <c r="H344" s="8" t="s">
        <v>53</v>
      </c>
      <c r="I344" s="4" t="s">
        <v>35</v>
      </c>
      <c r="J344" s="4">
        <v>9</v>
      </c>
      <c r="K344" s="4" t="s">
        <v>30</v>
      </c>
      <c r="L344" s="8">
        <v>1</v>
      </c>
      <c r="M344" s="9" t="s">
        <v>79</v>
      </c>
      <c r="N344" s="9" t="str">
        <f t="shared" si="3"/>
        <v>PD</v>
      </c>
      <c r="O344" s="10">
        <v>1737.44</v>
      </c>
      <c r="P344" s="10">
        <v>1105.44</v>
      </c>
      <c r="Q344" s="11">
        <v>5.7</v>
      </c>
      <c r="R344" s="13" t="str">
        <f>IF(Patient_Data!$L344&lt;2,"Low Risk",IF(Patient_Data!$L344&lt;4,"Moderate Risk","High Risk"))</f>
        <v>Low Risk</v>
      </c>
      <c r="S344" s="12" t="str">
        <f>IF(Patient_Data[[#This Row],[Age]]&lt;=18,"Pediatric",IF(Patient_Data[[#This Row],[Age]]&lt;=64,"Adult","Geriatric"))</f>
        <v>Pediatric</v>
      </c>
    </row>
    <row r="345" spans="1:19" ht="15.75" customHeight="1" x14ac:dyDescent="0.3">
      <c r="A345" s="4" t="s">
        <v>759</v>
      </c>
      <c r="B345" s="5" t="str">
        <f>TEXT(Patient_Data!$E345,"mmmm")</f>
        <v>September</v>
      </c>
      <c r="C345" s="6" t="str">
        <f t="shared" si="2"/>
        <v>Sep</v>
      </c>
      <c r="D345" s="6">
        <f>MONTH(Patient_Data!$E345)</f>
        <v>9</v>
      </c>
      <c r="E345" s="7">
        <v>45546</v>
      </c>
      <c r="F345" s="55" t="str">
        <f>TEXT(Patient_Data[[#This Row],[Admission_Date]],"YYYY")</f>
        <v>2024</v>
      </c>
      <c r="G345" s="8" t="s">
        <v>760</v>
      </c>
      <c r="H345" s="8" t="s">
        <v>132</v>
      </c>
      <c r="I345" s="4" t="s">
        <v>29</v>
      </c>
      <c r="J345" s="4">
        <v>41</v>
      </c>
      <c r="K345" s="4" t="s">
        <v>30</v>
      </c>
      <c r="L345" s="8">
        <v>3</v>
      </c>
      <c r="M345" s="9" t="s">
        <v>83</v>
      </c>
      <c r="N345" s="9" t="str">
        <f t="shared" si="3"/>
        <v>ER</v>
      </c>
      <c r="O345" s="10">
        <v>10467.86</v>
      </c>
      <c r="P345" s="10">
        <v>6800.23</v>
      </c>
      <c r="Q345" s="11">
        <v>12.6</v>
      </c>
      <c r="R345" s="13" t="str">
        <f>IF(Patient_Data!$L345&lt;2,"Low Risk",IF(Patient_Data!$L345&lt;4,"Moderate Risk","High Risk"))</f>
        <v>Moderate Risk</v>
      </c>
      <c r="S345" s="12" t="str">
        <f>IF(Patient_Data[[#This Row],[Age]]&lt;=18,"Pediatric",IF(Patient_Data[[#This Row],[Age]]&lt;=64,"Adult","Geriatric"))</f>
        <v>Adult</v>
      </c>
    </row>
    <row r="346" spans="1:19" ht="15.75" customHeight="1" x14ac:dyDescent="0.3">
      <c r="A346" s="4" t="s">
        <v>761</v>
      </c>
      <c r="B346" s="5" t="str">
        <f>TEXT(Patient_Data!$E346,"mmmm")</f>
        <v>September</v>
      </c>
      <c r="C346" s="6" t="str">
        <f t="shared" si="2"/>
        <v>Sep</v>
      </c>
      <c r="D346" s="6">
        <f>MONTH(Patient_Data!$E346)</f>
        <v>9</v>
      </c>
      <c r="E346" s="7">
        <v>45559</v>
      </c>
      <c r="F346" s="55" t="str">
        <f>TEXT(Patient_Data[[#This Row],[Admission_Date]],"YYYY")</f>
        <v>2024</v>
      </c>
      <c r="G346" s="8" t="s">
        <v>762</v>
      </c>
      <c r="H346" s="8" t="s">
        <v>75</v>
      </c>
      <c r="I346" s="4" t="s">
        <v>29</v>
      </c>
      <c r="J346" s="4">
        <v>62</v>
      </c>
      <c r="K346" s="4" t="s">
        <v>54</v>
      </c>
      <c r="L346" s="8">
        <v>4</v>
      </c>
      <c r="M346" s="9" t="s">
        <v>83</v>
      </c>
      <c r="N346" s="9" t="str">
        <f t="shared" si="3"/>
        <v>ER</v>
      </c>
      <c r="O346" s="10">
        <v>4371.84</v>
      </c>
      <c r="P346" s="10">
        <v>3052.33</v>
      </c>
      <c r="Q346" s="11">
        <v>15.4</v>
      </c>
      <c r="R346" s="13" t="str">
        <f>IF(Patient_Data!$L346&lt;2,"Low Risk",IF(Patient_Data!$L346&lt;4,"Moderate Risk","High Risk"))</f>
        <v>High Risk</v>
      </c>
      <c r="S346" s="12" t="str">
        <f>IF(Patient_Data[[#This Row],[Age]]&lt;=18,"Pediatric",IF(Patient_Data[[#This Row],[Age]]&lt;=64,"Adult","Geriatric"))</f>
        <v>Adult</v>
      </c>
    </row>
    <row r="347" spans="1:19" ht="15.75" customHeight="1" x14ac:dyDescent="0.3">
      <c r="A347" s="4" t="s">
        <v>763</v>
      </c>
      <c r="B347" s="5" t="str">
        <f>TEXT(Patient_Data!$E347,"mmmm")</f>
        <v>November</v>
      </c>
      <c r="C347" s="6" t="str">
        <f t="shared" si="2"/>
        <v>Nov</v>
      </c>
      <c r="D347" s="6">
        <f>MONTH(Patient_Data!$E347)</f>
        <v>11</v>
      </c>
      <c r="E347" s="7">
        <v>45610</v>
      </c>
      <c r="F347" s="55" t="str">
        <f>TEXT(Patient_Data[[#This Row],[Admission_Date]],"YYYY")</f>
        <v>2024</v>
      </c>
      <c r="G347" s="8" t="s">
        <v>764</v>
      </c>
      <c r="H347" s="8" t="s">
        <v>53</v>
      </c>
      <c r="I347" s="4" t="s">
        <v>35</v>
      </c>
      <c r="J347" s="4">
        <v>29</v>
      </c>
      <c r="K347" s="4" t="s">
        <v>30</v>
      </c>
      <c r="L347" s="8">
        <v>4</v>
      </c>
      <c r="M347" s="9" t="s">
        <v>83</v>
      </c>
      <c r="N347" s="9" t="str">
        <f t="shared" si="3"/>
        <v>ER</v>
      </c>
      <c r="O347" s="10">
        <v>7483.18</v>
      </c>
      <c r="P347" s="10">
        <v>5424.63</v>
      </c>
      <c r="Q347" s="11">
        <v>23.3</v>
      </c>
      <c r="R347" s="13" t="str">
        <f>IF(Patient_Data!$L347&lt;2,"Low Risk",IF(Patient_Data!$L347&lt;4,"Moderate Risk","High Risk"))</f>
        <v>High Risk</v>
      </c>
      <c r="S347" s="12" t="str">
        <f>IF(Patient_Data[[#This Row],[Age]]&lt;=18,"Pediatric",IF(Patient_Data[[#This Row],[Age]]&lt;=64,"Adult","Geriatric"))</f>
        <v>Adult</v>
      </c>
    </row>
    <row r="348" spans="1:19" ht="15.75" customHeight="1" x14ac:dyDescent="0.3">
      <c r="A348" s="4" t="s">
        <v>765</v>
      </c>
      <c r="B348" s="5" t="str">
        <f>TEXT(Patient_Data!$E348,"mmmm")</f>
        <v>September</v>
      </c>
      <c r="C348" s="6" t="str">
        <f t="shared" si="2"/>
        <v>Sep</v>
      </c>
      <c r="D348" s="6">
        <f>MONTH(Patient_Data!$E348)</f>
        <v>9</v>
      </c>
      <c r="E348" s="7">
        <v>45195</v>
      </c>
      <c r="F348" s="55" t="str">
        <f>TEXT(Patient_Data[[#This Row],[Admission_Date]],"YYYY")</f>
        <v>2023</v>
      </c>
      <c r="G348" s="8" t="s">
        <v>766</v>
      </c>
      <c r="H348" s="8" t="s">
        <v>28</v>
      </c>
      <c r="I348" s="4" t="s">
        <v>35</v>
      </c>
      <c r="J348" s="4">
        <v>15</v>
      </c>
      <c r="K348" s="4" t="s">
        <v>30</v>
      </c>
      <c r="L348" s="8">
        <v>1</v>
      </c>
      <c r="M348" s="9" t="s">
        <v>79</v>
      </c>
      <c r="N348" s="9" t="str">
        <f t="shared" si="3"/>
        <v>PD</v>
      </c>
      <c r="O348" s="10">
        <v>1772.16</v>
      </c>
      <c r="P348" s="10">
        <v>1326.48</v>
      </c>
      <c r="Q348" s="11">
        <v>4.0999999999999996</v>
      </c>
      <c r="R348" s="13" t="str">
        <f>IF(Patient_Data!$L348&lt;2,"Low Risk",IF(Patient_Data!$L348&lt;4,"Moderate Risk","High Risk"))</f>
        <v>Low Risk</v>
      </c>
      <c r="S348" s="12" t="str">
        <f>IF(Patient_Data[[#This Row],[Age]]&lt;=18,"Pediatric",IF(Patient_Data[[#This Row],[Age]]&lt;=64,"Adult","Geriatric"))</f>
        <v>Pediatric</v>
      </c>
    </row>
    <row r="349" spans="1:19" ht="15.75" customHeight="1" x14ac:dyDescent="0.3">
      <c r="A349" s="4" t="s">
        <v>767</v>
      </c>
      <c r="B349" s="5" t="str">
        <f>TEXT(Patient_Data!$E349,"mmmm")</f>
        <v>May</v>
      </c>
      <c r="C349" s="6" t="str">
        <f t="shared" si="2"/>
        <v>May</v>
      </c>
      <c r="D349" s="6">
        <f>MONTH(Patient_Data!$E349)</f>
        <v>5</v>
      </c>
      <c r="E349" s="7">
        <v>45426</v>
      </c>
      <c r="F349" s="55" t="str">
        <f>TEXT(Patient_Data[[#This Row],[Admission_Date]],"YYYY")</f>
        <v>2024</v>
      </c>
      <c r="G349" s="8" t="s">
        <v>768</v>
      </c>
      <c r="H349" s="8" t="s">
        <v>98</v>
      </c>
      <c r="I349" s="4" t="s">
        <v>29</v>
      </c>
      <c r="J349" s="4">
        <v>86</v>
      </c>
      <c r="K349" s="4" t="s">
        <v>54</v>
      </c>
      <c r="L349" s="8">
        <v>4</v>
      </c>
      <c r="M349" s="9" t="s">
        <v>72</v>
      </c>
      <c r="N349" s="9" t="str">
        <f t="shared" si="3"/>
        <v>Surgery</v>
      </c>
      <c r="O349" s="10">
        <v>12028.03</v>
      </c>
      <c r="P349" s="10">
        <v>9170.9</v>
      </c>
      <c r="Q349" s="11">
        <v>3.7</v>
      </c>
      <c r="R349" s="13" t="str">
        <f>IF(Patient_Data!$L349&lt;2,"Low Risk",IF(Patient_Data!$L349&lt;4,"Moderate Risk","High Risk"))</f>
        <v>High Risk</v>
      </c>
      <c r="S349" s="12" t="str">
        <f>IF(Patient_Data[[#This Row],[Age]]&lt;=18,"Pediatric",IF(Patient_Data[[#This Row],[Age]]&lt;=64,"Adult","Geriatric"))</f>
        <v>Geriatric</v>
      </c>
    </row>
    <row r="350" spans="1:19" ht="15.75" customHeight="1" x14ac:dyDescent="0.3">
      <c r="A350" s="4" t="s">
        <v>769</v>
      </c>
      <c r="B350" s="5" t="str">
        <f>TEXT(Patient_Data!$E350,"mmmm")</f>
        <v>March</v>
      </c>
      <c r="C350" s="6" t="str">
        <f t="shared" si="2"/>
        <v>Mar</v>
      </c>
      <c r="D350" s="6">
        <f>MONTH(Patient_Data!$E350)</f>
        <v>3</v>
      </c>
      <c r="E350" s="7">
        <v>45728</v>
      </c>
      <c r="F350" s="55" t="str">
        <f>TEXT(Patient_Data[[#This Row],[Admission_Date]],"YYYY")</f>
        <v>2025</v>
      </c>
      <c r="G350" s="8" t="s">
        <v>770</v>
      </c>
      <c r="H350" s="8" t="s">
        <v>82</v>
      </c>
      <c r="I350" s="4" t="s">
        <v>29</v>
      </c>
      <c r="J350" s="4">
        <v>84</v>
      </c>
      <c r="K350" s="4" t="s">
        <v>45</v>
      </c>
      <c r="L350" s="8">
        <v>4</v>
      </c>
      <c r="M350" s="9" t="s">
        <v>50</v>
      </c>
      <c r="N350" s="9" t="str">
        <f t="shared" si="3"/>
        <v>ICU</v>
      </c>
      <c r="O350" s="10">
        <v>14499.18</v>
      </c>
      <c r="P350" s="10">
        <v>8544.7199999999993</v>
      </c>
      <c r="Q350" s="11">
        <v>16.899999999999999</v>
      </c>
      <c r="R350" s="13" t="str">
        <f>IF(Patient_Data!$L350&lt;2,"Low Risk",IF(Patient_Data!$L350&lt;4,"Moderate Risk","High Risk"))</f>
        <v>High Risk</v>
      </c>
      <c r="S350" s="12" t="str">
        <f>IF(Patient_Data[[#This Row],[Age]]&lt;=18,"Pediatric",IF(Patient_Data[[#This Row],[Age]]&lt;=64,"Adult","Geriatric"))</f>
        <v>Geriatric</v>
      </c>
    </row>
    <row r="351" spans="1:19" ht="15.75" customHeight="1" x14ac:dyDescent="0.3">
      <c r="A351" s="4" t="s">
        <v>771</v>
      </c>
      <c r="B351" s="5" t="str">
        <f>TEXT(Patient_Data!$E351,"mmmm")</f>
        <v>November</v>
      </c>
      <c r="C351" s="6" t="str">
        <f t="shared" si="2"/>
        <v>Nov</v>
      </c>
      <c r="D351" s="6">
        <f>MONTH(Patient_Data!$E351)</f>
        <v>11</v>
      </c>
      <c r="E351" s="7">
        <v>45260</v>
      </c>
      <c r="F351" s="55" t="str">
        <f>TEXT(Patient_Data[[#This Row],[Admission_Date]],"YYYY")</f>
        <v>2023</v>
      </c>
      <c r="G351" s="8" t="s">
        <v>772</v>
      </c>
      <c r="H351" s="8" t="s">
        <v>49</v>
      </c>
      <c r="I351" s="4" t="s">
        <v>35</v>
      </c>
      <c r="J351" s="4">
        <v>69</v>
      </c>
      <c r="K351" s="4" t="s">
        <v>30</v>
      </c>
      <c r="L351" s="8">
        <v>1</v>
      </c>
      <c r="M351" s="9" t="s">
        <v>36</v>
      </c>
      <c r="N351" s="9" t="str">
        <f t="shared" si="3"/>
        <v>Cardio</v>
      </c>
      <c r="O351" s="10">
        <v>11322.93</v>
      </c>
      <c r="P351" s="10">
        <v>6991.79</v>
      </c>
      <c r="Q351" s="11">
        <v>10.6</v>
      </c>
      <c r="R351" s="13" t="str">
        <f>IF(Patient_Data!$L351&lt;2,"Low Risk",IF(Patient_Data!$L351&lt;4,"Moderate Risk","High Risk"))</f>
        <v>Low Risk</v>
      </c>
      <c r="S351" s="12" t="str">
        <f>IF(Patient_Data[[#This Row],[Age]]&lt;=18,"Pediatric",IF(Patient_Data[[#This Row],[Age]]&lt;=64,"Adult","Geriatric"))</f>
        <v>Geriatric</v>
      </c>
    </row>
    <row r="352" spans="1:19" ht="15.75" customHeight="1" x14ac:dyDescent="0.3">
      <c r="A352" s="4" t="s">
        <v>773</v>
      </c>
      <c r="B352" s="5" t="str">
        <f>TEXT(Patient_Data!$E352,"mmmm")</f>
        <v>December</v>
      </c>
      <c r="C352" s="6" t="str">
        <f t="shared" si="2"/>
        <v>Dec</v>
      </c>
      <c r="D352" s="6">
        <f>MONTH(Patient_Data!$E352)</f>
        <v>12</v>
      </c>
      <c r="E352" s="7">
        <v>45278</v>
      </c>
      <c r="F352" s="55" t="str">
        <f>TEXT(Patient_Data[[#This Row],[Admission_Date]],"YYYY")</f>
        <v>2023</v>
      </c>
      <c r="G352" s="8" t="s">
        <v>774</v>
      </c>
      <c r="H352" s="8" t="s">
        <v>53</v>
      </c>
      <c r="I352" s="4" t="s">
        <v>29</v>
      </c>
      <c r="J352" s="4">
        <v>3</v>
      </c>
      <c r="K352" s="4" t="s">
        <v>30</v>
      </c>
      <c r="L352" s="8">
        <v>1</v>
      </c>
      <c r="M352" s="9" t="s">
        <v>79</v>
      </c>
      <c r="N352" s="9" t="str">
        <f t="shared" si="3"/>
        <v>PD</v>
      </c>
      <c r="O352" s="10">
        <v>954.83</v>
      </c>
      <c r="P352" s="10">
        <v>633.49</v>
      </c>
      <c r="Q352" s="11">
        <v>2.8</v>
      </c>
      <c r="R352" s="13" t="str">
        <f>IF(Patient_Data!$L352&lt;2,"Low Risk",IF(Patient_Data!$L352&lt;4,"Moderate Risk","High Risk"))</f>
        <v>Low Risk</v>
      </c>
      <c r="S352" s="12" t="str">
        <f>IF(Patient_Data[[#This Row],[Age]]&lt;=18,"Pediatric",IF(Patient_Data[[#This Row],[Age]]&lt;=64,"Adult","Geriatric"))</f>
        <v>Pediatric</v>
      </c>
    </row>
    <row r="353" spans="1:19" ht="15.75" customHeight="1" x14ac:dyDescent="0.3">
      <c r="A353" s="4" t="s">
        <v>775</v>
      </c>
      <c r="B353" s="5" t="str">
        <f>TEXT(Patient_Data!$E353,"mmmm")</f>
        <v>April</v>
      </c>
      <c r="C353" s="6" t="str">
        <f t="shared" si="2"/>
        <v>Apr</v>
      </c>
      <c r="D353" s="6">
        <f>MONTH(Patient_Data!$E353)</f>
        <v>4</v>
      </c>
      <c r="E353" s="7">
        <v>45765</v>
      </c>
      <c r="F353" s="55" t="str">
        <f>TEXT(Patient_Data[[#This Row],[Admission_Date]],"YYYY")</f>
        <v>2025</v>
      </c>
      <c r="G353" s="8" t="s">
        <v>776</v>
      </c>
      <c r="H353" s="8" t="s">
        <v>82</v>
      </c>
      <c r="I353" s="4" t="s">
        <v>29</v>
      </c>
      <c r="J353" s="4">
        <v>23</v>
      </c>
      <c r="K353" s="4" t="s">
        <v>30</v>
      </c>
      <c r="L353" s="8">
        <v>1</v>
      </c>
      <c r="M353" s="9" t="s">
        <v>36</v>
      </c>
      <c r="N353" s="9" t="str">
        <f t="shared" si="3"/>
        <v>Cardio</v>
      </c>
      <c r="O353" s="10">
        <v>9097.85</v>
      </c>
      <c r="P353" s="10">
        <v>6174.76</v>
      </c>
      <c r="Q353" s="11">
        <v>9.9</v>
      </c>
      <c r="R353" s="13" t="str">
        <f>IF(Patient_Data!$L353&lt;2,"Low Risk",IF(Patient_Data!$L353&lt;4,"Moderate Risk","High Risk"))</f>
        <v>Low Risk</v>
      </c>
      <c r="S353" s="12" t="str">
        <f>IF(Patient_Data[[#This Row],[Age]]&lt;=18,"Pediatric",IF(Patient_Data[[#This Row],[Age]]&lt;=64,"Adult","Geriatric"))</f>
        <v>Adult</v>
      </c>
    </row>
    <row r="354" spans="1:19" ht="15.75" customHeight="1" x14ac:dyDescent="0.3">
      <c r="A354" s="4" t="s">
        <v>777</v>
      </c>
      <c r="B354" s="5" t="str">
        <f>TEXT(Patient_Data!$E354,"mmmm")</f>
        <v>May</v>
      </c>
      <c r="C354" s="6" t="str">
        <f t="shared" si="2"/>
        <v>May</v>
      </c>
      <c r="D354" s="6">
        <f>MONTH(Patient_Data!$E354)</f>
        <v>5</v>
      </c>
      <c r="E354" s="7">
        <v>45425</v>
      </c>
      <c r="F354" s="55" t="str">
        <f>TEXT(Patient_Data[[#This Row],[Admission_Date]],"YYYY")</f>
        <v>2024</v>
      </c>
      <c r="G354" s="8" t="s">
        <v>778</v>
      </c>
      <c r="H354" s="8" t="s">
        <v>82</v>
      </c>
      <c r="I354" s="4" t="s">
        <v>35</v>
      </c>
      <c r="J354" s="4">
        <v>82</v>
      </c>
      <c r="K354" s="4" t="s">
        <v>30</v>
      </c>
      <c r="L354" s="8">
        <v>1</v>
      </c>
      <c r="M354" s="9" t="s">
        <v>83</v>
      </c>
      <c r="N354" s="9" t="str">
        <f t="shared" si="3"/>
        <v>ER</v>
      </c>
      <c r="O354" s="10">
        <v>8358.1</v>
      </c>
      <c r="P354" s="10">
        <v>5978.67</v>
      </c>
      <c r="Q354" s="11">
        <v>16</v>
      </c>
      <c r="R354" s="13" t="str">
        <f>IF(Patient_Data!$L354&lt;2,"Low Risk",IF(Patient_Data!$L354&lt;4,"Moderate Risk","High Risk"))</f>
        <v>Low Risk</v>
      </c>
      <c r="S354" s="12" t="str">
        <f>IF(Patient_Data[[#This Row],[Age]]&lt;=18,"Pediatric",IF(Patient_Data[[#This Row],[Age]]&lt;=64,"Adult","Geriatric"))</f>
        <v>Geriatric</v>
      </c>
    </row>
    <row r="355" spans="1:19" ht="15.75" customHeight="1" x14ac:dyDescent="0.3">
      <c r="A355" s="4" t="s">
        <v>779</v>
      </c>
      <c r="B355" s="5" t="str">
        <f>TEXT(Patient_Data!$E355,"mmmm")</f>
        <v>May</v>
      </c>
      <c r="C355" s="6" t="str">
        <f t="shared" si="2"/>
        <v>May</v>
      </c>
      <c r="D355" s="6">
        <f>MONTH(Patient_Data!$E355)</f>
        <v>5</v>
      </c>
      <c r="E355" s="7">
        <v>46172</v>
      </c>
      <c r="F355" s="55" t="str">
        <f>TEXT(Patient_Data[[#This Row],[Admission_Date]],"YYYY")</f>
        <v>2026</v>
      </c>
      <c r="G355" s="8" t="s">
        <v>780</v>
      </c>
      <c r="H355" s="8" t="s">
        <v>82</v>
      </c>
      <c r="I355" s="4" t="s">
        <v>35</v>
      </c>
      <c r="J355" s="4">
        <v>24</v>
      </c>
      <c r="K355" s="4" t="s">
        <v>30</v>
      </c>
      <c r="L355" s="8">
        <v>1</v>
      </c>
      <c r="M355" s="9" t="s">
        <v>83</v>
      </c>
      <c r="N355" s="9" t="str">
        <f t="shared" si="3"/>
        <v>ER</v>
      </c>
      <c r="O355" s="10">
        <v>7382.53</v>
      </c>
      <c r="P355" s="10">
        <v>5490.85</v>
      </c>
      <c r="Q355" s="11">
        <v>12.7</v>
      </c>
      <c r="R355" s="13" t="str">
        <f>IF(Patient_Data!$L355&lt;2,"Low Risk",IF(Patient_Data!$L355&lt;4,"Moderate Risk","High Risk"))</f>
        <v>Low Risk</v>
      </c>
      <c r="S355" s="12" t="str">
        <f>IF(Patient_Data[[#This Row],[Age]]&lt;=18,"Pediatric",IF(Patient_Data[[#This Row],[Age]]&lt;=64,"Adult","Geriatric"))</f>
        <v>Adult</v>
      </c>
    </row>
    <row r="356" spans="1:19" ht="15.75" customHeight="1" x14ac:dyDescent="0.3">
      <c r="A356" s="4" t="s">
        <v>781</v>
      </c>
      <c r="B356" s="5" t="str">
        <f>TEXT(Patient_Data!$E356,"mmmm")</f>
        <v>April</v>
      </c>
      <c r="C356" s="6" t="str">
        <f t="shared" si="2"/>
        <v>Apr</v>
      </c>
      <c r="D356" s="6">
        <f>MONTH(Patient_Data!$E356)</f>
        <v>4</v>
      </c>
      <c r="E356" s="7">
        <v>46128</v>
      </c>
      <c r="F356" s="55" t="str">
        <f>TEXT(Patient_Data[[#This Row],[Admission_Date]],"YYYY")</f>
        <v>2026</v>
      </c>
      <c r="G356" s="8" t="s">
        <v>782</v>
      </c>
      <c r="H356" s="8" t="s">
        <v>82</v>
      </c>
      <c r="I356" s="4" t="s">
        <v>29</v>
      </c>
      <c r="J356" s="4">
        <v>74</v>
      </c>
      <c r="K356" s="4" t="s">
        <v>45</v>
      </c>
      <c r="L356" s="8">
        <v>4</v>
      </c>
      <c r="M356" s="9" t="s">
        <v>39</v>
      </c>
      <c r="N356" s="9" t="str">
        <f t="shared" si="3"/>
        <v>GM</v>
      </c>
      <c r="O356" s="10">
        <v>3507.35</v>
      </c>
      <c r="P356" s="10">
        <v>2733.59</v>
      </c>
      <c r="Q356" s="11">
        <v>8.5</v>
      </c>
      <c r="R356" s="13" t="str">
        <f>IF(Patient_Data!$L356&lt;2,"Low Risk",IF(Patient_Data!$L356&lt;4,"Moderate Risk","High Risk"))</f>
        <v>High Risk</v>
      </c>
      <c r="S356" s="12" t="str">
        <f>IF(Patient_Data[[#This Row],[Age]]&lt;=18,"Pediatric",IF(Patient_Data[[#This Row],[Age]]&lt;=64,"Adult","Geriatric"))</f>
        <v>Geriatric</v>
      </c>
    </row>
    <row r="357" spans="1:19" ht="15.75" customHeight="1" x14ac:dyDescent="0.3">
      <c r="A357" s="4" t="s">
        <v>783</v>
      </c>
      <c r="B357" s="5" t="str">
        <f>TEXT(Patient_Data!$E357,"mmmm")</f>
        <v>May</v>
      </c>
      <c r="C357" s="6" t="str">
        <f t="shared" si="2"/>
        <v>May</v>
      </c>
      <c r="D357" s="6">
        <f>MONTH(Patient_Data!$E357)</f>
        <v>5</v>
      </c>
      <c r="E357" s="7">
        <v>46147</v>
      </c>
      <c r="F357" s="55" t="str">
        <f>TEXT(Patient_Data[[#This Row],[Admission_Date]],"YYYY")</f>
        <v>2026</v>
      </c>
      <c r="G357" s="8" t="s">
        <v>784</v>
      </c>
      <c r="H357" s="8" t="s">
        <v>34</v>
      </c>
      <c r="I357" s="4" t="s">
        <v>35</v>
      </c>
      <c r="J357" s="4">
        <v>70</v>
      </c>
      <c r="K357" s="4" t="s">
        <v>54</v>
      </c>
      <c r="L357" s="8">
        <v>4</v>
      </c>
      <c r="M357" s="9" t="s">
        <v>50</v>
      </c>
      <c r="N357" s="9" t="str">
        <f t="shared" si="3"/>
        <v>ICU</v>
      </c>
      <c r="O357" s="10">
        <v>16786.330000000002</v>
      </c>
      <c r="P357" s="10">
        <v>9826.4699999999993</v>
      </c>
      <c r="Q357" s="11">
        <v>11.3</v>
      </c>
      <c r="R357" s="13" t="str">
        <f>IF(Patient_Data!$L357&lt;2,"Low Risk",IF(Patient_Data!$L357&lt;4,"Moderate Risk","High Risk"))</f>
        <v>High Risk</v>
      </c>
      <c r="S357" s="12" t="str">
        <f>IF(Patient_Data[[#This Row],[Age]]&lt;=18,"Pediatric",IF(Patient_Data[[#This Row],[Age]]&lt;=64,"Adult","Geriatric"))</f>
        <v>Geriatric</v>
      </c>
    </row>
    <row r="358" spans="1:19" ht="15.75" customHeight="1" x14ac:dyDescent="0.3">
      <c r="A358" s="4" t="s">
        <v>785</v>
      </c>
      <c r="B358" s="5" t="str">
        <f>TEXT(Patient_Data!$E358,"mmmm")</f>
        <v>February</v>
      </c>
      <c r="C358" s="6" t="str">
        <f t="shared" si="2"/>
        <v>Feb</v>
      </c>
      <c r="D358" s="6">
        <f>MONTH(Patient_Data!$E358)</f>
        <v>2</v>
      </c>
      <c r="E358" s="7">
        <v>46069</v>
      </c>
      <c r="F358" s="55" t="str">
        <f>TEXT(Patient_Data[[#This Row],[Admission_Date]],"YYYY")</f>
        <v>2026</v>
      </c>
      <c r="G358" s="8" t="s">
        <v>786</v>
      </c>
      <c r="H358" s="8" t="s">
        <v>75</v>
      </c>
      <c r="I358" s="4" t="s">
        <v>35</v>
      </c>
      <c r="J358" s="4">
        <v>73</v>
      </c>
      <c r="K358" s="4" t="s">
        <v>54</v>
      </c>
      <c r="L358" s="8">
        <v>5</v>
      </c>
      <c r="M358" s="9" t="s">
        <v>31</v>
      </c>
      <c r="N358" s="9" t="str">
        <f t="shared" si="3"/>
        <v>Neuro</v>
      </c>
      <c r="O358" s="10">
        <v>8691.2900000000009</v>
      </c>
      <c r="P358" s="10">
        <v>5396.89</v>
      </c>
      <c r="Q358" s="11">
        <v>11.9</v>
      </c>
      <c r="R358" s="13" t="str">
        <f>IF(Patient_Data!$L358&lt;2,"Low Risk",IF(Patient_Data!$L358&lt;4,"Moderate Risk","High Risk"))</f>
        <v>High Risk</v>
      </c>
      <c r="S358" s="12" t="str">
        <f>IF(Patient_Data[[#This Row],[Age]]&lt;=18,"Pediatric",IF(Patient_Data[[#This Row],[Age]]&lt;=64,"Adult","Geriatric"))</f>
        <v>Geriatric</v>
      </c>
    </row>
    <row r="359" spans="1:19" ht="15.75" customHeight="1" x14ac:dyDescent="0.3">
      <c r="A359" s="4" t="s">
        <v>787</v>
      </c>
      <c r="B359" s="5" t="str">
        <f>TEXT(Patient_Data!$E359,"mmmm")</f>
        <v>December</v>
      </c>
      <c r="C359" s="6" t="str">
        <f t="shared" si="2"/>
        <v>Dec</v>
      </c>
      <c r="D359" s="6">
        <f>MONTH(Patient_Data!$E359)</f>
        <v>12</v>
      </c>
      <c r="E359" s="7">
        <v>45272</v>
      </c>
      <c r="F359" s="55" t="str">
        <f>TEXT(Patient_Data[[#This Row],[Admission_Date]],"YYYY")</f>
        <v>2023</v>
      </c>
      <c r="G359" s="8" t="s">
        <v>788</v>
      </c>
      <c r="H359" s="8" t="s">
        <v>82</v>
      </c>
      <c r="I359" s="4" t="s">
        <v>35</v>
      </c>
      <c r="J359" s="4">
        <v>49</v>
      </c>
      <c r="K359" s="4" t="s">
        <v>30</v>
      </c>
      <c r="L359" s="8">
        <v>2</v>
      </c>
      <c r="M359" s="9" t="s">
        <v>46</v>
      </c>
      <c r="N359" s="9" t="str">
        <f t="shared" si="3"/>
        <v>Ortho</v>
      </c>
      <c r="O359" s="10">
        <v>7553.9</v>
      </c>
      <c r="P359" s="10">
        <v>4899.3</v>
      </c>
      <c r="Q359" s="11">
        <v>8.1</v>
      </c>
      <c r="R359" s="13" t="str">
        <f>IF(Patient_Data!$L359&lt;2,"Low Risk",IF(Patient_Data!$L359&lt;4,"Moderate Risk","High Risk"))</f>
        <v>Moderate Risk</v>
      </c>
      <c r="S359" s="12" t="str">
        <f>IF(Patient_Data[[#This Row],[Age]]&lt;=18,"Pediatric",IF(Patient_Data[[#This Row],[Age]]&lt;=64,"Adult","Geriatric"))</f>
        <v>Adult</v>
      </c>
    </row>
    <row r="360" spans="1:19" ht="15.75" customHeight="1" x14ac:dyDescent="0.3">
      <c r="A360" s="4" t="s">
        <v>789</v>
      </c>
      <c r="B360" s="5" t="str">
        <f>TEXT(Patient_Data!$E360,"mmmm")</f>
        <v>January</v>
      </c>
      <c r="C360" s="6" t="str">
        <f t="shared" si="2"/>
        <v>Jan</v>
      </c>
      <c r="D360" s="6">
        <f>MONTH(Patient_Data!$E360)</f>
        <v>1</v>
      </c>
      <c r="E360" s="7">
        <v>45684</v>
      </c>
      <c r="F360" s="55" t="str">
        <f>TEXT(Patient_Data[[#This Row],[Admission_Date]],"YYYY")</f>
        <v>2025</v>
      </c>
      <c r="G360" s="8" t="s">
        <v>790</v>
      </c>
      <c r="H360" s="8" t="s">
        <v>98</v>
      </c>
      <c r="I360" s="4" t="s">
        <v>29</v>
      </c>
      <c r="J360" s="4">
        <v>59</v>
      </c>
      <c r="K360" s="4" t="s">
        <v>45</v>
      </c>
      <c r="L360" s="8">
        <v>3</v>
      </c>
      <c r="M360" s="9" t="s">
        <v>46</v>
      </c>
      <c r="N360" s="9" t="str">
        <f t="shared" si="3"/>
        <v>Ortho</v>
      </c>
      <c r="O360" s="10">
        <v>7930.61</v>
      </c>
      <c r="P360" s="10">
        <v>5391.11</v>
      </c>
      <c r="Q360" s="11">
        <v>9.6999999999999993</v>
      </c>
      <c r="R360" s="13" t="str">
        <f>IF(Patient_Data!$L360&lt;2,"Low Risk",IF(Patient_Data!$L360&lt;4,"Moderate Risk","High Risk"))</f>
        <v>Moderate Risk</v>
      </c>
      <c r="S360" s="12" t="str">
        <f>IF(Patient_Data[[#This Row],[Age]]&lt;=18,"Pediatric",IF(Patient_Data[[#This Row],[Age]]&lt;=64,"Adult","Geriatric"))</f>
        <v>Adult</v>
      </c>
    </row>
    <row r="361" spans="1:19" ht="15.75" customHeight="1" x14ac:dyDescent="0.3">
      <c r="A361" s="4" t="s">
        <v>791</v>
      </c>
      <c r="B361" s="5" t="str">
        <f>TEXT(Patient_Data!$E361,"mmmm")</f>
        <v>May</v>
      </c>
      <c r="C361" s="6" t="str">
        <f t="shared" si="2"/>
        <v>May</v>
      </c>
      <c r="D361" s="6">
        <f>MONTH(Patient_Data!$E361)</f>
        <v>5</v>
      </c>
      <c r="E361" s="7">
        <v>46145</v>
      </c>
      <c r="F361" s="55" t="str">
        <f>TEXT(Patient_Data[[#This Row],[Admission_Date]],"YYYY")</f>
        <v>2026</v>
      </c>
      <c r="G361" s="8" t="s">
        <v>792</v>
      </c>
      <c r="H361" s="8" t="s">
        <v>42</v>
      </c>
      <c r="I361" s="4" t="s">
        <v>35</v>
      </c>
      <c r="J361" s="4">
        <v>30</v>
      </c>
      <c r="K361" s="4" t="s">
        <v>30</v>
      </c>
      <c r="L361" s="8">
        <v>1</v>
      </c>
      <c r="M361" s="9" t="s">
        <v>31</v>
      </c>
      <c r="N361" s="9" t="str">
        <f t="shared" si="3"/>
        <v>Neuro</v>
      </c>
      <c r="O361" s="10">
        <v>7310.12</v>
      </c>
      <c r="P361" s="10">
        <v>5168.28</v>
      </c>
      <c r="Q361" s="11">
        <v>6.4</v>
      </c>
      <c r="R361" s="13" t="str">
        <f>IF(Patient_Data!$L361&lt;2,"Low Risk",IF(Patient_Data!$L361&lt;4,"Moderate Risk","High Risk"))</f>
        <v>Low Risk</v>
      </c>
      <c r="S361" s="12" t="str">
        <f>IF(Patient_Data[[#This Row],[Age]]&lt;=18,"Pediatric",IF(Patient_Data[[#This Row],[Age]]&lt;=64,"Adult","Geriatric"))</f>
        <v>Adult</v>
      </c>
    </row>
    <row r="362" spans="1:19" ht="15.75" customHeight="1" x14ac:dyDescent="0.3">
      <c r="A362" s="4" t="s">
        <v>793</v>
      </c>
      <c r="B362" s="5" t="str">
        <f>TEXT(Patient_Data!$E362,"mmmm")</f>
        <v>January</v>
      </c>
      <c r="C362" s="6" t="str">
        <f t="shared" si="2"/>
        <v>Jan</v>
      </c>
      <c r="D362" s="6">
        <f>MONTH(Patient_Data!$E362)</f>
        <v>1</v>
      </c>
      <c r="E362" s="7">
        <v>45300</v>
      </c>
      <c r="F362" s="55" t="str">
        <f>TEXT(Patient_Data[[#This Row],[Admission_Date]],"YYYY")</f>
        <v>2024</v>
      </c>
      <c r="G362" s="8" t="s">
        <v>794</v>
      </c>
      <c r="H362" s="8" t="s">
        <v>34</v>
      </c>
      <c r="I362" s="4" t="s">
        <v>35</v>
      </c>
      <c r="J362" s="4">
        <v>42</v>
      </c>
      <c r="K362" s="4" t="s">
        <v>30</v>
      </c>
      <c r="L362" s="8">
        <v>2</v>
      </c>
      <c r="M362" s="9" t="s">
        <v>31</v>
      </c>
      <c r="N362" s="9" t="str">
        <f t="shared" si="3"/>
        <v>Neuro</v>
      </c>
      <c r="O362" s="10">
        <v>7003.63</v>
      </c>
      <c r="P362" s="10">
        <v>5163.8500000000004</v>
      </c>
      <c r="Q362" s="11">
        <v>6.4</v>
      </c>
      <c r="R362" s="13" t="str">
        <f>IF(Patient_Data!$L362&lt;2,"Low Risk",IF(Patient_Data!$L362&lt;4,"Moderate Risk","High Risk"))</f>
        <v>Moderate Risk</v>
      </c>
      <c r="S362" s="12" t="str">
        <f>IF(Patient_Data[[#This Row],[Age]]&lt;=18,"Pediatric",IF(Patient_Data[[#This Row],[Age]]&lt;=64,"Adult","Geriatric"))</f>
        <v>Adult</v>
      </c>
    </row>
    <row r="363" spans="1:19" ht="15.75" customHeight="1" x14ac:dyDescent="0.3">
      <c r="A363" s="4" t="s">
        <v>795</v>
      </c>
      <c r="B363" s="5" t="str">
        <f>TEXT(Patient_Data!$E363,"mmmm")</f>
        <v>November</v>
      </c>
      <c r="C363" s="6" t="str">
        <f t="shared" si="2"/>
        <v>Nov</v>
      </c>
      <c r="D363" s="6">
        <f>MONTH(Patient_Data!$E363)</f>
        <v>11</v>
      </c>
      <c r="E363" s="7">
        <v>45987</v>
      </c>
      <c r="F363" s="55" t="str">
        <f>TEXT(Patient_Data[[#This Row],[Admission_Date]],"YYYY")</f>
        <v>2025</v>
      </c>
      <c r="G363" s="8" t="s">
        <v>796</v>
      </c>
      <c r="H363" s="8" t="s">
        <v>28</v>
      </c>
      <c r="I363" s="4" t="s">
        <v>29</v>
      </c>
      <c r="J363" s="4">
        <v>40</v>
      </c>
      <c r="K363" s="4" t="s">
        <v>30</v>
      </c>
      <c r="L363" s="8">
        <v>1</v>
      </c>
      <c r="M363" s="9" t="s">
        <v>36</v>
      </c>
      <c r="N363" s="9" t="str">
        <f t="shared" si="3"/>
        <v>Cardio</v>
      </c>
      <c r="O363" s="10">
        <v>5971.1</v>
      </c>
      <c r="P363" s="10">
        <v>4562.04</v>
      </c>
      <c r="Q363" s="11">
        <v>3</v>
      </c>
      <c r="R363" s="13" t="str">
        <f>IF(Patient_Data!$L363&lt;2,"Low Risk",IF(Patient_Data!$L363&lt;4,"Moderate Risk","High Risk"))</f>
        <v>Low Risk</v>
      </c>
      <c r="S363" s="12" t="str">
        <f>IF(Patient_Data[[#This Row],[Age]]&lt;=18,"Pediatric",IF(Patient_Data[[#This Row],[Age]]&lt;=64,"Adult","Geriatric"))</f>
        <v>Adult</v>
      </c>
    </row>
    <row r="364" spans="1:19" ht="15.75" customHeight="1" x14ac:dyDescent="0.3">
      <c r="A364" s="4" t="s">
        <v>797</v>
      </c>
      <c r="B364" s="5" t="str">
        <f>TEXT(Patient_Data!$E364,"mmmm")</f>
        <v>June</v>
      </c>
      <c r="C364" s="6" t="str">
        <f t="shared" si="2"/>
        <v>Jun</v>
      </c>
      <c r="D364" s="6">
        <f>MONTH(Patient_Data!$E364)</f>
        <v>6</v>
      </c>
      <c r="E364" s="7">
        <v>46174</v>
      </c>
      <c r="F364" s="55" t="str">
        <f>TEXT(Patient_Data[[#This Row],[Admission_Date]],"YYYY")</f>
        <v>2026</v>
      </c>
      <c r="G364" s="8" t="s">
        <v>798</v>
      </c>
      <c r="H364" s="8" t="s">
        <v>132</v>
      </c>
      <c r="I364" s="4" t="s">
        <v>35</v>
      </c>
      <c r="J364" s="4">
        <v>23</v>
      </c>
      <c r="K364" s="4" t="s">
        <v>30</v>
      </c>
      <c r="L364" s="8">
        <v>3</v>
      </c>
      <c r="M364" s="9" t="s">
        <v>39</v>
      </c>
      <c r="N364" s="9" t="str">
        <f t="shared" si="3"/>
        <v>GM</v>
      </c>
      <c r="O364" s="10">
        <v>2883.59</v>
      </c>
      <c r="P364" s="10">
        <v>1672.48</v>
      </c>
      <c r="Q364" s="11"/>
      <c r="R364" s="13" t="str">
        <f>IF(Patient_Data!$L364&lt;2,"Low Risk",IF(Patient_Data!$L364&lt;4,"Moderate Risk","High Risk"))</f>
        <v>Moderate Risk</v>
      </c>
      <c r="S364" s="12" t="str">
        <f>IF(Patient_Data[[#This Row],[Age]]&lt;=18,"Pediatric",IF(Patient_Data[[#This Row],[Age]]&lt;=64,"Adult","Geriatric"))</f>
        <v>Adult</v>
      </c>
    </row>
    <row r="365" spans="1:19" ht="15.75" customHeight="1" x14ac:dyDescent="0.3">
      <c r="A365" s="4" t="s">
        <v>799</v>
      </c>
      <c r="B365" s="5" t="str">
        <f>TEXT(Patient_Data!$E365,"mmmm")</f>
        <v>May</v>
      </c>
      <c r="C365" s="6" t="str">
        <f t="shared" si="2"/>
        <v>May</v>
      </c>
      <c r="D365" s="6">
        <f>MONTH(Patient_Data!$E365)</f>
        <v>5</v>
      </c>
      <c r="E365" s="7">
        <v>45789</v>
      </c>
      <c r="F365" s="55" t="str">
        <f>TEXT(Patient_Data[[#This Row],[Admission_Date]],"YYYY")</f>
        <v>2025</v>
      </c>
      <c r="G365" s="8" t="s">
        <v>800</v>
      </c>
      <c r="H365" s="8" t="s">
        <v>34</v>
      </c>
      <c r="I365" s="4" t="s">
        <v>35</v>
      </c>
      <c r="J365" s="4">
        <v>25</v>
      </c>
      <c r="K365" s="4" t="s">
        <v>54</v>
      </c>
      <c r="L365" s="8">
        <v>3</v>
      </c>
      <c r="M365" s="9" t="s">
        <v>36</v>
      </c>
      <c r="N365" s="9" t="str">
        <f t="shared" si="3"/>
        <v>Cardio</v>
      </c>
      <c r="O365" s="10">
        <v>9835.27</v>
      </c>
      <c r="P365" s="10">
        <v>6033.91</v>
      </c>
      <c r="Q365" s="11">
        <v>4.3</v>
      </c>
      <c r="R365" s="13" t="str">
        <f>IF(Patient_Data!$L365&lt;2,"Low Risk",IF(Patient_Data!$L365&lt;4,"Moderate Risk","High Risk"))</f>
        <v>Moderate Risk</v>
      </c>
      <c r="S365" s="12" t="str">
        <f>IF(Patient_Data[[#This Row],[Age]]&lt;=18,"Pediatric",IF(Patient_Data[[#This Row],[Age]]&lt;=64,"Adult","Geriatric"))</f>
        <v>Adult</v>
      </c>
    </row>
    <row r="366" spans="1:19" ht="15.75" customHeight="1" x14ac:dyDescent="0.3">
      <c r="A366" s="4" t="s">
        <v>801</v>
      </c>
      <c r="B366" s="5" t="str">
        <f>TEXT(Patient_Data!$E366,"mmmm")</f>
        <v>February</v>
      </c>
      <c r="C366" s="6" t="str">
        <f t="shared" si="2"/>
        <v>Feb</v>
      </c>
      <c r="D366" s="6">
        <f>MONTH(Patient_Data!$E366)</f>
        <v>2</v>
      </c>
      <c r="E366" s="7">
        <v>45341</v>
      </c>
      <c r="F366" s="55" t="str">
        <f>TEXT(Patient_Data[[#This Row],[Admission_Date]],"YYYY")</f>
        <v>2024</v>
      </c>
      <c r="G366" s="8" t="s">
        <v>802</v>
      </c>
      <c r="H366" s="8" t="s">
        <v>53</v>
      </c>
      <c r="I366" s="4" t="s">
        <v>35</v>
      </c>
      <c r="J366" s="4">
        <v>35</v>
      </c>
      <c r="K366" s="4" t="s">
        <v>30</v>
      </c>
      <c r="L366" s="8">
        <v>1</v>
      </c>
      <c r="M366" s="9" t="s">
        <v>83</v>
      </c>
      <c r="N366" s="9" t="str">
        <f t="shared" si="3"/>
        <v>ER</v>
      </c>
      <c r="O366" s="10">
        <v>5608.66</v>
      </c>
      <c r="P366" s="10">
        <v>3688.74</v>
      </c>
      <c r="Q366" s="11">
        <v>12.4</v>
      </c>
      <c r="R366" s="13" t="str">
        <f>IF(Patient_Data!$L366&lt;2,"Low Risk",IF(Patient_Data!$L366&lt;4,"Moderate Risk","High Risk"))</f>
        <v>Low Risk</v>
      </c>
      <c r="S366" s="12" t="str">
        <f>IF(Patient_Data[[#This Row],[Age]]&lt;=18,"Pediatric",IF(Patient_Data[[#This Row],[Age]]&lt;=64,"Adult","Geriatric"))</f>
        <v>Adult</v>
      </c>
    </row>
    <row r="367" spans="1:19" ht="15.75" customHeight="1" x14ac:dyDescent="0.3">
      <c r="A367" s="4" t="s">
        <v>803</v>
      </c>
      <c r="B367" s="5" t="str">
        <f>TEXT(Patient_Data!$E367,"mmmm")</f>
        <v>January</v>
      </c>
      <c r="C367" s="6" t="str">
        <f t="shared" si="2"/>
        <v>Jan</v>
      </c>
      <c r="D367" s="6">
        <f>MONTH(Patient_Data!$E367)</f>
        <v>1</v>
      </c>
      <c r="E367" s="7">
        <v>45675</v>
      </c>
      <c r="F367" s="55" t="str">
        <f>TEXT(Patient_Data[[#This Row],[Admission_Date]],"YYYY")</f>
        <v>2025</v>
      </c>
      <c r="G367" s="8" t="s">
        <v>377</v>
      </c>
      <c r="H367" s="8" t="s">
        <v>75</v>
      </c>
      <c r="I367" s="4" t="s">
        <v>29</v>
      </c>
      <c r="J367" s="4">
        <v>76</v>
      </c>
      <c r="K367" s="4" t="s">
        <v>45</v>
      </c>
      <c r="L367" s="8">
        <v>4</v>
      </c>
      <c r="M367" s="9" t="s">
        <v>72</v>
      </c>
      <c r="N367" s="9" t="str">
        <f t="shared" si="3"/>
        <v>Surgery</v>
      </c>
      <c r="O367" s="10">
        <v>14333.62</v>
      </c>
      <c r="P367" s="10">
        <v>9665.1299999999992</v>
      </c>
      <c r="Q367" s="11">
        <v>7.7</v>
      </c>
      <c r="R367" s="13" t="str">
        <f>IF(Patient_Data!$L367&lt;2,"Low Risk",IF(Patient_Data!$L367&lt;4,"Moderate Risk","High Risk"))</f>
        <v>High Risk</v>
      </c>
      <c r="S367" s="12" t="str">
        <f>IF(Patient_Data[[#This Row],[Age]]&lt;=18,"Pediatric",IF(Patient_Data[[#This Row],[Age]]&lt;=64,"Adult","Geriatric"))</f>
        <v>Geriatric</v>
      </c>
    </row>
    <row r="368" spans="1:19" ht="15.75" customHeight="1" x14ac:dyDescent="0.3">
      <c r="A368" s="4" t="s">
        <v>804</v>
      </c>
      <c r="B368" s="5" t="str">
        <f>TEXT(Patient_Data!$E368,"mmmm")</f>
        <v>December</v>
      </c>
      <c r="C368" s="6" t="str">
        <f t="shared" si="2"/>
        <v>Dec</v>
      </c>
      <c r="D368" s="6">
        <f>MONTH(Patient_Data!$E368)</f>
        <v>12</v>
      </c>
      <c r="E368" s="7">
        <v>45629</v>
      </c>
      <c r="F368" s="55" t="str">
        <f>TEXT(Patient_Data[[#This Row],[Admission_Date]],"YYYY")</f>
        <v>2024</v>
      </c>
      <c r="G368" s="8" t="s">
        <v>231</v>
      </c>
      <c r="H368" s="8" t="s">
        <v>49</v>
      </c>
      <c r="I368" s="4" t="s">
        <v>35</v>
      </c>
      <c r="J368" s="4">
        <v>22</v>
      </c>
      <c r="K368" s="4" t="s">
        <v>30</v>
      </c>
      <c r="L368" s="8">
        <v>1</v>
      </c>
      <c r="M368" s="9" t="s">
        <v>39</v>
      </c>
      <c r="N368" s="9" t="str">
        <f t="shared" si="3"/>
        <v>GM</v>
      </c>
      <c r="O368" s="10">
        <v>1265.06</v>
      </c>
      <c r="P368" s="10">
        <v>935.94</v>
      </c>
      <c r="Q368" s="11">
        <v>6.3</v>
      </c>
      <c r="R368" s="13" t="str">
        <f>IF(Patient_Data!$L368&lt;2,"Low Risk",IF(Patient_Data!$L368&lt;4,"Moderate Risk","High Risk"))</f>
        <v>Low Risk</v>
      </c>
      <c r="S368" s="12" t="str">
        <f>IF(Patient_Data[[#This Row],[Age]]&lt;=18,"Pediatric",IF(Patient_Data[[#This Row],[Age]]&lt;=64,"Adult","Geriatric"))</f>
        <v>Adult</v>
      </c>
    </row>
    <row r="369" spans="1:19" ht="15.75" customHeight="1" x14ac:dyDescent="0.3">
      <c r="A369" s="4" t="s">
        <v>805</v>
      </c>
      <c r="B369" s="5" t="str">
        <f>TEXT(Patient_Data!$E369,"mmmm")</f>
        <v>October</v>
      </c>
      <c r="C369" s="6" t="str">
        <f t="shared" si="2"/>
        <v>Oct</v>
      </c>
      <c r="D369" s="6">
        <f>MONTH(Patient_Data!$E369)</f>
        <v>10</v>
      </c>
      <c r="E369" s="7">
        <v>45946</v>
      </c>
      <c r="F369" s="55" t="str">
        <f>TEXT(Patient_Data[[#This Row],[Admission_Date]],"YYYY")</f>
        <v>2025</v>
      </c>
      <c r="G369" s="8" t="s">
        <v>806</v>
      </c>
      <c r="H369" s="8" t="s">
        <v>53</v>
      </c>
      <c r="I369" s="4" t="s">
        <v>35</v>
      </c>
      <c r="J369" s="4">
        <v>37</v>
      </c>
      <c r="K369" s="4" t="s">
        <v>54</v>
      </c>
      <c r="L369" s="8">
        <v>2</v>
      </c>
      <c r="M369" s="9" t="s">
        <v>36</v>
      </c>
      <c r="N369" s="9" t="str">
        <f t="shared" si="3"/>
        <v>Cardio</v>
      </c>
      <c r="O369" s="10">
        <v>12305.62</v>
      </c>
      <c r="P369" s="10">
        <v>9047.9</v>
      </c>
      <c r="Q369" s="11">
        <v>8.1</v>
      </c>
      <c r="R369" s="13" t="str">
        <f>IF(Patient_Data!$L369&lt;2,"Low Risk",IF(Patient_Data!$L369&lt;4,"Moderate Risk","High Risk"))</f>
        <v>Moderate Risk</v>
      </c>
      <c r="S369" s="12" t="str">
        <f>IF(Patient_Data[[#This Row],[Age]]&lt;=18,"Pediatric",IF(Patient_Data[[#This Row],[Age]]&lt;=64,"Adult","Geriatric"))</f>
        <v>Adult</v>
      </c>
    </row>
    <row r="370" spans="1:19" ht="15.75" customHeight="1" x14ac:dyDescent="0.3">
      <c r="A370" s="4" t="s">
        <v>807</v>
      </c>
      <c r="B370" s="5" t="str">
        <f>TEXT(Patient_Data!$E370,"mmmm")</f>
        <v>April</v>
      </c>
      <c r="C370" s="6" t="str">
        <f t="shared" si="2"/>
        <v>Apr</v>
      </c>
      <c r="D370" s="6">
        <f>MONTH(Patient_Data!$E370)</f>
        <v>4</v>
      </c>
      <c r="E370" s="7">
        <v>45775</v>
      </c>
      <c r="F370" s="55" t="str">
        <f>TEXT(Patient_Data[[#This Row],[Admission_Date]],"YYYY")</f>
        <v>2025</v>
      </c>
      <c r="G370" s="8" t="s">
        <v>808</v>
      </c>
      <c r="H370" s="8" t="s">
        <v>49</v>
      </c>
      <c r="I370" s="4" t="s">
        <v>35</v>
      </c>
      <c r="J370" s="4">
        <v>47</v>
      </c>
      <c r="K370" s="4" t="s">
        <v>45</v>
      </c>
      <c r="L370" s="8">
        <v>4</v>
      </c>
      <c r="M370" s="9" t="s">
        <v>31</v>
      </c>
      <c r="N370" s="9" t="str">
        <f t="shared" si="3"/>
        <v>Neuro</v>
      </c>
      <c r="O370" s="10">
        <v>12623.61</v>
      </c>
      <c r="P370" s="10">
        <v>9617.94</v>
      </c>
      <c r="Q370" s="11">
        <v>3</v>
      </c>
      <c r="R370" s="13" t="str">
        <f>IF(Patient_Data!$L370&lt;2,"Low Risk",IF(Patient_Data!$L370&lt;4,"Moderate Risk","High Risk"))</f>
        <v>High Risk</v>
      </c>
      <c r="S370" s="12" t="str">
        <f>IF(Patient_Data[[#This Row],[Age]]&lt;=18,"Pediatric",IF(Patient_Data[[#This Row],[Age]]&lt;=64,"Adult","Geriatric"))</f>
        <v>Adult</v>
      </c>
    </row>
    <row r="371" spans="1:19" ht="15.75" customHeight="1" x14ac:dyDescent="0.3">
      <c r="A371" s="4" t="s">
        <v>809</v>
      </c>
      <c r="B371" s="5" t="str">
        <f>TEXT(Patient_Data!$E371,"mmmm")</f>
        <v>January</v>
      </c>
      <c r="C371" s="6" t="str">
        <f t="shared" si="2"/>
        <v>Jan</v>
      </c>
      <c r="D371" s="6">
        <f>MONTH(Patient_Data!$E371)</f>
        <v>1</v>
      </c>
      <c r="E371" s="7">
        <v>46045</v>
      </c>
      <c r="F371" s="55" t="str">
        <f>TEXT(Patient_Data[[#This Row],[Admission_Date]],"YYYY")</f>
        <v>2026</v>
      </c>
      <c r="G371" s="8" t="s">
        <v>810</v>
      </c>
      <c r="H371" s="8" t="s">
        <v>82</v>
      </c>
      <c r="I371" s="4" t="s">
        <v>35</v>
      </c>
      <c r="J371" s="4">
        <v>79</v>
      </c>
      <c r="K371" s="4" t="s">
        <v>30</v>
      </c>
      <c r="L371" s="8">
        <v>2</v>
      </c>
      <c r="M371" s="9" t="s">
        <v>83</v>
      </c>
      <c r="N371" s="9" t="str">
        <f t="shared" si="3"/>
        <v>ER</v>
      </c>
      <c r="O371" s="10">
        <v>3188.97</v>
      </c>
      <c r="P371" s="10">
        <v>2028</v>
      </c>
      <c r="Q371" s="11">
        <v>22.3</v>
      </c>
      <c r="R371" s="13" t="str">
        <f>IF(Patient_Data!$L371&lt;2,"Low Risk",IF(Patient_Data!$L371&lt;4,"Moderate Risk","High Risk"))</f>
        <v>Moderate Risk</v>
      </c>
      <c r="S371" s="12" t="str">
        <f>IF(Patient_Data[[#This Row],[Age]]&lt;=18,"Pediatric",IF(Patient_Data[[#This Row],[Age]]&lt;=64,"Adult","Geriatric"))</f>
        <v>Geriatric</v>
      </c>
    </row>
    <row r="372" spans="1:19" ht="15.75" customHeight="1" x14ac:dyDescent="0.3">
      <c r="A372" s="4" t="s">
        <v>811</v>
      </c>
      <c r="B372" s="5" t="str">
        <f>TEXT(Patient_Data!$E372,"mmmm")</f>
        <v>May</v>
      </c>
      <c r="C372" s="6" t="str">
        <f t="shared" si="2"/>
        <v>May</v>
      </c>
      <c r="D372" s="6">
        <f>MONTH(Patient_Data!$E372)</f>
        <v>5</v>
      </c>
      <c r="E372" s="7">
        <v>45792</v>
      </c>
      <c r="F372" s="55" t="str">
        <f>TEXT(Patient_Data[[#This Row],[Admission_Date]],"YYYY")</f>
        <v>2025</v>
      </c>
      <c r="G372" s="8" t="s">
        <v>812</v>
      </c>
      <c r="H372" s="8" t="s">
        <v>53</v>
      </c>
      <c r="I372" s="4" t="s">
        <v>35</v>
      </c>
      <c r="J372" s="4">
        <v>19</v>
      </c>
      <c r="K372" s="4" t="s">
        <v>30</v>
      </c>
      <c r="L372" s="8">
        <v>1</v>
      </c>
      <c r="M372" s="9" t="s">
        <v>39</v>
      </c>
      <c r="N372" s="9" t="str">
        <f t="shared" si="3"/>
        <v>GM</v>
      </c>
      <c r="O372" s="10">
        <v>3565.17</v>
      </c>
      <c r="P372" s="10">
        <v>2206.75</v>
      </c>
      <c r="Q372" s="11">
        <v>4</v>
      </c>
      <c r="R372" s="13" t="str">
        <f>IF(Patient_Data!$L372&lt;2,"Low Risk",IF(Patient_Data!$L372&lt;4,"Moderate Risk","High Risk"))</f>
        <v>Low Risk</v>
      </c>
      <c r="S372" s="12" t="str">
        <f>IF(Patient_Data[[#This Row],[Age]]&lt;=18,"Pediatric",IF(Patient_Data[[#This Row],[Age]]&lt;=64,"Adult","Geriatric"))</f>
        <v>Adult</v>
      </c>
    </row>
    <row r="373" spans="1:19" ht="15.75" customHeight="1" x14ac:dyDescent="0.3">
      <c r="A373" s="4" t="s">
        <v>813</v>
      </c>
      <c r="B373" s="5" t="str">
        <f>TEXT(Patient_Data!$E373,"mmmm")</f>
        <v>March</v>
      </c>
      <c r="C373" s="6" t="str">
        <f t="shared" si="2"/>
        <v>Mar</v>
      </c>
      <c r="D373" s="6">
        <f>MONTH(Patient_Data!$E373)</f>
        <v>3</v>
      </c>
      <c r="E373" s="7">
        <v>45370</v>
      </c>
      <c r="F373" s="55" t="str">
        <f>TEXT(Patient_Data[[#This Row],[Admission_Date]],"YYYY")</f>
        <v>2024</v>
      </c>
      <c r="G373" s="8" t="s">
        <v>814</v>
      </c>
      <c r="H373" s="8" t="s">
        <v>34</v>
      </c>
      <c r="I373" s="4" t="s">
        <v>29</v>
      </c>
      <c r="J373" s="4">
        <v>67</v>
      </c>
      <c r="K373" s="4" t="s">
        <v>54</v>
      </c>
      <c r="L373" s="8">
        <v>3</v>
      </c>
      <c r="M373" s="9" t="s">
        <v>36</v>
      </c>
      <c r="N373" s="9" t="str">
        <f t="shared" si="3"/>
        <v>Cardio</v>
      </c>
      <c r="O373" s="10">
        <v>6314.26</v>
      </c>
      <c r="P373" s="10">
        <v>4119.53</v>
      </c>
      <c r="Q373" s="11">
        <v>9.8000000000000007</v>
      </c>
      <c r="R373" s="13" t="str">
        <f>IF(Patient_Data!$L373&lt;2,"Low Risk",IF(Patient_Data!$L373&lt;4,"Moderate Risk","High Risk"))</f>
        <v>Moderate Risk</v>
      </c>
      <c r="S373" s="12" t="str">
        <f>IF(Patient_Data[[#This Row],[Age]]&lt;=18,"Pediatric",IF(Patient_Data[[#This Row],[Age]]&lt;=64,"Adult","Geriatric"))</f>
        <v>Geriatric</v>
      </c>
    </row>
    <row r="374" spans="1:19" ht="15.75" customHeight="1" x14ac:dyDescent="0.3">
      <c r="A374" s="4" t="s">
        <v>815</v>
      </c>
      <c r="B374" s="5" t="str">
        <f>TEXT(Patient_Data!$E374,"mmmm")</f>
        <v>February</v>
      </c>
      <c r="C374" s="6" t="str">
        <f t="shared" si="2"/>
        <v>Feb</v>
      </c>
      <c r="D374" s="6">
        <f>MONTH(Patient_Data!$E374)</f>
        <v>2</v>
      </c>
      <c r="E374" s="7">
        <v>45708</v>
      </c>
      <c r="F374" s="55" t="str">
        <f>TEXT(Patient_Data[[#This Row],[Admission_Date]],"YYYY")</f>
        <v>2025</v>
      </c>
      <c r="G374" s="8" t="s">
        <v>816</v>
      </c>
      <c r="H374" s="8" t="s">
        <v>132</v>
      </c>
      <c r="I374" s="4" t="s">
        <v>35</v>
      </c>
      <c r="J374" s="4">
        <v>55</v>
      </c>
      <c r="K374" s="4" t="s">
        <v>54</v>
      </c>
      <c r="L374" s="8">
        <v>1</v>
      </c>
      <c r="M374" s="9" t="s">
        <v>36</v>
      </c>
      <c r="N374" s="9" t="str">
        <f t="shared" si="3"/>
        <v>Cardio</v>
      </c>
      <c r="O374" s="10">
        <v>5681.41</v>
      </c>
      <c r="P374" s="10">
        <v>3901.74</v>
      </c>
      <c r="Q374" s="11">
        <v>11.9</v>
      </c>
      <c r="R374" s="13" t="str">
        <f>IF(Patient_Data!$L374&lt;2,"Low Risk",IF(Patient_Data!$L374&lt;4,"Moderate Risk","High Risk"))</f>
        <v>Low Risk</v>
      </c>
      <c r="S374" s="12" t="str">
        <f>IF(Patient_Data[[#This Row],[Age]]&lt;=18,"Pediatric",IF(Patient_Data[[#This Row],[Age]]&lt;=64,"Adult","Geriatric"))</f>
        <v>Adult</v>
      </c>
    </row>
    <row r="375" spans="1:19" ht="15.75" customHeight="1" x14ac:dyDescent="0.3">
      <c r="A375" s="4" t="s">
        <v>817</v>
      </c>
      <c r="B375" s="5" t="str">
        <f>TEXT(Patient_Data!$E375,"mmmm")</f>
        <v>July</v>
      </c>
      <c r="C375" s="6" t="str">
        <f t="shared" si="2"/>
        <v>Jul</v>
      </c>
      <c r="D375" s="6">
        <f>MONTH(Patient_Data!$E375)</f>
        <v>7</v>
      </c>
      <c r="E375" s="7">
        <v>45487</v>
      </c>
      <c r="F375" s="55" t="str">
        <f>TEXT(Patient_Data[[#This Row],[Admission_Date]],"YYYY")</f>
        <v>2024</v>
      </c>
      <c r="G375" s="8" t="s">
        <v>818</v>
      </c>
      <c r="H375" s="8" t="s">
        <v>98</v>
      </c>
      <c r="I375" s="4" t="s">
        <v>35</v>
      </c>
      <c r="J375" s="4">
        <v>59</v>
      </c>
      <c r="K375" s="4" t="s">
        <v>30</v>
      </c>
      <c r="L375" s="8">
        <v>3</v>
      </c>
      <c r="M375" s="9" t="s">
        <v>72</v>
      </c>
      <c r="N375" s="9" t="str">
        <f t="shared" si="3"/>
        <v>Surgery</v>
      </c>
      <c r="O375" s="10">
        <v>11984.83</v>
      </c>
      <c r="P375" s="10">
        <v>8422.98</v>
      </c>
      <c r="Q375" s="11">
        <v>4.2</v>
      </c>
      <c r="R375" s="13" t="str">
        <f>IF(Patient_Data!$L375&lt;2,"Low Risk",IF(Patient_Data!$L375&lt;4,"Moderate Risk","High Risk"))</f>
        <v>Moderate Risk</v>
      </c>
      <c r="S375" s="12" t="str">
        <f>IF(Patient_Data[[#This Row],[Age]]&lt;=18,"Pediatric",IF(Patient_Data[[#This Row],[Age]]&lt;=64,"Adult","Geriatric"))</f>
        <v>Adult</v>
      </c>
    </row>
    <row r="376" spans="1:19" ht="15.75" customHeight="1" x14ac:dyDescent="0.3">
      <c r="A376" s="4" t="s">
        <v>819</v>
      </c>
      <c r="B376" s="5" t="str">
        <f>TEXT(Patient_Data!$E376,"mmmm")</f>
        <v>April</v>
      </c>
      <c r="C376" s="6" t="str">
        <f t="shared" si="2"/>
        <v>Apr</v>
      </c>
      <c r="D376" s="6">
        <f>MONTH(Patient_Data!$E376)</f>
        <v>4</v>
      </c>
      <c r="E376" s="7">
        <v>46129</v>
      </c>
      <c r="F376" s="55" t="str">
        <f>TEXT(Patient_Data[[#This Row],[Admission_Date]],"YYYY")</f>
        <v>2026</v>
      </c>
      <c r="G376" s="8" t="s">
        <v>820</v>
      </c>
      <c r="H376" s="8" t="s">
        <v>98</v>
      </c>
      <c r="I376" s="4" t="s">
        <v>29</v>
      </c>
      <c r="J376" s="4">
        <v>51</v>
      </c>
      <c r="K376" s="4" t="s">
        <v>30</v>
      </c>
      <c r="L376" s="8">
        <v>2</v>
      </c>
      <c r="M376" s="9" t="s">
        <v>36</v>
      </c>
      <c r="N376" s="9" t="str">
        <f t="shared" si="3"/>
        <v>Cardio</v>
      </c>
      <c r="O376" s="10">
        <v>8591.2099999999991</v>
      </c>
      <c r="P376" s="10">
        <v>6309.98</v>
      </c>
      <c r="Q376" s="11">
        <v>4.8</v>
      </c>
      <c r="R376" s="13" t="str">
        <f>IF(Patient_Data!$L376&lt;2,"Low Risk",IF(Patient_Data!$L376&lt;4,"Moderate Risk","High Risk"))</f>
        <v>Moderate Risk</v>
      </c>
      <c r="S376" s="12" t="str">
        <f>IF(Patient_Data[[#This Row],[Age]]&lt;=18,"Pediatric",IF(Patient_Data[[#This Row],[Age]]&lt;=64,"Adult","Geriatric"))</f>
        <v>Adult</v>
      </c>
    </row>
    <row r="377" spans="1:19" ht="15.75" customHeight="1" x14ac:dyDescent="0.3">
      <c r="A377" s="4" t="s">
        <v>821</v>
      </c>
      <c r="B377" s="5" t="str">
        <f>TEXT(Patient_Data!$E377,"mmmm")</f>
        <v>April</v>
      </c>
      <c r="C377" s="6" t="str">
        <f t="shared" si="2"/>
        <v>Apr</v>
      </c>
      <c r="D377" s="6">
        <f>MONTH(Patient_Data!$E377)</f>
        <v>4</v>
      </c>
      <c r="E377" s="7">
        <v>45763</v>
      </c>
      <c r="F377" s="55" t="str">
        <f>TEXT(Patient_Data[[#This Row],[Admission_Date]],"YYYY")</f>
        <v>2025</v>
      </c>
      <c r="G377" s="8" t="s">
        <v>822</v>
      </c>
      <c r="H377" s="8" t="s">
        <v>53</v>
      </c>
      <c r="I377" s="4" t="s">
        <v>29</v>
      </c>
      <c r="J377" s="4">
        <v>32</v>
      </c>
      <c r="K377" s="4" t="s">
        <v>30</v>
      </c>
      <c r="L377" s="8">
        <v>1</v>
      </c>
      <c r="M377" s="9" t="s">
        <v>83</v>
      </c>
      <c r="N377" s="9" t="str">
        <f t="shared" si="3"/>
        <v>ER</v>
      </c>
      <c r="O377" s="10">
        <v>6789.51</v>
      </c>
      <c r="P377" s="10">
        <v>5246.43</v>
      </c>
      <c r="Q377" s="11">
        <v>10.8</v>
      </c>
      <c r="R377" s="13" t="str">
        <f>IF(Patient_Data!$L377&lt;2,"Low Risk",IF(Patient_Data!$L377&lt;4,"Moderate Risk","High Risk"))</f>
        <v>Low Risk</v>
      </c>
      <c r="S377" s="12" t="str">
        <f>IF(Patient_Data[[#This Row],[Age]]&lt;=18,"Pediatric",IF(Patient_Data[[#This Row],[Age]]&lt;=64,"Adult","Geriatric"))</f>
        <v>Adult</v>
      </c>
    </row>
    <row r="378" spans="1:19" ht="15.75" customHeight="1" x14ac:dyDescent="0.3">
      <c r="A378" s="4" t="s">
        <v>823</v>
      </c>
      <c r="B378" s="5" t="str">
        <f>TEXT(Patient_Data!$E378,"mmmm")</f>
        <v>November</v>
      </c>
      <c r="C378" s="6" t="str">
        <f t="shared" si="2"/>
        <v>Nov</v>
      </c>
      <c r="D378" s="6">
        <f>MONTH(Patient_Data!$E378)</f>
        <v>11</v>
      </c>
      <c r="E378" s="7">
        <v>45233</v>
      </c>
      <c r="F378" s="55" t="str">
        <f>TEXT(Patient_Data[[#This Row],[Admission_Date]],"YYYY")</f>
        <v>2023</v>
      </c>
      <c r="G378" s="8" t="s">
        <v>824</v>
      </c>
      <c r="H378" s="8" t="s">
        <v>34</v>
      </c>
      <c r="I378" s="4" t="s">
        <v>35</v>
      </c>
      <c r="J378" s="4">
        <v>71</v>
      </c>
      <c r="K378" s="4" t="s">
        <v>54</v>
      </c>
      <c r="L378" s="8">
        <v>3</v>
      </c>
      <c r="M378" s="9" t="s">
        <v>83</v>
      </c>
      <c r="N378" s="9" t="str">
        <f t="shared" si="3"/>
        <v>ER</v>
      </c>
      <c r="O378" s="10">
        <v>10501.73</v>
      </c>
      <c r="P378" s="10">
        <v>6257.4</v>
      </c>
      <c r="Q378" s="11">
        <v>20.8</v>
      </c>
      <c r="R378" s="13" t="str">
        <f>IF(Patient_Data!$L378&lt;2,"Low Risk",IF(Patient_Data!$L378&lt;4,"Moderate Risk","High Risk"))</f>
        <v>Moderate Risk</v>
      </c>
      <c r="S378" s="12" t="str">
        <f>IF(Patient_Data[[#This Row],[Age]]&lt;=18,"Pediatric",IF(Patient_Data[[#This Row],[Age]]&lt;=64,"Adult","Geriatric"))</f>
        <v>Geriatric</v>
      </c>
    </row>
    <row r="379" spans="1:19" ht="15.75" customHeight="1" x14ac:dyDescent="0.3">
      <c r="A379" s="4" t="s">
        <v>825</v>
      </c>
      <c r="B379" s="5" t="str">
        <f>TEXT(Patient_Data!$E379,"mmmm")</f>
        <v>March</v>
      </c>
      <c r="C379" s="6" t="str">
        <f t="shared" si="2"/>
        <v>Mar</v>
      </c>
      <c r="D379" s="6">
        <f>MONTH(Patient_Data!$E379)</f>
        <v>3</v>
      </c>
      <c r="E379" s="7">
        <v>46096</v>
      </c>
      <c r="F379" s="55" t="str">
        <f>TEXT(Patient_Data[[#This Row],[Admission_Date]],"YYYY")</f>
        <v>2026</v>
      </c>
      <c r="G379" s="8" t="s">
        <v>826</v>
      </c>
      <c r="H379" s="8" t="s">
        <v>28</v>
      </c>
      <c r="I379" s="4" t="s">
        <v>35</v>
      </c>
      <c r="J379" s="4">
        <v>78</v>
      </c>
      <c r="K379" s="4" t="s">
        <v>54</v>
      </c>
      <c r="L379" s="8">
        <v>4</v>
      </c>
      <c r="M379" s="9" t="s">
        <v>72</v>
      </c>
      <c r="N379" s="9" t="str">
        <f t="shared" si="3"/>
        <v>Surgery</v>
      </c>
      <c r="O379" s="10">
        <v>13876.46</v>
      </c>
      <c r="P379" s="10">
        <v>8487.0400000000009</v>
      </c>
      <c r="Q379" s="11">
        <v>2.8</v>
      </c>
      <c r="R379" s="13" t="str">
        <f>IF(Patient_Data!$L379&lt;2,"Low Risk",IF(Patient_Data!$L379&lt;4,"Moderate Risk","High Risk"))</f>
        <v>High Risk</v>
      </c>
      <c r="S379" s="12" t="str">
        <f>IF(Patient_Data[[#This Row],[Age]]&lt;=18,"Pediatric",IF(Patient_Data[[#This Row],[Age]]&lt;=64,"Adult","Geriatric"))</f>
        <v>Geriatric</v>
      </c>
    </row>
    <row r="380" spans="1:19" ht="15.75" customHeight="1" x14ac:dyDescent="0.3">
      <c r="A380" s="4" t="s">
        <v>827</v>
      </c>
      <c r="B380" s="5" t="str">
        <f>TEXT(Patient_Data!$E380,"mmmm")</f>
        <v>December</v>
      </c>
      <c r="C380" s="6" t="str">
        <f t="shared" si="2"/>
        <v>Dec</v>
      </c>
      <c r="D380" s="6">
        <f>MONTH(Patient_Data!$E380)</f>
        <v>12</v>
      </c>
      <c r="E380" s="7">
        <v>45645</v>
      </c>
      <c r="F380" s="55" t="str">
        <f>TEXT(Patient_Data[[#This Row],[Admission_Date]],"YYYY")</f>
        <v>2024</v>
      </c>
      <c r="G380" s="8" t="s">
        <v>828</v>
      </c>
      <c r="H380" s="8" t="s">
        <v>132</v>
      </c>
      <c r="I380" s="4" t="s">
        <v>29</v>
      </c>
      <c r="J380" s="4">
        <v>33</v>
      </c>
      <c r="K380" s="4" t="s">
        <v>54</v>
      </c>
      <c r="L380" s="8">
        <v>4</v>
      </c>
      <c r="M380" s="9" t="s">
        <v>72</v>
      </c>
      <c r="N380" s="9" t="str">
        <f t="shared" si="3"/>
        <v>Surgery</v>
      </c>
      <c r="O380" s="10">
        <v>16418.77</v>
      </c>
      <c r="P380" s="10">
        <v>10564.81</v>
      </c>
      <c r="Q380" s="11">
        <v>7.1</v>
      </c>
      <c r="R380" s="13" t="str">
        <f>IF(Patient_Data!$L380&lt;2,"Low Risk",IF(Patient_Data!$L380&lt;4,"Moderate Risk","High Risk"))</f>
        <v>High Risk</v>
      </c>
      <c r="S380" s="12" t="str">
        <f>IF(Patient_Data[[#This Row],[Age]]&lt;=18,"Pediatric",IF(Patient_Data[[#This Row],[Age]]&lt;=64,"Adult","Geriatric"))</f>
        <v>Adult</v>
      </c>
    </row>
    <row r="381" spans="1:19" ht="15.75" customHeight="1" x14ac:dyDescent="0.3">
      <c r="A381" s="4" t="s">
        <v>829</v>
      </c>
      <c r="B381" s="5" t="str">
        <f>TEXT(Patient_Data!$E381,"mmmm")</f>
        <v>February</v>
      </c>
      <c r="C381" s="6" t="str">
        <f t="shared" si="2"/>
        <v>Feb</v>
      </c>
      <c r="D381" s="6">
        <f>MONTH(Patient_Data!$E381)</f>
        <v>2</v>
      </c>
      <c r="E381" s="7">
        <v>45708</v>
      </c>
      <c r="F381" s="55" t="str">
        <f>TEXT(Patient_Data[[#This Row],[Admission_Date]],"YYYY")</f>
        <v>2025</v>
      </c>
      <c r="G381" s="8" t="s">
        <v>830</v>
      </c>
      <c r="H381" s="8" t="s">
        <v>28</v>
      </c>
      <c r="I381" s="4" t="s">
        <v>35</v>
      </c>
      <c r="J381" s="4">
        <v>48</v>
      </c>
      <c r="K381" s="4" t="s">
        <v>30</v>
      </c>
      <c r="L381" s="8">
        <v>1</v>
      </c>
      <c r="M381" s="9" t="s">
        <v>31</v>
      </c>
      <c r="N381" s="9" t="str">
        <f t="shared" si="3"/>
        <v>Neuro</v>
      </c>
      <c r="O381" s="10">
        <v>10360.56</v>
      </c>
      <c r="P381" s="10">
        <v>7006.38</v>
      </c>
      <c r="Q381" s="11">
        <v>8.1</v>
      </c>
      <c r="R381" s="13" t="str">
        <f>IF(Patient_Data!$L381&lt;2,"Low Risk",IF(Patient_Data!$L381&lt;4,"Moderate Risk","High Risk"))</f>
        <v>Low Risk</v>
      </c>
      <c r="S381" s="12" t="str">
        <f>IF(Patient_Data[[#This Row],[Age]]&lt;=18,"Pediatric",IF(Patient_Data[[#This Row],[Age]]&lt;=64,"Adult","Geriatric"))</f>
        <v>Adult</v>
      </c>
    </row>
    <row r="382" spans="1:19" ht="15.75" customHeight="1" x14ac:dyDescent="0.3">
      <c r="A382" s="4" t="s">
        <v>831</v>
      </c>
      <c r="B382" s="5" t="str">
        <f>TEXT(Patient_Data!$E382,"mmmm")</f>
        <v>October</v>
      </c>
      <c r="C382" s="6" t="str">
        <f t="shared" si="2"/>
        <v>Oct</v>
      </c>
      <c r="D382" s="6">
        <f>MONTH(Patient_Data!$E382)</f>
        <v>10</v>
      </c>
      <c r="E382" s="7">
        <v>45572</v>
      </c>
      <c r="F382" s="55" t="str">
        <f>TEXT(Patient_Data[[#This Row],[Admission_Date]],"YYYY")</f>
        <v>2024</v>
      </c>
      <c r="G382" s="8" t="s">
        <v>832</v>
      </c>
      <c r="H382" s="8" t="s">
        <v>42</v>
      </c>
      <c r="I382" s="4" t="s">
        <v>29</v>
      </c>
      <c r="J382" s="4">
        <v>55</v>
      </c>
      <c r="K382" s="4" t="s">
        <v>54</v>
      </c>
      <c r="L382" s="8">
        <v>4</v>
      </c>
      <c r="M382" s="9" t="s">
        <v>72</v>
      </c>
      <c r="N382" s="9" t="str">
        <f t="shared" si="3"/>
        <v>Surgery</v>
      </c>
      <c r="O382" s="10">
        <v>21504.67</v>
      </c>
      <c r="P382" s="10">
        <v>15131.67</v>
      </c>
      <c r="Q382" s="11">
        <v>9.8000000000000007</v>
      </c>
      <c r="R382" s="13" t="str">
        <f>IF(Patient_Data!$L382&lt;2,"Low Risk",IF(Patient_Data!$L382&lt;4,"Moderate Risk","High Risk"))</f>
        <v>High Risk</v>
      </c>
      <c r="S382" s="12" t="str">
        <f>IF(Patient_Data[[#This Row],[Age]]&lt;=18,"Pediatric",IF(Patient_Data[[#This Row],[Age]]&lt;=64,"Adult","Geriatric"))</f>
        <v>Adult</v>
      </c>
    </row>
    <row r="383" spans="1:19" ht="15.75" customHeight="1" x14ac:dyDescent="0.3">
      <c r="A383" s="4" t="s">
        <v>833</v>
      </c>
      <c r="B383" s="5" t="str">
        <f>TEXT(Patient_Data!$E383,"mmmm")</f>
        <v>January</v>
      </c>
      <c r="C383" s="6" t="str">
        <f t="shared" si="2"/>
        <v>Jan</v>
      </c>
      <c r="D383" s="6">
        <f>MONTH(Patient_Data!$E383)</f>
        <v>1</v>
      </c>
      <c r="E383" s="7">
        <v>46037</v>
      </c>
      <c r="F383" s="55" t="str">
        <f>TEXT(Patient_Data[[#This Row],[Admission_Date]],"YYYY")</f>
        <v>2026</v>
      </c>
      <c r="G383" s="8" t="s">
        <v>834</v>
      </c>
      <c r="H383" s="8" t="s">
        <v>34</v>
      </c>
      <c r="I383" s="4" t="s">
        <v>29</v>
      </c>
      <c r="J383" s="4">
        <v>77</v>
      </c>
      <c r="K383" s="4" t="s">
        <v>30</v>
      </c>
      <c r="L383" s="8">
        <v>4</v>
      </c>
      <c r="M383" s="9" t="s">
        <v>50</v>
      </c>
      <c r="N383" s="9" t="str">
        <f t="shared" si="3"/>
        <v>ICU</v>
      </c>
      <c r="O383" s="10">
        <v>11210.81</v>
      </c>
      <c r="P383" s="10">
        <v>8279.09</v>
      </c>
      <c r="Q383" s="11">
        <v>11.9</v>
      </c>
      <c r="R383" s="13" t="str">
        <f>IF(Patient_Data!$L383&lt;2,"Low Risk",IF(Patient_Data!$L383&lt;4,"Moderate Risk","High Risk"))</f>
        <v>High Risk</v>
      </c>
      <c r="S383" s="12" t="str">
        <f>IF(Patient_Data[[#This Row],[Age]]&lt;=18,"Pediatric",IF(Patient_Data[[#This Row],[Age]]&lt;=64,"Adult","Geriatric"))</f>
        <v>Geriatric</v>
      </c>
    </row>
    <row r="384" spans="1:19" ht="15.75" customHeight="1" x14ac:dyDescent="0.3">
      <c r="A384" s="4" t="s">
        <v>835</v>
      </c>
      <c r="B384" s="5" t="str">
        <f>TEXT(Patient_Data!$E384,"mmmm")</f>
        <v>June</v>
      </c>
      <c r="C384" s="6" t="str">
        <f t="shared" si="2"/>
        <v>Jun</v>
      </c>
      <c r="D384" s="6">
        <f>MONTH(Patient_Data!$E384)</f>
        <v>6</v>
      </c>
      <c r="E384" s="7">
        <v>45458</v>
      </c>
      <c r="F384" s="55" t="str">
        <f>TEXT(Patient_Data[[#This Row],[Admission_Date]],"YYYY")</f>
        <v>2024</v>
      </c>
      <c r="G384" s="8" t="s">
        <v>836</v>
      </c>
      <c r="H384" s="8" t="s">
        <v>34</v>
      </c>
      <c r="I384" s="4" t="s">
        <v>35</v>
      </c>
      <c r="J384" s="4">
        <v>32</v>
      </c>
      <c r="K384" s="4" t="s">
        <v>30</v>
      </c>
      <c r="L384" s="8">
        <v>1</v>
      </c>
      <c r="M384" s="9" t="s">
        <v>39</v>
      </c>
      <c r="N384" s="9" t="str">
        <f t="shared" si="3"/>
        <v>GM</v>
      </c>
      <c r="O384" s="10">
        <v>1438.62</v>
      </c>
      <c r="P384" s="10">
        <v>1154.1500000000001</v>
      </c>
      <c r="Q384" s="11">
        <v>7.6</v>
      </c>
      <c r="R384" s="13" t="str">
        <f>IF(Patient_Data!$L384&lt;2,"Low Risk",IF(Patient_Data!$L384&lt;4,"Moderate Risk","High Risk"))</f>
        <v>Low Risk</v>
      </c>
      <c r="S384" s="12" t="str">
        <f>IF(Patient_Data[[#This Row],[Age]]&lt;=18,"Pediatric",IF(Patient_Data[[#This Row],[Age]]&lt;=64,"Adult","Geriatric"))</f>
        <v>Adult</v>
      </c>
    </row>
    <row r="385" spans="1:19" ht="15.75" customHeight="1" x14ac:dyDescent="0.3">
      <c r="A385" s="4" t="s">
        <v>837</v>
      </c>
      <c r="B385" s="5" t="str">
        <f>TEXT(Patient_Data!$E385,"mmmm")</f>
        <v>August</v>
      </c>
      <c r="C385" s="6" t="str">
        <f t="shared" si="2"/>
        <v>Aug</v>
      </c>
      <c r="D385" s="6">
        <f>MONTH(Patient_Data!$E385)</f>
        <v>8</v>
      </c>
      <c r="E385" s="7">
        <v>45506</v>
      </c>
      <c r="F385" s="55" t="str">
        <f>TEXT(Patient_Data[[#This Row],[Admission_Date]],"YYYY")</f>
        <v>2024</v>
      </c>
      <c r="G385" s="8" t="s">
        <v>838</v>
      </c>
      <c r="H385" s="8" t="s">
        <v>34</v>
      </c>
      <c r="I385" s="4" t="s">
        <v>35</v>
      </c>
      <c r="J385" s="4">
        <v>51</v>
      </c>
      <c r="K385" s="4" t="s">
        <v>45</v>
      </c>
      <c r="L385" s="8">
        <v>2</v>
      </c>
      <c r="M385" s="9" t="s">
        <v>39</v>
      </c>
      <c r="N385" s="9" t="str">
        <f t="shared" si="3"/>
        <v>GM</v>
      </c>
      <c r="O385" s="10">
        <v>2115.13</v>
      </c>
      <c r="P385" s="10">
        <v>1303.58</v>
      </c>
      <c r="Q385" s="11">
        <v>9.6</v>
      </c>
      <c r="R385" s="13" t="str">
        <f>IF(Patient_Data!$L385&lt;2,"Low Risk",IF(Patient_Data!$L385&lt;4,"Moderate Risk","High Risk"))</f>
        <v>Moderate Risk</v>
      </c>
      <c r="S385" s="12" t="str">
        <f>IF(Patient_Data[[#This Row],[Age]]&lt;=18,"Pediatric",IF(Patient_Data[[#This Row],[Age]]&lt;=64,"Adult","Geriatric"))</f>
        <v>Adult</v>
      </c>
    </row>
    <row r="386" spans="1:19" ht="15.75" customHeight="1" x14ac:dyDescent="0.3">
      <c r="A386" s="4" t="s">
        <v>839</v>
      </c>
      <c r="B386" s="5" t="str">
        <f>TEXT(Patient_Data!$E386,"mmmm")</f>
        <v>May</v>
      </c>
      <c r="C386" s="6" t="str">
        <f t="shared" si="2"/>
        <v>May</v>
      </c>
      <c r="D386" s="6">
        <f>MONTH(Patient_Data!$E386)</f>
        <v>5</v>
      </c>
      <c r="E386" s="7">
        <v>45796</v>
      </c>
      <c r="F386" s="55" t="str">
        <f>TEXT(Patient_Data[[#This Row],[Admission_Date]],"YYYY")</f>
        <v>2025</v>
      </c>
      <c r="G386" s="8" t="s">
        <v>840</v>
      </c>
      <c r="H386" s="8" t="s">
        <v>28</v>
      </c>
      <c r="I386" s="4" t="s">
        <v>35</v>
      </c>
      <c r="J386" s="4">
        <v>95</v>
      </c>
      <c r="K386" s="4" t="s">
        <v>30</v>
      </c>
      <c r="L386" s="8">
        <v>2</v>
      </c>
      <c r="M386" s="9" t="s">
        <v>46</v>
      </c>
      <c r="N386" s="9" t="str">
        <f t="shared" si="3"/>
        <v>Ortho</v>
      </c>
      <c r="O386" s="10">
        <v>4344.97</v>
      </c>
      <c r="P386" s="10">
        <v>2728.03</v>
      </c>
      <c r="Q386" s="11">
        <v>9.6999999999999993</v>
      </c>
      <c r="R386" s="13" t="str">
        <f>IF(Patient_Data!$L386&lt;2,"Low Risk",IF(Patient_Data!$L386&lt;4,"Moderate Risk","High Risk"))</f>
        <v>Moderate Risk</v>
      </c>
      <c r="S386" s="12" t="str">
        <f>IF(Patient_Data[[#This Row],[Age]]&lt;=18,"Pediatric",IF(Patient_Data[[#This Row],[Age]]&lt;=64,"Adult","Geriatric"))</f>
        <v>Geriatric</v>
      </c>
    </row>
    <row r="387" spans="1:19" ht="15.75" customHeight="1" x14ac:dyDescent="0.3">
      <c r="A387" s="4" t="s">
        <v>841</v>
      </c>
      <c r="B387" s="5" t="str">
        <f>TEXT(Patient_Data!$E387,"mmmm")</f>
        <v>April</v>
      </c>
      <c r="C387" s="6" t="str">
        <f t="shared" si="2"/>
        <v>Apr</v>
      </c>
      <c r="D387" s="6">
        <f>MONTH(Patient_Data!$E387)</f>
        <v>4</v>
      </c>
      <c r="E387" s="7">
        <v>45758</v>
      </c>
      <c r="F387" s="55" t="str">
        <f>TEXT(Patient_Data[[#This Row],[Admission_Date]],"YYYY")</f>
        <v>2025</v>
      </c>
      <c r="G387" s="8" t="s">
        <v>842</v>
      </c>
      <c r="H387" s="8" t="s">
        <v>34</v>
      </c>
      <c r="I387" s="4" t="s">
        <v>29</v>
      </c>
      <c r="J387" s="4">
        <v>48</v>
      </c>
      <c r="K387" s="4" t="s">
        <v>54</v>
      </c>
      <c r="L387" s="8">
        <v>4</v>
      </c>
      <c r="M387" s="9" t="s">
        <v>72</v>
      </c>
      <c r="N387" s="9" t="str">
        <f t="shared" si="3"/>
        <v>Surgery</v>
      </c>
      <c r="O387" s="10">
        <v>15066.87</v>
      </c>
      <c r="P387" s="10">
        <v>9666</v>
      </c>
      <c r="Q387" s="11">
        <v>2.9</v>
      </c>
      <c r="R387" s="13" t="str">
        <f>IF(Patient_Data!$L387&lt;2,"Low Risk",IF(Patient_Data!$L387&lt;4,"Moderate Risk","High Risk"))</f>
        <v>High Risk</v>
      </c>
      <c r="S387" s="12" t="str">
        <f>IF(Patient_Data[[#This Row],[Age]]&lt;=18,"Pediatric",IF(Patient_Data[[#This Row],[Age]]&lt;=64,"Adult","Geriatric"))</f>
        <v>Adult</v>
      </c>
    </row>
    <row r="388" spans="1:19" ht="15.75" customHeight="1" x14ac:dyDescent="0.3">
      <c r="A388" s="4" t="s">
        <v>843</v>
      </c>
      <c r="B388" s="5" t="str">
        <f>TEXT(Patient_Data!$E388,"mmmm")</f>
        <v>February</v>
      </c>
      <c r="C388" s="6" t="str">
        <f t="shared" si="2"/>
        <v>Feb</v>
      </c>
      <c r="D388" s="6">
        <f>MONTH(Patient_Data!$E388)</f>
        <v>2</v>
      </c>
      <c r="E388" s="7">
        <v>46066</v>
      </c>
      <c r="F388" s="55" t="str">
        <f>TEXT(Patient_Data[[#This Row],[Admission_Date]],"YYYY")</f>
        <v>2026</v>
      </c>
      <c r="G388" s="8" t="s">
        <v>844</v>
      </c>
      <c r="H388" s="8" t="s">
        <v>34</v>
      </c>
      <c r="I388" s="4" t="s">
        <v>29</v>
      </c>
      <c r="J388" s="4">
        <v>41</v>
      </c>
      <c r="K388" s="4" t="s">
        <v>30</v>
      </c>
      <c r="L388" s="8">
        <v>2</v>
      </c>
      <c r="M388" s="9" t="s">
        <v>83</v>
      </c>
      <c r="N388" s="9" t="str">
        <f t="shared" si="3"/>
        <v>ER</v>
      </c>
      <c r="O388" s="10">
        <v>5179.3</v>
      </c>
      <c r="P388" s="10">
        <v>3599.73</v>
      </c>
      <c r="Q388" s="11">
        <v>16.2</v>
      </c>
      <c r="R388" s="13" t="str">
        <f>IF(Patient_Data!$L388&lt;2,"Low Risk",IF(Patient_Data!$L388&lt;4,"Moderate Risk","High Risk"))</f>
        <v>Moderate Risk</v>
      </c>
      <c r="S388" s="12" t="str">
        <f>IF(Patient_Data[[#This Row],[Age]]&lt;=18,"Pediatric",IF(Patient_Data[[#This Row],[Age]]&lt;=64,"Adult","Geriatric"))</f>
        <v>Adult</v>
      </c>
    </row>
    <row r="389" spans="1:19" ht="15.75" customHeight="1" x14ac:dyDescent="0.3">
      <c r="A389" s="4" t="s">
        <v>845</v>
      </c>
      <c r="B389" s="5" t="str">
        <f>TEXT(Patient_Data!$E389,"mmmm")</f>
        <v>May</v>
      </c>
      <c r="C389" s="6" t="str">
        <f t="shared" si="2"/>
        <v>May</v>
      </c>
      <c r="D389" s="6">
        <f>MONTH(Patient_Data!$E389)</f>
        <v>5</v>
      </c>
      <c r="E389" s="7">
        <v>45421</v>
      </c>
      <c r="F389" s="55" t="str">
        <f>TEXT(Patient_Data[[#This Row],[Admission_Date]],"YYYY")</f>
        <v>2024</v>
      </c>
      <c r="G389" s="8" t="s">
        <v>846</v>
      </c>
      <c r="H389" s="8" t="s">
        <v>82</v>
      </c>
      <c r="I389" s="4" t="s">
        <v>29</v>
      </c>
      <c r="J389" s="4">
        <v>47</v>
      </c>
      <c r="K389" s="4" t="s">
        <v>30</v>
      </c>
      <c r="L389" s="8">
        <v>1</v>
      </c>
      <c r="M389" s="9" t="s">
        <v>31</v>
      </c>
      <c r="N389" s="9" t="str">
        <f t="shared" si="3"/>
        <v>Neuro</v>
      </c>
      <c r="O389" s="10">
        <v>5604.9</v>
      </c>
      <c r="P389" s="10">
        <v>4005.03</v>
      </c>
      <c r="Q389" s="11">
        <v>10.199999999999999</v>
      </c>
      <c r="R389" s="13" t="str">
        <f>IF(Patient_Data!$L389&lt;2,"Low Risk",IF(Patient_Data!$L389&lt;4,"Moderate Risk","High Risk"))</f>
        <v>Low Risk</v>
      </c>
      <c r="S389" s="12" t="str">
        <f>IF(Patient_Data[[#This Row],[Age]]&lt;=18,"Pediatric",IF(Patient_Data[[#This Row],[Age]]&lt;=64,"Adult","Geriatric"))</f>
        <v>Adult</v>
      </c>
    </row>
    <row r="390" spans="1:19" ht="15.75" customHeight="1" x14ac:dyDescent="0.3">
      <c r="A390" s="4" t="s">
        <v>847</v>
      </c>
      <c r="B390" s="5" t="str">
        <f>TEXT(Patient_Data!$E390,"mmmm")</f>
        <v>April</v>
      </c>
      <c r="C390" s="6" t="str">
        <f t="shared" si="2"/>
        <v>Apr</v>
      </c>
      <c r="D390" s="6">
        <f>MONTH(Patient_Data!$E390)</f>
        <v>4</v>
      </c>
      <c r="E390" s="7">
        <v>46126</v>
      </c>
      <c r="F390" s="55" t="str">
        <f>TEXT(Patient_Data[[#This Row],[Admission_Date]],"YYYY")</f>
        <v>2026</v>
      </c>
      <c r="G390" s="8" t="s">
        <v>848</v>
      </c>
      <c r="H390" s="8" t="s">
        <v>49</v>
      </c>
      <c r="I390" s="4" t="s">
        <v>29</v>
      </c>
      <c r="J390" s="4">
        <v>43</v>
      </c>
      <c r="K390" s="4" t="s">
        <v>30</v>
      </c>
      <c r="L390" s="8">
        <v>1</v>
      </c>
      <c r="M390" s="9" t="s">
        <v>36</v>
      </c>
      <c r="N390" s="9" t="str">
        <f t="shared" si="3"/>
        <v>Cardio</v>
      </c>
      <c r="O390" s="10">
        <v>6135.18</v>
      </c>
      <c r="P390" s="10">
        <v>4573.88</v>
      </c>
      <c r="Q390" s="11">
        <v>11.9</v>
      </c>
      <c r="R390" s="13" t="str">
        <f>IF(Patient_Data!$L390&lt;2,"Low Risk",IF(Patient_Data!$L390&lt;4,"Moderate Risk","High Risk"))</f>
        <v>Low Risk</v>
      </c>
      <c r="S390" s="12" t="str">
        <f>IF(Patient_Data[[#This Row],[Age]]&lt;=18,"Pediatric",IF(Patient_Data[[#This Row],[Age]]&lt;=64,"Adult","Geriatric"))</f>
        <v>Adult</v>
      </c>
    </row>
    <row r="391" spans="1:19" ht="15.75" customHeight="1" x14ac:dyDescent="0.3">
      <c r="A391" s="4" t="s">
        <v>849</v>
      </c>
      <c r="B391" s="5" t="str">
        <f>TEXT(Patient_Data!$E391,"mmmm")</f>
        <v>May</v>
      </c>
      <c r="C391" s="6" t="str">
        <f t="shared" si="2"/>
        <v>May</v>
      </c>
      <c r="D391" s="6">
        <f>MONTH(Patient_Data!$E391)</f>
        <v>5</v>
      </c>
      <c r="E391" s="7">
        <v>45789</v>
      </c>
      <c r="F391" s="55" t="str">
        <f>TEXT(Patient_Data[[#This Row],[Admission_Date]],"YYYY")</f>
        <v>2025</v>
      </c>
      <c r="G391" s="8" t="s">
        <v>850</v>
      </c>
      <c r="H391" s="8" t="s">
        <v>132</v>
      </c>
      <c r="I391" s="4" t="s">
        <v>29</v>
      </c>
      <c r="J391" s="4">
        <v>59</v>
      </c>
      <c r="K391" s="4" t="s">
        <v>54</v>
      </c>
      <c r="L391" s="8">
        <v>1</v>
      </c>
      <c r="M391" s="9" t="s">
        <v>36</v>
      </c>
      <c r="N391" s="9" t="str">
        <f t="shared" si="3"/>
        <v>Cardio</v>
      </c>
      <c r="O391" s="10">
        <v>7281.44</v>
      </c>
      <c r="P391" s="10">
        <v>5611.49</v>
      </c>
      <c r="Q391" s="11">
        <v>9.6999999999999993</v>
      </c>
      <c r="R391" s="13" t="str">
        <f>IF(Patient_Data!$L391&lt;2,"Low Risk",IF(Patient_Data!$L391&lt;4,"Moderate Risk","High Risk"))</f>
        <v>Low Risk</v>
      </c>
      <c r="S391" s="12" t="str">
        <f>IF(Patient_Data[[#This Row],[Age]]&lt;=18,"Pediatric",IF(Patient_Data[[#This Row],[Age]]&lt;=64,"Adult","Geriatric"))</f>
        <v>Adult</v>
      </c>
    </row>
    <row r="392" spans="1:19" ht="15.75" customHeight="1" x14ac:dyDescent="0.3">
      <c r="A392" s="4" t="s">
        <v>851</v>
      </c>
      <c r="B392" s="5" t="str">
        <f>TEXT(Patient_Data!$E392,"mmmm")</f>
        <v>June</v>
      </c>
      <c r="C392" s="6" t="str">
        <f t="shared" si="2"/>
        <v>Jun</v>
      </c>
      <c r="D392" s="6">
        <f>MONTH(Patient_Data!$E392)</f>
        <v>6</v>
      </c>
      <c r="E392" s="7">
        <v>46191</v>
      </c>
      <c r="F392" s="55" t="str">
        <f>TEXT(Patient_Data[[#This Row],[Admission_Date]],"YYYY")</f>
        <v>2026</v>
      </c>
      <c r="G392" s="8" t="s">
        <v>852</v>
      </c>
      <c r="H392" s="8" t="s">
        <v>28</v>
      </c>
      <c r="I392" s="4" t="s">
        <v>29</v>
      </c>
      <c r="J392" s="4">
        <v>81</v>
      </c>
      <c r="K392" s="4" t="s">
        <v>45</v>
      </c>
      <c r="L392" s="8">
        <v>3</v>
      </c>
      <c r="M392" s="9" t="s">
        <v>46</v>
      </c>
      <c r="N392" s="9" t="str">
        <f t="shared" si="3"/>
        <v>Ortho</v>
      </c>
      <c r="O392" s="10">
        <v>5083.18</v>
      </c>
      <c r="P392" s="10">
        <v>3040.24</v>
      </c>
      <c r="Q392" s="11">
        <v>11.5</v>
      </c>
      <c r="R392" s="13" t="str">
        <f>IF(Patient_Data!$L392&lt;2,"Low Risk",IF(Patient_Data!$L392&lt;4,"Moderate Risk","High Risk"))</f>
        <v>Moderate Risk</v>
      </c>
      <c r="S392" s="12" t="str">
        <f>IF(Patient_Data[[#This Row],[Age]]&lt;=18,"Pediatric",IF(Patient_Data[[#This Row],[Age]]&lt;=64,"Adult","Geriatric"))</f>
        <v>Geriatric</v>
      </c>
    </row>
    <row r="393" spans="1:19" ht="15.75" customHeight="1" x14ac:dyDescent="0.3">
      <c r="A393" s="4" t="s">
        <v>853</v>
      </c>
      <c r="B393" s="5" t="str">
        <f>TEXT(Patient_Data!$E393,"mmmm")</f>
        <v>June</v>
      </c>
      <c r="C393" s="6" t="str">
        <f t="shared" si="2"/>
        <v>Jun</v>
      </c>
      <c r="D393" s="6">
        <f>MONTH(Patient_Data!$E393)</f>
        <v>6</v>
      </c>
      <c r="E393" s="7">
        <v>46178</v>
      </c>
      <c r="F393" s="55" t="str">
        <f>TEXT(Patient_Data[[#This Row],[Admission_Date]],"YYYY")</f>
        <v>2026</v>
      </c>
      <c r="G393" s="8" t="s">
        <v>854</v>
      </c>
      <c r="H393" s="8" t="s">
        <v>34</v>
      </c>
      <c r="I393" s="4" t="s">
        <v>35</v>
      </c>
      <c r="J393" s="4">
        <v>50</v>
      </c>
      <c r="K393" s="4" t="s">
        <v>45</v>
      </c>
      <c r="L393" s="8">
        <v>2</v>
      </c>
      <c r="M393" s="9" t="s">
        <v>46</v>
      </c>
      <c r="N393" s="9" t="str">
        <f t="shared" si="3"/>
        <v>Ortho</v>
      </c>
      <c r="O393" s="10">
        <v>8409.31</v>
      </c>
      <c r="P393" s="10">
        <v>5158.4799999999996</v>
      </c>
      <c r="Q393" s="11">
        <v>3.6</v>
      </c>
      <c r="R393" s="13" t="str">
        <f>IF(Patient_Data!$L393&lt;2,"Low Risk",IF(Patient_Data!$L393&lt;4,"Moderate Risk","High Risk"))</f>
        <v>Moderate Risk</v>
      </c>
      <c r="S393" s="12" t="str">
        <f>IF(Patient_Data[[#This Row],[Age]]&lt;=18,"Pediatric",IF(Patient_Data[[#This Row],[Age]]&lt;=64,"Adult","Geriatric"))</f>
        <v>Adult</v>
      </c>
    </row>
    <row r="394" spans="1:19" ht="15.75" customHeight="1" x14ac:dyDescent="0.3">
      <c r="A394" s="4" t="s">
        <v>855</v>
      </c>
      <c r="B394" s="5" t="str">
        <f>TEXT(Patient_Data!$E394,"mmmm")</f>
        <v>February</v>
      </c>
      <c r="C394" s="6" t="str">
        <f t="shared" si="2"/>
        <v>Feb</v>
      </c>
      <c r="D394" s="6">
        <f>MONTH(Patient_Data!$E394)</f>
        <v>2</v>
      </c>
      <c r="E394" s="7">
        <v>46063</v>
      </c>
      <c r="F394" s="55" t="str">
        <f>TEXT(Patient_Data[[#This Row],[Admission_Date]],"YYYY")</f>
        <v>2026</v>
      </c>
      <c r="G394" s="8" t="s">
        <v>856</v>
      </c>
      <c r="H394" s="8" t="s">
        <v>49</v>
      </c>
      <c r="I394" s="4" t="s">
        <v>29</v>
      </c>
      <c r="J394" s="4">
        <v>48</v>
      </c>
      <c r="K394" s="4" t="s">
        <v>30</v>
      </c>
      <c r="L394" s="8">
        <v>2</v>
      </c>
      <c r="M394" s="9" t="s">
        <v>83</v>
      </c>
      <c r="N394" s="9" t="str">
        <f t="shared" si="3"/>
        <v>ER</v>
      </c>
      <c r="O394" s="10">
        <v>6259.51</v>
      </c>
      <c r="P394" s="10">
        <v>4170.09</v>
      </c>
      <c r="Q394" s="11">
        <v>20.5</v>
      </c>
      <c r="R394" s="13" t="str">
        <f>IF(Patient_Data!$L394&lt;2,"Low Risk",IF(Patient_Data!$L394&lt;4,"Moderate Risk","High Risk"))</f>
        <v>Moderate Risk</v>
      </c>
      <c r="S394" s="12" t="str">
        <f>IF(Patient_Data[[#This Row],[Age]]&lt;=18,"Pediatric",IF(Patient_Data[[#This Row],[Age]]&lt;=64,"Adult","Geriatric"))</f>
        <v>Adult</v>
      </c>
    </row>
    <row r="395" spans="1:19" ht="15.75" customHeight="1" x14ac:dyDescent="0.3">
      <c r="A395" s="4" t="s">
        <v>857</v>
      </c>
      <c r="B395" s="5" t="str">
        <f>TEXT(Patient_Data!$E395,"mmmm")</f>
        <v>February</v>
      </c>
      <c r="C395" s="6" t="str">
        <f t="shared" si="2"/>
        <v>Feb</v>
      </c>
      <c r="D395" s="6">
        <f>MONTH(Patient_Data!$E395)</f>
        <v>2</v>
      </c>
      <c r="E395" s="7">
        <v>45331</v>
      </c>
      <c r="F395" s="55" t="str">
        <f>TEXT(Patient_Data[[#This Row],[Admission_Date]],"YYYY")</f>
        <v>2024</v>
      </c>
      <c r="G395" s="8" t="s">
        <v>858</v>
      </c>
      <c r="H395" s="8" t="s">
        <v>132</v>
      </c>
      <c r="I395" s="4" t="s">
        <v>29</v>
      </c>
      <c r="J395" s="4">
        <v>11</v>
      </c>
      <c r="K395" s="4" t="s">
        <v>30</v>
      </c>
      <c r="L395" s="8">
        <v>2</v>
      </c>
      <c r="M395" s="9" t="s">
        <v>79</v>
      </c>
      <c r="N395" s="9" t="str">
        <f t="shared" si="3"/>
        <v>PD</v>
      </c>
      <c r="O395" s="10">
        <v>2037.37</v>
      </c>
      <c r="P395" s="10">
        <v>1400.24</v>
      </c>
      <c r="Q395" s="11">
        <v>4.4000000000000004</v>
      </c>
      <c r="R395" s="13" t="str">
        <f>IF(Patient_Data!$L395&lt;2,"Low Risk",IF(Patient_Data!$L395&lt;4,"Moderate Risk","High Risk"))</f>
        <v>Moderate Risk</v>
      </c>
      <c r="S395" s="12" t="str">
        <f>IF(Patient_Data[[#This Row],[Age]]&lt;=18,"Pediatric",IF(Patient_Data[[#This Row],[Age]]&lt;=64,"Adult","Geriatric"))</f>
        <v>Pediatric</v>
      </c>
    </row>
    <row r="396" spans="1:19" ht="15.75" customHeight="1" x14ac:dyDescent="0.3">
      <c r="A396" s="4" t="s">
        <v>859</v>
      </c>
      <c r="B396" s="5" t="str">
        <f>TEXT(Patient_Data!$E396,"mmmm")</f>
        <v>June</v>
      </c>
      <c r="C396" s="6" t="str">
        <f t="shared" si="2"/>
        <v>Jun</v>
      </c>
      <c r="D396" s="6">
        <f>MONTH(Patient_Data!$E396)</f>
        <v>6</v>
      </c>
      <c r="E396" s="7">
        <v>45827</v>
      </c>
      <c r="F396" s="55" t="str">
        <f>TEXT(Patient_Data[[#This Row],[Admission_Date]],"YYYY")</f>
        <v>2025</v>
      </c>
      <c r="G396" s="8" t="s">
        <v>860</v>
      </c>
      <c r="H396" s="8" t="s">
        <v>53</v>
      </c>
      <c r="I396" s="4" t="s">
        <v>29</v>
      </c>
      <c r="J396" s="4">
        <v>37</v>
      </c>
      <c r="K396" s="4" t="s">
        <v>45</v>
      </c>
      <c r="L396" s="8">
        <v>1</v>
      </c>
      <c r="M396" s="9" t="s">
        <v>36</v>
      </c>
      <c r="N396" s="9" t="str">
        <f t="shared" si="3"/>
        <v>Cardio</v>
      </c>
      <c r="O396" s="10">
        <v>7012.79</v>
      </c>
      <c r="P396" s="10">
        <v>4959.3500000000004</v>
      </c>
      <c r="Q396" s="11">
        <v>6.3</v>
      </c>
      <c r="R396" s="13" t="str">
        <f>IF(Patient_Data!$L396&lt;2,"Low Risk",IF(Patient_Data!$L396&lt;4,"Moderate Risk","High Risk"))</f>
        <v>Low Risk</v>
      </c>
      <c r="S396" s="12" t="str">
        <f>IF(Patient_Data[[#This Row],[Age]]&lt;=18,"Pediatric",IF(Patient_Data[[#This Row],[Age]]&lt;=64,"Adult","Geriatric"))</f>
        <v>Adult</v>
      </c>
    </row>
    <row r="397" spans="1:19" ht="15.75" customHeight="1" x14ac:dyDescent="0.3">
      <c r="A397" s="4" t="s">
        <v>861</v>
      </c>
      <c r="B397" s="5" t="str">
        <f>TEXT(Patient_Data!$E397,"mmmm")</f>
        <v>January</v>
      </c>
      <c r="C397" s="6" t="str">
        <f t="shared" si="2"/>
        <v>Jan</v>
      </c>
      <c r="D397" s="6">
        <f>MONTH(Patient_Data!$E397)</f>
        <v>1</v>
      </c>
      <c r="E397" s="7">
        <v>45679</v>
      </c>
      <c r="F397" s="55" t="str">
        <f>TEXT(Patient_Data[[#This Row],[Admission_Date]],"YYYY")</f>
        <v>2025</v>
      </c>
      <c r="G397" s="8" t="s">
        <v>862</v>
      </c>
      <c r="H397" s="8" t="s">
        <v>98</v>
      </c>
      <c r="I397" s="4" t="s">
        <v>35</v>
      </c>
      <c r="J397" s="4">
        <v>66</v>
      </c>
      <c r="K397" s="4" t="s">
        <v>30</v>
      </c>
      <c r="L397" s="8">
        <v>3</v>
      </c>
      <c r="M397" s="9" t="s">
        <v>72</v>
      </c>
      <c r="N397" s="9" t="str">
        <f t="shared" si="3"/>
        <v>Surgery</v>
      </c>
      <c r="O397" s="10">
        <v>16286.76</v>
      </c>
      <c r="P397" s="10">
        <v>11948.53</v>
      </c>
      <c r="Q397" s="11">
        <v>7.4</v>
      </c>
      <c r="R397" s="13" t="str">
        <f>IF(Patient_Data!$L397&lt;2,"Low Risk",IF(Patient_Data!$L397&lt;4,"Moderate Risk","High Risk"))</f>
        <v>Moderate Risk</v>
      </c>
      <c r="S397" s="12" t="str">
        <f>IF(Patient_Data[[#This Row],[Age]]&lt;=18,"Pediatric",IF(Patient_Data[[#This Row],[Age]]&lt;=64,"Adult","Geriatric"))</f>
        <v>Geriatric</v>
      </c>
    </row>
    <row r="398" spans="1:19" ht="15.75" customHeight="1" x14ac:dyDescent="0.3">
      <c r="A398" s="4" t="s">
        <v>863</v>
      </c>
      <c r="B398" s="5" t="str">
        <f>TEXT(Patient_Data!$E398,"mmmm")</f>
        <v>October</v>
      </c>
      <c r="C398" s="6" t="str">
        <f t="shared" si="2"/>
        <v>Oct</v>
      </c>
      <c r="D398" s="6">
        <f>MONTH(Patient_Data!$E398)</f>
        <v>10</v>
      </c>
      <c r="E398" s="7">
        <v>45219</v>
      </c>
      <c r="F398" s="55" t="str">
        <f>TEXT(Patient_Data[[#This Row],[Admission_Date]],"YYYY")</f>
        <v>2023</v>
      </c>
      <c r="G398" s="8" t="s">
        <v>864</v>
      </c>
      <c r="H398" s="8" t="s">
        <v>34</v>
      </c>
      <c r="I398" s="4" t="s">
        <v>29</v>
      </c>
      <c r="J398" s="4">
        <v>30</v>
      </c>
      <c r="K398" s="4" t="s">
        <v>30</v>
      </c>
      <c r="L398" s="8">
        <v>4</v>
      </c>
      <c r="M398" s="9" t="s">
        <v>72</v>
      </c>
      <c r="N398" s="9" t="str">
        <f t="shared" si="3"/>
        <v>Surgery</v>
      </c>
      <c r="O398" s="10">
        <v>12215.63</v>
      </c>
      <c r="P398" s="10">
        <v>9369.48</v>
      </c>
      <c r="Q398" s="11">
        <v>10.7</v>
      </c>
      <c r="R398" s="13" t="str">
        <f>IF(Patient_Data!$L398&lt;2,"Low Risk",IF(Patient_Data!$L398&lt;4,"Moderate Risk","High Risk"))</f>
        <v>High Risk</v>
      </c>
      <c r="S398" s="12" t="str">
        <f>IF(Patient_Data[[#This Row],[Age]]&lt;=18,"Pediatric",IF(Patient_Data[[#This Row],[Age]]&lt;=64,"Adult","Geriatric"))</f>
        <v>Adult</v>
      </c>
    </row>
    <row r="399" spans="1:19" ht="15.75" customHeight="1" x14ac:dyDescent="0.3">
      <c r="A399" s="4" t="s">
        <v>865</v>
      </c>
      <c r="B399" s="5" t="str">
        <f>TEXT(Patient_Data!$E399,"mmmm")</f>
        <v>October</v>
      </c>
      <c r="C399" s="6" t="str">
        <f t="shared" si="2"/>
        <v>Oct</v>
      </c>
      <c r="D399" s="6">
        <f>MONTH(Patient_Data!$E399)</f>
        <v>10</v>
      </c>
      <c r="E399" s="7">
        <v>45209</v>
      </c>
      <c r="F399" s="55" t="str">
        <f>TEXT(Patient_Data[[#This Row],[Admission_Date]],"YYYY")</f>
        <v>2023</v>
      </c>
      <c r="G399" s="8" t="s">
        <v>866</v>
      </c>
      <c r="H399" s="8" t="s">
        <v>49</v>
      </c>
      <c r="I399" s="4" t="s">
        <v>29</v>
      </c>
      <c r="J399" s="4">
        <v>69</v>
      </c>
      <c r="K399" s="4" t="s">
        <v>30</v>
      </c>
      <c r="L399" s="8">
        <v>2</v>
      </c>
      <c r="M399" s="9" t="s">
        <v>39</v>
      </c>
      <c r="N399" s="9" t="str">
        <f t="shared" si="3"/>
        <v>GM</v>
      </c>
      <c r="O399" s="10">
        <v>5356.49</v>
      </c>
      <c r="P399" s="10">
        <v>3178.76</v>
      </c>
      <c r="Q399" s="11">
        <v>9</v>
      </c>
      <c r="R399" s="13" t="str">
        <f>IF(Patient_Data!$L399&lt;2,"Low Risk",IF(Patient_Data!$L399&lt;4,"Moderate Risk","High Risk"))</f>
        <v>Moderate Risk</v>
      </c>
      <c r="S399" s="12" t="str">
        <f>IF(Patient_Data[[#This Row],[Age]]&lt;=18,"Pediatric",IF(Patient_Data[[#This Row],[Age]]&lt;=64,"Adult","Geriatric"))</f>
        <v>Geriatric</v>
      </c>
    </row>
    <row r="400" spans="1:19" ht="15.75" customHeight="1" x14ac:dyDescent="0.3">
      <c r="A400" s="4" t="s">
        <v>867</v>
      </c>
      <c r="B400" s="5" t="str">
        <f>TEXT(Patient_Data!$E400,"mmmm")</f>
        <v>August</v>
      </c>
      <c r="C400" s="6" t="str">
        <f t="shared" si="2"/>
        <v>Aug</v>
      </c>
      <c r="D400" s="6">
        <f>MONTH(Patient_Data!$E400)</f>
        <v>8</v>
      </c>
      <c r="E400" s="7">
        <v>45525</v>
      </c>
      <c r="F400" s="55" t="str">
        <f>TEXT(Patient_Data[[#This Row],[Admission_Date]],"YYYY")</f>
        <v>2024</v>
      </c>
      <c r="G400" s="8" t="s">
        <v>868</v>
      </c>
      <c r="H400" s="8" t="s">
        <v>42</v>
      </c>
      <c r="I400" s="4" t="s">
        <v>35</v>
      </c>
      <c r="J400" s="4">
        <v>80</v>
      </c>
      <c r="K400" s="4" t="s">
        <v>54</v>
      </c>
      <c r="L400" s="8">
        <v>5</v>
      </c>
      <c r="M400" s="9" t="s">
        <v>83</v>
      </c>
      <c r="N400" s="9" t="str">
        <f t="shared" si="3"/>
        <v>ER</v>
      </c>
      <c r="O400" s="10">
        <v>11032.73</v>
      </c>
      <c r="P400" s="10">
        <v>6860.37</v>
      </c>
      <c r="Q400" s="11">
        <v>16.3</v>
      </c>
      <c r="R400" s="13" t="str">
        <f>IF(Patient_Data!$L400&lt;2,"Low Risk",IF(Patient_Data!$L400&lt;4,"Moderate Risk","High Risk"))</f>
        <v>High Risk</v>
      </c>
      <c r="S400" s="12" t="str">
        <f>IF(Patient_Data[[#This Row],[Age]]&lt;=18,"Pediatric",IF(Patient_Data[[#This Row],[Age]]&lt;=64,"Adult","Geriatric"))</f>
        <v>Geriatric</v>
      </c>
    </row>
    <row r="401" spans="1:19" ht="15.75" customHeight="1" x14ac:dyDescent="0.3">
      <c r="A401" s="4" t="s">
        <v>869</v>
      </c>
      <c r="B401" s="5" t="str">
        <f>TEXT(Patient_Data!$E401,"mmmm")</f>
        <v>February</v>
      </c>
      <c r="C401" s="6" t="str">
        <f t="shared" si="2"/>
        <v>Feb</v>
      </c>
      <c r="D401" s="6">
        <f>MONTH(Patient_Data!$E401)</f>
        <v>2</v>
      </c>
      <c r="E401" s="7">
        <v>46072</v>
      </c>
      <c r="F401" s="55" t="str">
        <f>TEXT(Patient_Data[[#This Row],[Admission_Date]],"YYYY")</f>
        <v>2026</v>
      </c>
      <c r="G401" s="8" t="s">
        <v>870</v>
      </c>
      <c r="H401" s="8" t="s">
        <v>75</v>
      </c>
      <c r="I401" s="4" t="s">
        <v>35</v>
      </c>
      <c r="J401" s="4">
        <v>90</v>
      </c>
      <c r="K401" s="4" t="s">
        <v>54</v>
      </c>
      <c r="L401" s="8">
        <v>4</v>
      </c>
      <c r="M401" s="9" t="s">
        <v>50</v>
      </c>
      <c r="N401" s="9" t="str">
        <f t="shared" si="3"/>
        <v>ICU</v>
      </c>
      <c r="O401" s="10">
        <v>17867.57</v>
      </c>
      <c r="P401" s="10">
        <v>11552.04</v>
      </c>
      <c r="Q401" s="11">
        <v>14.6</v>
      </c>
      <c r="R401" s="13" t="str">
        <f>IF(Patient_Data!$L401&lt;2,"Low Risk",IF(Patient_Data!$L401&lt;4,"Moderate Risk","High Risk"))</f>
        <v>High Risk</v>
      </c>
      <c r="S401" s="12" t="str">
        <f>IF(Patient_Data[[#This Row],[Age]]&lt;=18,"Pediatric",IF(Patient_Data[[#This Row],[Age]]&lt;=64,"Adult","Geriatric"))</f>
        <v>Geriatric</v>
      </c>
    </row>
    <row r="402" spans="1:19" ht="15.75" customHeight="1" x14ac:dyDescent="0.3">
      <c r="A402" s="4" t="s">
        <v>871</v>
      </c>
      <c r="B402" s="5" t="str">
        <f>TEXT(Patient_Data!$E402,"mmmm")</f>
        <v>March</v>
      </c>
      <c r="C402" s="6" t="str">
        <f t="shared" si="2"/>
        <v>Mar</v>
      </c>
      <c r="D402" s="6">
        <f>MONTH(Patient_Data!$E402)</f>
        <v>3</v>
      </c>
      <c r="E402" s="7">
        <v>45736</v>
      </c>
      <c r="F402" s="55" t="str">
        <f>TEXT(Patient_Data[[#This Row],[Admission_Date]],"YYYY")</f>
        <v>2025</v>
      </c>
      <c r="G402" s="8" t="s">
        <v>872</v>
      </c>
      <c r="H402" s="8" t="s">
        <v>98</v>
      </c>
      <c r="I402" s="4" t="s">
        <v>35</v>
      </c>
      <c r="J402" s="4">
        <v>39</v>
      </c>
      <c r="K402" s="4" t="s">
        <v>30</v>
      </c>
      <c r="L402" s="8">
        <v>2</v>
      </c>
      <c r="M402" s="9" t="s">
        <v>39</v>
      </c>
      <c r="N402" s="9" t="str">
        <f t="shared" si="3"/>
        <v>GM</v>
      </c>
      <c r="O402" s="10">
        <v>1843.71</v>
      </c>
      <c r="P402" s="10">
        <v>1292.0899999999999</v>
      </c>
      <c r="Q402" s="11">
        <v>7.1</v>
      </c>
      <c r="R402" s="13" t="str">
        <f>IF(Patient_Data!$L402&lt;2,"Low Risk",IF(Patient_Data!$L402&lt;4,"Moderate Risk","High Risk"))</f>
        <v>Moderate Risk</v>
      </c>
      <c r="S402" s="12" t="str">
        <f>IF(Patient_Data[[#This Row],[Age]]&lt;=18,"Pediatric",IF(Patient_Data[[#This Row],[Age]]&lt;=64,"Adult","Geriatric"))</f>
        <v>Adult</v>
      </c>
    </row>
    <row r="403" spans="1:19" ht="15.75" customHeight="1" x14ac:dyDescent="0.3">
      <c r="A403" s="4" t="s">
        <v>873</v>
      </c>
      <c r="B403" s="5" t="str">
        <f>TEXT(Patient_Data!$E403,"mmmm")</f>
        <v>September</v>
      </c>
      <c r="C403" s="6" t="str">
        <f t="shared" si="2"/>
        <v>Sep</v>
      </c>
      <c r="D403" s="6">
        <f>MONTH(Patient_Data!$E403)</f>
        <v>9</v>
      </c>
      <c r="E403" s="7">
        <v>45538</v>
      </c>
      <c r="F403" s="55" t="str">
        <f>TEXT(Patient_Data[[#This Row],[Admission_Date]],"YYYY")</f>
        <v>2024</v>
      </c>
      <c r="G403" s="8" t="s">
        <v>874</v>
      </c>
      <c r="H403" s="8" t="s">
        <v>98</v>
      </c>
      <c r="I403" s="4" t="s">
        <v>35</v>
      </c>
      <c r="J403" s="4">
        <v>14</v>
      </c>
      <c r="K403" s="4" t="s">
        <v>30</v>
      </c>
      <c r="L403" s="8">
        <v>1</v>
      </c>
      <c r="M403" s="9" t="s">
        <v>79</v>
      </c>
      <c r="N403" s="9" t="str">
        <f t="shared" si="3"/>
        <v>PD</v>
      </c>
      <c r="O403" s="10">
        <v>2140.59</v>
      </c>
      <c r="P403" s="10">
        <v>1500.81</v>
      </c>
      <c r="Q403" s="11">
        <v>0.3</v>
      </c>
      <c r="R403" s="13" t="str">
        <f>IF(Patient_Data!$L403&lt;2,"Low Risk",IF(Patient_Data!$L403&lt;4,"Moderate Risk","High Risk"))</f>
        <v>Low Risk</v>
      </c>
      <c r="S403" s="12" t="str">
        <f>IF(Patient_Data[[#This Row],[Age]]&lt;=18,"Pediatric",IF(Patient_Data[[#This Row],[Age]]&lt;=64,"Adult","Geriatric"))</f>
        <v>Pediatric</v>
      </c>
    </row>
    <row r="404" spans="1:19" ht="15.75" customHeight="1" x14ac:dyDescent="0.3">
      <c r="A404" s="4" t="s">
        <v>875</v>
      </c>
      <c r="B404" s="5" t="str">
        <f>TEXT(Patient_Data!$E404,"mmmm")</f>
        <v>February</v>
      </c>
      <c r="C404" s="6" t="str">
        <f t="shared" si="2"/>
        <v>Feb</v>
      </c>
      <c r="D404" s="6">
        <f>MONTH(Patient_Data!$E404)</f>
        <v>2</v>
      </c>
      <c r="E404" s="7">
        <v>46059</v>
      </c>
      <c r="F404" s="55" t="str">
        <f>TEXT(Patient_Data[[#This Row],[Admission_Date]],"YYYY")</f>
        <v>2026</v>
      </c>
      <c r="G404" s="8" t="s">
        <v>876</v>
      </c>
      <c r="H404" s="8" t="s">
        <v>28</v>
      </c>
      <c r="I404" s="4" t="s">
        <v>35</v>
      </c>
      <c r="J404" s="4">
        <v>22</v>
      </c>
      <c r="K404" s="4" t="s">
        <v>30</v>
      </c>
      <c r="L404" s="8">
        <v>1</v>
      </c>
      <c r="M404" s="9" t="s">
        <v>39</v>
      </c>
      <c r="N404" s="9" t="str">
        <f t="shared" si="3"/>
        <v>GM</v>
      </c>
      <c r="O404" s="10">
        <v>3939.59</v>
      </c>
      <c r="P404" s="10">
        <v>2933.5</v>
      </c>
      <c r="Q404" s="11">
        <v>7.2</v>
      </c>
      <c r="R404" s="13" t="str">
        <f>IF(Patient_Data!$L404&lt;2,"Low Risk",IF(Patient_Data!$L404&lt;4,"Moderate Risk","High Risk"))</f>
        <v>Low Risk</v>
      </c>
      <c r="S404" s="12" t="str">
        <f>IF(Patient_Data[[#This Row],[Age]]&lt;=18,"Pediatric",IF(Patient_Data[[#This Row],[Age]]&lt;=64,"Adult","Geriatric"))</f>
        <v>Adult</v>
      </c>
    </row>
    <row r="405" spans="1:19" ht="15.75" customHeight="1" x14ac:dyDescent="0.3">
      <c r="A405" s="4" t="s">
        <v>877</v>
      </c>
      <c r="B405" s="5" t="str">
        <f>TEXT(Patient_Data!$E405,"mmmm")</f>
        <v>June</v>
      </c>
      <c r="C405" s="6" t="str">
        <f t="shared" si="2"/>
        <v>Jun</v>
      </c>
      <c r="D405" s="6">
        <f>MONTH(Patient_Data!$E405)</f>
        <v>6</v>
      </c>
      <c r="E405" s="7">
        <v>46174</v>
      </c>
      <c r="F405" s="55" t="str">
        <f>TEXT(Patient_Data[[#This Row],[Admission_Date]],"YYYY")</f>
        <v>2026</v>
      </c>
      <c r="G405" s="8" t="s">
        <v>878</v>
      </c>
      <c r="H405" s="8" t="s">
        <v>28</v>
      </c>
      <c r="I405" s="4" t="s">
        <v>35</v>
      </c>
      <c r="J405" s="4">
        <v>61</v>
      </c>
      <c r="K405" s="4" t="s">
        <v>54</v>
      </c>
      <c r="L405" s="8">
        <v>1</v>
      </c>
      <c r="M405" s="9" t="s">
        <v>46</v>
      </c>
      <c r="N405" s="9" t="str">
        <f t="shared" si="3"/>
        <v>Ortho</v>
      </c>
      <c r="O405" s="10">
        <v>8502.0400000000009</v>
      </c>
      <c r="P405" s="10">
        <v>6526.35</v>
      </c>
      <c r="Q405" s="11">
        <v>8.1</v>
      </c>
      <c r="R405" s="13" t="str">
        <f>IF(Patient_Data!$L405&lt;2,"Low Risk",IF(Patient_Data!$L405&lt;4,"Moderate Risk","High Risk"))</f>
        <v>Low Risk</v>
      </c>
      <c r="S405" s="12" t="str">
        <f>IF(Patient_Data[[#This Row],[Age]]&lt;=18,"Pediatric",IF(Patient_Data[[#This Row],[Age]]&lt;=64,"Adult","Geriatric"))</f>
        <v>Adult</v>
      </c>
    </row>
    <row r="406" spans="1:19" ht="15.75" customHeight="1" x14ac:dyDescent="0.3">
      <c r="A406" s="4" t="s">
        <v>879</v>
      </c>
      <c r="B406" s="5" t="str">
        <f>TEXT(Patient_Data!$E406,"mmmm")</f>
        <v>December</v>
      </c>
      <c r="C406" s="6" t="str">
        <f t="shared" si="2"/>
        <v>Dec</v>
      </c>
      <c r="D406" s="6">
        <f>MONTH(Patient_Data!$E406)</f>
        <v>12</v>
      </c>
      <c r="E406" s="7">
        <v>46003</v>
      </c>
      <c r="F406" s="55" t="str">
        <f>TEXT(Patient_Data[[#This Row],[Admission_Date]],"YYYY")</f>
        <v>2025</v>
      </c>
      <c r="G406" s="8" t="s">
        <v>880</v>
      </c>
      <c r="H406" s="8" t="s">
        <v>53</v>
      </c>
      <c r="I406" s="4" t="s">
        <v>35</v>
      </c>
      <c r="J406" s="4">
        <v>31</v>
      </c>
      <c r="K406" s="4" t="s">
        <v>54</v>
      </c>
      <c r="L406" s="8">
        <v>3</v>
      </c>
      <c r="M406" s="9" t="s">
        <v>72</v>
      </c>
      <c r="N406" s="9" t="str">
        <f t="shared" si="3"/>
        <v>Surgery</v>
      </c>
      <c r="O406" s="10">
        <v>13325.36</v>
      </c>
      <c r="P406" s="10">
        <v>7819.11</v>
      </c>
      <c r="Q406" s="11">
        <v>11.3</v>
      </c>
      <c r="R406" s="13" t="str">
        <f>IF(Patient_Data!$L406&lt;2,"Low Risk",IF(Patient_Data!$L406&lt;4,"Moderate Risk","High Risk"))</f>
        <v>Moderate Risk</v>
      </c>
      <c r="S406" s="12" t="str">
        <f>IF(Patient_Data[[#This Row],[Age]]&lt;=18,"Pediatric",IF(Patient_Data[[#This Row],[Age]]&lt;=64,"Adult","Geriatric"))</f>
        <v>Adult</v>
      </c>
    </row>
    <row r="407" spans="1:19" ht="15.75" customHeight="1" x14ac:dyDescent="0.3">
      <c r="A407" s="4" t="s">
        <v>881</v>
      </c>
      <c r="B407" s="5" t="str">
        <f>TEXT(Patient_Data!$E407,"mmmm")</f>
        <v>July</v>
      </c>
      <c r="C407" s="6" t="str">
        <f t="shared" si="2"/>
        <v>Jul</v>
      </c>
      <c r="D407" s="6">
        <f>MONTH(Patient_Data!$E407)</f>
        <v>7</v>
      </c>
      <c r="E407" s="7">
        <v>45849</v>
      </c>
      <c r="F407" s="55" t="str">
        <f>TEXT(Patient_Data[[#This Row],[Admission_Date]],"YYYY")</f>
        <v>2025</v>
      </c>
      <c r="G407" s="8" t="s">
        <v>882</v>
      </c>
      <c r="H407" s="8" t="s">
        <v>98</v>
      </c>
      <c r="I407" s="4" t="s">
        <v>29</v>
      </c>
      <c r="J407" s="4">
        <v>86</v>
      </c>
      <c r="K407" s="4" t="s">
        <v>54</v>
      </c>
      <c r="L407" s="8">
        <v>5</v>
      </c>
      <c r="M407" s="9" t="s">
        <v>50</v>
      </c>
      <c r="N407" s="9" t="str">
        <f t="shared" si="3"/>
        <v>ICU</v>
      </c>
      <c r="O407" s="10">
        <v>21684.6</v>
      </c>
      <c r="P407" s="10">
        <v>13332.41</v>
      </c>
      <c r="Q407" s="11">
        <v>13.1</v>
      </c>
      <c r="R407" s="13" t="str">
        <f>IF(Patient_Data!$L407&lt;2,"Low Risk",IF(Patient_Data!$L407&lt;4,"Moderate Risk","High Risk"))</f>
        <v>High Risk</v>
      </c>
      <c r="S407" s="12" t="str">
        <f>IF(Patient_Data[[#This Row],[Age]]&lt;=18,"Pediatric",IF(Patient_Data[[#This Row],[Age]]&lt;=64,"Adult","Geriatric"))</f>
        <v>Geriatric</v>
      </c>
    </row>
    <row r="408" spans="1:19" ht="15.75" customHeight="1" x14ac:dyDescent="0.3">
      <c r="A408" s="4" t="s">
        <v>883</v>
      </c>
      <c r="B408" s="5" t="str">
        <f>TEXT(Patient_Data!$E408,"mmmm")</f>
        <v>June</v>
      </c>
      <c r="C408" s="6" t="str">
        <f t="shared" si="2"/>
        <v>Jun</v>
      </c>
      <c r="D408" s="6">
        <f>MONTH(Patient_Data!$E408)</f>
        <v>6</v>
      </c>
      <c r="E408" s="7">
        <v>45824</v>
      </c>
      <c r="F408" s="55" t="str">
        <f>TEXT(Patient_Data[[#This Row],[Admission_Date]],"YYYY")</f>
        <v>2025</v>
      </c>
      <c r="G408" s="8" t="s">
        <v>884</v>
      </c>
      <c r="H408" s="8" t="s">
        <v>28</v>
      </c>
      <c r="I408" s="4" t="s">
        <v>29</v>
      </c>
      <c r="J408" s="4">
        <v>80</v>
      </c>
      <c r="K408" s="4" t="s">
        <v>30</v>
      </c>
      <c r="L408" s="8">
        <v>3</v>
      </c>
      <c r="M408" s="9" t="s">
        <v>31</v>
      </c>
      <c r="N408" s="9" t="str">
        <f t="shared" si="3"/>
        <v>Neuro</v>
      </c>
      <c r="O408" s="10">
        <v>11621.72</v>
      </c>
      <c r="P408" s="10">
        <v>7519.5</v>
      </c>
      <c r="Q408" s="11">
        <v>10.199999999999999</v>
      </c>
      <c r="R408" s="13" t="str">
        <f>IF(Patient_Data!$L408&lt;2,"Low Risk",IF(Patient_Data!$L408&lt;4,"Moderate Risk","High Risk"))</f>
        <v>Moderate Risk</v>
      </c>
      <c r="S408" s="12" t="str">
        <f>IF(Patient_Data[[#This Row],[Age]]&lt;=18,"Pediatric",IF(Patient_Data[[#This Row],[Age]]&lt;=64,"Adult","Geriatric"))</f>
        <v>Geriatric</v>
      </c>
    </row>
    <row r="409" spans="1:19" ht="15.75" customHeight="1" x14ac:dyDescent="0.3">
      <c r="A409" s="4" t="s">
        <v>885</v>
      </c>
      <c r="B409" s="5" t="str">
        <f>TEXT(Patient_Data!$E409,"mmmm")</f>
        <v>July</v>
      </c>
      <c r="C409" s="6" t="str">
        <f t="shared" si="2"/>
        <v>Jul</v>
      </c>
      <c r="D409" s="6">
        <f>MONTH(Patient_Data!$E409)</f>
        <v>7</v>
      </c>
      <c r="E409" s="7">
        <v>45842</v>
      </c>
      <c r="F409" s="55" t="str">
        <f>TEXT(Patient_Data[[#This Row],[Admission_Date]],"YYYY")</f>
        <v>2025</v>
      </c>
      <c r="G409" s="8" t="s">
        <v>886</v>
      </c>
      <c r="H409" s="8" t="s">
        <v>53</v>
      </c>
      <c r="I409" s="4" t="s">
        <v>29</v>
      </c>
      <c r="J409" s="4">
        <v>63</v>
      </c>
      <c r="K409" s="4" t="s">
        <v>54</v>
      </c>
      <c r="L409" s="8">
        <v>5</v>
      </c>
      <c r="M409" s="9" t="s">
        <v>72</v>
      </c>
      <c r="N409" s="9" t="str">
        <f t="shared" si="3"/>
        <v>Surgery</v>
      </c>
      <c r="O409" s="10">
        <v>15002.32</v>
      </c>
      <c r="P409" s="10">
        <v>10126.75</v>
      </c>
      <c r="Q409" s="11">
        <v>9.4</v>
      </c>
      <c r="R409" s="13" t="str">
        <f>IF(Patient_Data!$L409&lt;2,"Low Risk",IF(Patient_Data!$L409&lt;4,"Moderate Risk","High Risk"))</f>
        <v>High Risk</v>
      </c>
      <c r="S409" s="12" t="str">
        <f>IF(Patient_Data[[#This Row],[Age]]&lt;=18,"Pediatric",IF(Patient_Data[[#This Row],[Age]]&lt;=64,"Adult","Geriatric"))</f>
        <v>Adult</v>
      </c>
    </row>
    <row r="410" spans="1:19" ht="15.75" customHeight="1" x14ac:dyDescent="0.3">
      <c r="A410" s="4" t="s">
        <v>887</v>
      </c>
      <c r="B410" s="5" t="str">
        <f>TEXT(Patient_Data!$E410,"mmmm")</f>
        <v>December</v>
      </c>
      <c r="C410" s="6" t="str">
        <f t="shared" si="2"/>
        <v>Dec</v>
      </c>
      <c r="D410" s="6">
        <f>MONTH(Patient_Data!$E410)</f>
        <v>12</v>
      </c>
      <c r="E410" s="7">
        <v>46010</v>
      </c>
      <c r="F410" s="55" t="str">
        <f>TEXT(Patient_Data[[#This Row],[Admission_Date]],"YYYY")</f>
        <v>2025</v>
      </c>
      <c r="G410" s="8" t="s">
        <v>888</v>
      </c>
      <c r="H410" s="8" t="s">
        <v>28</v>
      </c>
      <c r="I410" s="4" t="s">
        <v>29</v>
      </c>
      <c r="J410" s="4">
        <v>25</v>
      </c>
      <c r="K410" s="4" t="s">
        <v>45</v>
      </c>
      <c r="L410" s="8">
        <v>4</v>
      </c>
      <c r="M410" s="9" t="s">
        <v>72</v>
      </c>
      <c r="N410" s="9" t="str">
        <f t="shared" si="3"/>
        <v>Surgery</v>
      </c>
      <c r="O410" s="10">
        <v>14362.13</v>
      </c>
      <c r="P410" s="10">
        <v>10083.09</v>
      </c>
      <c r="Q410" s="11">
        <v>3.7</v>
      </c>
      <c r="R410" s="13" t="str">
        <f>IF(Patient_Data!$L410&lt;2,"Low Risk",IF(Patient_Data!$L410&lt;4,"Moderate Risk","High Risk"))</f>
        <v>High Risk</v>
      </c>
      <c r="S410" s="12" t="str">
        <f>IF(Patient_Data[[#This Row],[Age]]&lt;=18,"Pediatric",IF(Patient_Data[[#This Row],[Age]]&lt;=64,"Adult","Geriatric"))</f>
        <v>Adult</v>
      </c>
    </row>
    <row r="411" spans="1:19" ht="15.75" customHeight="1" x14ac:dyDescent="0.3">
      <c r="A411" s="4" t="s">
        <v>889</v>
      </c>
      <c r="B411" s="5" t="str">
        <f>TEXT(Patient_Data!$E411,"mmmm")</f>
        <v>June</v>
      </c>
      <c r="C411" s="6" t="str">
        <f t="shared" si="2"/>
        <v>Jun</v>
      </c>
      <c r="D411" s="6">
        <f>MONTH(Patient_Data!$E411)</f>
        <v>6</v>
      </c>
      <c r="E411" s="7">
        <v>46181</v>
      </c>
      <c r="F411" s="55" t="str">
        <f>TEXT(Patient_Data[[#This Row],[Admission_Date]],"YYYY")</f>
        <v>2026</v>
      </c>
      <c r="G411" s="8" t="s">
        <v>890</v>
      </c>
      <c r="H411" s="8" t="s">
        <v>82</v>
      </c>
      <c r="I411" s="4" t="s">
        <v>35</v>
      </c>
      <c r="J411" s="4">
        <v>18</v>
      </c>
      <c r="K411" s="4" t="s">
        <v>30</v>
      </c>
      <c r="L411" s="8">
        <v>2</v>
      </c>
      <c r="M411" s="9" t="s">
        <v>36</v>
      </c>
      <c r="N411" s="9" t="str">
        <f t="shared" si="3"/>
        <v>Cardio</v>
      </c>
      <c r="O411" s="10">
        <v>10654.67</v>
      </c>
      <c r="P411" s="10">
        <v>7829.11</v>
      </c>
      <c r="Q411" s="11">
        <v>6.4</v>
      </c>
      <c r="R411" s="13" t="str">
        <f>IF(Patient_Data!$L411&lt;2,"Low Risk",IF(Patient_Data!$L411&lt;4,"Moderate Risk","High Risk"))</f>
        <v>Moderate Risk</v>
      </c>
      <c r="S411" s="12" t="str">
        <f>IF(Patient_Data[[#This Row],[Age]]&lt;=18,"Pediatric",IF(Patient_Data[[#This Row],[Age]]&lt;=64,"Adult","Geriatric"))</f>
        <v>Pediatric</v>
      </c>
    </row>
    <row r="412" spans="1:19" ht="15.75" customHeight="1" x14ac:dyDescent="0.3">
      <c r="A412" s="4" t="s">
        <v>891</v>
      </c>
      <c r="B412" s="5" t="str">
        <f>TEXT(Patient_Data!$E412,"mmmm")</f>
        <v>April</v>
      </c>
      <c r="C412" s="6" t="str">
        <f t="shared" si="2"/>
        <v>Apr</v>
      </c>
      <c r="D412" s="6">
        <f>MONTH(Patient_Data!$E412)</f>
        <v>4</v>
      </c>
      <c r="E412" s="7">
        <v>45757</v>
      </c>
      <c r="F412" s="55" t="str">
        <f>TEXT(Patient_Data[[#This Row],[Admission_Date]],"YYYY")</f>
        <v>2025</v>
      </c>
      <c r="G412" s="8" t="s">
        <v>892</v>
      </c>
      <c r="H412" s="8" t="s">
        <v>28</v>
      </c>
      <c r="I412" s="4" t="s">
        <v>35</v>
      </c>
      <c r="J412" s="4">
        <v>51</v>
      </c>
      <c r="K412" s="4" t="s">
        <v>30</v>
      </c>
      <c r="L412" s="8">
        <v>1</v>
      </c>
      <c r="M412" s="9" t="s">
        <v>39</v>
      </c>
      <c r="N412" s="9" t="str">
        <f t="shared" si="3"/>
        <v>GM</v>
      </c>
      <c r="O412" s="10">
        <v>3289.84</v>
      </c>
      <c r="P412" s="10">
        <v>2557.08</v>
      </c>
      <c r="Q412" s="11">
        <v>7.1</v>
      </c>
      <c r="R412" s="13" t="str">
        <f>IF(Patient_Data!$L412&lt;2,"Low Risk",IF(Patient_Data!$L412&lt;4,"Moderate Risk","High Risk"))</f>
        <v>Low Risk</v>
      </c>
      <c r="S412" s="12" t="str">
        <f>IF(Patient_Data[[#This Row],[Age]]&lt;=18,"Pediatric",IF(Patient_Data[[#This Row],[Age]]&lt;=64,"Adult","Geriatric"))</f>
        <v>Adult</v>
      </c>
    </row>
    <row r="413" spans="1:19" ht="15.75" customHeight="1" x14ac:dyDescent="0.3">
      <c r="A413" s="4" t="s">
        <v>893</v>
      </c>
      <c r="B413" s="5" t="str">
        <f>TEXT(Patient_Data!$E413,"mmmm")</f>
        <v>November</v>
      </c>
      <c r="C413" s="6" t="str">
        <f t="shared" si="2"/>
        <v>Nov</v>
      </c>
      <c r="D413" s="6">
        <f>MONTH(Patient_Data!$E413)</f>
        <v>11</v>
      </c>
      <c r="E413" s="7">
        <v>45987</v>
      </c>
      <c r="F413" s="55" t="str">
        <f>TEXT(Patient_Data[[#This Row],[Admission_Date]],"YYYY")</f>
        <v>2025</v>
      </c>
      <c r="G413" s="8" t="s">
        <v>894</v>
      </c>
      <c r="H413" s="8" t="s">
        <v>28</v>
      </c>
      <c r="I413" s="4" t="s">
        <v>35</v>
      </c>
      <c r="J413" s="4">
        <v>43</v>
      </c>
      <c r="K413" s="4" t="s">
        <v>54</v>
      </c>
      <c r="L413" s="8">
        <v>5</v>
      </c>
      <c r="M413" s="9" t="s">
        <v>72</v>
      </c>
      <c r="N413" s="9" t="str">
        <f t="shared" si="3"/>
        <v>Surgery</v>
      </c>
      <c r="O413" s="10">
        <v>18394.740000000002</v>
      </c>
      <c r="P413" s="10">
        <v>10688.95</v>
      </c>
      <c r="Q413" s="11">
        <v>2.5</v>
      </c>
      <c r="R413" s="13" t="str">
        <f>IF(Patient_Data!$L413&lt;2,"Low Risk",IF(Patient_Data!$L413&lt;4,"Moderate Risk","High Risk"))</f>
        <v>High Risk</v>
      </c>
      <c r="S413" s="12" t="str">
        <f>IF(Patient_Data[[#This Row],[Age]]&lt;=18,"Pediatric",IF(Patient_Data[[#This Row],[Age]]&lt;=64,"Adult","Geriatric"))</f>
        <v>Adult</v>
      </c>
    </row>
    <row r="414" spans="1:19" ht="15.75" customHeight="1" x14ac:dyDescent="0.3">
      <c r="A414" s="4" t="s">
        <v>895</v>
      </c>
      <c r="B414" s="5" t="str">
        <f>TEXT(Patient_Data!$E414,"mmmm")</f>
        <v>June</v>
      </c>
      <c r="C414" s="6" t="str">
        <f t="shared" si="2"/>
        <v>Jun</v>
      </c>
      <c r="D414" s="6">
        <f>MONTH(Patient_Data!$E414)</f>
        <v>6</v>
      </c>
      <c r="E414" s="7">
        <v>45811</v>
      </c>
      <c r="F414" s="55" t="str">
        <f>TEXT(Patient_Data[[#This Row],[Admission_Date]],"YYYY")</f>
        <v>2025</v>
      </c>
      <c r="G414" s="8" t="s">
        <v>896</v>
      </c>
      <c r="H414" s="8" t="s">
        <v>34</v>
      </c>
      <c r="I414" s="4" t="s">
        <v>29</v>
      </c>
      <c r="J414" s="4">
        <v>60</v>
      </c>
      <c r="K414" s="4" t="s">
        <v>45</v>
      </c>
      <c r="L414" s="8">
        <v>3</v>
      </c>
      <c r="M414" s="9" t="s">
        <v>50</v>
      </c>
      <c r="N414" s="9" t="str">
        <f t="shared" si="3"/>
        <v>ICU</v>
      </c>
      <c r="O414" s="10">
        <v>15020.07</v>
      </c>
      <c r="P414" s="10">
        <v>9285.44</v>
      </c>
      <c r="Q414" s="11">
        <v>15.4</v>
      </c>
      <c r="R414" s="13" t="str">
        <f>IF(Patient_Data!$L414&lt;2,"Low Risk",IF(Patient_Data!$L414&lt;4,"Moderate Risk","High Risk"))</f>
        <v>Moderate Risk</v>
      </c>
      <c r="S414" s="12" t="str">
        <f>IF(Patient_Data[[#This Row],[Age]]&lt;=18,"Pediatric",IF(Patient_Data[[#This Row],[Age]]&lt;=64,"Adult","Geriatric"))</f>
        <v>Adult</v>
      </c>
    </row>
    <row r="415" spans="1:19" ht="15.75" customHeight="1" x14ac:dyDescent="0.3">
      <c r="A415" s="4" t="s">
        <v>897</v>
      </c>
      <c r="B415" s="5" t="str">
        <f>TEXT(Patient_Data!$E415,"mmmm")</f>
        <v>December</v>
      </c>
      <c r="C415" s="6" t="str">
        <f t="shared" si="2"/>
        <v>Dec</v>
      </c>
      <c r="D415" s="6">
        <f>MONTH(Patient_Data!$E415)</f>
        <v>12</v>
      </c>
      <c r="E415" s="7">
        <v>45994</v>
      </c>
      <c r="F415" s="55" t="str">
        <f>TEXT(Patient_Data[[#This Row],[Admission_Date]],"YYYY")</f>
        <v>2025</v>
      </c>
      <c r="G415" s="8" t="s">
        <v>898</v>
      </c>
      <c r="H415" s="8" t="s">
        <v>98</v>
      </c>
      <c r="I415" s="4" t="s">
        <v>35</v>
      </c>
      <c r="J415" s="4">
        <v>66</v>
      </c>
      <c r="K415" s="4" t="s">
        <v>30</v>
      </c>
      <c r="L415" s="8">
        <v>2</v>
      </c>
      <c r="M415" s="9" t="s">
        <v>83</v>
      </c>
      <c r="N415" s="9" t="str">
        <f t="shared" si="3"/>
        <v>ER</v>
      </c>
      <c r="O415" s="10">
        <v>7918.08</v>
      </c>
      <c r="P415" s="10">
        <v>5181.97</v>
      </c>
      <c r="Q415" s="11">
        <v>14.3</v>
      </c>
      <c r="R415" s="13" t="str">
        <f>IF(Patient_Data!$L415&lt;2,"Low Risk",IF(Patient_Data!$L415&lt;4,"Moderate Risk","High Risk"))</f>
        <v>Moderate Risk</v>
      </c>
      <c r="S415" s="12" t="str">
        <f>IF(Patient_Data[[#This Row],[Age]]&lt;=18,"Pediatric",IF(Patient_Data[[#This Row],[Age]]&lt;=64,"Adult","Geriatric"))</f>
        <v>Geriatric</v>
      </c>
    </row>
    <row r="416" spans="1:19" ht="15.75" customHeight="1" x14ac:dyDescent="0.3">
      <c r="A416" s="4" t="s">
        <v>899</v>
      </c>
      <c r="B416" s="5" t="str">
        <f>TEXT(Patient_Data!$E416,"mmmm")</f>
        <v>July</v>
      </c>
      <c r="C416" s="6" t="str">
        <f t="shared" si="2"/>
        <v>Jul</v>
      </c>
      <c r="D416" s="6">
        <f>MONTH(Patient_Data!$E416)</f>
        <v>7</v>
      </c>
      <c r="E416" s="7">
        <v>46220</v>
      </c>
      <c r="F416" s="55" t="str">
        <f>TEXT(Patient_Data[[#This Row],[Admission_Date]],"YYYY")</f>
        <v>2026</v>
      </c>
      <c r="G416" s="8" t="s">
        <v>900</v>
      </c>
      <c r="H416" s="8" t="s">
        <v>82</v>
      </c>
      <c r="I416" s="4" t="s">
        <v>35</v>
      </c>
      <c r="J416" s="4">
        <v>35</v>
      </c>
      <c r="K416" s="4" t="s">
        <v>30</v>
      </c>
      <c r="L416" s="8">
        <v>1</v>
      </c>
      <c r="M416" s="9" t="s">
        <v>36</v>
      </c>
      <c r="N416" s="9" t="str">
        <f t="shared" si="3"/>
        <v>Cardio</v>
      </c>
      <c r="O416" s="10">
        <v>10175.030000000001</v>
      </c>
      <c r="P416" s="10">
        <v>6908.47</v>
      </c>
      <c r="Q416" s="11">
        <v>11.4</v>
      </c>
      <c r="R416" s="13" t="str">
        <f>IF(Patient_Data!$L416&lt;2,"Low Risk",IF(Patient_Data!$L416&lt;4,"Moderate Risk","High Risk"))</f>
        <v>Low Risk</v>
      </c>
      <c r="S416" s="12" t="str">
        <f>IF(Patient_Data[[#This Row],[Age]]&lt;=18,"Pediatric",IF(Patient_Data[[#This Row],[Age]]&lt;=64,"Adult","Geriatric"))</f>
        <v>Adult</v>
      </c>
    </row>
    <row r="417" spans="1:19" ht="15.75" customHeight="1" x14ac:dyDescent="0.3">
      <c r="A417" s="4" t="s">
        <v>901</v>
      </c>
      <c r="B417" s="5" t="str">
        <f>TEXT(Patient_Data!$E417,"mmmm")</f>
        <v>August</v>
      </c>
      <c r="C417" s="6" t="str">
        <f t="shared" si="2"/>
        <v>Aug</v>
      </c>
      <c r="D417" s="6">
        <f>MONTH(Patient_Data!$E417)</f>
        <v>8</v>
      </c>
      <c r="E417" s="7">
        <v>45169</v>
      </c>
      <c r="F417" s="55" t="str">
        <f>TEXT(Patient_Data[[#This Row],[Admission_Date]],"YYYY")</f>
        <v>2023</v>
      </c>
      <c r="G417" s="8" t="s">
        <v>902</v>
      </c>
      <c r="H417" s="8" t="s">
        <v>34</v>
      </c>
      <c r="I417" s="4" t="s">
        <v>35</v>
      </c>
      <c r="J417" s="4">
        <v>81</v>
      </c>
      <c r="K417" s="4" t="s">
        <v>30</v>
      </c>
      <c r="L417" s="8">
        <v>3</v>
      </c>
      <c r="M417" s="9" t="s">
        <v>50</v>
      </c>
      <c r="N417" s="9" t="str">
        <f t="shared" si="3"/>
        <v>ICU</v>
      </c>
      <c r="O417" s="10">
        <v>19236.259999999998</v>
      </c>
      <c r="P417" s="10">
        <v>13604.58</v>
      </c>
      <c r="Q417" s="11">
        <v>17.399999999999999</v>
      </c>
      <c r="R417" s="13" t="str">
        <f>IF(Patient_Data!$L417&lt;2,"Low Risk",IF(Patient_Data!$L417&lt;4,"Moderate Risk","High Risk"))</f>
        <v>Moderate Risk</v>
      </c>
      <c r="S417" s="12" t="str">
        <f>IF(Patient_Data[[#This Row],[Age]]&lt;=18,"Pediatric",IF(Patient_Data[[#This Row],[Age]]&lt;=64,"Adult","Geriatric"))</f>
        <v>Geriatric</v>
      </c>
    </row>
    <row r="418" spans="1:19" ht="15.75" customHeight="1" x14ac:dyDescent="0.3">
      <c r="A418" s="4" t="s">
        <v>903</v>
      </c>
      <c r="B418" s="5" t="str">
        <f>TEXT(Patient_Data!$E418,"mmmm")</f>
        <v>April</v>
      </c>
      <c r="C418" s="6" t="str">
        <f t="shared" si="2"/>
        <v>Apr</v>
      </c>
      <c r="D418" s="6">
        <f>MONTH(Patient_Data!$E418)</f>
        <v>4</v>
      </c>
      <c r="E418" s="7">
        <v>46113</v>
      </c>
      <c r="F418" s="55" t="str">
        <f>TEXT(Patient_Data[[#This Row],[Admission_Date]],"YYYY")</f>
        <v>2026</v>
      </c>
      <c r="G418" s="8" t="s">
        <v>904</v>
      </c>
      <c r="H418" s="8" t="s">
        <v>49</v>
      </c>
      <c r="I418" s="4" t="s">
        <v>29</v>
      </c>
      <c r="J418" s="4">
        <v>26</v>
      </c>
      <c r="K418" s="4" t="s">
        <v>30</v>
      </c>
      <c r="L418" s="8">
        <v>4</v>
      </c>
      <c r="M418" s="9" t="s">
        <v>39</v>
      </c>
      <c r="N418" s="9" t="str">
        <f t="shared" si="3"/>
        <v>GM</v>
      </c>
      <c r="O418" s="10">
        <v>3288.64</v>
      </c>
      <c r="P418" s="10">
        <v>2475.91</v>
      </c>
      <c r="Q418" s="11">
        <v>9.4</v>
      </c>
      <c r="R418" s="13" t="str">
        <f>IF(Patient_Data!$L418&lt;2,"Low Risk",IF(Patient_Data!$L418&lt;4,"Moderate Risk","High Risk"))</f>
        <v>High Risk</v>
      </c>
      <c r="S418" s="12" t="str">
        <f>IF(Patient_Data[[#This Row],[Age]]&lt;=18,"Pediatric",IF(Patient_Data[[#This Row],[Age]]&lt;=64,"Adult","Geriatric"))</f>
        <v>Adult</v>
      </c>
    </row>
    <row r="419" spans="1:19" ht="15.75" customHeight="1" x14ac:dyDescent="0.3">
      <c r="A419" s="4" t="s">
        <v>905</v>
      </c>
      <c r="B419" s="5" t="str">
        <f>TEXT(Patient_Data!$E419,"mmmm")</f>
        <v>December</v>
      </c>
      <c r="C419" s="6" t="str">
        <f t="shared" si="2"/>
        <v>Dec</v>
      </c>
      <c r="D419" s="6">
        <f>MONTH(Patient_Data!$E419)</f>
        <v>12</v>
      </c>
      <c r="E419" s="7">
        <v>46013</v>
      </c>
      <c r="F419" s="55" t="str">
        <f>TEXT(Patient_Data[[#This Row],[Admission_Date]],"YYYY")</f>
        <v>2025</v>
      </c>
      <c r="G419" s="8" t="s">
        <v>906</v>
      </c>
      <c r="H419" s="8" t="s">
        <v>28</v>
      </c>
      <c r="I419" s="4" t="s">
        <v>29</v>
      </c>
      <c r="J419" s="4">
        <v>21</v>
      </c>
      <c r="K419" s="4" t="s">
        <v>54</v>
      </c>
      <c r="L419" s="8">
        <v>5</v>
      </c>
      <c r="M419" s="9" t="s">
        <v>36</v>
      </c>
      <c r="N419" s="9" t="str">
        <f t="shared" si="3"/>
        <v>Cardio</v>
      </c>
      <c r="O419" s="10">
        <v>19324.990000000002</v>
      </c>
      <c r="P419" s="10">
        <v>14776.59</v>
      </c>
      <c r="Q419" s="11">
        <v>11.2</v>
      </c>
      <c r="R419" s="13" t="str">
        <f>IF(Patient_Data!$L419&lt;2,"Low Risk",IF(Patient_Data!$L419&lt;4,"Moderate Risk","High Risk"))</f>
        <v>High Risk</v>
      </c>
      <c r="S419" s="12" t="str">
        <f>IF(Patient_Data[[#This Row],[Age]]&lt;=18,"Pediatric",IF(Patient_Data[[#This Row],[Age]]&lt;=64,"Adult","Geriatric"))</f>
        <v>Adult</v>
      </c>
    </row>
    <row r="420" spans="1:19" ht="15.75" customHeight="1" x14ac:dyDescent="0.3">
      <c r="A420" s="4" t="s">
        <v>907</v>
      </c>
      <c r="B420" s="5" t="str">
        <f>TEXT(Patient_Data!$E420,"mmmm")</f>
        <v>December</v>
      </c>
      <c r="C420" s="6" t="str">
        <f t="shared" si="2"/>
        <v>Dec</v>
      </c>
      <c r="D420" s="6">
        <f>MONTH(Patient_Data!$E420)</f>
        <v>12</v>
      </c>
      <c r="E420" s="7">
        <v>45278</v>
      </c>
      <c r="F420" s="55" t="str">
        <f>TEXT(Patient_Data[[#This Row],[Admission_Date]],"YYYY")</f>
        <v>2023</v>
      </c>
      <c r="G420" s="8" t="s">
        <v>908</v>
      </c>
      <c r="H420" s="8" t="s">
        <v>28</v>
      </c>
      <c r="I420" s="4" t="s">
        <v>29</v>
      </c>
      <c r="J420" s="4">
        <v>72</v>
      </c>
      <c r="K420" s="4" t="s">
        <v>45</v>
      </c>
      <c r="L420" s="8">
        <v>4</v>
      </c>
      <c r="M420" s="9" t="s">
        <v>50</v>
      </c>
      <c r="N420" s="9" t="str">
        <f t="shared" si="3"/>
        <v>ICU</v>
      </c>
      <c r="O420" s="10">
        <v>20655.28</v>
      </c>
      <c r="P420" s="10">
        <v>12089.66</v>
      </c>
      <c r="Q420" s="11">
        <v>13.7</v>
      </c>
      <c r="R420" s="13" t="str">
        <f>IF(Patient_Data!$L420&lt;2,"Low Risk",IF(Patient_Data!$L420&lt;4,"Moderate Risk","High Risk"))</f>
        <v>High Risk</v>
      </c>
      <c r="S420" s="12" t="str">
        <f>IF(Patient_Data[[#This Row],[Age]]&lt;=18,"Pediatric",IF(Patient_Data[[#This Row],[Age]]&lt;=64,"Adult","Geriatric"))</f>
        <v>Geriatric</v>
      </c>
    </row>
    <row r="421" spans="1:19" ht="15.75" customHeight="1" x14ac:dyDescent="0.3">
      <c r="A421" s="4" t="s">
        <v>909</v>
      </c>
      <c r="B421" s="5" t="str">
        <f>TEXT(Patient_Data!$E421,"mmmm")</f>
        <v>September</v>
      </c>
      <c r="C421" s="6" t="str">
        <f t="shared" si="2"/>
        <v>Sep</v>
      </c>
      <c r="D421" s="6">
        <f>MONTH(Patient_Data!$E421)</f>
        <v>9</v>
      </c>
      <c r="E421" s="7">
        <v>45551</v>
      </c>
      <c r="F421" s="55" t="str">
        <f>TEXT(Patient_Data[[#This Row],[Admission_Date]],"YYYY")</f>
        <v>2024</v>
      </c>
      <c r="G421" s="8" t="s">
        <v>910</v>
      </c>
      <c r="H421" s="8" t="s">
        <v>28</v>
      </c>
      <c r="I421" s="4" t="s">
        <v>29</v>
      </c>
      <c r="J421" s="4">
        <v>40</v>
      </c>
      <c r="K421" s="4" t="s">
        <v>54</v>
      </c>
      <c r="L421" s="8">
        <v>2</v>
      </c>
      <c r="M421" s="9" t="s">
        <v>31</v>
      </c>
      <c r="N421" s="9" t="str">
        <f t="shared" si="3"/>
        <v>Neuro</v>
      </c>
      <c r="O421" s="10">
        <v>8430.2099999999991</v>
      </c>
      <c r="P421" s="10">
        <v>5220.83</v>
      </c>
      <c r="Q421" s="11">
        <v>9.8000000000000007</v>
      </c>
      <c r="R421" s="13" t="str">
        <f>IF(Patient_Data!$L421&lt;2,"Low Risk",IF(Patient_Data!$L421&lt;4,"Moderate Risk","High Risk"))</f>
        <v>Moderate Risk</v>
      </c>
      <c r="S421" s="12" t="str">
        <f>IF(Patient_Data[[#This Row],[Age]]&lt;=18,"Pediatric",IF(Patient_Data[[#This Row],[Age]]&lt;=64,"Adult","Geriatric"))</f>
        <v>Adult</v>
      </c>
    </row>
    <row r="422" spans="1:19" ht="15.75" customHeight="1" x14ac:dyDescent="0.3">
      <c r="A422" s="4" t="s">
        <v>911</v>
      </c>
      <c r="B422" s="5" t="str">
        <f>TEXT(Patient_Data!$E422,"mmmm")</f>
        <v>December</v>
      </c>
      <c r="C422" s="6" t="str">
        <f t="shared" si="2"/>
        <v>Dec</v>
      </c>
      <c r="D422" s="6">
        <f>MONTH(Patient_Data!$E422)</f>
        <v>12</v>
      </c>
      <c r="E422" s="7">
        <v>45272</v>
      </c>
      <c r="F422" s="55" t="str">
        <f>TEXT(Patient_Data[[#This Row],[Admission_Date]],"YYYY")</f>
        <v>2023</v>
      </c>
      <c r="G422" s="8" t="s">
        <v>912</v>
      </c>
      <c r="H422" s="8" t="s">
        <v>34</v>
      </c>
      <c r="I422" s="4" t="s">
        <v>35</v>
      </c>
      <c r="J422" s="4">
        <v>53</v>
      </c>
      <c r="K422" s="4" t="s">
        <v>30</v>
      </c>
      <c r="L422" s="8">
        <v>3</v>
      </c>
      <c r="M422" s="9" t="s">
        <v>36</v>
      </c>
      <c r="N422" s="9" t="str">
        <f t="shared" si="3"/>
        <v>Cardio</v>
      </c>
      <c r="O422" s="10">
        <v>7999.33</v>
      </c>
      <c r="P422" s="10">
        <v>5154.7700000000004</v>
      </c>
      <c r="Q422" s="11">
        <v>4.4000000000000004</v>
      </c>
      <c r="R422" s="13" t="str">
        <f>IF(Patient_Data!$L422&lt;2,"Low Risk",IF(Patient_Data!$L422&lt;4,"Moderate Risk","High Risk"))</f>
        <v>Moderate Risk</v>
      </c>
      <c r="S422" s="12" t="str">
        <f>IF(Patient_Data[[#This Row],[Age]]&lt;=18,"Pediatric",IF(Patient_Data[[#This Row],[Age]]&lt;=64,"Adult","Geriatric"))</f>
        <v>Adult</v>
      </c>
    </row>
    <row r="423" spans="1:19" ht="15.75" customHeight="1" x14ac:dyDescent="0.3">
      <c r="A423" s="4" t="s">
        <v>913</v>
      </c>
      <c r="B423" s="5" t="str">
        <f>TEXT(Patient_Data!$E423,"mmmm")</f>
        <v>October</v>
      </c>
      <c r="C423" s="6" t="str">
        <f t="shared" si="2"/>
        <v>Oct</v>
      </c>
      <c r="D423" s="6">
        <f>MONTH(Patient_Data!$E423)</f>
        <v>10</v>
      </c>
      <c r="E423" s="7">
        <v>45583</v>
      </c>
      <c r="F423" s="55" t="str">
        <f>TEXT(Patient_Data[[#This Row],[Admission_Date]],"YYYY")</f>
        <v>2024</v>
      </c>
      <c r="G423" s="8" t="s">
        <v>914</v>
      </c>
      <c r="H423" s="8" t="s">
        <v>53</v>
      </c>
      <c r="I423" s="4" t="s">
        <v>29</v>
      </c>
      <c r="J423" s="4">
        <v>2</v>
      </c>
      <c r="K423" s="4" t="s">
        <v>30</v>
      </c>
      <c r="L423" s="8">
        <v>1</v>
      </c>
      <c r="M423" s="9" t="s">
        <v>79</v>
      </c>
      <c r="N423" s="9" t="str">
        <f t="shared" si="3"/>
        <v>PD</v>
      </c>
      <c r="O423" s="10">
        <v>2084.31</v>
      </c>
      <c r="P423" s="10">
        <v>1414.89</v>
      </c>
      <c r="Q423" s="11">
        <v>2.2999999999999998</v>
      </c>
      <c r="R423" s="13" t="str">
        <f>IF(Patient_Data!$L423&lt;2,"Low Risk",IF(Patient_Data!$L423&lt;4,"Moderate Risk","High Risk"))</f>
        <v>Low Risk</v>
      </c>
      <c r="S423" s="12" t="str">
        <f>IF(Patient_Data[[#This Row],[Age]]&lt;=18,"Pediatric",IF(Patient_Data[[#This Row],[Age]]&lt;=64,"Adult","Geriatric"))</f>
        <v>Pediatric</v>
      </c>
    </row>
    <row r="424" spans="1:19" ht="15.75" customHeight="1" x14ac:dyDescent="0.3">
      <c r="A424" s="4" t="s">
        <v>915</v>
      </c>
      <c r="B424" s="5" t="str">
        <f>TEXT(Patient_Data!$E424,"mmmm")</f>
        <v>February</v>
      </c>
      <c r="C424" s="6" t="str">
        <f t="shared" si="2"/>
        <v>Feb</v>
      </c>
      <c r="D424" s="6">
        <f>MONTH(Patient_Data!$E424)</f>
        <v>2</v>
      </c>
      <c r="E424" s="7">
        <v>45713</v>
      </c>
      <c r="F424" s="55" t="str">
        <f>TEXT(Patient_Data[[#This Row],[Admission_Date]],"YYYY")</f>
        <v>2025</v>
      </c>
      <c r="G424" s="8" t="s">
        <v>916</v>
      </c>
      <c r="H424" s="8" t="s">
        <v>28</v>
      </c>
      <c r="I424" s="4" t="s">
        <v>35</v>
      </c>
      <c r="J424" s="4">
        <v>62</v>
      </c>
      <c r="K424" s="4" t="s">
        <v>54</v>
      </c>
      <c r="L424" s="8">
        <v>5</v>
      </c>
      <c r="M424" s="9" t="s">
        <v>72</v>
      </c>
      <c r="N424" s="9" t="str">
        <f t="shared" si="3"/>
        <v>Surgery</v>
      </c>
      <c r="O424" s="10">
        <v>19103.39</v>
      </c>
      <c r="P424" s="10">
        <v>13427.57</v>
      </c>
      <c r="Q424" s="11">
        <v>6.9</v>
      </c>
      <c r="R424" s="13" t="str">
        <f>IF(Patient_Data!$L424&lt;2,"Low Risk",IF(Patient_Data!$L424&lt;4,"Moderate Risk","High Risk"))</f>
        <v>High Risk</v>
      </c>
      <c r="S424" s="12" t="str">
        <f>IF(Patient_Data[[#This Row],[Age]]&lt;=18,"Pediatric",IF(Patient_Data[[#This Row],[Age]]&lt;=64,"Adult","Geriatric"))</f>
        <v>Adult</v>
      </c>
    </row>
    <row r="425" spans="1:19" ht="15.75" customHeight="1" x14ac:dyDescent="0.3">
      <c r="A425" s="4" t="s">
        <v>917</v>
      </c>
      <c r="B425" s="5" t="str">
        <f>TEXT(Patient_Data!$E425,"mmmm")</f>
        <v>May</v>
      </c>
      <c r="C425" s="6" t="str">
        <f t="shared" si="2"/>
        <v>May</v>
      </c>
      <c r="D425" s="6">
        <f>MONTH(Patient_Data!$E425)</f>
        <v>5</v>
      </c>
      <c r="E425" s="7">
        <v>45435</v>
      </c>
      <c r="F425" s="55" t="str">
        <f>TEXT(Patient_Data[[#This Row],[Admission_Date]],"YYYY")</f>
        <v>2024</v>
      </c>
      <c r="G425" s="8" t="s">
        <v>918</v>
      </c>
      <c r="H425" s="8" t="s">
        <v>49</v>
      </c>
      <c r="I425" s="4" t="s">
        <v>35</v>
      </c>
      <c r="J425" s="4">
        <v>64</v>
      </c>
      <c r="K425" s="4" t="s">
        <v>54</v>
      </c>
      <c r="L425" s="8">
        <v>2</v>
      </c>
      <c r="M425" s="9" t="s">
        <v>83</v>
      </c>
      <c r="N425" s="9" t="str">
        <f t="shared" si="3"/>
        <v>ER</v>
      </c>
      <c r="O425" s="10">
        <v>4639.33</v>
      </c>
      <c r="P425" s="10">
        <v>3540.31</v>
      </c>
      <c r="Q425" s="11">
        <v>19.2</v>
      </c>
      <c r="R425" s="13" t="str">
        <f>IF(Patient_Data!$L425&lt;2,"Low Risk",IF(Patient_Data!$L425&lt;4,"Moderate Risk","High Risk"))</f>
        <v>Moderate Risk</v>
      </c>
      <c r="S425" s="12" t="str">
        <f>IF(Patient_Data[[#This Row],[Age]]&lt;=18,"Pediatric",IF(Patient_Data[[#This Row],[Age]]&lt;=64,"Adult","Geriatric"))</f>
        <v>Adult</v>
      </c>
    </row>
    <row r="426" spans="1:19" ht="15.75" customHeight="1" x14ac:dyDescent="0.3">
      <c r="A426" s="4" t="s">
        <v>919</v>
      </c>
      <c r="B426" s="5" t="str">
        <f>TEXT(Patient_Data!$E426,"mmmm")</f>
        <v>April</v>
      </c>
      <c r="C426" s="6" t="str">
        <f t="shared" si="2"/>
        <v>Apr</v>
      </c>
      <c r="D426" s="6">
        <f>MONTH(Patient_Data!$E426)</f>
        <v>4</v>
      </c>
      <c r="E426" s="7">
        <v>45756</v>
      </c>
      <c r="F426" s="55" t="str">
        <f>TEXT(Patient_Data[[#This Row],[Admission_Date]],"YYYY")</f>
        <v>2025</v>
      </c>
      <c r="G426" s="8" t="s">
        <v>920</v>
      </c>
      <c r="H426" s="8" t="s">
        <v>42</v>
      </c>
      <c r="I426" s="4" t="s">
        <v>35</v>
      </c>
      <c r="J426" s="4">
        <v>87</v>
      </c>
      <c r="K426" s="4" t="s">
        <v>54</v>
      </c>
      <c r="L426" s="8">
        <v>4</v>
      </c>
      <c r="M426" s="9" t="s">
        <v>50</v>
      </c>
      <c r="N426" s="9" t="str">
        <f t="shared" si="3"/>
        <v>ICU</v>
      </c>
      <c r="O426" s="10">
        <v>10681.38</v>
      </c>
      <c r="P426" s="10">
        <v>8182.65</v>
      </c>
      <c r="Q426" s="11">
        <v>8.1</v>
      </c>
      <c r="R426" s="13" t="str">
        <f>IF(Patient_Data!$L426&lt;2,"Low Risk",IF(Patient_Data!$L426&lt;4,"Moderate Risk","High Risk"))</f>
        <v>High Risk</v>
      </c>
      <c r="S426" s="12" t="str">
        <f>IF(Patient_Data[[#This Row],[Age]]&lt;=18,"Pediatric",IF(Patient_Data[[#This Row],[Age]]&lt;=64,"Adult","Geriatric"))</f>
        <v>Geriatric</v>
      </c>
    </row>
    <row r="427" spans="1:19" ht="15.75" customHeight="1" x14ac:dyDescent="0.3">
      <c r="A427" s="4" t="s">
        <v>921</v>
      </c>
      <c r="B427" s="5" t="str">
        <f>TEXT(Patient_Data!$E427,"mmmm")</f>
        <v>February</v>
      </c>
      <c r="C427" s="6" t="str">
        <f t="shared" si="2"/>
        <v>Feb</v>
      </c>
      <c r="D427" s="6">
        <f>MONTH(Patient_Data!$E427)</f>
        <v>2</v>
      </c>
      <c r="E427" s="7">
        <v>46064</v>
      </c>
      <c r="F427" s="55" t="str">
        <f>TEXT(Patient_Data[[#This Row],[Admission_Date]],"YYYY")</f>
        <v>2026</v>
      </c>
      <c r="G427" s="8" t="s">
        <v>922</v>
      </c>
      <c r="H427" s="8" t="s">
        <v>34</v>
      </c>
      <c r="I427" s="4" t="s">
        <v>29</v>
      </c>
      <c r="J427" s="4">
        <v>47</v>
      </c>
      <c r="K427" s="4" t="s">
        <v>54</v>
      </c>
      <c r="L427" s="8">
        <v>5</v>
      </c>
      <c r="M427" s="9" t="s">
        <v>72</v>
      </c>
      <c r="N427" s="9" t="str">
        <f t="shared" si="3"/>
        <v>Surgery</v>
      </c>
      <c r="O427" s="10">
        <v>21429.86</v>
      </c>
      <c r="P427" s="10">
        <v>12429.32</v>
      </c>
      <c r="Q427" s="11"/>
      <c r="R427" s="13" t="str">
        <f>IF(Patient_Data!$L427&lt;2,"Low Risk",IF(Patient_Data!$L427&lt;4,"Moderate Risk","High Risk"))</f>
        <v>High Risk</v>
      </c>
      <c r="S427" s="12" t="str">
        <f>IF(Patient_Data[[#This Row],[Age]]&lt;=18,"Pediatric",IF(Patient_Data[[#This Row],[Age]]&lt;=64,"Adult","Geriatric"))</f>
        <v>Adult</v>
      </c>
    </row>
    <row r="428" spans="1:19" ht="15.75" customHeight="1" x14ac:dyDescent="0.3">
      <c r="A428" s="4" t="s">
        <v>923</v>
      </c>
      <c r="B428" s="5" t="str">
        <f>TEXT(Patient_Data!$E428,"mmmm")</f>
        <v>May</v>
      </c>
      <c r="C428" s="6" t="str">
        <f t="shared" si="2"/>
        <v>May</v>
      </c>
      <c r="D428" s="6">
        <f>MONTH(Patient_Data!$E428)</f>
        <v>5</v>
      </c>
      <c r="E428" s="7">
        <v>46159</v>
      </c>
      <c r="F428" s="55" t="str">
        <f>TEXT(Patient_Data[[#This Row],[Admission_Date]],"YYYY")</f>
        <v>2026</v>
      </c>
      <c r="G428" s="8" t="s">
        <v>924</v>
      </c>
      <c r="H428" s="8" t="s">
        <v>53</v>
      </c>
      <c r="I428" s="4" t="s">
        <v>29</v>
      </c>
      <c r="J428" s="4">
        <v>9</v>
      </c>
      <c r="K428" s="4" t="s">
        <v>30</v>
      </c>
      <c r="L428" s="8">
        <v>1</v>
      </c>
      <c r="M428" s="9" t="s">
        <v>79</v>
      </c>
      <c r="N428" s="9" t="str">
        <f t="shared" si="3"/>
        <v>PD</v>
      </c>
      <c r="O428" s="10">
        <v>1877.9</v>
      </c>
      <c r="P428" s="10">
        <v>1169.52</v>
      </c>
      <c r="Q428" s="11">
        <v>3</v>
      </c>
      <c r="R428" s="13" t="str">
        <f>IF(Patient_Data!$L428&lt;2,"Low Risk",IF(Patient_Data!$L428&lt;4,"Moderate Risk","High Risk"))</f>
        <v>Low Risk</v>
      </c>
      <c r="S428" s="12" t="str">
        <f>IF(Patient_Data[[#This Row],[Age]]&lt;=18,"Pediatric",IF(Patient_Data[[#This Row],[Age]]&lt;=64,"Adult","Geriatric"))</f>
        <v>Pediatric</v>
      </c>
    </row>
    <row r="429" spans="1:19" ht="15.75" customHeight="1" x14ac:dyDescent="0.3">
      <c r="A429" s="4" t="s">
        <v>925</v>
      </c>
      <c r="B429" s="5" t="str">
        <f>TEXT(Patient_Data!$E429,"mmmm")</f>
        <v>December</v>
      </c>
      <c r="C429" s="6" t="str">
        <f t="shared" si="2"/>
        <v>Dec</v>
      </c>
      <c r="D429" s="6">
        <f>MONTH(Patient_Data!$E429)</f>
        <v>12</v>
      </c>
      <c r="E429" s="7">
        <v>45657</v>
      </c>
      <c r="F429" s="55" t="str">
        <f>TEXT(Patient_Data[[#This Row],[Admission_Date]],"YYYY")</f>
        <v>2024</v>
      </c>
      <c r="G429" s="8" t="s">
        <v>926</v>
      </c>
      <c r="H429" s="8" t="s">
        <v>34</v>
      </c>
      <c r="I429" s="4" t="s">
        <v>29</v>
      </c>
      <c r="J429" s="4">
        <v>81</v>
      </c>
      <c r="K429" s="4" t="s">
        <v>30</v>
      </c>
      <c r="L429" s="8">
        <v>3</v>
      </c>
      <c r="M429" s="9" t="s">
        <v>46</v>
      </c>
      <c r="N429" s="9" t="str">
        <f t="shared" si="3"/>
        <v>Ortho</v>
      </c>
      <c r="O429" s="10">
        <v>10687.19</v>
      </c>
      <c r="P429" s="10">
        <v>6896.6</v>
      </c>
      <c r="Q429" s="11">
        <v>7.1</v>
      </c>
      <c r="R429" s="13" t="str">
        <f>IF(Patient_Data!$L429&lt;2,"Low Risk",IF(Patient_Data!$L429&lt;4,"Moderate Risk","High Risk"))</f>
        <v>Moderate Risk</v>
      </c>
      <c r="S429" s="12" t="str">
        <f>IF(Patient_Data[[#This Row],[Age]]&lt;=18,"Pediatric",IF(Patient_Data[[#This Row],[Age]]&lt;=64,"Adult","Geriatric"))</f>
        <v>Geriatric</v>
      </c>
    </row>
    <row r="430" spans="1:19" ht="15.75" customHeight="1" x14ac:dyDescent="0.3">
      <c r="A430" s="4" t="s">
        <v>927</v>
      </c>
      <c r="B430" s="5" t="str">
        <f>TEXT(Patient_Data!$E430,"mmmm")</f>
        <v>July</v>
      </c>
      <c r="C430" s="6" t="str">
        <f t="shared" si="2"/>
        <v>Jul</v>
      </c>
      <c r="D430" s="6">
        <f>MONTH(Patient_Data!$E430)</f>
        <v>7</v>
      </c>
      <c r="E430" s="7">
        <v>45491</v>
      </c>
      <c r="F430" s="55" t="str">
        <f>TEXT(Patient_Data[[#This Row],[Admission_Date]],"YYYY")</f>
        <v>2024</v>
      </c>
      <c r="G430" s="8" t="s">
        <v>928</v>
      </c>
      <c r="H430" s="8" t="s">
        <v>34</v>
      </c>
      <c r="I430" s="4" t="s">
        <v>29</v>
      </c>
      <c r="J430" s="4">
        <v>40</v>
      </c>
      <c r="K430" s="4" t="s">
        <v>30</v>
      </c>
      <c r="L430" s="8">
        <v>2</v>
      </c>
      <c r="M430" s="9" t="s">
        <v>83</v>
      </c>
      <c r="N430" s="9" t="str">
        <f t="shared" si="3"/>
        <v>ER</v>
      </c>
      <c r="O430" s="10">
        <v>6271.56</v>
      </c>
      <c r="P430" s="10">
        <v>4284.3500000000004</v>
      </c>
      <c r="Q430" s="11">
        <v>10.3</v>
      </c>
      <c r="R430" s="13" t="str">
        <f>IF(Patient_Data!$L430&lt;2,"Low Risk",IF(Patient_Data!$L430&lt;4,"Moderate Risk","High Risk"))</f>
        <v>Moderate Risk</v>
      </c>
      <c r="S430" s="12" t="str">
        <f>IF(Patient_Data[[#This Row],[Age]]&lt;=18,"Pediatric",IF(Patient_Data[[#This Row],[Age]]&lt;=64,"Adult","Geriatric"))</f>
        <v>Adult</v>
      </c>
    </row>
    <row r="431" spans="1:19" ht="15.75" customHeight="1" x14ac:dyDescent="0.3">
      <c r="A431" s="4" t="s">
        <v>929</v>
      </c>
      <c r="B431" s="5" t="str">
        <f>TEXT(Patient_Data!$E431,"mmmm")</f>
        <v>May</v>
      </c>
      <c r="C431" s="6" t="str">
        <f t="shared" si="2"/>
        <v>May</v>
      </c>
      <c r="D431" s="6">
        <f>MONTH(Patient_Data!$E431)</f>
        <v>5</v>
      </c>
      <c r="E431" s="7">
        <v>45803</v>
      </c>
      <c r="F431" s="55" t="str">
        <f>TEXT(Patient_Data[[#This Row],[Admission_Date]],"YYYY")</f>
        <v>2025</v>
      </c>
      <c r="G431" s="8" t="s">
        <v>930</v>
      </c>
      <c r="H431" s="8" t="s">
        <v>98</v>
      </c>
      <c r="I431" s="4" t="s">
        <v>35</v>
      </c>
      <c r="J431" s="4">
        <v>32</v>
      </c>
      <c r="K431" s="4" t="s">
        <v>30</v>
      </c>
      <c r="L431" s="8">
        <v>1</v>
      </c>
      <c r="M431" s="9" t="s">
        <v>83</v>
      </c>
      <c r="N431" s="9" t="str">
        <f t="shared" si="3"/>
        <v>ER</v>
      </c>
      <c r="O431" s="10">
        <v>8361.39</v>
      </c>
      <c r="P431" s="10">
        <v>6043.37</v>
      </c>
      <c r="Q431" s="11">
        <v>23.8</v>
      </c>
      <c r="R431" s="13" t="str">
        <f>IF(Patient_Data!$L431&lt;2,"Low Risk",IF(Patient_Data!$L431&lt;4,"Moderate Risk","High Risk"))</f>
        <v>Low Risk</v>
      </c>
      <c r="S431" s="12" t="str">
        <f>IF(Patient_Data[[#This Row],[Age]]&lt;=18,"Pediatric",IF(Patient_Data[[#This Row],[Age]]&lt;=64,"Adult","Geriatric"))</f>
        <v>Adult</v>
      </c>
    </row>
    <row r="432" spans="1:19" ht="15.75" customHeight="1" x14ac:dyDescent="0.3">
      <c r="A432" s="4" t="s">
        <v>931</v>
      </c>
      <c r="B432" s="5" t="str">
        <f>TEXT(Patient_Data!$E432,"mmmm")</f>
        <v>September</v>
      </c>
      <c r="C432" s="6" t="str">
        <f t="shared" si="2"/>
        <v>Sep</v>
      </c>
      <c r="D432" s="6">
        <f>MONTH(Patient_Data!$E432)</f>
        <v>9</v>
      </c>
      <c r="E432" s="7">
        <v>45195</v>
      </c>
      <c r="F432" s="55" t="str">
        <f>TEXT(Patient_Data[[#This Row],[Admission_Date]],"YYYY")</f>
        <v>2023</v>
      </c>
      <c r="G432" s="8" t="s">
        <v>932</v>
      </c>
      <c r="H432" s="8" t="s">
        <v>42</v>
      </c>
      <c r="I432" s="4" t="s">
        <v>35</v>
      </c>
      <c r="J432" s="4">
        <v>84</v>
      </c>
      <c r="K432" s="4" t="s">
        <v>54</v>
      </c>
      <c r="L432" s="8">
        <v>4</v>
      </c>
      <c r="M432" s="9" t="s">
        <v>46</v>
      </c>
      <c r="N432" s="9" t="str">
        <f t="shared" si="3"/>
        <v>Ortho</v>
      </c>
      <c r="O432" s="10">
        <v>13446.41</v>
      </c>
      <c r="P432" s="10">
        <v>9871.8799999999992</v>
      </c>
      <c r="Q432" s="11">
        <v>7</v>
      </c>
      <c r="R432" s="13" t="str">
        <f>IF(Patient_Data!$L432&lt;2,"Low Risk",IF(Patient_Data!$L432&lt;4,"Moderate Risk","High Risk"))</f>
        <v>High Risk</v>
      </c>
      <c r="S432" s="12" t="str">
        <f>IF(Patient_Data[[#This Row],[Age]]&lt;=18,"Pediatric",IF(Patient_Data[[#This Row],[Age]]&lt;=64,"Adult","Geriatric"))</f>
        <v>Geriatric</v>
      </c>
    </row>
    <row r="433" spans="1:19" ht="15.75" customHeight="1" x14ac:dyDescent="0.3">
      <c r="A433" s="4" t="s">
        <v>933</v>
      </c>
      <c r="B433" s="5" t="str">
        <f>TEXT(Patient_Data!$E433,"mmmm")</f>
        <v>December</v>
      </c>
      <c r="C433" s="6" t="str">
        <f t="shared" si="2"/>
        <v>Dec</v>
      </c>
      <c r="D433" s="6">
        <f>MONTH(Patient_Data!$E433)</f>
        <v>12</v>
      </c>
      <c r="E433" s="7">
        <v>46002</v>
      </c>
      <c r="F433" s="55" t="str">
        <f>TEXT(Patient_Data[[#This Row],[Admission_Date]],"YYYY")</f>
        <v>2025</v>
      </c>
      <c r="G433" s="8" t="s">
        <v>934</v>
      </c>
      <c r="H433" s="8" t="s">
        <v>34</v>
      </c>
      <c r="I433" s="4" t="s">
        <v>35</v>
      </c>
      <c r="J433" s="4">
        <v>27</v>
      </c>
      <c r="K433" s="4" t="s">
        <v>54</v>
      </c>
      <c r="L433" s="8">
        <v>4</v>
      </c>
      <c r="M433" s="9" t="s">
        <v>36</v>
      </c>
      <c r="N433" s="9" t="str">
        <f t="shared" si="3"/>
        <v>Cardio</v>
      </c>
      <c r="O433" s="10">
        <v>10822.58</v>
      </c>
      <c r="P433" s="10">
        <v>8308.36</v>
      </c>
      <c r="Q433" s="11">
        <v>10.4</v>
      </c>
      <c r="R433" s="13" t="str">
        <f>IF(Patient_Data!$L433&lt;2,"Low Risk",IF(Patient_Data!$L433&lt;4,"Moderate Risk","High Risk"))</f>
        <v>High Risk</v>
      </c>
      <c r="S433" s="12" t="str">
        <f>IF(Patient_Data[[#This Row],[Age]]&lt;=18,"Pediatric",IF(Patient_Data[[#This Row],[Age]]&lt;=64,"Adult","Geriatric"))</f>
        <v>Adult</v>
      </c>
    </row>
    <row r="434" spans="1:19" ht="15.75" customHeight="1" x14ac:dyDescent="0.3">
      <c r="A434" s="4" t="s">
        <v>935</v>
      </c>
      <c r="B434" s="5" t="str">
        <f>TEXT(Patient_Data!$E434,"mmmm")</f>
        <v>March</v>
      </c>
      <c r="C434" s="6" t="str">
        <f t="shared" si="2"/>
        <v>Mar</v>
      </c>
      <c r="D434" s="6">
        <f>MONTH(Patient_Data!$E434)</f>
        <v>3</v>
      </c>
      <c r="E434" s="7">
        <v>45357</v>
      </c>
      <c r="F434" s="55" t="str">
        <f>TEXT(Patient_Data[[#This Row],[Admission_Date]],"YYYY")</f>
        <v>2024</v>
      </c>
      <c r="G434" s="8" t="s">
        <v>936</v>
      </c>
      <c r="H434" s="8" t="s">
        <v>132</v>
      </c>
      <c r="I434" s="4" t="s">
        <v>35</v>
      </c>
      <c r="J434" s="4">
        <v>12</v>
      </c>
      <c r="K434" s="4" t="s">
        <v>54</v>
      </c>
      <c r="L434" s="8">
        <v>3</v>
      </c>
      <c r="M434" s="9" t="s">
        <v>79</v>
      </c>
      <c r="N434" s="9" t="str">
        <f t="shared" si="3"/>
        <v>PD</v>
      </c>
      <c r="O434" s="10">
        <v>1697.78</v>
      </c>
      <c r="P434" s="10">
        <v>985.51</v>
      </c>
      <c r="Q434" s="11">
        <v>0.1</v>
      </c>
      <c r="R434" s="13" t="str">
        <f>IF(Patient_Data!$L434&lt;2,"Low Risk",IF(Patient_Data!$L434&lt;4,"Moderate Risk","High Risk"))</f>
        <v>Moderate Risk</v>
      </c>
      <c r="S434" s="12" t="str">
        <f>IF(Patient_Data[[#This Row],[Age]]&lt;=18,"Pediatric",IF(Patient_Data[[#This Row],[Age]]&lt;=64,"Adult","Geriatric"))</f>
        <v>Pediatric</v>
      </c>
    </row>
    <row r="435" spans="1:19" ht="15.75" customHeight="1" x14ac:dyDescent="0.3">
      <c r="A435" s="4" t="s">
        <v>937</v>
      </c>
      <c r="B435" s="5" t="str">
        <f>TEXT(Patient_Data!$E435,"mmmm")</f>
        <v>April</v>
      </c>
      <c r="C435" s="6" t="str">
        <f t="shared" si="2"/>
        <v>Apr</v>
      </c>
      <c r="D435" s="6">
        <f>MONTH(Patient_Data!$E435)</f>
        <v>4</v>
      </c>
      <c r="E435" s="7">
        <v>45399</v>
      </c>
      <c r="F435" s="55" t="str">
        <f>TEXT(Patient_Data[[#This Row],[Admission_Date]],"YYYY")</f>
        <v>2024</v>
      </c>
      <c r="G435" s="8" t="s">
        <v>938</v>
      </c>
      <c r="H435" s="8" t="s">
        <v>42</v>
      </c>
      <c r="I435" s="4" t="s">
        <v>35</v>
      </c>
      <c r="J435" s="4">
        <v>33</v>
      </c>
      <c r="K435" s="4" t="s">
        <v>54</v>
      </c>
      <c r="L435" s="8">
        <v>5</v>
      </c>
      <c r="M435" s="9" t="s">
        <v>31</v>
      </c>
      <c r="N435" s="9" t="str">
        <f t="shared" si="3"/>
        <v>Neuro</v>
      </c>
      <c r="O435" s="10">
        <v>10452.25</v>
      </c>
      <c r="P435" s="10">
        <v>6417.47</v>
      </c>
      <c r="Q435" s="11">
        <v>5.2</v>
      </c>
      <c r="R435" s="13" t="str">
        <f>IF(Patient_Data!$L435&lt;2,"Low Risk",IF(Patient_Data!$L435&lt;4,"Moderate Risk","High Risk"))</f>
        <v>High Risk</v>
      </c>
      <c r="S435" s="12" t="str">
        <f>IF(Patient_Data[[#This Row],[Age]]&lt;=18,"Pediatric",IF(Patient_Data[[#This Row],[Age]]&lt;=64,"Adult","Geriatric"))</f>
        <v>Adult</v>
      </c>
    </row>
    <row r="436" spans="1:19" ht="15.75" customHeight="1" x14ac:dyDescent="0.3">
      <c r="A436" s="4" t="s">
        <v>939</v>
      </c>
      <c r="B436" s="5" t="str">
        <f>TEXT(Patient_Data!$E436,"mmmm")</f>
        <v>March</v>
      </c>
      <c r="C436" s="6" t="str">
        <f t="shared" si="2"/>
        <v>Mar</v>
      </c>
      <c r="D436" s="6">
        <f>MONTH(Patient_Data!$E436)</f>
        <v>3</v>
      </c>
      <c r="E436" s="7">
        <v>46112</v>
      </c>
      <c r="F436" s="55" t="str">
        <f>TEXT(Patient_Data[[#This Row],[Admission_Date]],"YYYY")</f>
        <v>2026</v>
      </c>
      <c r="G436" s="8" t="s">
        <v>940</v>
      </c>
      <c r="H436" s="8" t="s">
        <v>82</v>
      </c>
      <c r="I436" s="4" t="s">
        <v>35</v>
      </c>
      <c r="J436" s="4">
        <v>22</v>
      </c>
      <c r="K436" s="4" t="s">
        <v>45</v>
      </c>
      <c r="L436" s="8">
        <v>2</v>
      </c>
      <c r="M436" s="9" t="s">
        <v>39</v>
      </c>
      <c r="N436" s="9" t="str">
        <f t="shared" si="3"/>
        <v>GM</v>
      </c>
      <c r="O436" s="10">
        <v>3435.83</v>
      </c>
      <c r="P436" s="10">
        <v>2270.9299999999998</v>
      </c>
      <c r="Q436" s="11">
        <v>9</v>
      </c>
      <c r="R436" s="13" t="str">
        <f>IF(Patient_Data!$L436&lt;2,"Low Risk",IF(Patient_Data!$L436&lt;4,"Moderate Risk","High Risk"))</f>
        <v>Moderate Risk</v>
      </c>
      <c r="S436" s="12" t="str">
        <f>IF(Patient_Data[[#This Row],[Age]]&lt;=18,"Pediatric",IF(Patient_Data[[#This Row],[Age]]&lt;=64,"Adult","Geriatric"))</f>
        <v>Adult</v>
      </c>
    </row>
    <row r="437" spans="1:19" ht="15.75" customHeight="1" x14ac:dyDescent="0.3">
      <c r="A437" s="4" t="s">
        <v>941</v>
      </c>
      <c r="B437" s="5" t="str">
        <f>TEXT(Patient_Data!$E437,"mmmm")</f>
        <v>April</v>
      </c>
      <c r="C437" s="6" t="str">
        <f t="shared" si="2"/>
        <v>Apr</v>
      </c>
      <c r="D437" s="6">
        <f>MONTH(Patient_Data!$E437)</f>
        <v>4</v>
      </c>
      <c r="E437" s="7">
        <v>45407</v>
      </c>
      <c r="F437" s="55" t="str">
        <f>TEXT(Patient_Data[[#This Row],[Admission_Date]],"YYYY")</f>
        <v>2024</v>
      </c>
      <c r="G437" s="8" t="s">
        <v>942</v>
      </c>
      <c r="H437" s="8" t="s">
        <v>53</v>
      </c>
      <c r="I437" s="4" t="s">
        <v>35</v>
      </c>
      <c r="J437" s="4">
        <v>65</v>
      </c>
      <c r="K437" s="4" t="s">
        <v>45</v>
      </c>
      <c r="L437" s="8">
        <v>3</v>
      </c>
      <c r="M437" s="9" t="s">
        <v>50</v>
      </c>
      <c r="N437" s="9" t="str">
        <f t="shared" si="3"/>
        <v>ICU</v>
      </c>
      <c r="O437" s="10">
        <v>17912.53</v>
      </c>
      <c r="P437" s="10">
        <v>12122.2</v>
      </c>
      <c r="Q437" s="11">
        <v>15.1</v>
      </c>
      <c r="R437" s="13" t="str">
        <f>IF(Patient_Data!$L437&lt;2,"Low Risk",IF(Patient_Data!$L437&lt;4,"Moderate Risk","High Risk"))</f>
        <v>Moderate Risk</v>
      </c>
      <c r="S437" s="12" t="str">
        <f>IF(Patient_Data[[#This Row],[Age]]&lt;=18,"Pediatric",IF(Patient_Data[[#This Row],[Age]]&lt;=64,"Adult","Geriatric"))</f>
        <v>Geriatric</v>
      </c>
    </row>
    <row r="438" spans="1:19" ht="15.75" customHeight="1" x14ac:dyDescent="0.3">
      <c r="A438" s="4" t="s">
        <v>943</v>
      </c>
      <c r="B438" s="5" t="str">
        <f>TEXT(Patient_Data!$E438,"mmmm")</f>
        <v>July</v>
      </c>
      <c r="C438" s="6" t="str">
        <f t="shared" si="2"/>
        <v>Jul</v>
      </c>
      <c r="D438" s="6">
        <f>MONTH(Patient_Data!$E438)</f>
        <v>7</v>
      </c>
      <c r="E438" s="7">
        <v>45482</v>
      </c>
      <c r="F438" s="55" t="str">
        <f>TEXT(Patient_Data[[#This Row],[Admission_Date]],"YYYY")</f>
        <v>2024</v>
      </c>
      <c r="G438" s="8" t="s">
        <v>944</v>
      </c>
      <c r="H438" s="8" t="s">
        <v>34</v>
      </c>
      <c r="I438" s="4" t="s">
        <v>35</v>
      </c>
      <c r="J438" s="4">
        <v>53</v>
      </c>
      <c r="K438" s="4" t="s">
        <v>45</v>
      </c>
      <c r="L438" s="8">
        <v>3</v>
      </c>
      <c r="M438" s="9" t="s">
        <v>39</v>
      </c>
      <c r="N438" s="9" t="str">
        <f t="shared" si="3"/>
        <v>GM</v>
      </c>
      <c r="O438" s="10">
        <v>6084.01</v>
      </c>
      <c r="P438" s="10">
        <v>4317.21</v>
      </c>
      <c r="Q438" s="11">
        <v>7.3</v>
      </c>
      <c r="R438" s="13" t="str">
        <f>IF(Patient_Data!$L438&lt;2,"Low Risk",IF(Patient_Data!$L438&lt;4,"Moderate Risk","High Risk"))</f>
        <v>Moderate Risk</v>
      </c>
      <c r="S438" s="12" t="str">
        <f>IF(Patient_Data[[#This Row],[Age]]&lt;=18,"Pediatric",IF(Patient_Data[[#This Row],[Age]]&lt;=64,"Adult","Geriatric"))</f>
        <v>Adult</v>
      </c>
    </row>
    <row r="439" spans="1:19" ht="15.75" customHeight="1" x14ac:dyDescent="0.3">
      <c r="A439" s="4" t="s">
        <v>945</v>
      </c>
      <c r="B439" s="5" t="str">
        <f>TEXT(Patient_Data!$E439,"mmmm")</f>
        <v>April</v>
      </c>
      <c r="C439" s="6" t="str">
        <f t="shared" si="2"/>
        <v>Apr</v>
      </c>
      <c r="D439" s="6">
        <f>MONTH(Patient_Data!$E439)</f>
        <v>4</v>
      </c>
      <c r="E439" s="7">
        <v>45764</v>
      </c>
      <c r="F439" s="55" t="str">
        <f>TEXT(Patient_Data[[#This Row],[Admission_Date]],"YYYY")</f>
        <v>2025</v>
      </c>
      <c r="G439" s="8" t="s">
        <v>946</v>
      </c>
      <c r="H439" s="8" t="s">
        <v>28</v>
      </c>
      <c r="I439" s="4" t="s">
        <v>29</v>
      </c>
      <c r="J439" s="4">
        <v>95</v>
      </c>
      <c r="K439" s="4" t="s">
        <v>45</v>
      </c>
      <c r="L439" s="8">
        <v>3</v>
      </c>
      <c r="M439" s="9" t="s">
        <v>50</v>
      </c>
      <c r="N439" s="9" t="str">
        <f t="shared" si="3"/>
        <v>ICU</v>
      </c>
      <c r="O439" s="10">
        <v>9829.31</v>
      </c>
      <c r="P439" s="10">
        <v>7253.8</v>
      </c>
      <c r="Q439" s="11">
        <v>9.8000000000000007</v>
      </c>
      <c r="R439" s="13" t="str">
        <f>IF(Patient_Data!$L439&lt;2,"Low Risk",IF(Patient_Data!$L439&lt;4,"Moderate Risk","High Risk"))</f>
        <v>Moderate Risk</v>
      </c>
      <c r="S439" s="12" t="str">
        <f>IF(Patient_Data[[#This Row],[Age]]&lt;=18,"Pediatric",IF(Patient_Data[[#This Row],[Age]]&lt;=64,"Adult","Geriatric"))</f>
        <v>Geriatric</v>
      </c>
    </row>
    <row r="440" spans="1:19" ht="15.75" customHeight="1" x14ac:dyDescent="0.3">
      <c r="A440" s="4" t="s">
        <v>947</v>
      </c>
      <c r="B440" s="5" t="str">
        <f>TEXT(Patient_Data!$E440,"mmmm")</f>
        <v>July</v>
      </c>
      <c r="C440" s="6" t="str">
        <f t="shared" si="2"/>
        <v>Jul</v>
      </c>
      <c r="D440" s="6">
        <f>MONTH(Patient_Data!$E440)</f>
        <v>7</v>
      </c>
      <c r="E440" s="7">
        <v>46209</v>
      </c>
      <c r="F440" s="55" t="str">
        <f>TEXT(Patient_Data[[#This Row],[Admission_Date]],"YYYY")</f>
        <v>2026</v>
      </c>
      <c r="G440" s="8" t="s">
        <v>948</v>
      </c>
      <c r="H440" s="8" t="s">
        <v>82</v>
      </c>
      <c r="I440" s="4" t="s">
        <v>29</v>
      </c>
      <c r="J440" s="4">
        <v>83</v>
      </c>
      <c r="K440" s="4" t="s">
        <v>45</v>
      </c>
      <c r="L440" s="8">
        <v>1</v>
      </c>
      <c r="M440" s="9" t="s">
        <v>31</v>
      </c>
      <c r="N440" s="9" t="str">
        <f t="shared" si="3"/>
        <v>Neuro</v>
      </c>
      <c r="O440" s="10">
        <v>8817.11</v>
      </c>
      <c r="P440" s="10">
        <v>6763.4</v>
      </c>
      <c r="Q440" s="11">
        <v>7.8</v>
      </c>
      <c r="R440" s="13" t="str">
        <f>IF(Patient_Data!$L440&lt;2,"Low Risk",IF(Patient_Data!$L440&lt;4,"Moderate Risk","High Risk"))</f>
        <v>Low Risk</v>
      </c>
      <c r="S440" s="12" t="str">
        <f>IF(Patient_Data[[#This Row],[Age]]&lt;=18,"Pediatric",IF(Patient_Data[[#This Row],[Age]]&lt;=64,"Adult","Geriatric"))</f>
        <v>Geriatric</v>
      </c>
    </row>
    <row r="441" spans="1:19" ht="15.75" customHeight="1" x14ac:dyDescent="0.3">
      <c r="A441" s="4" t="s">
        <v>949</v>
      </c>
      <c r="B441" s="5" t="str">
        <f>TEXT(Patient_Data!$E441,"mmmm")</f>
        <v>March</v>
      </c>
      <c r="C441" s="6" t="str">
        <f t="shared" si="2"/>
        <v>Mar</v>
      </c>
      <c r="D441" s="6">
        <f>MONTH(Patient_Data!$E441)</f>
        <v>3</v>
      </c>
      <c r="E441" s="7">
        <v>45726</v>
      </c>
      <c r="F441" s="55" t="str">
        <f>TEXT(Patient_Data[[#This Row],[Admission_Date]],"YYYY")</f>
        <v>2025</v>
      </c>
      <c r="G441" s="8" t="s">
        <v>950</v>
      </c>
      <c r="H441" s="8" t="s">
        <v>98</v>
      </c>
      <c r="I441" s="4" t="s">
        <v>29</v>
      </c>
      <c r="J441" s="4">
        <v>53</v>
      </c>
      <c r="K441" s="4" t="s">
        <v>30</v>
      </c>
      <c r="L441" s="8">
        <v>1</v>
      </c>
      <c r="M441" s="9" t="s">
        <v>83</v>
      </c>
      <c r="N441" s="9" t="str">
        <f t="shared" si="3"/>
        <v>ER</v>
      </c>
      <c r="O441" s="10">
        <v>5162.55</v>
      </c>
      <c r="P441" s="10">
        <v>3160.68</v>
      </c>
      <c r="Q441" s="11">
        <v>20.8</v>
      </c>
      <c r="R441" s="13" t="str">
        <f>IF(Patient_Data!$L441&lt;2,"Low Risk",IF(Patient_Data!$L441&lt;4,"Moderate Risk","High Risk"))</f>
        <v>Low Risk</v>
      </c>
      <c r="S441" s="12" t="str">
        <f>IF(Patient_Data[[#This Row],[Age]]&lt;=18,"Pediatric",IF(Patient_Data[[#This Row],[Age]]&lt;=64,"Adult","Geriatric"))</f>
        <v>Adult</v>
      </c>
    </row>
    <row r="442" spans="1:19" ht="15.75" customHeight="1" x14ac:dyDescent="0.3">
      <c r="A442" s="4" t="s">
        <v>951</v>
      </c>
      <c r="B442" s="5" t="str">
        <f>TEXT(Patient_Data!$E442,"mmmm")</f>
        <v>December</v>
      </c>
      <c r="C442" s="6" t="str">
        <f t="shared" si="2"/>
        <v>Dec</v>
      </c>
      <c r="D442" s="6">
        <f>MONTH(Patient_Data!$E442)</f>
        <v>12</v>
      </c>
      <c r="E442" s="7">
        <v>46017</v>
      </c>
      <c r="F442" s="55" t="str">
        <f>TEXT(Patient_Data[[#This Row],[Admission_Date]],"YYYY")</f>
        <v>2025</v>
      </c>
      <c r="G442" s="8" t="s">
        <v>952</v>
      </c>
      <c r="H442" s="8" t="s">
        <v>49</v>
      </c>
      <c r="I442" s="4" t="s">
        <v>35</v>
      </c>
      <c r="J442" s="4">
        <v>86</v>
      </c>
      <c r="K442" s="4" t="s">
        <v>30</v>
      </c>
      <c r="L442" s="8">
        <v>3</v>
      </c>
      <c r="M442" s="9" t="s">
        <v>46</v>
      </c>
      <c r="N442" s="9" t="str">
        <f t="shared" si="3"/>
        <v>Ortho</v>
      </c>
      <c r="O442" s="10">
        <v>7063.31</v>
      </c>
      <c r="P442" s="10">
        <v>4393.42</v>
      </c>
      <c r="Q442" s="11">
        <v>10.6</v>
      </c>
      <c r="R442" s="13" t="str">
        <f>IF(Patient_Data!$L442&lt;2,"Low Risk",IF(Patient_Data!$L442&lt;4,"Moderate Risk","High Risk"))</f>
        <v>Moderate Risk</v>
      </c>
      <c r="S442" s="12" t="str">
        <f>IF(Patient_Data[[#This Row],[Age]]&lt;=18,"Pediatric",IF(Patient_Data[[#This Row],[Age]]&lt;=64,"Adult","Geriatric"))</f>
        <v>Geriatric</v>
      </c>
    </row>
    <row r="443" spans="1:19" ht="15.75" customHeight="1" x14ac:dyDescent="0.3">
      <c r="A443" s="4" t="s">
        <v>953</v>
      </c>
      <c r="B443" s="5" t="str">
        <f>TEXT(Patient_Data!$E443,"mmmm")</f>
        <v>May</v>
      </c>
      <c r="C443" s="6" t="str">
        <f t="shared" si="2"/>
        <v>May</v>
      </c>
      <c r="D443" s="6">
        <f>MONTH(Patient_Data!$E443)</f>
        <v>5</v>
      </c>
      <c r="E443" s="7">
        <v>46155</v>
      </c>
      <c r="F443" s="55" t="str">
        <f>TEXT(Patient_Data[[#This Row],[Admission_Date]],"YYYY")</f>
        <v>2026</v>
      </c>
      <c r="G443" s="8" t="s">
        <v>954</v>
      </c>
      <c r="H443" s="8" t="s">
        <v>132</v>
      </c>
      <c r="I443" s="4" t="s">
        <v>35</v>
      </c>
      <c r="J443" s="4">
        <v>74</v>
      </c>
      <c r="K443" s="4" t="s">
        <v>30</v>
      </c>
      <c r="L443" s="8">
        <v>1</v>
      </c>
      <c r="M443" s="9" t="s">
        <v>83</v>
      </c>
      <c r="N443" s="9" t="str">
        <f t="shared" si="3"/>
        <v>ER</v>
      </c>
      <c r="O443" s="10">
        <v>3203.61</v>
      </c>
      <c r="P443" s="10">
        <v>2197.5100000000002</v>
      </c>
      <c r="Q443" s="11">
        <v>18.399999999999999</v>
      </c>
      <c r="R443" s="13" t="str">
        <f>IF(Patient_Data!$L443&lt;2,"Low Risk",IF(Patient_Data!$L443&lt;4,"Moderate Risk","High Risk"))</f>
        <v>Low Risk</v>
      </c>
      <c r="S443" s="12" t="str">
        <f>IF(Patient_Data[[#This Row],[Age]]&lt;=18,"Pediatric",IF(Patient_Data[[#This Row],[Age]]&lt;=64,"Adult","Geriatric"))</f>
        <v>Geriatric</v>
      </c>
    </row>
    <row r="444" spans="1:19" ht="15.75" customHeight="1" x14ac:dyDescent="0.3">
      <c r="A444" s="4" t="s">
        <v>955</v>
      </c>
      <c r="B444" s="5" t="str">
        <f>TEXT(Patient_Data!$E444,"mmmm")</f>
        <v>April</v>
      </c>
      <c r="C444" s="6" t="str">
        <f t="shared" si="2"/>
        <v>Apr</v>
      </c>
      <c r="D444" s="6">
        <f>MONTH(Patient_Data!$E444)</f>
        <v>4</v>
      </c>
      <c r="E444" s="7">
        <v>46134</v>
      </c>
      <c r="F444" s="55" t="str">
        <f>TEXT(Patient_Data[[#This Row],[Admission_Date]],"YYYY")</f>
        <v>2026</v>
      </c>
      <c r="G444" s="8" t="s">
        <v>956</v>
      </c>
      <c r="H444" s="8" t="s">
        <v>28</v>
      </c>
      <c r="I444" s="4" t="s">
        <v>29</v>
      </c>
      <c r="J444" s="4">
        <v>85</v>
      </c>
      <c r="K444" s="4" t="s">
        <v>45</v>
      </c>
      <c r="L444" s="8">
        <v>4</v>
      </c>
      <c r="M444" s="9" t="s">
        <v>83</v>
      </c>
      <c r="N444" s="9" t="str">
        <f t="shared" si="3"/>
        <v>ER</v>
      </c>
      <c r="O444" s="10">
        <v>5233.8999999999996</v>
      </c>
      <c r="P444" s="10">
        <v>3604.31</v>
      </c>
      <c r="Q444" s="11">
        <v>12.2</v>
      </c>
      <c r="R444" s="13" t="str">
        <f>IF(Patient_Data!$L444&lt;2,"Low Risk",IF(Patient_Data!$L444&lt;4,"Moderate Risk","High Risk"))</f>
        <v>High Risk</v>
      </c>
      <c r="S444" s="12" t="str">
        <f>IF(Patient_Data[[#This Row],[Age]]&lt;=18,"Pediatric",IF(Patient_Data[[#This Row],[Age]]&lt;=64,"Adult","Geriatric"))</f>
        <v>Geriatric</v>
      </c>
    </row>
    <row r="445" spans="1:19" ht="15.75" customHeight="1" x14ac:dyDescent="0.3">
      <c r="A445" s="4" t="s">
        <v>957</v>
      </c>
      <c r="B445" s="5" t="str">
        <f>TEXT(Patient_Data!$E445,"mmmm")</f>
        <v>January</v>
      </c>
      <c r="C445" s="6" t="str">
        <f t="shared" si="2"/>
        <v>Jan</v>
      </c>
      <c r="D445" s="6">
        <f>MONTH(Patient_Data!$E445)</f>
        <v>1</v>
      </c>
      <c r="E445" s="7">
        <v>45666</v>
      </c>
      <c r="F445" s="55" t="str">
        <f>TEXT(Patient_Data[[#This Row],[Admission_Date]],"YYYY")</f>
        <v>2025</v>
      </c>
      <c r="G445" s="8" t="s">
        <v>958</v>
      </c>
      <c r="H445" s="8" t="s">
        <v>82</v>
      </c>
      <c r="I445" s="4" t="s">
        <v>35</v>
      </c>
      <c r="J445" s="4">
        <v>58</v>
      </c>
      <c r="K445" s="4" t="s">
        <v>30</v>
      </c>
      <c r="L445" s="8">
        <v>1</v>
      </c>
      <c r="M445" s="9" t="s">
        <v>39</v>
      </c>
      <c r="N445" s="9" t="str">
        <f t="shared" si="3"/>
        <v>GM</v>
      </c>
      <c r="O445" s="10">
        <v>2601.63</v>
      </c>
      <c r="P445" s="10">
        <v>1869.94</v>
      </c>
      <c r="Q445" s="11">
        <v>6.1</v>
      </c>
      <c r="R445" s="13" t="str">
        <f>IF(Patient_Data!$L445&lt;2,"Low Risk",IF(Patient_Data!$L445&lt;4,"Moderate Risk","High Risk"))</f>
        <v>Low Risk</v>
      </c>
      <c r="S445" s="12" t="str">
        <f>IF(Patient_Data[[#This Row],[Age]]&lt;=18,"Pediatric",IF(Patient_Data[[#This Row],[Age]]&lt;=64,"Adult","Geriatric"))</f>
        <v>Adult</v>
      </c>
    </row>
    <row r="446" spans="1:19" ht="15.75" customHeight="1" x14ac:dyDescent="0.3">
      <c r="A446" s="4" t="s">
        <v>959</v>
      </c>
      <c r="B446" s="5" t="str">
        <f>TEXT(Patient_Data!$E446,"mmmm")</f>
        <v>October</v>
      </c>
      <c r="C446" s="6" t="str">
        <f t="shared" si="2"/>
        <v>Oct</v>
      </c>
      <c r="D446" s="6">
        <f>MONTH(Patient_Data!$E446)</f>
        <v>10</v>
      </c>
      <c r="E446" s="7">
        <v>45952</v>
      </c>
      <c r="F446" s="55" t="str">
        <f>TEXT(Patient_Data[[#This Row],[Admission_Date]],"YYYY")</f>
        <v>2025</v>
      </c>
      <c r="G446" s="8" t="s">
        <v>960</v>
      </c>
      <c r="H446" s="8" t="s">
        <v>82</v>
      </c>
      <c r="I446" s="4" t="s">
        <v>29</v>
      </c>
      <c r="J446" s="4">
        <v>74</v>
      </c>
      <c r="K446" s="4" t="s">
        <v>45</v>
      </c>
      <c r="L446" s="8">
        <v>5</v>
      </c>
      <c r="M446" s="9" t="s">
        <v>50</v>
      </c>
      <c r="N446" s="9" t="str">
        <f t="shared" si="3"/>
        <v>ICU</v>
      </c>
      <c r="O446" s="10">
        <v>18585.599999999999</v>
      </c>
      <c r="P446" s="10">
        <v>13633.09</v>
      </c>
      <c r="Q446" s="11">
        <v>8.1999999999999993</v>
      </c>
      <c r="R446" s="13" t="str">
        <f>IF(Patient_Data!$L446&lt;2,"Low Risk",IF(Patient_Data!$L446&lt;4,"Moderate Risk","High Risk"))</f>
        <v>High Risk</v>
      </c>
      <c r="S446" s="12" t="str">
        <f>IF(Patient_Data[[#This Row],[Age]]&lt;=18,"Pediatric",IF(Patient_Data[[#This Row],[Age]]&lt;=64,"Adult","Geriatric"))</f>
        <v>Geriatric</v>
      </c>
    </row>
    <row r="447" spans="1:19" ht="15.75" customHeight="1" x14ac:dyDescent="0.3">
      <c r="A447" s="4" t="s">
        <v>961</v>
      </c>
      <c r="B447" s="5" t="str">
        <f>TEXT(Patient_Data!$E447,"mmmm")</f>
        <v>June</v>
      </c>
      <c r="C447" s="6" t="str">
        <f t="shared" si="2"/>
        <v>Jun</v>
      </c>
      <c r="D447" s="6">
        <f>MONTH(Patient_Data!$E447)</f>
        <v>6</v>
      </c>
      <c r="E447" s="7">
        <v>45446</v>
      </c>
      <c r="F447" s="55" t="str">
        <f>TEXT(Patient_Data[[#This Row],[Admission_Date]],"YYYY")</f>
        <v>2024</v>
      </c>
      <c r="G447" s="8" t="s">
        <v>962</v>
      </c>
      <c r="H447" s="8" t="s">
        <v>42</v>
      </c>
      <c r="I447" s="4" t="s">
        <v>29</v>
      </c>
      <c r="J447" s="4">
        <v>56</v>
      </c>
      <c r="K447" s="4" t="s">
        <v>54</v>
      </c>
      <c r="L447" s="8">
        <v>4</v>
      </c>
      <c r="M447" s="9" t="s">
        <v>72</v>
      </c>
      <c r="N447" s="9" t="str">
        <f t="shared" si="3"/>
        <v>Surgery</v>
      </c>
      <c r="O447" s="10">
        <v>11809.78</v>
      </c>
      <c r="P447" s="10">
        <v>9045.83</v>
      </c>
      <c r="Q447" s="11">
        <v>8.8000000000000007</v>
      </c>
      <c r="R447" s="13" t="str">
        <f>IF(Patient_Data!$L447&lt;2,"Low Risk",IF(Patient_Data!$L447&lt;4,"Moderate Risk","High Risk"))</f>
        <v>High Risk</v>
      </c>
      <c r="S447" s="12" t="str">
        <f>IF(Patient_Data[[#This Row],[Age]]&lt;=18,"Pediatric",IF(Patient_Data[[#This Row],[Age]]&lt;=64,"Adult","Geriatric"))</f>
        <v>Adult</v>
      </c>
    </row>
    <row r="448" spans="1:19" ht="15.75" customHeight="1" x14ac:dyDescent="0.3">
      <c r="A448" s="4" t="s">
        <v>963</v>
      </c>
      <c r="B448" s="5" t="str">
        <f>TEXT(Patient_Data!$E448,"mmmm")</f>
        <v>January</v>
      </c>
      <c r="C448" s="6" t="str">
        <f t="shared" si="2"/>
        <v>Jan</v>
      </c>
      <c r="D448" s="6">
        <f>MONTH(Patient_Data!$E448)</f>
        <v>1</v>
      </c>
      <c r="E448" s="7">
        <v>45309</v>
      </c>
      <c r="F448" s="55" t="str">
        <f>TEXT(Patient_Data[[#This Row],[Admission_Date]],"YYYY")</f>
        <v>2024</v>
      </c>
      <c r="G448" s="8" t="s">
        <v>964</v>
      </c>
      <c r="H448" s="8" t="s">
        <v>49</v>
      </c>
      <c r="I448" s="4" t="s">
        <v>35</v>
      </c>
      <c r="J448" s="4">
        <v>15</v>
      </c>
      <c r="K448" s="4" t="s">
        <v>54</v>
      </c>
      <c r="L448" s="8">
        <v>3</v>
      </c>
      <c r="M448" s="9" t="s">
        <v>79</v>
      </c>
      <c r="N448" s="9" t="str">
        <f t="shared" si="3"/>
        <v>PD</v>
      </c>
      <c r="O448" s="10">
        <v>2956.97</v>
      </c>
      <c r="P448" s="10">
        <v>1732.64</v>
      </c>
      <c r="Q448" s="11">
        <v>2.2000000000000002</v>
      </c>
      <c r="R448" s="13" t="str">
        <f>IF(Patient_Data!$L448&lt;2,"Low Risk",IF(Patient_Data!$L448&lt;4,"Moderate Risk","High Risk"))</f>
        <v>Moderate Risk</v>
      </c>
      <c r="S448" s="12" t="str">
        <f>IF(Patient_Data[[#This Row],[Age]]&lt;=18,"Pediatric",IF(Patient_Data[[#This Row],[Age]]&lt;=64,"Adult","Geriatric"))</f>
        <v>Pediatric</v>
      </c>
    </row>
    <row r="449" spans="1:19" ht="15.75" customHeight="1" x14ac:dyDescent="0.3">
      <c r="A449" s="4" t="s">
        <v>965</v>
      </c>
      <c r="B449" s="5" t="str">
        <f>TEXT(Patient_Data!$E449,"mmmm")</f>
        <v>December</v>
      </c>
      <c r="C449" s="6" t="str">
        <f t="shared" si="2"/>
        <v>Dec</v>
      </c>
      <c r="D449" s="6">
        <f>MONTH(Patient_Data!$E449)</f>
        <v>12</v>
      </c>
      <c r="E449" s="7">
        <v>46016</v>
      </c>
      <c r="F449" s="55" t="str">
        <f>TEXT(Patient_Data[[#This Row],[Admission_Date]],"YYYY")</f>
        <v>2025</v>
      </c>
      <c r="G449" s="8" t="s">
        <v>966</v>
      </c>
      <c r="H449" s="8" t="s">
        <v>49</v>
      </c>
      <c r="I449" s="4" t="s">
        <v>35</v>
      </c>
      <c r="J449" s="4">
        <v>47</v>
      </c>
      <c r="K449" s="4" t="s">
        <v>30</v>
      </c>
      <c r="L449" s="8">
        <v>1</v>
      </c>
      <c r="M449" s="9" t="s">
        <v>46</v>
      </c>
      <c r="N449" s="9" t="str">
        <f t="shared" si="3"/>
        <v>Ortho</v>
      </c>
      <c r="O449" s="10">
        <v>5407.78</v>
      </c>
      <c r="P449" s="10">
        <v>3317.95</v>
      </c>
      <c r="Q449" s="11">
        <v>2.4</v>
      </c>
      <c r="R449" s="13" t="str">
        <f>IF(Patient_Data!$L449&lt;2,"Low Risk",IF(Patient_Data!$L449&lt;4,"Moderate Risk","High Risk"))</f>
        <v>Low Risk</v>
      </c>
      <c r="S449" s="12" t="str">
        <f>IF(Patient_Data[[#This Row],[Age]]&lt;=18,"Pediatric",IF(Patient_Data[[#This Row],[Age]]&lt;=64,"Adult","Geriatric"))</f>
        <v>Adult</v>
      </c>
    </row>
    <row r="450" spans="1:19" ht="15.75" customHeight="1" x14ac:dyDescent="0.3">
      <c r="A450" s="4" t="s">
        <v>967</v>
      </c>
      <c r="B450" s="5" t="str">
        <f>TEXT(Patient_Data!$E450,"mmmm")</f>
        <v>July</v>
      </c>
      <c r="C450" s="6" t="str">
        <f t="shared" si="2"/>
        <v>Jul</v>
      </c>
      <c r="D450" s="6">
        <f>MONTH(Patient_Data!$E450)</f>
        <v>7</v>
      </c>
      <c r="E450" s="7">
        <v>45863</v>
      </c>
      <c r="F450" s="55" t="str">
        <f>TEXT(Patient_Data[[#This Row],[Admission_Date]],"YYYY")</f>
        <v>2025</v>
      </c>
      <c r="G450" s="8" t="s">
        <v>968</v>
      </c>
      <c r="H450" s="8" t="s">
        <v>42</v>
      </c>
      <c r="I450" s="4" t="s">
        <v>35</v>
      </c>
      <c r="J450" s="4">
        <v>46</v>
      </c>
      <c r="K450" s="4" t="s">
        <v>30</v>
      </c>
      <c r="L450" s="8">
        <v>1</v>
      </c>
      <c r="M450" s="9" t="s">
        <v>31</v>
      </c>
      <c r="N450" s="9" t="str">
        <f t="shared" si="3"/>
        <v>Neuro</v>
      </c>
      <c r="O450" s="10">
        <v>5342.38</v>
      </c>
      <c r="P450" s="10">
        <v>3440.72</v>
      </c>
      <c r="Q450" s="11">
        <v>2.7</v>
      </c>
      <c r="R450" s="13" t="str">
        <f>IF(Patient_Data!$L450&lt;2,"Low Risk",IF(Patient_Data!$L450&lt;4,"Moderate Risk","High Risk"))</f>
        <v>Low Risk</v>
      </c>
      <c r="S450" s="12" t="str">
        <f>IF(Patient_Data[[#This Row],[Age]]&lt;=18,"Pediatric",IF(Patient_Data[[#This Row],[Age]]&lt;=64,"Adult","Geriatric"))</f>
        <v>Adult</v>
      </c>
    </row>
    <row r="451" spans="1:19" ht="15.75" customHeight="1" x14ac:dyDescent="0.3">
      <c r="A451" s="4" t="s">
        <v>969</v>
      </c>
      <c r="B451" s="5" t="str">
        <f>TEXT(Patient_Data!$E451,"mmmm")</f>
        <v>July</v>
      </c>
      <c r="C451" s="6" t="str">
        <f t="shared" si="2"/>
        <v>Jul</v>
      </c>
      <c r="D451" s="6">
        <f>MONTH(Patient_Data!$E451)</f>
        <v>7</v>
      </c>
      <c r="E451" s="7">
        <v>46206</v>
      </c>
      <c r="F451" s="55" t="str">
        <f>TEXT(Patient_Data[[#This Row],[Admission_Date]],"YYYY")</f>
        <v>2026</v>
      </c>
      <c r="G451" s="8" t="s">
        <v>970</v>
      </c>
      <c r="H451" s="8" t="s">
        <v>28</v>
      </c>
      <c r="I451" s="4" t="s">
        <v>29</v>
      </c>
      <c r="J451" s="4">
        <v>35</v>
      </c>
      <c r="K451" s="4" t="s">
        <v>45</v>
      </c>
      <c r="L451" s="8">
        <v>1</v>
      </c>
      <c r="M451" s="9" t="s">
        <v>39</v>
      </c>
      <c r="N451" s="9" t="str">
        <f t="shared" si="3"/>
        <v>GM</v>
      </c>
      <c r="O451" s="10">
        <v>1508.56</v>
      </c>
      <c r="P451" s="10">
        <v>1049.94</v>
      </c>
      <c r="Q451" s="11">
        <v>4.9000000000000004</v>
      </c>
      <c r="R451" s="13" t="str">
        <f>IF(Patient_Data!$L451&lt;2,"Low Risk",IF(Patient_Data!$L451&lt;4,"Moderate Risk","High Risk"))</f>
        <v>Low Risk</v>
      </c>
      <c r="S451" s="12" t="str">
        <f>IF(Patient_Data[[#This Row],[Age]]&lt;=18,"Pediatric",IF(Patient_Data[[#This Row],[Age]]&lt;=64,"Adult","Geriatric"))</f>
        <v>Adult</v>
      </c>
    </row>
    <row r="452" spans="1:19" ht="15.75" customHeight="1" x14ac:dyDescent="0.3">
      <c r="A452" s="4" t="s">
        <v>971</v>
      </c>
      <c r="B452" s="5" t="str">
        <f>TEXT(Patient_Data!$E452,"mmmm")</f>
        <v>February</v>
      </c>
      <c r="C452" s="6" t="str">
        <f t="shared" si="2"/>
        <v>Feb</v>
      </c>
      <c r="D452" s="6">
        <f>MONTH(Patient_Data!$E452)</f>
        <v>2</v>
      </c>
      <c r="E452" s="7">
        <v>45714</v>
      </c>
      <c r="F452" s="55" t="str">
        <f>TEXT(Patient_Data[[#This Row],[Admission_Date]],"YYYY")</f>
        <v>2025</v>
      </c>
      <c r="G452" s="8" t="s">
        <v>972</v>
      </c>
      <c r="H452" s="8" t="s">
        <v>82</v>
      </c>
      <c r="I452" s="4" t="s">
        <v>29</v>
      </c>
      <c r="J452" s="4">
        <v>43</v>
      </c>
      <c r="K452" s="4" t="s">
        <v>30</v>
      </c>
      <c r="L452" s="8">
        <v>1</v>
      </c>
      <c r="M452" s="9" t="s">
        <v>83</v>
      </c>
      <c r="N452" s="9" t="str">
        <f t="shared" si="3"/>
        <v>ER</v>
      </c>
      <c r="O452" s="10">
        <v>7737.18</v>
      </c>
      <c r="P452" s="10">
        <v>5593.63</v>
      </c>
      <c r="Q452" s="11">
        <v>22.2</v>
      </c>
      <c r="R452" s="13" t="str">
        <f>IF(Patient_Data!$L452&lt;2,"Low Risk",IF(Patient_Data!$L452&lt;4,"Moderate Risk","High Risk"))</f>
        <v>Low Risk</v>
      </c>
      <c r="S452" s="12" t="str">
        <f>IF(Patient_Data[[#This Row],[Age]]&lt;=18,"Pediatric",IF(Patient_Data[[#This Row],[Age]]&lt;=64,"Adult","Geriatric"))</f>
        <v>Adult</v>
      </c>
    </row>
    <row r="453" spans="1:19" ht="15.75" customHeight="1" x14ac:dyDescent="0.3">
      <c r="A453" s="4" t="s">
        <v>973</v>
      </c>
      <c r="B453" s="5" t="str">
        <f>TEXT(Patient_Data!$E453,"mmmm")</f>
        <v>May</v>
      </c>
      <c r="C453" s="6" t="str">
        <f t="shared" si="2"/>
        <v>May</v>
      </c>
      <c r="D453" s="6">
        <f>MONTH(Patient_Data!$E453)</f>
        <v>5</v>
      </c>
      <c r="E453" s="7">
        <v>45778</v>
      </c>
      <c r="F453" s="55" t="str">
        <f>TEXT(Patient_Data[[#This Row],[Admission_Date]],"YYYY")</f>
        <v>2025</v>
      </c>
      <c r="G453" s="8" t="s">
        <v>974</v>
      </c>
      <c r="H453" s="8" t="s">
        <v>132</v>
      </c>
      <c r="I453" s="4" t="s">
        <v>29</v>
      </c>
      <c r="J453" s="4">
        <v>73</v>
      </c>
      <c r="K453" s="4" t="s">
        <v>54</v>
      </c>
      <c r="L453" s="8">
        <v>4</v>
      </c>
      <c r="M453" s="9" t="s">
        <v>50</v>
      </c>
      <c r="N453" s="9" t="str">
        <f t="shared" si="3"/>
        <v>ICU</v>
      </c>
      <c r="O453" s="10">
        <v>10552.45</v>
      </c>
      <c r="P453" s="10">
        <v>7807.29</v>
      </c>
      <c r="Q453" s="11">
        <v>13</v>
      </c>
      <c r="R453" s="13" t="str">
        <f>IF(Patient_Data!$L453&lt;2,"Low Risk",IF(Patient_Data!$L453&lt;4,"Moderate Risk","High Risk"))</f>
        <v>High Risk</v>
      </c>
      <c r="S453" s="12" t="str">
        <f>IF(Patient_Data[[#This Row],[Age]]&lt;=18,"Pediatric",IF(Patient_Data[[#This Row],[Age]]&lt;=64,"Adult","Geriatric"))</f>
        <v>Geriatric</v>
      </c>
    </row>
    <row r="454" spans="1:19" ht="15.75" customHeight="1" x14ac:dyDescent="0.3">
      <c r="A454" s="4" t="s">
        <v>975</v>
      </c>
      <c r="B454" s="5" t="str">
        <f>TEXT(Patient_Data!$E454,"mmmm")</f>
        <v>May</v>
      </c>
      <c r="C454" s="6" t="str">
        <f t="shared" si="2"/>
        <v>May</v>
      </c>
      <c r="D454" s="6">
        <f>MONTH(Patient_Data!$E454)</f>
        <v>5</v>
      </c>
      <c r="E454" s="7">
        <v>46169</v>
      </c>
      <c r="F454" s="55" t="str">
        <f>TEXT(Patient_Data[[#This Row],[Admission_Date]],"YYYY")</f>
        <v>2026</v>
      </c>
      <c r="G454" s="8" t="s">
        <v>976</v>
      </c>
      <c r="H454" s="8" t="s">
        <v>53</v>
      </c>
      <c r="I454" s="4" t="s">
        <v>35</v>
      </c>
      <c r="J454" s="4">
        <v>1</v>
      </c>
      <c r="K454" s="4" t="s">
        <v>30</v>
      </c>
      <c r="L454" s="8">
        <v>2</v>
      </c>
      <c r="M454" s="9" t="s">
        <v>79</v>
      </c>
      <c r="N454" s="9" t="str">
        <f t="shared" si="3"/>
        <v>PD</v>
      </c>
      <c r="O454" s="10">
        <v>1130.2</v>
      </c>
      <c r="P454" s="10">
        <v>886.15</v>
      </c>
      <c r="Q454" s="11">
        <v>3.4</v>
      </c>
      <c r="R454" s="13" t="str">
        <f>IF(Patient_Data!$L454&lt;2,"Low Risk",IF(Patient_Data!$L454&lt;4,"Moderate Risk","High Risk"))</f>
        <v>Moderate Risk</v>
      </c>
      <c r="S454" s="12" t="str">
        <f>IF(Patient_Data[[#This Row],[Age]]&lt;=18,"Pediatric",IF(Patient_Data[[#This Row],[Age]]&lt;=64,"Adult","Geriatric"))</f>
        <v>Pediatric</v>
      </c>
    </row>
    <row r="455" spans="1:19" ht="15.75" customHeight="1" x14ac:dyDescent="0.3">
      <c r="A455" s="4" t="s">
        <v>977</v>
      </c>
      <c r="B455" s="5" t="str">
        <f>TEXT(Patient_Data!$E455,"mmmm")</f>
        <v>June</v>
      </c>
      <c r="C455" s="6" t="str">
        <f t="shared" si="2"/>
        <v>Jun</v>
      </c>
      <c r="D455" s="6">
        <f>MONTH(Patient_Data!$E455)</f>
        <v>6</v>
      </c>
      <c r="E455" s="7">
        <v>45471</v>
      </c>
      <c r="F455" s="55" t="str">
        <f>TEXT(Patient_Data[[#This Row],[Admission_Date]],"YYYY")</f>
        <v>2024</v>
      </c>
      <c r="G455" s="8" t="s">
        <v>978</v>
      </c>
      <c r="H455" s="8" t="s">
        <v>34</v>
      </c>
      <c r="I455" s="4" t="s">
        <v>35</v>
      </c>
      <c r="J455" s="4">
        <v>32</v>
      </c>
      <c r="K455" s="4" t="s">
        <v>45</v>
      </c>
      <c r="L455" s="8">
        <v>4</v>
      </c>
      <c r="M455" s="9" t="s">
        <v>31</v>
      </c>
      <c r="N455" s="9" t="str">
        <f t="shared" si="3"/>
        <v>Neuro</v>
      </c>
      <c r="O455" s="10">
        <v>13937.86</v>
      </c>
      <c r="P455" s="10">
        <v>8131.16</v>
      </c>
      <c r="Q455" s="11">
        <v>5.9</v>
      </c>
      <c r="R455" s="13" t="str">
        <f>IF(Patient_Data!$L455&lt;2,"Low Risk",IF(Patient_Data!$L455&lt;4,"Moderate Risk","High Risk"))</f>
        <v>High Risk</v>
      </c>
      <c r="S455" s="12" t="str">
        <f>IF(Patient_Data[[#This Row],[Age]]&lt;=18,"Pediatric",IF(Patient_Data[[#This Row],[Age]]&lt;=64,"Adult","Geriatric"))</f>
        <v>Adult</v>
      </c>
    </row>
    <row r="456" spans="1:19" ht="15.75" customHeight="1" x14ac:dyDescent="0.3">
      <c r="A456" s="4" t="s">
        <v>979</v>
      </c>
      <c r="B456" s="5" t="str">
        <f>TEXT(Patient_Data!$E456,"mmmm")</f>
        <v>August</v>
      </c>
      <c r="C456" s="6" t="str">
        <f t="shared" si="2"/>
        <v>Aug</v>
      </c>
      <c r="D456" s="6">
        <f>MONTH(Patient_Data!$E456)</f>
        <v>8</v>
      </c>
      <c r="E456" s="7">
        <v>45873</v>
      </c>
      <c r="F456" s="55" t="str">
        <f>TEXT(Patient_Data[[#This Row],[Admission_Date]],"YYYY")</f>
        <v>2025</v>
      </c>
      <c r="G456" s="8" t="s">
        <v>980</v>
      </c>
      <c r="H456" s="8" t="s">
        <v>98</v>
      </c>
      <c r="I456" s="4" t="s">
        <v>35</v>
      </c>
      <c r="J456" s="4">
        <v>85</v>
      </c>
      <c r="K456" s="4" t="s">
        <v>54</v>
      </c>
      <c r="L456" s="8">
        <v>4</v>
      </c>
      <c r="M456" s="9" t="s">
        <v>50</v>
      </c>
      <c r="N456" s="9" t="str">
        <f t="shared" si="3"/>
        <v>ICU</v>
      </c>
      <c r="O456" s="10">
        <v>22397.279999999999</v>
      </c>
      <c r="P456" s="10">
        <v>13789.54</v>
      </c>
      <c r="Q456" s="11">
        <v>15.9</v>
      </c>
      <c r="R456" s="13" t="str">
        <f>IF(Patient_Data!$L456&lt;2,"Low Risk",IF(Patient_Data!$L456&lt;4,"Moderate Risk","High Risk"))</f>
        <v>High Risk</v>
      </c>
      <c r="S456" s="12" t="str">
        <f>IF(Patient_Data[[#This Row],[Age]]&lt;=18,"Pediatric",IF(Patient_Data[[#This Row],[Age]]&lt;=64,"Adult","Geriatric"))</f>
        <v>Geriatric</v>
      </c>
    </row>
    <row r="457" spans="1:19" ht="15.75" customHeight="1" x14ac:dyDescent="0.3">
      <c r="A457" s="4" t="s">
        <v>981</v>
      </c>
      <c r="B457" s="5" t="str">
        <f>TEXT(Patient_Data!$E457,"mmmm")</f>
        <v>July</v>
      </c>
      <c r="C457" s="6" t="str">
        <f t="shared" si="2"/>
        <v>Jul</v>
      </c>
      <c r="D457" s="6">
        <f>MONTH(Patient_Data!$E457)</f>
        <v>7</v>
      </c>
      <c r="E457" s="7">
        <v>45847</v>
      </c>
      <c r="F457" s="55" t="str">
        <f>TEXT(Patient_Data[[#This Row],[Admission_Date]],"YYYY")</f>
        <v>2025</v>
      </c>
      <c r="G457" s="8" t="s">
        <v>555</v>
      </c>
      <c r="H457" s="8" t="s">
        <v>75</v>
      </c>
      <c r="I457" s="4" t="s">
        <v>29</v>
      </c>
      <c r="J457" s="4">
        <v>81</v>
      </c>
      <c r="K457" s="4" t="s">
        <v>45</v>
      </c>
      <c r="L457" s="8">
        <v>5</v>
      </c>
      <c r="M457" s="9" t="s">
        <v>46</v>
      </c>
      <c r="N457" s="9" t="str">
        <f t="shared" si="3"/>
        <v>Ortho</v>
      </c>
      <c r="O457" s="10">
        <v>13083.68</v>
      </c>
      <c r="P457" s="10">
        <v>8403.16</v>
      </c>
      <c r="Q457" s="11">
        <v>3.7</v>
      </c>
      <c r="R457" s="13" t="str">
        <f>IF(Patient_Data!$L457&lt;2,"Low Risk",IF(Patient_Data!$L457&lt;4,"Moderate Risk","High Risk"))</f>
        <v>High Risk</v>
      </c>
      <c r="S457" s="12" t="str">
        <f>IF(Patient_Data[[#This Row],[Age]]&lt;=18,"Pediatric",IF(Patient_Data[[#This Row],[Age]]&lt;=64,"Adult","Geriatric"))</f>
        <v>Geriatric</v>
      </c>
    </row>
    <row r="458" spans="1:19" ht="15.75" customHeight="1" x14ac:dyDescent="0.3">
      <c r="A458" s="4" t="s">
        <v>982</v>
      </c>
      <c r="B458" s="5" t="str">
        <f>TEXT(Patient_Data!$E458,"mmmm")</f>
        <v>October</v>
      </c>
      <c r="C458" s="6" t="str">
        <f t="shared" si="2"/>
        <v>Oct</v>
      </c>
      <c r="D458" s="6">
        <f>MONTH(Patient_Data!$E458)</f>
        <v>10</v>
      </c>
      <c r="E458" s="7">
        <v>45939</v>
      </c>
      <c r="F458" s="55" t="str">
        <f>TEXT(Patient_Data[[#This Row],[Admission_Date]],"YYYY")</f>
        <v>2025</v>
      </c>
      <c r="G458" s="8" t="s">
        <v>983</v>
      </c>
      <c r="H458" s="8" t="s">
        <v>28</v>
      </c>
      <c r="I458" s="4" t="s">
        <v>35</v>
      </c>
      <c r="J458" s="4">
        <v>64</v>
      </c>
      <c r="K458" s="4" t="s">
        <v>30</v>
      </c>
      <c r="L458" s="8">
        <v>3</v>
      </c>
      <c r="M458" s="9" t="s">
        <v>46</v>
      </c>
      <c r="N458" s="9" t="str">
        <f t="shared" si="3"/>
        <v>Ortho</v>
      </c>
      <c r="O458" s="10">
        <v>7045.93</v>
      </c>
      <c r="P458" s="10">
        <v>4796.7700000000004</v>
      </c>
      <c r="Q458" s="11">
        <v>9.5</v>
      </c>
      <c r="R458" s="13" t="str">
        <f>IF(Patient_Data!$L458&lt;2,"Low Risk",IF(Patient_Data!$L458&lt;4,"Moderate Risk","High Risk"))</f>
        <v>Moderate Risk</v>
      </c>
      <c r="S458" s="12" t="str">
        <f>IF(Patient_Data[[#This Row],[Age]]&lt;=18,"Pediatric",IF(Patient_Data[[#This Row],[Age]]&lt;=64,"Adult","Geriatric"))</f>
        <v>Adult</v>
      </c>
    </row>
    <row r="459" spans="1:19" ht="15.75" customHeight="1" x14ac:dyDescent="0.3">
      <c r="A459" s="4" t="s">
        <v>984</v>
      </c>
      <c r="B459" s="5" t="str">
        <f>TEXT(Patient_Data!$E459,"mmmm")</f>
        <v>March</v>
      </c>
      <c r="C459" s="6" t="str">
        <f t="shared" si="2"/>
        <v>Mar</v>
      </c>
      <c r="D459" s="6">
        <f>MONTH(Patient_Data!$E459)</f>
        <v>3</v>
      </c>
      <c r="E459" s="7">
        <v>46099</v>
      </c>
      <c r="F459" s="55" t="str">
        <f>TEXT(Patient_Data[[#This Row],[Admission_Date]],"YYYY")</f>
        <v>2026</v>
      </c>
      <c r="G459" s="8" t="s">
        <v>985</v>
      </c>
      <c r="H459" s="8" t="s">
        <v>82</v>
      </c>
      <c r="I459" s="4" t="s">
        <v>29</v>
      </c>
      <c r="J459" s="4">
        <v>3</v>
      </c>
      <c r="K459" s="4" t="s">
        <v>30</v>
      </c>
      <c r="L459" s="8">
        <v>1</v>
      </c>
      <c r="M459" s="9" t="s">
        <v>79</v>
      </c>
      <c r="N459" s="9" t="str">
        <f t="shared" si="3"/>
        <v>PD</v>
      </c>
      <c r="O459" s="10">
        <v>1245.3699999999999</v>
      </c>
      <c r="P459" s="10">
        <v>880.56</v>
      </c>
      <c r="Q459" s="11">
        <v>1.1000000000000001</v>
      </c>
      <c r="R459" s="13" t="str">
        <f>IF(Patient_Data!$L459&lt;2,"Low Risk",IF(Patient_Data!$L459&lt;4,"Moderate Risk","High Risk"))</f>
        <v>Low Risk</v>
      </c>
      <c r="S459" s="12" t="str">
        <f>IF(Patient_Data[[#This Row],[Age]]&lt;=18,"Pediatric",IF(Patient_Data[[#This Row],[Age]]&lt;=64,"Adult","Geriatric"))</f>
        <v>Pediatric</v>
      </c>
    </row>
    <row r="460" spans="1:19" ht="15.75" customHeight="1" x14ac:dyDescent="0.3">
      <c r="A460" s="4" t="s">
        <v>986</v>
      </c>
      <c r="B460" s="5" t="str">
        <f>TEXT(Patient_Data!$E460,"mmmm")</f>
        <v>June</v>
      </c>
      <c r="C460" s="6" t="str">
        <f t="shared" si="2"/>
        <v>Jun</v>
      </c>
      <c r="D460" s="6">
        <f>MONTH(Patient_Data!$E460)</f>
        <v>6</v>
      </c>
      <c r="E460" s="7">
        <v>45826</v>
      </c>
      <c r="F460" s="55" t="str">
        <f>TEXT(Patient_Data[[#This Row],[Admission_Date]],"YYYY")</f>
        <v>2025</v>
      </c>
      <c r="G460" s="8" t="s">
        <v>987</v>
      </c>
      <c r="H460" s="8" t="s">
        <v>28</v>
      </c>
      <c r="I460" s="4" t="s">
        <v>35</v>
      </c>
      <c r="J460" s="4">
        <v>2</v>
      </c>
      <c r="K460" s="4" t="s">
        <v>30</v>
      </c>
      <c r="L460" s="8">
        <v>3</v>
      </c>
      <c r="M460" s="9" t="s">
        <v>79</v>
      </c>
      <c r="N460" s="9" t="str">
        <f t="shared" si="3"/>
        <v>PD</v>
      </c>
      <c r="O460" s="10">
        <v>1685.73</v>
      </c>
      <c r="P460" s="10">
        <v>1242.58</v>
      </c>
      <c r="Q460" s="11">
        <v>1.5</v>
      </c>
      <c r="R460" s="13" t="str">
        <f>IF(Patient_Data!$L460&lt;2,"Low Risk",IF(Patient_Data!$L460&lt;4,"Moderate Risk","High Risk"))</f>
        <v>Moderate Risk</v>
      </c>
      <c r="S460" s="12" t="str">
        <f>IF(Patient_Data[[#This Row],[Age]]&lt;=18,"Pediatric",IF(Patient_Data[[#This Row],[Age]]&lt;=64,"Adult","Geriatric"))</f>
        <v>Pediatric</v>
      </c>
    </row>
    <row r="461" spans="1:19" ht="15.75" customHeight="1" x14ac:dyDescent="0.3">
      <c r="A461" s="4" t="s">
        <v>988</v>
      </c>
      <c r="B461" s="5" t="str">
        <f>TEXT(Patient_Data!$E461,"mmmm")</f>
        <v>September</v>
      </c>
      <c r="C461" s="6" t="str">
        <f t="shared" si="2"/>
        <v>Sep</v>
      </c>
      <c r="D461" s="6">
        <f>MONTH(Patient_Data!$E461)</f>
        <v>9</v>
      </c>
      <c r="E461" s="7">
        <v>45553</v>
      </c>
      <c r="F461" s="55" t="str">
        <f>TEXT(Patient_Data[[#This Row],[Admission_Date]],"YYYY")</f>
        <v>2024</v>
      </c>
      <c r="G461" s="8" t="s">
        <v>989</v>
      </c>
      <c r="H461" s="8" t="s">
        <v>28</v>
      </c>
      <c r="I461" s="4" t="s">
        <v>35</v>
      </c>
      <c r="J461" s="4">
        <v>78</v>
      </c>
      <c r="K461" s="4" t="s">
        <v>30</v>
      </c>
      <c r="L461" s="8">
        <v>1</v>
      </c>
      <c r="M461" s="9" t="s">
        <v>46</v>
      </c>
      <c r="N461" s="9" t="str">
        <f t="shared" si="3"/>
        <v>Ortho</v>
      </c>
      <c r="O461" s="10">
        <v>4822.63</v>
      </c>
      <c r="P461" s="10">
        <v>3725.2</v>
      </c>
      <c r="Q461" s="11">
        <v>7.5</v>
      </c>
      <c r="R461" s="13" t="str">
        <f>IF(Patient_Data!$L461&lt;2,"Low Risk",IF(Patient_Data!$L461&lt;4,"Moderate Risk","High Risk"))</f>
        <v>Low Risk</v>
      </c>
      <c r="S461" s="12" t="str">
        <f>IF(Patient_Data[[#This Row],[Age]]&lt;=18,"Pediatric",IF(Patient_Data[[#This Row],[Age]]&lt;=64,"Adult","Geriatric"))</f>
        <v>Geriatric</v>
      </c>
    </row>
    <row r="462" spans="1:19" ht="15.75" customHeight="1" x14ac:dyDescent="0.3">
      <c r="A462" s="4" t="s">
        <v>990</v>
      </c>
      <c r="B462" s="5" t="str">
        <f>TEXT(Patient_Data!$E462,"mmmm")</f>
        <v>December</v>
      </c>
      <c r="C462" s="6" t="str">
        <f t="shared" si="2"/>
        <v>Dec</v>
      </c>
      <c r="D462" s="6">
        <f>MONTH(Patient_Data!$E462)</f>
        <v>12</v>
      </c>
      <c r="E462" s="7">
        <v>45656</v>
      </c>
      <c r="F462" s="55" t="str">
        <f>TEXT(Patient_Data[[#This Row],[Admission_Date]],"YYYY")</f>
        <v>2024</v>
      </c>
      <c r="G462" s="8" t="s">
        <v>991</v>
      </c>
      <c r="H462" s="8" t="s">
        <v>34</v>
      </c>
      <c r="I462" s="4" t="s">
        <v>35</v>
      </c>
      <c r="J462" s="4">
        <v>46</v>
      </c>
      <c r="K462" s="4" t="s">
        <v>30</v>
      </c>
      <c r="L462" s="8">
        <v>1</v>
      </c>
      <c r="M462" s="9" t="s">
        <v>31</v>
      </c>
      <c r="N462" s="9" t="str">
        <f t="shared" si="3"/>
        <v>Neuro</v>
      </c>
      <c r="O462" s="10">
        <v>6085.76</v>
      </c>
      <c r="P462" s="10">
        <v>3612.94</v>
      </c>
      <c r="Q462" s="11">
        <v>10.4</v>
      </c>
      <c r="R462" s="13" t="str">
        <f>IF(Patient_Data!$L462&lt;2,"Low Risk",IF(Patient_Data!$L462&lt;4,"Moderate Risk","High Risk"))</f>
        <v>Low Risk</v>
      </c>
      <c r="S462" s="12" t="str">
        <f>IF(Patient_Data[[#This Row],[Age]]&lt;=18,"Pediatric",IF(Patient_Data[[#This Row],[Age]]&lt;=64,"Adult","Geriatric"))</f>
        <v>Adult</v>
      </c>
    </row>
    <row r="463" spans="1:19" ht="15.75" customHeight="1" x14ac:dyDescent="0.3">
      <c r="A463" s="4" t="s">
        <v>992</v>
      </c>
      <c r="B463" s="5" t="str">
        <f>TEXT(Patient_Data!$E463,"mmmm")</f>
        <v>October</v>
      </c>
      <c r="C463" s="6" t="str">
        <f t="shared" si="2"/>
        <v>Oct</v>
      </c>
      <c r="D463" s="6">
        <f>MONTH(Patient_Data!$E463)</f>
        <v>10</v>
      </c>
      <c r="E463" s="7">
        <v>45951</v>
      </c>
      <c r="F463" s="55" t="str">
        <f>TEXT(Patient_Data[[#This Row],[Admission_Date]],"YYYY")</f>
        <v>2025</v>
      </c>
      <c r="G463" s="8" t="s">
        <v>993</v>
      </c>
      <c r="H463" s="8" t="s">
        <v>28</v>
      </c>
      <c r="I463" s="4" t="s">
        <v>35</v>
      </c>
      <c r="J463" s="4">
        <v>42</v>
      </c>
      <c r="K463" s="4" t="s">
        <v>30</v>
      </c>
      <c r="L463" s="8">
        <v>1</v>
      </c>
      <c r="M463" s="9" t="s">
        <v>36</v>
      </c>
      <c r="N463" s="9" t="str">
        <f t="shared" si="3"/>
        <v>Cardio</v>
      </c>
      <c r="O463" s="10">
        <v>7092.63</v>
      </c>
      <c r="P463" s="10">
        <v>4356.8999999999996</v>
      </c>
      <c r="Q463" s="11">
        <v>3.8</v>
      </c>
      <c r="R463" s="13" t="str">
        <f>IF(Patient_Data!$L463&lt;2,"Low Risk",IF(Patient_Data!$L463&lt;4,"Moderate Risk","High Risk"))</f>
        <v>Low Risk</v>
      </c>
      <c r="S463" s="12" t="str">
        <f>IF(Patient_Data[[#This Row],[Age]]&lt;=18,"Pediatric",IF(Patient_Data[[#This Row],[Age]]&lt;=64,"Adult","Geriatric"))</f>
        <v>Adult</v>
      </c>
    </row>
    <row r="464" spans="1:19" ht="15.75" customHeight="1" x14ac:dyDescent="0.3">
      <c r="A464" s="4" t="s">
        <v>994</v>
      </c>
      <c r="B464" s="5" t="str">
        <f>TEXT(Patient_Data!$E464,"mmmm")</f>
        <v>December</v>
      </c>
      <c r="C464" s="6" t="str">
        <f t="shared" si="2"/>
        <v>Dec</v>
      </c>
      <c r="D464" s="6">
        <f>MONTH(Patient_Data!$E464)</f>
        <v>12</v>
      </c>
      <c r="E464" s="7">
        <v>45645</v>
      </c>
      <c r="F464" s="55" t="str">
        <f>TEXT(Patient_Data[[#This Row],[Admission_Date]],"YYYY")</f>
        <v>2024</v>
      </c>
      <c r="G464" s="8" t="s">
        <v>995</v>
      </c>
      <c r="H464" s="8" t="s">
        <v>49</v>
      </c>
      <c r="I464" s="4" t="s">
        <v>29</v>
      </c>
      <c r="J464" s="4">
        <v>82</v>
      </c>
      <c r="K464" s="4" t="s">
        <v>30</v>
      </c>
      <c r="L464" s="8">
        <v>2</v>
      </c>
      <c r="M464" s="9" t="s">
        <v>36</v>
      </c>
      <c r="N464" s="9" t="str">
        <f t="shared" si="3"/>
        <v>Cardio</v>
      </c>
      <c r="O464" s="10">
        <v>11000.45</v>
      </c>
      <c r="P464" s="10">
        <v>7063.49</v>
      </c>
      <c r="Q464" s="11">
        <v>2.9</v>
      </c>
      <c r="R464" s="13" t="str">
        <f>IF(Patient_Data!$L464&lt;2,"Low Risk",IF(Patient_Data!$L464&lt;4,"Moderate Risk","High Risk"))</f>
        <v>Moderate Risk</v>
      </c>
      <c r="S464" s="12" t="str">
        <f>IF(Patient_Data[[#This Row],[Age]]&lt;=18,"Pediatric",IF(Patient_Data[[#This Row],[Age]]&lt;=64,"Adult","Geriatric"))</f>
        <v>Geriatric</v>
      </c>
    </row>
    <row r="465" spans="1:19" ht="15.75" customHeight="1" x14ac:dyDescent="0.3">
      <c r="A465" s="4" t="s">
        <v>996</v>
      </c>
      <c r="B465" s="5" t="str">
        <f>TEXT(Patient_Data!$E465,"mmmm")</f>
        <v>December</v>
      </c>
      <c r="C465" s="6" t="str">
        <f t="shared" si="2"/>
        <v>Dec</v>
      </c>
      <c r="D465" s="6">
        <f>MONTH(Patient_Data!$E465)</f>
        <v>12</v>
      </c>
      <c r="E465" s="7">
        <v>46008</v>
      </c>
      <c r="F465" s="55" t="str">
        <f>TEXT(Patient_Data[[#This Row],[Admission_Date]],"YYYY")</f>
        <v>2025</v>
      </c>
      <c r="G465" s="8" t="s">
        <v>997</v>
      </c>
      <c r="H465" s="8" t="s">
        <v>53</v>
      </c>
      <c r="I465" s="4" t="s">
        <v>35</v>
      </c>
      <c r="J465" s="4">
        <v>45</v>
      </c>
      <c r="K465" s="4" t="s">
        <v>30</v>
      </c>
      <c r="L465" s="8">
        <v>2</v>
      </c>
      <c r="M465" s="9" t="s">
        <v>36</v>
      </c>
      <c r="N465" s="9" t="str">
        <f t="shared" si="3"/>
        <v>Cardio</v>
      </c>
      <c r="O465" s="10">
        <v>10414.6</v>
      </c>
      <c r="P465" s="10">
        <v>7013.78</v>
      </c>
      <c r="Q465" s="11">
        <v>4.5</v>
      </c>
      <c r="R465" s="13" t="str">
        <f>IF(Patient_Data!$L465&lt;2,"Low Risk",IF(Patient_Data!$L465&lt;4,"Moderate Risk","High Risk"))</f>
        <v>Moderate Risk</v>
      </c>
      <c r="S465" s="12" t="str">
        <f>IF(Patient_Data[[#This Row],[Age]]&lt;=18,"Pediatric",IF(Patient_Data[[#This Row],[Age]]&lt;=64,"Adult","Geriatric"))</f>
        <v>Adult</v>
      </c>
    </row>
    <row r="466" spans="1:19" ht="15.75" customHeight="1" x14ac:dyDescent="0.3">
      <c r="A466" s="4" t="s">
        <v>998</v>
      </c>
      <c r="B466" s="5" t="str">
        <f>TEXT(Patient_Data!$E466,"mmmm")</f>
        <v>April</v>
      </c>
      <c r="C466" s="6" t="str">
        <f t="shared" si="2"/>
        <v>Apr</v>
      </c>
      <c r="D466" s="6">
        <f>MONTH(Patient_Data!$E466)</f>
        <v>4</v>
      </c>
      <c r="E466" s="7">
        <v>46135</v>
      </c>
      <c r="F466" s="55" t="str">
        <f>TEXT(Patient_Data[[#This Row],[Admission_Date]],"YYYY")</f>
        <v>2026</v>
      </c>
      <c r="G466" s="8" t="s">
        <v>999</v>
      </c>
      <c r="H466" s="8" t="s">
        <v>132</v>
      </c>
      <c r="I466" s="4" t="s">
        <v>35</v>
      </c>
      <c r="J466" s="4">
        <v>19</v>
      </c>
      <c r="K466" s="4" t="s">
        <v>30</v>
      </c>
      <c r="L466" s="8">
        <v>1</v>
      </c>
      <c r="M466" s="9" t="s">
        <v>83</v>
      </c>
      <c r="N466" s="9" t="str">
        <f t="shared" si="3"/>
        <v>ER</v>
      </c>
      <c r="O466" s="10">
        <v>7145.81</v>
      </c>
      <c r="P466" s="10">
        <v>5102.07</v>
      </c>
      <c r="Q466" s="11">
        <v>12.5</v>
      </c>
      <c r="R466" s="13" t="str">
        <f>IF(Patient_Data!$L466&lt;2,"Low Risk",IF(Patient_Data!$L466&lt;4,"Moderate Risk","High Risk"))</f>
        <v>Low Risk</v>
      </c>
      <c r="S466" s="12" t="str">
        <f>IF(Patient_Data[[#This Row],[Age]]&lt;=18,"Pediatric",IF(Patient_Data[[#This Row],[Age]]&lt;=64,"Adult","Geriatric"))</f>
        <v>Adult</v>
      </c>
    </row>
    <row r="467" spans="1:19" ht="15.75" customHeight="1" x14ac:dyDescent="0.3">
      <c r="A467" s="4" t="s">
        <v>1000</v>
      </c>
      <c r="B467" s="5" t="str">
        <f>TEXT(Patient_Data!$E467,"mmmm")</f>
        <v>October</v>
      </c>
      <c r="C467" s="6" t="str">
        <f t="shared" si="2"/>
        <v>Oct</v>
      </c>
      <c r="D467" s="6">
        <f>MONTH(Patient_Data!$E467)</f>
        <v>10</v>
      </c>
      <c r="E467" s="7">
        <v>45947</v>
      </c>
      <c r="F467" s="55" t="str">
        <f>TEXT(Patient_Data[[#This Row],[Admission_Date]],"YYYY")</f>
        <v>2025</v>
      </c>
      <c r="G467" s="8" t="s">
        <v>1001</v>
      </c>
      <c r="H467" s="8" t="s">
        <v>49</v>
      </c>
      <c r="I467" s="4" t="s">
        <v>29</v>
      </c>
      <c r="J467" s="4">
        <v>66</v>
      </c>
      <c r="K467" s="4" t="s">
        <v>54</v>
      </c>
      <c r="L467" s="8">
        <v>3</v>
      </c>
      <c r="M467" s="9" t="s">
        <v>39</v>
      </c>
      <c r="N467" s="9" t="str">
        <f t="shared" si="3"/>
        <v>GM</v>
      </c>
      <c r="O467" s="10">
        <v>1888.79</v>
      </c>
      <c r="P467" s="10">
        <v>1442.82</v>
      </c>
      <c r="Q467" s="11">
        <v>8</v>
      </c>
      <c r="R467" s="13" t="str">
        <f>IF(Patient_Data!$L467&lt;2,"Low Risk",IF(Patient_Data!$L467&lt;4,"Moderate Risk","High Risk"))</f>
        <v>Moderate Risk</v>
      </c>
      <c r="S467" s="12" t="str">
        <f>IF(Patient_Data[[#This Row],[Age]]&lt;=18,"Pediatric",IF(Patient_Data[[#This Row],[Age]]&lt;=64,"Adult","Geriatric"))</f>
        <v>Geriatric</v>
      </c>
    </row>
    <row r="468" spans="1:19" ht="15.75" customHeight="1" x14ac:dyDescent="0.3">
      <c r="A468" s="4" t="s">
        <v>1002</v>
      </c>
      <c r="B468" s="5" t="str">
        <f>TEXT(Patient_Data!$E468,"mmmm")</f>
        <v>October</v>
      </c>
      <c r="C468" s="6" t="str">
        <f t="shared" si="2"/>
        <v>Oct</v>
      </c>
      <c r="D468" s="6">
        <f>MONTH(Patient_Data!$E468)</f>
        <v>10</v>
      </c>
      <c r="E468" s="7">
        <v>45957</v>
      </c>
      <c r="F468" s="55" t="str">
        <f>TEXT(Patient_Data[[#This Row],[Admission_Date]],"YYYY")</f>
        <v>2025</v>
      </c>
      <c r="G468" s="8" t="s">
        <v>1003</v>
      </c>
      <c r="H468" s="8" t="s">
        <v>132</v>
      </c>
      <c r="I468" s="4" t="s">
        <v>35</v>
      </c>
      <c r="J468" s="4">
        <v>61</v>
      </c>
      <c r="K468" s="4" t="s">
        <v>30</v>
      </c>
      <c r="L468" s="8">
        <v>2</v>
      </c>
      <c r="M468" s="9" t="s">
        <v>46</v>
      </c>
      <c r="N468" s="9" t="str">
        <f t="shared" si="3"/>
        <v>Ortho</v>
      </c>
      <c r="O468" s="10">
        <v>5154.83</v>
      </c>
      <c r="P468" s="10">
        <v>3987.27</v>
      </c>
      <c r="Q468" s="11">
        <v>8.6999999999999993</v>
      </c>
      <c r="R468" s="13" t="str">
        <f>IF(Patient_Data!$L468&lt;2,"Low Risk",IF(Patient_Data!$L468&lt;4,"Moderate Risk","High Risk"))</f>
        <v>Moderate Risk</v>
      </c>
      <c r="S468" s="12" t="str">
        <f>IF(Patient_Data[[#This Row],[Age]]&lt;=18,"Pediatric",IF(Patient_Data[[#This Row],[Age]]&lt;=64,"Adult","Geriatric"))</f>
        <v>Adult</v>
      </c>
    </row>
    <row r="469" spans="1:19" ht="15.75" customHeight="1" x14ac:dyDescent="0.3">
      <c r="A469" s="4" t="s">
        <v>1004</v>
      </c>
      <c r="B469" s="5" t="str">
        <f>TEXT(Patient_Data!$E469,"mmmm")</f>
        <v>July</v>
      </c>
      <c r="C469" s="6" t="str">
        <f t="shared" si="2"/>
        <v>Jul</v>
      </c>
      <c r="D469" s="6">
        <f>MONTH(Patient_Data!$E469)</f>
        <v>7</v>
      </c>
      <c r="E469" s="7">
        <v>45478</v>
      </c>
      <c r="F469" s="55" t="str">
        <f>TEXT(Patient_Data[[#This Row],[Admission_Date]],"YYYY")</f>
        <v>2024</v>
      </c>
      <c r="G469" s="8" t="s">
        <v>1005</v>
      </c>
      <c r="H469" s="8" t="s">
        <v>132</v>
      </c>
      <c r="I469" s="4" t="s">
        <v>35</v>
      </c>
      <c r="J469" s="4">
        <v>85</v>
      </c>
      <c r="K469" s="4" t="s">
        <v>54</v>
      </c>
      <c r="L469" s="8">
        <v>3</v>
      </c>
      <c r="M469" s="9" t="s">
        <v>83</v>
      </c>
      <c r="N469" s="9" t="str">
        <f t="shared" si="3"/>
        <v>ER</v>
      </c>
      <c r="O469" s="10">
        <v>10040.98</v>
      </c>
      <c r="P469" s="10">
        <v>5963.77</v>
      </c>
      <c r="Q469" s="11">
        <v>17.5</v>
      </c>
      <c r="R469" s="13" t="str">
        <f>IF(Patient_Data!$L469&lt;2,"Low Risk",IF(Patient_Data!$L469&lt;4,"Moderate Risk","High Risk"))</f>
        <v>Moderate Risk</v>
      </c>
      <c r="S469" s="12" t="str">
        <f>IF(Patient_Data[[#This Row],[Age]]&lt;=18,"Pediatric",IF(Patient_Data[[#This Row],[Age]]&lt;=64,"Adult","Geriatric"))</f>
        <v>Geriatric</v>
      </c>
    </row>
    <row r="470" spans="1:19" ht="15.75" customHeight="1" x14ac:dyDescent="0.3">
      <c r="A470" s="4" t="s">
        <v>1006</v>
      </c>
      <c r="B470" s="5" t="str">
        <f>TEXT(Patient_Data!$E470,"mmmm")</f>
        <v>June</v>
      </c>
      <c r="C470" s="6" t="str">
        <f t="shared" si="2"/>
        <v>Jun</v>
      </c>
      <c r="D470" s="6">
        <f>MONTH(Patient_Data!$E470)</f>
        <v>6</v>
      </c>
      <c r="E470" s="7">
        <v>46181</v>
      </c>
      <c r="F470" s="55" t="str">
        <f>TEXT(Patient_Data[[#This Row],[Admission_Date]],"YYYY")</f>
        <v>2026</v>
      </c>
      <c r="G470" s="8" t="s">
        <v>1007</v>
      </c>
      <c r="H470" s="8" t="s">
        <v>53</v>
      </c>
      <c r="I470" s="4" t="s">
        <v>35</v>
      </c>
      <c r="J470" s="4">
        <v>59</v>
      </c>
      <c r="K470" s="4" t="s">
        <v>30</v>
      </c>
      <c r="L470" s="8">
        <v>1</v>
      </c>
      <c r="M470" s="9" t="s">
        <v>36</v>
      </c>
      <c r="N470" s="9" t="str">
        <f t="shared" si="3"/>
        <v>Cardio</v>
      </c>
      <c r="O470" s="10">
        <v>5161.3100000000004</v>
      </c>
      <c r="P470" s="10">
        <v>3215.6</v>
      </c>
      <c r="Q470" s="11">
        <v>8.4</v>
      </c>
      <c r="R470" s="13" t="str">
        <f>IF(Patient_Data!$L470&lt;2,"Low Risk",IF(Patient_Data!$L470&lt;4,"Moderate Risk","High Risk"))</f>
        <v>Low Risk</v>
      </c>
      <c r="S470" s="12" t="str">
        <f>IF(Patient_Data[[#This Row],[Age]]&lt;=18,"Pediatric",IF(Patient_Data[[#This Row],[Age]]&lt;=64,"Adult","Geriatric"))</f>
        <v>Adult</v>
      </c>
    </row>
    <row r="471" spans="1:19" ht="15.75" customHeight="1" x14ac:dyDescent="0.3">
      <c r="A471" s="4" t="s">
        <v>1008</v>
      </c>
      <c r="B471" s="5" t="str">
        <f>TEXT(Patient_Data!$E471,"mmmm")</f>
        <v>November</v>
      </c>
      <c r="C471" s="6" t="str">
        <f t="shared" si="2"/>
        <v>Nov</v>
      </c>
      <c r="D471" s="6">
        <f>MONTH(Patient_Data!$E471)</f>
        <v>11</v>
      </c>
      <c r="E471" s="7">
        <v>45242</v>
      </c>
      <c r="F471" s="55" t="str">
        <f>TEXT(Patient_Data[[#This Row],[Admission_Date]],"YYYY")</f>
        <v>2023</v>
      </c>
      <c r="G471" s="8" t="s">
        <v>1009</v>
      </c>
      <c r="H471" s="8" t="s">
        <v>53</v>
      </c>
      <c r="I471" s="4" t="s">
        <v>35</v>
      </c>
      <c r="J471" s="4">
        <v>48</v>
      </c>
      <c r="K471" s="4" t="s">
        <v>30</v>
      </c>
      <c r="L471" s="8">
        <v>3</v>
      </c>
      <c r="M471" s="9" t="s">
        <v>46</v>
      </c>
      <c r="N471" s="9" t="str">
        <f t="shared" si="3"/>
        <v>Ortho</v>
      </c>
      <c r="O471" s="10">
        <v>6985.4</v>
      </c>
      <c r="P471" s="10">
        <v>4517.0600000000004</v>
      </c>
      <c r="Q471" s="11">
        <v>5.8</v>
      </c>
      <c r="R471" s="13" t="str">
        <f>IF(Patient_Data!$L471&lt;2,"Low Risk",IF(Patient_Data!$L471&lt;4,"Moderate Risk","High Risk"))</f>
        <v>Moderate Risk</v>
      </c>
      <c r="S471" s="12" t="str">
        <f>IF(Patient_Data[[#This Row],[Age]]&lt;=18,"Pediatric",IF(Patient_Data[[#This Row],[Age]]&lt;=64,"Adult","Geriatric"))</f>
        <v>Adult</v>
      </c>
    </row>
    <row r="472" spans="1:19" ht="15.75" customHeight="1" x14ac:dyDescent="0.3">
      <c r="A472" s="4" t="s">
        <v>1010</v>
      </c>
      <c r="B472" s="5" t="str">
        <f>TEXT(Patient_Data!$E472,"mmmm")</f>
        <v>July</v>
      </c>
      <c r="C472" s="6" t="str">
        <f t="shared" si="2"/>
        <v>Jul</v>
      </c>
      <c r="D472" s="6">
        <f>MONTH(Patient_Data!$E472)</f>
        <v>7</v>
      </c>
      <c r="E472" s="7">
        <v>45846</v>
      </c>
      <c r="F472" s="55" t="str">
        <f>TEXT(Patient_Data[[#This Row],[Admission_Date]],"YYYY")</f>
        <v>2025</v>
      </c>
      <c r="G472" s="8" t="s">
        <v>1011</v>
      </c>
      <c r="H472" s="8" t="s">
        <v>28</v>
      </c>
      <c r="I472" s="4" t="s">
        <v>29</v>
      </c>
      <c r="J472" s="4">
        <v>1</v>
      </c>
      <c r="K472" s="4" t="s">
        <v>30</v>
      </c>
      <c r="L472" s="8">
        <v>1</v>
      </c>
      <c r="M472" s="9" t="s">
        <v>79</v>
      </c>
      <c r="N472" s="9" t="str">
        <f t="shared" si="3"/>
        <v>PD</v>
      </c>
      <c r="O472" s="10">
        <v>976.36</v>
      </c>
      <c r="P472" s="10">
        <v>660.56</v>
      </c>
      <c r="Q472" s="11">
        <v>0.8</v>
      </c>
      <c r="R472" s="13" t="str">
        <f>IF(Patient_Data!$L472&lt;2,"Low Risk",IF(Patient_Data!$L472&lt;4,"Moderate Risk","High Risk"))</f>
        <v>Low Risk</v>
      </c>
      <c r="S472" s="12" t="str">
        <f>IF(Patient_Data[[#This Row],[Age]]&lt;=18,"Pediatric",IF(Patient_Data[[#This Row],[Age]]&lt;=64,"Adult","Geriatric"))</f>
        <v>Pediatric</v>
      </c>
    </row>
    <row r="473" spans="1:19" ht="15.75" customHeight="1" x14ac:dyDescent="0.3">
      <c r="A473" s="4" t="s">
        <v>1012</v>
      </c>
      <c r="B473" s="5" t="str">
        <f>TEXT(Patient_Data!$E473,"mmmm")</f>
        <v>March</v>
      </c>
      <c r="C473" s="6" t="str">
        <f t="shared" si="2"/>
        <v>Mar</v>
      </c>
      <c r="D473" s="6">
        <f>MONTH(Patient_Data!$E473)</f>
        <v>3</v>
      </c>
      <c r="E473" s="7">
        <v>45372</v>
      </c>
      <c r="F473" s="55" t="str">
        <f>TEXT(Patient_Data[[#This Row],[Admission_Date]],"YYYY")</f>
        <v>2024</v>
      </c>
      <c r="G473" s="8" t="s">
        <v>1013</v>
      </c>
      <c r="H473" s="8" t="s">
        <v>42</v>
      </c>
      <c r="I473" s="4" t="s">
        <v>29</v>
      </c>
      <c r="J473" s="4">
        <v>20</v>
      </c>
      <c r="K473" s="4" t="s">
        <v>30</v>
      </c>
      <c r="L473" s="8">
        <v>2</v>
      </c>
      <c r="M473" s="9" t="s">
        <v>83</v>
      </c>
      <c r="N473" s="9" t="str">
        <f t="shared" si="3"/>
        <v>ER</v>
      </c>
      <c r="O473" s="10">
        <v>9786.33</v>
      </c>
      <c r="P473" s="10">
        <v>6950.43</v>
      </c>
      <c r="Q473" s="11">
        <v>12.5</v>
      </c>
      <c r="R473" s="13" t="str">
        <f>IF(Patient_Data!$L473&lt;2,"Low Risk",IF(Patient_Data!$L473&lt;4,"Moderate Risk","High Risk"))</f>
        <v>Moderate Risk</v>
      </c>
      <c r="S473" s="12" t="str">
        <f>IF(Patient_Data[[#This Row],[Age]]&lt;=18,"Pediatric",IF(Patient_Data[[#This Row],[Age]]&lt;=64,"Adult","Geriatric"))</f>
        <v>Adult</v>
      </c>
    </row>
    <row r="474" spans="1:19" ht="15.75" customHeight="1" x14ac:dyDescent="0.3">
      <c r="A474" s="4" t="s">
        <v>1014</v>
      </c>
      <c r="B474" s="5" t="str">
        <f>TEXT(Patient_Data!$E474,"mmmm")</f>
        <v>February</v>
      </c>
      <c r="C474" s="6" t="str">
        <f t="shared" si="2"/>
        <v>Feb</v>
      </c>
      <c r="D474" s="6">
        <f>MONTH(Patient_Data!$E474)</f>
        <v>2</v>
      </c>
      <c r="E474" s="7">
        <v>46068</v>
      </c>
      <c r="F474" s="55" t="str">
        <f>TEXT(Patient_Data[[#This Row],[Admission_Date]],"YYYY")</f>
        <v>2026</v>
      </c>
      <c r="G474" s="8" t="s">
        <v>1015</v>
      </c>
      <c r="H474" s="8" t="s">
        <v>98</v>
      </c>
      <c r="I474" s="4" t="s">
        <v>29</v>
      </c>
      <c r="J474" s="4">
        <v>11</v>
      </c>
      <c r="K474" s="4" t="s">
        <v>30</v>
      </c>
      <c r="L474" s="8">
        <v>2</v>
      </c>
      <c r="M474" s="9" t="s">
        <v>79</v>
      </c>
      <c r="N474" s="9" t="str">
        <f t="shared" si="3"/>
        <v>PD</v>
      </c>
      <c r="O474" s="10">
        <v>926.85</v>
      </c>
      <c r="P474" s="10">
        <v>703.8</v>
      </c>
      <c r="Q474" s="11">
        <v>3.4</v>
      </c>
      <c r="R474" s="13" t="str">
        <f>IF(Patient_Data!$L474&lt;2,"Low Risk",IF(Patient_Data!$L474&lt;4,"Moderate Risk","High Risk"))</f>
        <v>Moderate Risk</v>
      </c>
      <c r="S474" s="12" t="str">
        <f>IF(Patient_Data[[#This Row],[Age]]&lt;=18,"Pediatric",IF(Patient_Data[[#This Row],[Age]]&lt;=64,"Adult","Geriatric"))</f>
        <v>Pediatric</v>
      </c>
    </row>
    <row r="475" spans="1:19" ht="15.75" customHeight="1" x14ac:dyDescent="0.3">
      <c r="A475" s="4" t="s">
        <v>1016</v>
      </c>
      <c r="B475" s="5" t="str">
        <f>TEXT(Patient_Data!$E475,"mmmm")</f>
        <v>March</v>
      </c>
      <c r="C475" s="6" t="str">
        <f t="shared" si="2"/>
        <v>Mar</v>
      </c>
      <c r="D475" s="6">
        <f>MONTH(Patient_Data!$E475)</f>
        <v>3</v>
      </c>
      <c r="E475" s="7">
        <v>46102</v>
      </c>
      <c r="F475" s="55" t="str">
        <f>TEXT(Patient_Data[[#This Row],[Admission_Date]],"YYYY")</f>
        <v>2026</v>
      </c>
      <c r="G475" s="8" t="s">
        <v>1017</v>
      </c>
      <c r="H475" s="8" t="s">
        <v>42</v>
      </c>
      <c r="I475" s="4" t="s">
        <v>35</v>
      </c>
      <c r="J475" s="4">
        <v>67</v>
      </c>
      <c r="K475" s="4" t="s">
        <v>30</v>
      </c>
      <c r="L475" s="8">
        <v>1</v>
      </c>
      <c r="M475" s="9" t="s">
        <v>83</v>
      </c>
      <c r="N475" s="9" t="str">
        <f t="shared" si="3"/>
        <v>ER</v>
      </c>
      <c r="O475" s="10">
        <v>8704.3799999999992</v>
      </c>
      <c r="P475" s="10">
        <v>6615.33</v>
      </c>
      <c r="Q475" s="11"/>
      <c r="R475" s="13" t="str">
        <f>IF(Patient_Data!$L475&lt;2,"Low Risk",IF(Patient_Data!$L475&lt;4,"Moderate Risk","High Risk"))</f>
        <v>Low Risk</v>
      </c>
      <c r="S475" s="12" t="str">
        <f>IF(Patient_Data[[#This Row],[Age]]&lt;=18,"Pediatric",IF(Patient_Data[[#This Row],[Age]]&lt;=64,"Adult","Geriatric"))</f>
        <v>Geriatric</v>
      </c>
    </row>
    <row r="476" spans="1:19" ht="15.75" customHeight="1" x14ac:dyDescent="0.3">
      <c r="A476" s="4" t="s">
        <v>1018</v>
      </c>
      <c r="B476" s="5" t="str">
        <f>TEXT(Patient_Data!$E476,"mmmm")</f>
        <v>June</v>
      </c>
      <c r="C476" s="6" t="str">
        <f t="shared" si="2"/>
        <v>Jun</v>
      </c>
      <c r="D476" s="6">
        <f>MONTH(Patient_Data!$E476)</f>
        <v>6</v>
      </c>
      <c r="E476" s="7">
        <v>45462</v>
      </c>
      <c r="F476" s="55" t="str">
        <f>TEXT(Patient_Data[[#This Row],[Admission_Date]],"YYYY")</f>
        <v>2024</v>
      </c>
      <c r="G476" s="8" t="s">
        <v>1019</v>
      </c>
      <c r="H476" s="8" t="s">
        <v>82</v>
      </c>
      <c r="I476" s="4" t="s">
        <v>35</v>
      </c>
      <c r="J476" s="4">
        <v>63</v>
      </c>
      <c r="K476" s="4" t="s">
        <v>54</v>
      </c>
      <c r="L476" s="8">
        <v>5</v>
      </c>
      <c r="M476" s="9" t="s">
        <v>50</v>
      </c>
      <c r="N476" s="9" t="str">
        <f t="shared" si="3"/>
        <v>ICU</v>
      </c>
      <c r="O476" s="10">
        <v>21128.6</v>
      </c>
      <c r="P476" s="10">
        <v>12368.19</v>
      </c>
      <c r="Q476" s="11">
        <v>14.2</v>
      </c>
      <c r="R476" s="13" t="str">
        <f>IF(Patient_Data!$L476&lt;2,"Low Risk",IF(Patient_Data!$L476&lt;4,"Moderate Risk","High Risk"))</f>
        <v>High Risk</v>
      </c>
      <c r="S476" s="12" t="str">
        <f>IF(Patient_Data[[#This Row],[Age]]&lt;=18,"Pediatric",IF(Patient_Data[[#This Row],[Age]]&lt;=64,"Adult","Geriatric"))</f>
        <v>Adult</v>
      </c>
    </row>
    <row r="477" spans="1:19" ht="15.75" customHeight="1" x14ac:dyDescent="0.3">
      <c r="A477" s="4" t="s">
        <v>1020</v>
      </c>
      <c r="B477" s="5" t="str">
        <f>TEXT(Patient_Data!$E477,"mmmm")</f>
        <v>December</v>
      </c>
      <c r="C477" s="6" t="str">
        <f t="shared" si="2"/>
        <v>Dec</v>
      </c>
      <c r="D477" s="6">
        <f>MONTH(Patient_Data!$E477)</f>
        <v>12</v>
      </c>
      <c r="E477" s="7">
        <v>46006</v>
      </c>
      <c r="F477" s="55" t="str">
        <f>TEXT(Patient_Data[[#This Row],[Admission_Date]],"YYYY")</f>
        <v>2025</v>
      </c>
      <c r="G477" s="8" t="s">
        <v>1021</v>
      </c>
      <c r="H477" s="8" t="s">
        <v>34</v>
      </c>
      <c r="I477" s="4" t="s">
        <v>35</v>
      </c>
      <c r="J477" s="4">
        <v>51</v>
      </c>
      <c r="K477" s="4" t="s">
        <v>30</v>
      </c>
      <c r="L477" s="8">
        <v>3</v>
      </c>
      <c r="M477" s="9" t="s">
        <v>36</v>
      </c>
      <c r="N477" s="9" t="str">
        <f t="shared" si="3"/>
        <v>Cardio</v>
      </c>
      <c r="O477" s="10">
        <v>7120.66</v>
      </c>
      <c r="P477" s="10">
        <v>4370.8</v>
      </c>
      <c r="Q477" s="11">
        <v>3.4</v>
      </c>
      <c r="R477" s="13" t="str">
        <f>IF(Patient_Data!$L477&lt;2,"Low Risk",IF(Patient_Data!$L477&lt;4,"Moderate Risk","High Risk"))</f>
        <v>Moderate Risk</v>
      </c>
      <c r="S477" s="12" t="str">
        <f>IF(Patient_Data[[#This Row],[Age]]&lt;=18,"Pediatric",IF(Patient_Data[[#This Row],[Age]]&lt;=64,"Adult","Geriatric"))</f>
        <v>Adult</v>
      </c>
    </row>
    <row r="478" spans="1:19" ht="15.75" customHeight="1" x14ac:dyDescent="0.3">
      <c r="A478" s="4" t="s">
        <v>1022</v>
      </c>
      <c r="B478" s="5" t="str">
        <f>TEXT(Patient_Data!$E478,"mmmm")</f>
        <v>July</v>
      </c>
      <c r="C478" s="6" t="str">
        <f t="shared" si="2"/>
        <v>Jul</v>
      </c>
      <c r="D478" s="6">
        <f>MONTH(Patient_Data!$E478)</f>
        <v>7</v>
      </c>
      <c r="E478" s="7">
        <v>45483</v>
      </c>
      <c r="F478" s="55" t="str">
        <f>TEXT(Patient_Data[[#This Row],[Admission_Date]],"YYYY")</f>
        <v>2024</v>
      </c>
      <c r="G478" s="8" t="s">
        <v>1023</v>
      </c>
      <c r="H478" s="8" t="s">
        <v>49</v>
      </c>
      <c r="I478" s="4" t="s">
        <v>35</v>
      </c>
      <c r="J478" s="4">
        <v>94</v>
      </c>
      <c r="K478" s="4" t="s">
        <v>30</v>
      </c>
      <c r="L478" s="8">
        <v>2</v>
      </c>
      <c r="M478" s="9" t="s">
        <v>46</v>
      </c>
      <c r="N478" s="9" t="str">
        <f t="shared" si="3"/>
        <v>Ortho</v>
      </c>
      <c r="O478" s="10">
        <v>6560.75</v>
      </c>
      <c r="P478" s="10">
        <v>4271.68</v>
      </c>
      <c r="Q478" s="11">
        <v>9.1</v>
      </c>
      <c r="R478" s="13" t="str">
        <f>IF(Patient_Data!$L478&lt;2,"Low Risk",IF(Patient_Data!$L478&lt;4,"Moderate Risk","High Risk"))</f>
        <v>Moderate Risk</v>
      </c>
      <c r="S478" s="12" t="str">
        <f>IF(Patient_Data[[#This Row],[Age]]&lt;=18,"Pediatric",IF(Patient_Data[[#This Row],[Age]]&lt;=64,"Adult","Geriatric"))</f>
        <v>Geriatric</v>
      </c>
    </row>
    <row r="479" spans="1:19" ht="15.75" customHeight="1" x14ac:dyDescent="0.3">
      <c r="A479" s="4" t="s">
        <v>1024</v>
      </c>
      <c r="B479" s="5" t="str">
        <f>TEXT(Patient_Data!$E479,"mmmm")</f>
        <v>January</v>
      </c>
      <c r="C479" s="6" t="str">
        <f t="shared" si="2"/>
        <v>Jan</v>
      </c>
      <c r="D479" s="6">
        <f>MONTH(Patient_Data!$E479)</f>
        <v>1</v>
      </c>
      <c r="E479" s="7">
        <v>45320</v>
      </c>
      <c r="F479" s="55" t="str">
        <f>TEXT(Patient_Data[[#This Row],[Admission_Date]],"YYYY")</f>
        <v>2024</v>
      </c>
      <c r="G479" s="8" t="s">
        <v>1025</v>
      </c>
      <c r="H479" s="8" t="s">
        <v>34</v>
      </c>
      <c r="I479" s="4" t="s">
        <v>35</v>
      </c>
      <c r="J479" s="4">
        <v>34</v>
      </c>
      <c r="K479" s="4" t="s">
        <v>30</v>
      </c>
      <c r="L479" s="8">
        <v>1</v>
      </c>
      <c r="M479" s="9" t="s">
        <v>39</v>
      </c>
      <c r="N479" s="9" t="str">
        <f t="shared" si="3"/>
        <v>GM</v>
      </c>
      <c r="O479" s="10">
        <v>1679.82</v>
      </c>
      <c r="P479" s="10">
        <v>1173.48</v>
      </c>
      <c r="Q479" s="11">
        <v>6</v>
      </c>
      <c r="R479" s="13" t="str">
        <f>IF(Patient_Data!$L479&lt;2,"Low Risk",IF(Patient_Data!$L479&lt;4,"Moderate Risk","High Risk"))</f>
        <v>Low Risk</v>
      </c>
      <c r="S479" s="12" t="str">
        <f>IF(Patient_Data[[#This Row],[Age]]&lt;=18,"Pediatric",IF(Patient_Data[[#This Row],[Age]]&lt;=64,"Adult","Geriatric"))</f>
        <v>Adult</v>
      </c>
    </row>
    <row r="480" spans="1:19" ht="15.75" customHeight="1" x14ac:dyDescent="0.3">
      <c r="A480" s="4" t="s">
        <v>1026</v>
      </c>
      <c r="B480" s="5" t="str">
        <f>TEXT(Patient_Data!$E480,"mmmm")</f>
        <v>April</v>
      </c>
      <c r="C480" s="6" t="str">
        <f t="shared" si="2"/>
        <v>Apr</v>
      </c>
      <c r="D480" s="6">
        <f>MONTH(Patient_Data!$E480)</f>
        <v>4</v>
      </c>
      <c r="E480" s="7">
        <v>46128</v>
      </c>
      <c r="F480" s="55" t="str">
        <f>TEXT(Patient_Data[[#This Row],[Admission_Date]],"YYYY")</f>
        <v>2026</v>
      </c>
      <c r="G480" s="8" t="s">
        <v>1027</v>
      </c>
      <c r="H480" s="8" t="s">
        <v>34</v>
      </c>
      <c r="I480" s="4" t="s">
        <v>29</v>
      </c>
      <c r="J480" s="4">
        <v>76</v>
      </c>
      <c r="K480" s="4" t="s">
        <v>30</v>
      </c>
      <c r="L480" s="8">
        <v>2</v>
      </c>
      <c r="M480" s="9" t="s">
        <v>83</v>
      </c>
      <c r="N480" s="9" t="str">
        <f t="shared" si="3"/>
        <v>ER</v>
      </c>
      <c r="O480" s="10">
        <v>8778.11</v>
      </c>
      <c r="P480" s="10">
        <v>6281.48</v>
      </c>
      <c r="Q480" s="11">
        <v>17.100000000000001</v>
      </c>
      <c r="R480" s="13" t="str">
        <f>IF(Patient_Data!$L480&lt;2,"Low Risk",IF(Patient_Data!$L480&lt;4,"Moderate Risk","High Risk"))</f>
        <v>Moderate Risk</v>
      </c>
      <c r="S480" s="12" t="str">
        <f>IF(Patient_Data[[#This Row],[Age]]&lt;=18,"Pediatric",IF(Patient_Data[[#This Row],[Age]]&lt;=64,"Adult","Geriatric"))</f>
        <v>Geriatric</v>
      </c>
    </row>
    <row r="481" spans="1:19" ht="15.75" customHeight="1" x14ac:dyDescent="0.3">
      <c r="A481" s="4" t="s">
        <v>1028</v>
      </c>
      <c r="B481" s="5" t="str">
        <f>TEXT(Patient_Data!$E481,"mmmm")</f>
        <v>February</v>
      </c>
      <c r="C481" s="6" t="str">
        <f t="shared" si="2"/>
        <v>Feb</v>
      </c>
      <c r="D481" s="6">
        <f>MONTH(Patient_Data!$E481)</f>
        <v>2</v>
      </c>
      <c r="E481" s="7">
        <v>45709</v>
      </c>
      <c r="F481" s="55" t="str">
        <f>TEXT(Patient_Data[[#This Row],[Admission_Date]],"YYYY")</f>
        <v>2025</v>
      </c>
      <c r="G481" s="8" t="s">
        <v>1029</v>
      </c>
      <c r="H481" s="8" t="s">
        <v>42</v>
      </c>
      <c r="I481" s="4" t="s">
        <v>29</v>
      </c>
      <c r="J481" s="4">
        <v>23</v>
      </c>
      <c r="K481" s="4" t="s">
        <v>30</v>
      </c>
      <c r="L481" s="8">
        <v>1</v>
      </c>
      <c r="M481" s="9" t="s">
        <v>36</v>
      </c>
      <c r="N481" s="9" t="str">
        <f t="shared" si="3"/>
        <v>Cardio</v>
      </c>
      <c r="O481" s="10">
        <v>6574.25</v>
      </c>
      <c r="P481" s="10">
        <v>4837.6000000000004</v>
      </c>
      <c r="Q481" s="11">
        <v>4.8</v>
      </c>
      <c r="R481" s="13" t="str">
        <f>IF(Patient_Data!$L481&lt;2,"Low Risk",IF(Patient_Data!$L481&lt;4,"Moderate Risk","High Risk"))</f>
        <v>Low Risk</v>
      </c>
      <c r="S481" s="12" t="str">
        <f>IF(Patient_Data[[#This Row],[Age]]&lt;=18,"Pediatric",IF(Patient_Data[[#This Row],[Age]]&lt;=64,"Adult","Geriatric"))</f>
        <v>Adult</v>
      </c>
    </row>
    <row r="482" spans="1:19" ht="15.75" customHeight="1" x14ac:dyDescent="0.3">
      <c r="A482" s="4" t="s">
        <v>1030</v>
      </c>
      <c r="B482" s="5" t="str">
        <f>TEXT(Patient_Data!$E482,"mmmm")</f>
        <v>July</v>
      </c>
      <c r="C482" s="6" t="str">
        <f t="shared" si="2"/>
        <v>Jul</v>
      </c>
      <c r="D482" s="6">
        <f>MONTH(Patient_Data!$E482)</f>
        <v>7</v>
      </c>
      <c r="E482" s="7">
        <v>45860</v>
      </c>
      <c r="F482" s="55" t="str">
        <f>TEXT(Patient_Data[[#This Row],[Admission_Date]],"YYYY")</f>
        <v>2025</v>
      </c>
      <c r="G482" s="8" t="s">
        <v>1031</v>
      </c>
      <c r="H482" s="8" t="s">
        <v>34</v>
      </c>
      <c r="I482" s="4" t="s">
        <v>29</v>
      </c>
      <c r="J482" s="4">
        <v>16</v>
      </c>
      <c r="K482" s="4" t="s">
        <v>54</v>
      </c>
      <c r="L482" s="8">
        <v>1</v>
      </c>
      <c r="M482" s="9" t="s">
        <v>79</v>
      </c>
      <c r="N482" s="9" t="str">
        <f t="shared" si="3"/>
        <v>PD</v>
      </c>
      <c r="O482" s="10">
        <v>1889.82</v>
      </c>
      <c r="P482" s="10">
        <v>1475.46</v>
      </c>
      <c r="Q482" s="11">
        <v>4.9000000000000004</v>
      </c>
      <c r="R482" s="13" t="str">
        <f>IF(Patient_Data!$L482&lt;2,"Low Risk",IF(Patient_Data!$L482&lt;4,"Moderate Risk","High Risk"))</f>
        <v>Low Risk</v>
      </c>
      <c r="S482" s="12" t="str">
        <f>IF(Patient_Data[[#This Row],[Age]]&lt;=18,"Pediatric",IF(Patient_Data[[#This Row],[Age]]&lt;=64,"Adult","Geriatric"))</f>
        <v>Pediatric</v>
      </c>
    </row>
    <row r="483" spans="1:19" ht="15.75" customHeight="1" x14ac:dyDescent="0.3">
      <c r="A483" s="4" t="s">
        <v>1032</v>
      </c>
      <c r="B483" s="5" t="str">
        <f>TEXT(Patient_Data!$E483,"mmmm")</f>
        <v>November</v>
      </c>
      <c r="C483" s="6" t="str">
        <f t="shared" si="2"/>
        <v>Nov</v>
      </c>
      <c r="D483" s="6">
        <f>MONTH(Patient_Data!$E483)</f>
        <v>11</v>
      </c>
      <c r="E483" s="7">
        <v>45981</v>
      </c>
      <c r="F483" s="55" t="str">
        <f>TEXT(Patient_Data[[#This Row],[Admission_Date]],"YYYY")</f>
        <v>2025</v>
      </c>
      <c r="G483" s="8" t="s">
        <v>1033</v>
      </c>
      <c r="H483" s="8" t="s">
        <v>28</v>
      </c>
      <c r="I483" s="4" t="s">
        <v>35</v>
      </c>
      <c r="J483" s="4">
        <v>34</v>
      </c>
      <c r="K483" s="4" t="s">
        <v>30</v>
      </c>
      <c r="L483" s="8">
        <v>2</v>
      </c>
      <c r="M483" s="9" t="s">
        <v>31</v>
      </c>
      <c r="N483" s="9" t="str">
        <f t="shared" si="3"/>
        <v>Neuro</v>
      </c>
      <c r="O483" s="10">
        <v>11788.75</v>
      </c>
      <c r="P483" s="10">
        <v>6837.47</v>
      </c>
      <c r="Q483" s="11"/>
      <c r="R483" s="13" t="str">
        <f>IF(Patient_Data!$L483&lt;2,"Low Risk",IF(Patient_Data!$L483&lt;4,"Moderate Risk","High Risk"))</f>
        <v>Moderate Risk</v>
      </c>
      <c r="S483" s="12" t="str">
        <f>IF(Patient_Data[[#This Row],[Age]]&lt;=18,"Pediatric",IF(Patient_Data[[#This Row],[Age]]&lt;=64,"Adult","Geriatric"))</f>
        <v>Adult</v>
      </c>
    </row>
    <row r="484" spans="1:19" ht="15.75" customHeight="1" x14ac:dyDescent="0.3">
      <c r="A484" s="4" t="s">
        <v>1034</v>
      </c>
      <c r="B484" s="5" t="str">
        <f>TEXT(Patient_Data!$E484,"mmmm")</f>
        <v>February</v>
      </c>
      <c r="C484" s="6" t="str">
        <f t="shared" si="2"/>
        <v>Feb</v>
      </c>
      <c r="D484" s="6">
        <f>MONTH(Patient_Data!$E484)</f>
        <v>2</v>
      </c>
      <c r="E484" s="7">
        <v>45331</v>
      </c>
      <c r="F484" s="55" t="str">
        <f>TEXT(Patient_Data[[#This Row],[Admission_Date]],"YYYY")</f>
        <v>2024</v>
      </c>
      <c r="G484" s="8" t="s">
        <v>1035</v>
      </c>
      <c r="H484" s="8" t="s">
        <v>42</v>
      </c>
      <c r="I484" s="4" t="s">
        <v>29</v>
      </c>
      <c r="J484" s="4">
        <v>31</v>
      </c>
      <c r="K484" s="4" t="s">
        <v>30</v>
      </c>
      <c r="L484" s="8">
        <v>3</v>
      </c>
      <c r="M484" s="9" t="s">
        <v>39</v>
      </c>
      <c r="N484" s="9" t="str">
        <f t="shared" si="3"/>
        <v>GM</v>
      </c>
      <c r="O484" s="10">
        <v>2148.9699999999998</v>
      </c>
      <c r="P484" s="10">
        <v>1357.27</v>
      </c>
      <c r="Q484" s="11">
        <v>5.8</v>
      </c>
      <c r="R484" s="13" t="str">
        <f>IF(Patient_Data!$L484&lt;2,"Low Risk",IF(Patient_Data!$L484&lt;4,"Moderate Risk","High Risk"))</f>
        <v>Moderate Risk</v>
      </c>
      <c r="S484" s="12" t="str">
        <f>IF(Patient_Data[[#This Row],[Age]]&lt;=18,"Pediatric",IF(Patient_Data[[#This Row],[Age]]&lt;=64,"Adult","Geriatric"))</f>
        <v>Adult</v>
      </c>
    </row>
    <row r="485" spans="1:19" ht="15.75" customHeight="1" x14ac:dyDescent="0.3">
      <c r="A485" s="4" t="s">
        <v>1036</v>
      </c>
      <c r="B485" s="5" t="str">
        <f>TEXT(Patient_Data!$E485,"mmmm")</f>
        <v>July</v>
      </c>
      <c r="C485" s="6" t="str">
        <f t="shared" si="2"/>
        <v>Jul</v>
      </c>
      <c r="D485" s="6">
        <f>MONTH(Patient_Data!$E485)</f>
        <v>7</v>
      </c>
      <c r="E485" s="7">
        <v>45839</v>
      </c>
      <c r="F485" s="55" t="str">
        <f>TEXT(Patient_Data[[#This Row],[Admission_Date]],"YYYY")</f>
        <v>2025</v>
      </c>
      <c r="G485" s="8" t="s">
        <v>1037</v>
      </c>
      <c r="H485" s="8" t="s">
        <v>49</v>
      </c>
      <c r="I485" s="4" t="s">
        <v>29</v>
      </c>
      <c r="J485" s="4">
        <v>23</v>
      </c>
      <c r="K485" s="4" t="s">
        <v>30</v>
      </c>
      <c r="L485" s="8">
        <v>3</v>
      </c>
      <c r="M485" s="9" t="s">
        <v>39</v>
      </c>
      <c r="N485" s="9" t="str">
        <f t="shared" si="3"/>
        <v>GM</v>
      </c>
      <c r="O485" s="10">
        <v>1660.83</v>
      </c>
      <c r="P485" s="10">
        <v>1126.93</v>
      </c>
      <c r="Q485" s="11">
        <v>8</v>
      </c>
      <c r="R485" s="13" t="str">
        <f>IF(Patient_Data!$L485&lt;2,"Low Risk",IF(Patient_Data!$L485&lt;4,"Moderate Risk","High Risk"))</f>
        <v>Moderate Risk</v>
      </c>
      <c r="S485" s="12" t="str">
        <f>IF(Patient_Data[[#This Row],[Age]]&lt;=18,"Pediatric",IF(Patient_Data[[#This Row],[Age]]&lt;=64,"Adult","Geriatric"))</f>
        <v>Adult</v>
      </c>
    </row>
    <row r="486" spans="1:19" ht="15.75" customHeight="1" x14ac:dyDescent="0.3">
      <c r="A486" s="4" t="s">
        <v>1038</v>
      </c>
      <c r="B486" s="5" t="str">
        <f>TEXT(Patient_Data!$E486,"mmmm")</f>
        <v>October</v>
      </c>
      <c r="C486" s="6" t="str">
        <f t="shared" si="2"/>
        <v>Oct</v>
      </c>
      <c r="D486" s="6">
        <f>MONTH(Patient_Data!$E486)</f>
        <v>10</v>
      </c>
      <c r="E486" s="7">
        <v>45945</v>
      </c>
      <c r="F486" s="55" t="str">
        <f>TEXT(Patient_Data[[#This Row],[Admission_Date]],"YYYY")</f>
        <v>2025</v>
      </c>
      <c r="G486" s="8" t="s">
        <v>1039</v>
      </c>
      <c r="H486" s="8" t="s">
        <v>98</v>
      </c>
      <c r="I486" s="4" t="s">
        <v>35</v>
      </c>
      <c r="J486" s="4">
        <v>75</v>
      </c>
      <c r="K486" s="4" t="s">
        <v>45</v>
      </c>
      <c r="L486" s="8">
        <v>4</v>
      </c>
      <c r="M486" s="9" t="s">
        <v>72</v>
      </c>
      <c r="N486" s="9" t="str">
        <f t="shared" si="3"/>
        <v>Surgery</v>
      </c>
      <c r="O486" s="10">
        <v>15969.49</v>
      </c>
      <c r="P486" s="10">
        <v>10748.36</v>
      </c>
      <c r="Q486" s="11">
        <v>6.1</v>
      </c>
      <c r="R486" s="13" t="str">
        <f>IF(Patient_Data!$L486&lt;2,"Low Risk",IF(Patient_Data!$L486&lt;4,"Moderate Risk","High Risk"))</f>
        <v>High Risk</v>
      </c>
      <c r="S486" s="12" t="str">
        <f>IF(Patient_Data[[#This Row],[Age]]&lt;=18,"Pediatric",IF(Patient_Data[[#This Row],[Age]]&lt;=64,"Adult","Geriatric"))</f>
        <v>Geriatric</v>
      </c>
    </row>
    <row r="487" spans="1:19" ht="15.75" customHeight="1" x14ac:dyDescent="0.3">
      <c r="A487" s="4" t="s">
        <v>1040</v>
      </c>
      <c r="B487" s="5" t="str">
        <f>TEXT(Patient_Data!$E487,"mmmm")</f>
        <v>November</v>
      </c>
      <c r="C487" s="6" t="str">
        <f t="shared" si="2"/>
        <v>Nov</v>
      </c>
      <c r="D487" s="6">
        <f>MONTH(Patient_Data!$E487)</f>
        <v>11</v>
      </c>
      <c r="E487" s="7">
        <v>45240</v>
      </c>
      <c r="F487" s="55" t="str">
        <f>TEXT(Patient_Data[[#This Row],[Admission_Date]],"YYYY")</f>
        <v>2023</v>
      </c>
      <c r="G487" s="8" t="s">
        <v>1041</v>
      </c>
      <c r="H487" s="8" t="s">
        <v>28</v>
      </c>
      <c r="I487" s="4" t="s">
        <v>29</v>
      </c>
      <c r="J487" s="4">
        <v>39</v>
      </c>
      <c r="K487" s="4" t="s">
        <v>30</v>
      </c>
      <c r="L487" s="8">
        <v>1</v>
      </c>
      <c r="M487" s="9" t="s">
        <v>83</v>
      </c>
      <c r="N487" s="9" t="str">
        <f t="shared" si="3"/>
        <v>ER</v>
      </c>
      <c r="O487" s="10">
        <v>4214.74</v>
      </c>
      <c r="P487" s="10">
        <v>3088.72</v>
      </c>
      <c r="Q487" s="11">
        <v>17.3</v>
      </c>
      <c r="R487" s="13" t="str">
        <f>IF(Patient_Data!$L487&lt;2,"Low Risk",IF(Patient_Data!$L487&lt;4,"Moderate Risk","High Risk"))</f>
        <v>Low Risk</v>
      </c>
      <c r="S487" s="12" t="str">
        <f>IF(Patient_Data[[#This Row],[Age]]&lt;=18,"Pediatric",IF(Patient_Data[[#This Row],[Age]]&lt;=64,"Adult","Geriatric"))</f>
        <v>Adult</v>
      </c>
    </row>
    <row r="488" spans="1:19" ht="15.75" customHeight="1" x14ac:dyDescent="0.3">
      <c r="A488" s="4" t="s">
        <v>1042</v>
      </c>
      <c r="B488" s="5" t="str">
        <f>TEXT(Patient_Data!$E488,"mmmm")</f>
        <v>January</v>
      </c>
      <c r="C488" s="6" t="str">
        <f t="shared" si="2"/>
        <v>Jan</v>
      </c>
      <c r="D488" s="6">
        <f>MONTH(Patient_Data!$E488)</f>
        <v>1</v>
      </c>
      <c r="E488" s="7">
        <v>45307</v>
      </c>
      <c r="F488" s="55" t="str">
        <f>TEXT(Patient_Data[[#This Row],[Admission_Date]],"YYYY")</f>
        <v>2024</v>
      </c>
      <c r="G488" s="8" t="s">
        <v>1043</v>
      </c>
      <c r="H488" s="8" t="s">
        <v>82</v>
      </c>
      <c r="I488" s="4" t="s">
        <v>35</v>
      </c>
      <c r="J488" s="4">
        <v>71</v>
      </c>
      <c r="K488" s="4" t="s">
        <v>45</v>
      </c>
      <c r="L488" s="8">
        <v>3</v>
      </c>
      <c r="M488" s="9" t="s">
        <v>83</v>
      </c>
      <c r="N488" s="9" t="str">
        <f t="shared" si="3"/>
        <v>ER</v>
      </c>
      <c r="O488" s="10">
        <v>9385.2999999999993</v>
      </c>
      <c r="P488" s="10">
        <v>7016.87</v>
      </c>
      <c r="Q488" s="11">
        <v>20.7</v>
      </c>
      <c r="R488" s="13" t="str">
        <f>IF(Patient_Data!$L488&lt;2,"Low Risk",IF(Patient_Data!$L488&lt;4,"Moderate Risk","High Risk"))</f>
        <v>Moderate Risk</v>
      </c>
      <c r="S488" s="12" t="str">
        <f>IF(Patient_Data[[#This Row],[Age]]&lt;=18,"Pediatric",IF(Patient_Data[[#This Row],[Age]]&lt;=64,"Adult","Geriatric"))</f>
        <v>Geriatric</v>
      </c>
    </row>
    <row r="489" spans="1:19" ht="15.75" customHeight="1" x14ac:dyDescent="0.3">
      <c r="A489" s="4" t="s">
        <v>1044</v>
      </c>
      <c r="B489" s="5" t="str">
        <f>TEXT(Patient_Data!$E489,"mmmm")</f>
        <v>April</v>
      </c>
      <c r="C489" s="6" t="str">
        <f t="shared" si="2"/>
        <v>Apr</v>
      </c>
      <c r="D489" s="6">
        <f>MONTH(Patient_Data!$E489)</f>
        <v>4</v>
      </c>
      <c r="E489" s="7">
        <v>45755</v>
      </c>
      <c r="F489" s="55" t="str">
        <f>TEXT(Patient_Data[[#This Row],[Admission_Date]],"YYYY")</f>
        <v>2025</v>
      </c>
      <c r="G489" s="8" t="s">
        <v>1045</v>
      </c>
      <c r="H489" s="8" t="s">
        <v>28</v>
      </c>
      <c r="I489" s="4" t="s">
        <v>29</v>
      </c>
      <c r="J489" s="4">
        <v>1</v>
      </c>
      <c r="K489" s="4" t="s">
        <v>30</v>
      </c>
      <c r="L489" s="8">
        <v>2</v>
      </c>
      <c r="M489" s="9" t="s">
        <v>79</v>
      </c>
      <c r="N489" s="9" t="str">
        <f t="shared" si="3"/>
        <v>PD</v>
      </c>
      <c r="O489" s="10">
        <v>2493.6999999999998</v>
      </c>
      <c r="P489" s="10">
        <v>1916.01</v>
      </c>
      <c r="Q489" s="11">
        <v>2.6</v>
      </c>
      <c r="R489" s="13" t="str">
        <f>IF(Patient_Data!$L489&lt;2,"Low Risk",IF(Patient_Data!$L489&lt;4,"Moderate Risk","High Risk"))</f>
        <v>Moderate Risk</v>
      </c>
      <c r="S489" s="12" t="str">
        <f>IF(Patient_Data[[#This Row],[Age]]&lt;=18,"Pediatric",IF(Patient_Data[[#This Row],[Age]]&lt;=64,"Adult","Geriatric"))</f>
        <v>Pediatric</v>
      </c>
    </row>
    <row r="490" spans="1:19" ht="15.75" customHeight="1" x14ac:dyDescent="0.3">
      <c r="A490" s="4" t="s">
        <v>1046</v>
      </c>
      <c r="B490" s="5" t="str">
        <f>TEXT(Patient_Data!$E490,"mmmm")</f>
        <v>December</v>
      </c>
      <c r="C490" s="6" t="str">
        <f t="shared" si="2"/>
        <v>Dec</v>
      </c>
      <c r="D490" s="6">
        <f>MONTH(Patient_Data!$E490)</f>
        <v>12</v>
      </c>
      <c r="E490" s="7">
        <v>45632</v>
      </c>
      <c r="F490" s="55" t="str">
        <f>TEXT(Patient_Data[[#This Row],[Admission_Date]],"YYYY")</f>
        <v>2024</v>
      </c>
      <c r="G490" s="8" t="s">
        <v>1047</v>
      </c>
      <c r="H490" s="8" t="s">
        <v>34</v>
      </c>
      <c r="I490" s="4" t="s">
        <v>35</v>
      </c>
      <c r="J490" s="4">
        <v>74</v>
      </c>
      <c r="K490" s="4" t="s">
        <v>30</v>
      </c>
      <c r="L490" s="8">
        <v>2</v>
      </c>
      <c r="M490" s="9" t="s">
        <v>39</v>
      </c>
      <c r="N490" s="9" t="str">
        <f t="shared" si="3"/>
        <v>GM</v>
      </c>
      <c r="O490" s="10">
        <v>2707.36</v>
      </c>
      <c r="P490" s="10">
        <v>1640.67</v>
      </c>
      <c r="Q490" s="11">
        <v>8.8000000000000007</v>
      </c>
      <c r="R490" s="13" t="str">
        <f>IF(Patient_Data!$L490&lt;2,"Low Risk",IF(Patient_Data!$L490&lt;4,"Moderate Risk","High Risk"))</f>
        <v>Moderate Risk</v>
      </c>
      <c r="S490" s="12" t="str">
        <f>IF(Patient_Data[[#This Row],[Age]]&lt;=18,"Pediatric",IF(Patient_Data[[#This Row],[Age]]&lt;=64,"Adult","Geriatric"))</f>
        <v>Geriatric</v>
      </c>
    </row>
    <row r="491" spans="1:19" ht="15.75" customHeight="1" x14ac:dyDescent="0.3">
      <c r="A491" s="4" t="s">
        <v>1048</v>
      </c>
      <c r="B491" s="5" t="str">
        <f>TEXT(Patient_Data!$E491,"mmmm")</f>
        <v>March</v>
      </c>
      <c r="C491" s="6" t="str">
        <f t="shared" si="2"/>
        <v>Mar</v>
      </c>
      <c r="D491" s="6">
        <f>MONTH(Patient_Data!$E491)</f>
        <v>3</v>
      </c>
      <c r="E491" s="7">
        <v>45352</v>
      </c>
      <c r="F491" s="55" t="str">
        <f>TEXT(Patient_Data[[#This Row],[Admission_Date]],"YYYY")</f>
        <v>2024</v>
      </c>
      <c r="G491" s="8" t="s">
        <v>1049</v>
      </c>
      <c r="H491" s="8" t="s">
        <v>132</v>
      </c>
      <c r="I491" s="4" t="s">
        <v>35</v>
      </c>
      <c r="J491" s="4">
        <v>85</v>
      </c>
      <c r="K491" s="4" t="s">
        <v>54</v>
      </c>
      <c r="L491" s="8">
        <v>4</v>
      </c>
      <c r="M491" s="9" t="s">
        <v>50</v>
      </c>
      <c r="N491" s="9" t="str">
        <f t="shared" si="3"/>
        <v>ICU</v>
      </c>
      <c r="O491" s="10">
        <v>15112.9</v>
      </c>
      <c r="P491" s="10">
        <v>9359.67</v>
      </c>
      <c r="Q491" s="11">
        <v>17.600000000000001</v>
      </c>
      <c r="R491" s="13" t="str">
        <f>IF(Patient_Data!$L491&lt;2,"Low Risk",IF(Patient_Data!$L491&lt;4,"Moderate Risk","High Risk"))</f>
        <v>High Risk</v>
      </c>
      <c r="S491" s="12" t="str">
        <f>IF(Patient_Data[[#This Row],[Age]]&lt;=18,"Pediatric",IF(Patient_Data[[#This Row],[Age]]&lt;=64,"Adult","Geriatric"))</f>
        <v>Geriatric</v>
      </c>
    </row>
    <row r="492" spans="1:19" ht="15.75" customHeight="1" x14ac:dyDescent="0.3">
      <c r="A492" s="4" t="s">
        <v>1050</v>
      </c>
      <c r="B492" s="5" t="str">
        <f>TEXT(Patient_Data!$E492,"mmmm")</f>
        <v>February</v>
      </c>
      <c r="C492" s="6" t="str">
        <f t="shared" si="2"/>
        <v>Feb</v>
      </c>
      <c r="D492" s="6">
        <f>MONTH(Patient_Data!$E492)</f>
        <v>2</v>
      </c>
      <c r="E492" s="7">
        <v>46055</v>
      </c>
      <c r="F492" s="55" t="str">
        <f>TEXT(Patient_Data[[#This Row],[Admission_Date]],"YYYY")</f>
        <v>2026</v>
      </c>
      <c r="G492" s="8" t="s">
        <v>1051</v>
      </c>
      <c r="H492" s="8" t="s">
        <v>132</v>
      </c>
      <c r="I492" s="4" t="s">
        <v>35</v>
      </c>
      <c r="J492" s="4">
        <v>64</v>
      </c>
      <c r="K492" s="4" t="s">
        <v>54</v>
      </c>
      <c r="L492" s="8">
        <v>1</v>
      </c>
      <c r="M492" s="9" t="s">
        <v>31</v>
      </c>
      <c r="N492" s="9" t="str">
        <f t="shared" si="3"/>
        <v>Neuro</v>
      </c>
      <c r="O492" s="10">
        <v>6015.96</v>
      </c>
      <c r="P492" s="10">
        <v>3918.21</v>
      </c>
      <c r="Q492" s="11">
        <v>8.5</v>
      </c>
      <c r="R492" s="13" t="str">
        <f>IF(Patient_Data!$L492&lt;2,"Low Risk",IF(Patient_Data!$L492&lt;4,"Moderate Risk","High Risk"))</f>
        <v>Low Risk</v>
      </c>
      <c r="S492" s="12" t="str">
        <f>IF(Patient_Data[[#This Row],[Age]]&lt;=18,"Pediatric",IF(Patient_Data[[#This Row],[Age]]&lt;=64,"Adult","Geriatric"))</f>
        <v>Adult</v>
      </c>
    </row>
    <row r="493" spans="1:19" ht="15.75" customHeight="1" x14ac:dyDescent="0.3">
      <c r="A493" s="4" t="s">
        <v>1052</v>
      </c>
      <c r="B493" s="5" t="str">
        <f>TEXT(Patient_Data!$E493,"mmmm")</f>
        <v>March</v>
      </c>
      <c r="C493" s="6" t="str">
        <f t="shared" si="2"/>
        <v>Mar</v>
      </c>
      <c r="D493" s="6">
        <f>MONTH(Patient_Data!$E493)</f>
        <v>3</v>
      </c>
      <c r="E493" s="7">
        <v>45372</v>
      </c>
      <c r="F493" s="55" t="str">
        <f>TEXT(Patient_Data[[#This Row],[Admission_Date]],"YYYY")</f>
        <v>2024</v>
      </c>
      <c r="G493" s="8" t="s">
        <v>1053</v>
      </c>
      <c r="H493" s="8" t="s">
        <v>28</v>
      </c>
      <c r="I493" s="4" t="s">
        <v>29</v>
      </c>
      <c r="J493" s="4">
        <v>37</v>
      </c>
      <c r="K493" s="4" t="s">
        <v>30</v>
      </c>
      <c r="L493" s="8">
        <v>2</v>
      </c>
      <c r="M493" s="9" t="s">
        <v>39</v>
      </c>
      <c r="N493" s="9" t="str">
        <f t="shared" si="3"/>
        <v>GM</v>
      </c>
      <c r="O493" s="10">
        <v>4189.16</v>
      </c>
      <c r="P493" s="10">
        <v>2875.54</v>
      </c>
      <c r="Q493" s="11">
        <v>8.6</v>
      </c>
      <c r="R493" s="13" t="str">
        <f>IF(Patient_Data!$L493&lt;2,"Low Risk",IF(Patient_Data!$L493&lt;4,"Moderate Risk","High Risk"))</f>
        <v>Moderate Risk</v>
      </c>
      <c r="S493" s="12" t="str">
        <f>IF(Patient_Data[[#This Row],[Age]]&lt;=18,"Pediatric",IF(Patient_Data[[#This Row],[Age]]&lt;=64,"Adult","Geriatric"))</f>
        <v>Adult</v>
      </c>
    </row>
    <row r="494" spans="1:19" ht="15.75" customHeight="1" x14ac:dyDescent="0.3">
      <c r="A494" s="4" t="s">
        <v>1054</v>
      </c>
      <c r="B494" s="5" t="str">
        <f>TEXT(Patient_Data!$E494,"mmmm")</f>
        <v>December</v>
      </c>
      <c r="C494" s="6" t="str">
        <f t="shared" si="2"/>
        <v>Dec</v>
      </c>
      <c r="D494" s="6">
        <f>MONTH(Patient_Data!$E494)</f>
        <v>12</v>
      </c>
      <c r="E494" s="7">
        <v>45261</v>
      </c>
      <c r="F494" s="55" t="str">
        <f>TEXT(Patient_Data[[#This Row],[Admission_Date]],"YYYY")</f>
        <v>2023</v>
      </c>
      <c r="G494" s="8" t="s">
        <v>1055</v>
      </c>
      <c r="H494" s="8" t="s">
        <v>34</v>
      </c>
      <c r="I494" s="4" t="s">
        <v>35</v>
      </c>
      <c r="J494" s="4">
        <v>49</v>
      </c>
      <c r="K494" s="4" t="s">
        <v>30</v>
      </c>
      <c r="L494" s="8">
        <v>2</v>
      </c>
      <c r="M494" s="9" t="s">
        <v>36</v>
      </c>
      <c r="N494" s="9" t="str">
        <f t="shared" si="3"/>
        <v>Cardio</v>
      </c>
      <c r="O494" s="10">
        <v>5485.43</v>
      </c>
      <c r="P494" s="10">
        <v>3882.2</v>
      </c>
      <c r="Q494" s="11">
        <v>5.3</v>
      </c>
      <c r="R494" s="13" t="str">
        <f>IF(Patient_Data!$L494&lt;2,"Low Risk",IF(Patient_Data!$L494&lt;4,"Moderate Risk","High Risk"))</f>
        <v>Moderate Risk</v>
      </c>
      <c r="S494" s="12" t="str">
        <f>IF(Patient_Data[[#This Row],[Age]]&lt;=18,"Pediatric",IF(Patient_Data[[#This Row],[Age]]&lt;=64,"Adult","Geriatric"))</f>
        <v>Adult</v>
      </c>
    </row>
    <row r="495" spans="1:19" ht="15.75" customHeight="1" x14ac:dyDescent="0.3">
      <c r="A495" s="4" t="s">
        <v>1056</v>
      </c>
      <c r="B495" s="5" t="str">
        <f>TEXT(Patient_Data!$E495,"mmmm")</f>
        <v>June</v>
      </c>
      <c r="C495" s="6" t="str">
        <f t="shared" si="2"/>
        <v>Jun</v>
      </c>
      <c r="D495" s="6">
        <f>MONTH(Patient_Data!$E495)</f>
        <v>6</v>
      </c>
      <c r="E495" s="7">
        <v>45831</v>
      </c>
      <c r="F495" s="55" t="str">
        <f>TEXT(Patient_Data[[#This Row],[Admission_Date]],"YYYY")</f>
        <v>2025</v>
      </c>
      <c r="G495" s="8" t="s">
        <v>1057</v>
      </c>
      <c r="H495" s="8" t="s">
        <v>34</v>
      </c>
      <c r="I495" s="4" t="s">
        <v>35</v>
      </c>
      <c r="J495" s="4">
        <v>13</v>
      </c>
      <c r="K495" s="4" t="s">
        <v>30</v>
      </c>
      <c r="L495" s="8">
        <v>3</v>
      </c>
      <c r="M495" s="9" t="s">
        <v>79</v>
      </c>
      <c r="N495" s="9" t="str">
        <f t="shared" si="3"/>
        <v>PD</v>
      </c>
      <c r="O495" s="10">
        <v>1409.51</v>
      </c>
      <c r="P495" s="10">
        <v>1064.94</v>
      </c>
      <c r="Q495" s="11">
        <v>4.5</v>
      </c>
      <c r="R495" s="13" t="str">
        <f>IF(Patient_Data!$L495&lt;2,"Low Risk",IF(Patient_Data!$L495&lt;4,"Moderate Risk","High Risk"))</f>
        <v>Moderate Risk</v>
      </c>
      <c r="S495" s="12" t="str">
        <f>IF(Patient_Data[[#This Row],[Age]]&lt;=18,"Pediatric",IF(Patient_Data[[#This Row],[Age]]&lt;=64,"Adult","Geriatric"))</f>
        <v>Pediatric</v>
      </c>
    </row>
    <row r="496" spans="1:19" ht="15.75" customHeight="1" x14ac:dyDescent="0.3">
      <c r="A496" s="4" t="s">
        <v>1058</v>
      </c>
      <c r="B496" s="5" t="str">
        <f>TEXT(Patient_Data!$E496,"mmmm")</f>
        <v>December</v>
      </c>
      <c r="C496" s="6" t="str">
        <f t="shared" si="2"/>
        <v>Dec</v>
      </c>
      <c r="D496" s="6">
        <f>MONTH(Patient_Data!$E496)</f>
        <v>12</v>
      </c>
      <c r="E496" s="7">
        <v>45281</v>
      </c>
      <c r="F496" s="55" t="str">
        <f>TEXT(Patient_Data[[#This Row],[Admission_Date]],"YYYY")</f>
        <v>2023</v>
      </c>
      <c r="G496" s="8" t="s">
        <v>1059</v>
      </c>
      <c r="H496" s="8" t="s">
        <v>34</v>
      </c>
      <c r="I496" s="4" t="s">
        <v>35</v>
      </c>
      <c r="J496" s="4">
        <v>57</v>
      </c>
      <c r="K496" s="4" t="s">
        <v>30</v>
      </c>
      <c r="L496" s="8">
        <v>3</v>
      </c>
      <c r="M496" s="9" t="s">
        <v>72</v>
      </c>
      <c r="N496" s="9" t="str">
        <f t="shared" si="3"/>
        <v>Surgery</v>
      </c>
      <c r="O496" s="10">
        <v>14808.2</v>
      </c>
      <c r="P496" s="10">
        <v>11310.23</v>
      </c>
      <c r="Q496" s="11">
        <v>7</v>
      </c>
      <c r="R496" s="13" t="str">
        <f>IF(Patient_Data!$L496&lt;2,"Low Risk",IF(Patient_Data!$L496&lt;4,"Moderate Risk","High Risk"))</f>
        <v>Moderate Risk</v>
      </c>
      <c r="S496" s="12" t="str">
        <f>IF(Patient_Data[[#This Row],[Age]]&lt;=18,"Pediatric",IF(Patient_Data[[#This Row],[Age]]&lt;=64,"Adult","Geriatric"))</f>
        <v>Adult</v>
      </c>
    </row>
    <row r="497" spans="1:19" ht="15.75" customHeight="1" x14ac:dyDescent="0.3">
      <c r="A497" s="4" t="s">
        <v>1060</v>
      </c>
      <c r="B497" s="5" t="str">
        <f>TEXT(Patient_Data!$E497,"mmmm")</f>
        <v>January</v>
      </c>
      <c r="C497" s="6" t="str">
        <f t="shared" si="2"/>
        <v>Jan</v>
      </c>
      <c r="D497" s="6">
        <f>MONTH(Patient_Data!$E497)</f>
        <v>1</v>
      </c>
      <c r="E497" s="7">
        <v>46049</v>
      </c>
      <c r="F497" s="55" t="str">
        <f>TEXT(Patient_Data[[#This Row],[Admission_Date]],"YYYY")</f>
        <v>2026</v>
      </c>
      <c r="G497" s="8" t="s">
        <v>1061</v>
      </c>
      <c r="H497" s="8" t="s">
        <v>53</v>
      </c>
      <c r="I497" s="4" t="s">
        <v>35</v>
      </c>
      <c r="J497" s="4">
        <v>20</v>
      </c>
      <c r="K497" s="4" t="s">
        <v>30</v>
      </c>
      <c r="L497" s="8">
        <v>1</v>
      </c>
      <c r="M497" s="9" t="s">
        <v>39</v>
      </c>
      <c r="N497" s="9" t="str">
        <f t="shared" si="3"/>
        <v>GM</v>
      </c>
      <c r="O497" s="10">
        <v>4631.68</v>
      </c>
      <c r="P497" s="10">
        <v>2754.37</v>
      </c>
      <c r="Q497" s="11">
        <v>8.5</v>
      </c>
      <c r="R497" s="13" t="str">
        <f>IF(Patient_Data!$L497&lt;2,"Low Risk",IF(Patient_Data!$L497&lt;4,"Moderate Risk","High Risk"))</f>
        <v>Low Risk</v>
      </c>
      <c r="S497" s="12" t="str">
        <f>IF(Patient_Data[[#This Row],[Age]]&lt;=18,"Pediatric",IF(Patient_Data[[#This Row],[Age]]&lt;=64,"Adult","Geriatric"))</f>
        <v>Adult</v>
      </c>
    </row>
    <row r="498" spans="1:19" ht="15.75" customHeight="1" x14ac:dyDescent="0.3">
      <c r="A498" s="4" t="s">
        <v>1062</v>
      </c>
      <c r="B498" s="5" t="str">
        <f>TEXT(Patient_Data!$E498,"mmmm")</f>
        <v>December</v>
      </c>
      <c r="C498" s="6" t="str">
        <f t="shared" si="2"/>
        <v>Dec</v>
      </c>
      <c r="D498" s="6">
        <f>MONTH(Patient_Data!$E498)</f>
        <v>12</v>
      </c>
      <c r="E498" s="7">
        <v>46010</v>
      </c>
      <c r="F498" s="55" t="str">
        <f>TEXT(Patient_Data[[#This Row],[Admission_Date]],"YYYY")</f>
        <v>2025</v>
      </c>
      <c r="G498" s="8" t="s">
        <v>1063</v>
      </c>
      <c r="H498" s="8" t="s">
        <v>28</v>
      </c>
      <c r="I498" s="4" t="s">
        <v>35</v>
      </c>
      <c r="J498" s="4">
        <v>33</v>
      </c>
      <c r="K498" s="4" t="s">
        <v>30</v>
      </c>
      <c r="L498" s="8">
        <v>3</v>
      </c>
      <c r="M498" s="9" t="s">
        <v>39</v>
      </c>
      <c r="N498" s="9" t="str">
        <f t="shared" si="3"/>
        <v>GM</v>
      </c>
      <c r="O498" s="10">
        <v>3238.74</v>
      </c>
      <c r="P498" s="10">
        <v>2022.03</v>
      </c>
      <c r="Q498" s="11">
        <v>5.8</v>
      </c>
      <c r="R498" s="13" t="str">
        <f>IF(Patient_Data!$L498&lt;2,"Low Risk",IF(Patient_Data!$L498&lt;4,"Moderate Risk","High Risk"))</f>
        <v>Moderate Risk</v>
      </c>
      <c r="S498" s="12" t="str">
        <f>IF(Patient_Data[[#This Row],[Age]]&lt;=18,"Pediatric",IF(Patient_Data[[#This Row],[Age]]&lt;=64,"Adult","Geriatric"))</f>
        <v>Adult</v>
      </c>
    </row>
    <row r="499" spans="1:19" ht="15.75" customHeight="1" x14ac:dyDescent="0.3">
      <c r="A499" s="4" t="s">
        <v>1064</v>
      </c>
      <c r="B499" s="5" t="str">
        <f>TEXT(Patient_Data!$E499,"mmmm")</f>
        <v>February</v>
      </c>
      <c r="C499" s="6" t="str">
        <f t="shared" si="2"/>
        <v>Feb</v>
      </c>
      <c r="D499" s="6">
        <f>MONTH(Patient_Data!$E499)</f>
        <v>2</v>
      </c>
      <c r="E499" s="7">
        <v>45328</v>
      </c>
      <c r="F499" s="55" t="str">
        <f>TEXT(Patient_Data[[#This Row],[Admission_Date]],"YYYY")</f>
        <v>2024</v>
      </c>
      <c r="G499" s="8" t="s">
        <v>1065</v>
      </c>
      <c r="H499" s="8" t="s">
        <v>28</v>
      </c>
      <c r="I499" s="4" t="s">
        <v>35</v>
      </c>
      <c r="J499" s="4">
        <v>41</v>
      </c>
      <c r="K499" s="4" t="s">
        <v>54</v>
      </c>
      <c r="L499" s="8">
        <v>5</v>
      </c>
      <c r="M499" s="9" t="s">
        <v>72</v>
      </c>
      <c r="N499" s="9" t="str">
        <f t="shared" si="3"/>
        <v>Surgery</v>
      </c>
      <c r="O499" s="10">
        <v>13178.83</v>
      </c>
      <c r="P499" s="10">
        <v>8476.85</v>
      </c>
      <c r="Q499" s="11">
        <v>5.3</v>
      </c>
      <c r="R499" s="13" t="str">
        <f>IF(Patient_Data!$L499&lt;2,"Low Risk",IF(Patient_Data!$L499&lt;4,"Moderate Risk","High Risk"))</f>
        <v>High Risk</v>
      </c>
      <c r="S499" s="12" t="str">
        <f>IF(Patient_Data[[#This Row],[Age]]&lt;=18,"Pediatric",IF(Patient_Data[[#This Row],[Age]]&lt;=64,"Adult","Geriatric"))</f>
        <v>Adult</v>
      </c>
    </row>
    <row r="500" spans="1:19" ht="15.75" customHeight="1" x14ac:dyDescent="0.3">
      <c r="A500" s="4" t="s">
        <v>1066</v>
      </c>
      <c r="B500" s="5" t="str">
        <f>TEXT(Patient_Data!$E500,"mmmm")</f>
        <v>October</v>
      </c>
      <c r="C500" s="6" t="str">
        <f t="shared" si="2"/>
        <v>Oct</v>
      </c>
      <c r="D500" s="6">
        <f>MONTH(Patient_Data!$E500)</f>
        <v>10</v>
      </c>
      <c r="E500" s="7">
        <v>45950</v>
      </c>
      <c r="F500" s="55" t="str">
        <f>TEXT(Patient_Data[[#This Row],[Admission_Date]],"YYYY")</f>
        <v>2025</v>
      </c>
      <c r="G500" s="8" t="s">
        <v>1067</v>
      </c>
      <c r="H500" s="8" t="s">
        <v>98</v>
      </c>
      <c r="I500" s="4" t="s">
        <v>29</v>
      </c>
      <c r="J500" s="4">
        <v>64</v>
      </c>
      <c r="K500" s="4" t="s">
        <v>30</v>
      </c>
      <c r="L500" s="8">
        <v>1</v>
      </c>
      <c r="M500" s="9" t="s">
        <v>31</v>
      </c>
      <c r="N500" s="9" t="str">
        <f t="shared" si="3"/>
        <v>Neuro</v>
      </c>
      <c r="O500" s="10">
        <v>8350.61</v>
      </c>
      <c r="P500" s="10">
        <v>5683.71</v>
      </c>
      <c r="Q500" s="11">
        <v>11.1</v>
      </c>
      <c r="R500" s="13" t="str">
        <f>IF(Patient_Data!$L500&lt;2,"Low Risk",IF(Patient_Data!$L500&lt;4,"Moderate Risk","High Risk"))</f>
        <v>Low Risk</v>
      </c>
      <c r="S500" s="12" t="str">
        <f>IF(Patient_Data[[#This Row],[Age]]&lt;=18,"Pediatric",IF(Patient_Data[[#This Row],[Age]]&lt;=64,"Adult","Geriatric"))</f>
        <v>Adult</v>
      </c>
    </row>
    <row r="501" spans="1:19" ht="15.75" customHeight="1" x14ac:dyDescent="0.3">
      <c r="A501" s="4" t="s">
        <v>1068</v>
      </c>
      <c r="B501" s="5" t="str">
        <f>TEXT(Patient_Data!$E501,"mmmm")</f>
        <v>January</v>
      </c>
      <c r="C501" s="6" t="str">
        <f t="shared" si="2"/>
        <v>Jan</v>
      </c>
      <c r="D501" s="6">
        <f>MONTH(Patient_Data!$E501)</f>
        <v>1</v>
      </c>
      <c r="E501" s="7">
        <v>45660</v>
      </c>
      <c r="F501" s="55" t="str">
        <f>TEXT(Patient_Data[[#This Row],[Admission_Date]],"YYYY")</f>
        <v>2025</v>
      </c>
      <c r="G501" s="8" t="s">
        <v>1069</v>
      </c>
      <c r="H501" s="8" t="s">
        <v>75</v>
      </c>
      <c r="I501" s="4" t="s">
        <v>29</v>
      </c>
      <c r="J501" s="4">
        <v>40</v>
      </c>
      <c r="K501" s="4" t="s">
        <v>45</v>
      </c>
      <c r="L501" s="8">
        <v>3</v>
      </c>
      <c r="M501" s="9" t="s">
        <v>83</v>
      </c>
      <c r="N501" s="9" t="str">
        <f t="shared" si="3"/>
        <v>ER</v>
      </c>
      <c r="O501" s="10">
        <v>11314.18</v>
      </c>
      <c r="P501" s="10">
        <v>8046.33</v>
      </c>
      <c r="Q501" s="11">
        <v>15.8</v>
      </c>
      <c r="R501" s="13" t="str">
        <f>IF(Patient_Data!$L501&lt;2,"Low Risk",IF(Patient_Data!$L501&lt;4,"Moderate Risk","High Risk"))</f>
        <v>Moderate Risk</v>
      </c>
      <c r="S501" s="12" t="str">
        <f>IF(Patient_Data[[#This Row],[Age]]&lt;=18,"Pediatric",IF(Patient_Data[[#This Row],[Age]]&lt;=64,"Adult","Geriatric"))</f>
        <v>Adult</v>
      </c>
    </row>
    <row r="502" spans="1:19" ht="15.75" customHeight="1" x14ac:dyDescent="0.3">
      <c r="A502" s="4" t="s">
        <v>1070</v>
      </c>
      <c r="B502" s="5" t="str">
        <f>TEXT(Patient_Data!$E502,"mmmm")</f>
        <v>June</v>
      </c>
      <c r="C502" s="6" t="str">
        <f t="shared" si="2"/>
        <v>Jun</v>
      </c>
      <c r="D502" s="6">
        <f>MONTH(Patient_Data!$E502)</f>
        <v>6</v>
      </c>
      <c r="E502" s="7">
        <v>45460</v>
      </c>
      <c r="F502" s="55" t="str">
        <f>TEXT(Patient_Data[[#This Row],[Admission_Date]],"YYYY")</f>
        <v>2024</v>
      </c>
      <c r="G502" s="8" t="s">
        <v>1071</v>
      </c>
      <c r="H502" s="8" t="s">
        <v>28</v>
      </c>
      <c r="I502" s="4" t="s">
        <v>35</v>
      </c>
      <c r="J502" s="4">
        <v>63</v>
      </c>
      <c r="K502" s="4" t="s">
        <v>30</v>
      </c>
      <c r="L502" s="8">
        <v>3</v>
      </c>
      <c r="M502" s="9" t="s">
        <v>46</v>
      </c>
      <c r="N502" s="9" t="str">
        <f t="shared" si="3"/>
        <v>Ortho</v>
      </c>
      <c r="O502" s="10">
        <v>6322.81</v>
      </c>
      <c r="P502" s="10">
        <v>4676.45</v>
      </c>
      <c r="Q502" s="11">
        <v>7.6</v>
      </c>
      <c r="R502" s="13" t="str">
        <f>IF(Patient_Data!$L502&lt;2,"Low Risk",IF(Patient_Data!$L502&lt;4,"Moderate Risk","High Risk"))</f>
        <v>Moderate Risk</v>
      </c>
      <c r="S502" s="12" t="str">
        <f>IF(Patient_Data[[#This Row],[Age]]&lt;=18,"Pediatric",IF(Patient_Data[[#This Row],[Age]]&lt;=64,"Adult","Geriatric"))</f>
        <v>Adult</v>
      </c>
    </row>
    <row r="503" spans="1:19" ht="15.75" customHeight="1" x14ac:dyDescent="0.3">
      <c r="A503" s="4" t="s">
        <v>1072</v>
      </c>
      <c r="B503" s="5" t="str">
        <f>TEXT(Patient_Data!$E503,"mmmm")</f>
        <v>December</v>
      </c>
      <c r="C503" s="6" t="str">
        <f t="shared" si="2"/>
        <v>Dec</v>
      </c>
      <c r="D503" s="6">
        <f>MONTH(Patient_Data!$E503)</f>
        <v>12</v>
      </c>
      <c r="E503" s="7">
        <v>45642</v>
      </c>
      <c r="F503" s="55" t="str">
        <f>TEXT(Patient_Data[[#This Row],[Admission_Date]],"YYYY")</f>
        <v>2024</v>
      </c>
      <c r="G503" s="8" t="s">
        <v>1073</v>
      </c>
      <c r="H503" s="8" t="s">
        <v>34</v>
      </c>
      <c r="I503" s="4" t="s">
        <v>35</v>
      </c>
      <c r="J503" s="4">
        <v>81</v>
      </c>
      <c r="K503" s="4" t="s">
        <v>54</v>
      </c>
      <c r="L503" s="8">
        <v>5</v>
      </c>
      <c r="M503" s="9" t="s">
        <v>31</v>
      </c>
      <c r="N503" s="9" t="str">
        <f t="shared" si="3"/>
        <v>Neuro</v>
      </c>
      <c r="O503" s="10">
        <v>13078.23</v>
      </c>
      <c r="P503" s="10">
        <v>9988.25</v>
      </c>
      <c r="Q503" s="11">
        <v>6.1</v>
      </c>
      <c r="R503" s="13" t="str">
        <f>IF(Patient_Data!$L503&lt;2,"Low Risk",IF(Patient_Data!$L503&lt;4,"Moderate Risk","High Risk"))</f>
        <v>High Risk</v>
      </c>
      <c r="S503" s="12" t="str">
        <f>IF(Patient_Data[[#This Row],[Age]]&lt;=18,"Pediatric",IF(Patient_Data[[#This Row],[Age]]&lt;=64,"Adult","Geriatric"))</f>
        <v>Geriatric</v>
      </c>
    </row>
    <row r="504" spans="1:19" ht="15.75" customHeight="1" x14ac:dyDescent="0.3">
      <c r="A504" s="4" t="s">
        <v>1074</v>
      </c>
      <c r="B504" s="5" t="str">
        <f>TEXT(Patient_Data!$E504,"mmmm")</f>
        <v>March</v>
      </c>
      <c r="C504" s="6" t="str">
        <f t="shared" si="2"/>
        <v>Mar</v>
      </c>
      <c r="D504" s="6">
        <f>MONTH(Patient_Data!$E504)</f>
        <v>3</v>
      </c>
      <c r="E504" s="7">
        <v>46111</v>
      </c>
      <c r="F504" s="55" t="str">
        <f>TEXT(Patient_Data[[#This Row],[Admission_Date]],"YYYY")</f>
        <v>2026</v>
      </c>
      <c r="G504" s="8" t="s">
        <v>1075</v>
      </c>
      <c r="H504" s="8" t="s">
        <v>28</v>
      </c>
      <c r="I504" s="4" t="s">
        <v>35</v>
      </c>
      <c r="J504" s="4">
        <v>28</v>
      </c>
      <c r="K504" s="4" t="s">
        <v>30</v>
      </c>
      <c r="L504" s="8">
        <v>1</v>
      </c>
      <c r="M504" s="9" t="s">
        <v>36</v>
      </c>
      <c r="N504" s="9" t="str">
        <f t="shared" si="3"/>
        <v>Cardio</v>
      </c>
      <c r="O504" s="10">
        <v>10710.47</v>
      </c>
      <c r="P504" s="10">
        <v>6232.87</v>
      </c>
      <c r="Q504" s="11">
        <v>2.6</v>
      </c>
      <c r="R504" s="13" t="str">
        <f>IF(Patient_Data!$L504&lt;2,"Low Risk",IF(Patient_Data!$L504&lt;4,"Moderate Risk","High Risk"))</f>
        <v>Low Risk</v>
      </c>
      <c r="S504" s="12" t="str">
        <f>IF(Patient_Data[[#This Row],[Age]]&lt;=18,"Pediatric",IF(Patient_Data[[#This Row],[Age]]&lt;=64,"Adult","Geriatric"))</f>
        <v>Adult</v>
      </c>
    </row>
    <row r="505" spans="1:19" ht="15.75" customHeight="1" x14ac:dyDescent="0.3">
      <c r="A505" s="4" t="s">
        <v>1076</v>
      </c>
      <c r="B505" s="5" t="str">
        <f>TEXT(Patient_Data!$E505,"mmmm")</f>
        <v>January</v>
      </c>
      <c r="C505" s="6" t="str">
        <f t="shared" si="2"/>
        <v>Jan</v>
      </c>
      <c r="D505" s="6">
        <f>MONTH(Patient_Data!$E505)</f>
        <v>1</v>
      </c>
      <c r="E505" s="7">
        <v>45687</v>
      </c>
      <c r="F505" s="55" t="str">
        <f>TEXT(Patient_Data[[#This Row],[Admission_Date]],"YYYY")</f>
        <v>2025</v>
      </c>
      <c r="G505" s="8" t="s">
        <v>1077</v>
      </c>
      <c r="H505" s="8" t="s">
        <v>53</v>
      </c>
      <c r="I505" s="4" t="s">
        <v>29</v>
      </c>
      <c r="J505" s="4">
        <v>7</v>
      </c>
      <c r="K505" s="4" t="s">
        <v>30</v>
      </c>
      <c r="L505" s="8">
        <v>1</v>
      </c>
      <c r="M505" s="9" t="s">
        <v>79</v>
      </c>
      <c r="N505" s="9" t="str">
        <f t="shared" si="3"/>
        <v>PD</v>
      </c>
      <c r="O505" s="10">
        <v>1715.92</v>
      </c>
      <c r="P505" s="10">
        <v>1071.51</v>
      </c>
      <c r="Q505" s="11">
        <v>3.1</v>
      </c>
      <c r="R505" s="13" t="str">
        <f>IF(Patient_Data!$L505&lt;2,"Low Risk",IF(Patient_Data!$L505&lt;4,"Moderate Risk","High Risk"))</f>
        <v>Low Risk</v>
      </c>
      <c r="S505" s="12" t="str">
        <f>IF(Patient_Data[[#This Row],[Age]]&lt;=18,"Pediatric",IF(Patient_Data[[#This Row],[Age]]&lt;=64,"Adult","Geriatric"))</f>
        <v>Pediatric</v>
      </c>
    </row>
    <row r="506" spans="1:19" ht="15.75" customHeight="1" x14ac:dyDescent="0.3">
      <c r="A506" s="4" t="s">
        <v>1078</v>
      </c>
      <c r="B506" s="5" t="str">
        <f>TEXT(Patient_Data!$E506,"mmmm")</f>
        <v>March</v>
      </c>
      <c r="C506" s="6" t="str">
        <f t="shared" si="2"/>
        <v>Mar</v>
      </c>
      <c r="D506" s="6">
        <f>MONTH(Patient_Data!$E506)</f>
        <v>3</v>
      </c>
      <c r="E506" s="7">
        <v>46108</v>
      </c>
      <c r="F506" s="55" t="str">
        <f>TEXT(Patient_Data[[#This Row],[Admission_Date]],"YYYY")</f>
        <v>2026</v>
      </c>
      <c r="G506" s="8" t="s">
        <v>1079</v>
      </c>
      <c r="H506" s="8" t="s">
        <v>28</v>
      </c>
      <c r="I506" s="4" t="s">
        <v>35</v>
      </c>
      <c r="J506" s="4">
        <v>91</v>
      </c>
      <c r="K506" s="4" t="s">
        <v>45</v>
      </c>
      <c r="L506" s="8">
        <v>1</v>
      </c>
      <c r="M506" s="9" t="s">
        <v>46</v>
      </c>
      <c r="N506" s="9" t="str">
        <f t="shared" si="3"/>
        <v>Ortho</v>
      </c>
      <c r="O506" s="10">
        <v>6942.96</v>
      </c>
      <c r="P506" s="10">
        <v>4512.29</v>
      </c>
      <c r="Q506" s="11">
        <v>8.6</v>
      </c>
      <c r="R506" s="13" t="str">
        <f>IF(Patient_Data!$L506&lt;2,"Low Risk",IF(Patient_Data!$L506&lt;4,"Moderate Risk","High Risk"))</f>
        <v>Low Risk</v>
      </c>
      <c r="S506" s="12" t="str">
        <f>IF(Patient_Data[[#This Row],[Age]]&lt;=18,"Pediatric",IF(Patient_Data[[#This Row],[Age]]&lt;=64,"Adult","Geriatric"))</f>
        <v>Geriatric</v>
      </c>
    </row>
    <row r="507" spans="1:19" ht="15.75" customHeight="1" x14ac:dyDescent="0.3">
      <c r="A507" s="4" t="s">
        <v>1080</v>
      </c>
      <c r="B507" s="5" t="str">
        <f>TEXT(Patient_Data!$E507,"mmmm")</f>
        <v>April</v>
      </c>
      <c r="C507" s="6" t="str">
        <f t="shared" si="2"/>
        <v>Apr</v>
      </c>
      <c r="D507" s="6">
        <f>MONTH(Patient_Data!$E507)</f>
        <v>4</v>
      </c>
      <c r="E507" s="7">
        <v>46119</v>
      </c>
      <c r="F507" s="55" t="str">
        <f>TEXT(Patient_Data[[#This Row],[Admission_Date]],"YYYY")</f>
        <v>2026</v>
      </c>
      <c r="G507" s="8" t="s">
        <v>1081</v>
      </c>
      <c r="H507" s="8" t="s">
        <v>28</v>
      </c>
      <c r="I507" s="4" t="s">
        <v>35</v>
      </c>
      <c r="J507" s="4">
        <v>32</v>
      </c>
      <c r="K507" s="4" t="s">
        <v>45</v>
      </c>
      <c r="L507" s="8">
        <v>4</v>
      </c>
      <c r="M507" s="9" t="s">
        <v>72</v>
      </c>
      <c r="N507" s="9" t="str">
        <f t="shared" si="3"/>
        <v>Surgery</v>
      </c>
      <c r="O507" s="10">
        <v>15801.26</v>
      </c>
      <c r="P507" s="10">
        <v>10681.24</v>
      </c>
      <c r="Q507" s="11">
        <v>11.8</v>
      </c>
      <c r="R507" s="13" t="str">
        <f>IF(Patient_Data!$L507&lt;2,"Low Risk",IF(Patient_Data!$L507&lt;4,"Moderate Risk","High Risk"))</f>
        <v>High Risk</v>
      </c>
      <c r="S507" s="12" t="str">
        <f>IF(Patient_Data[[#This Row],[Age]]&lt;=18,"Pediatric",IF(Patient_Data[[#This Row],[Age]]&lt;=64,"Adult","Geriatric"))</f>
        <v>Adult</v>
      </c>
    </row>
    <row r="508" spans="1:19" ht="15.75" customHeight="1" x14ac:dyDescent="0.3">
      <c r="A508" s="4" t="s">
        <v>1082</v>
      </c>
      <c r="B508" s="5" t="str">
        <f>TEXT(Patient_Data!$E508,"mmmm")</f>
        <v>April</v>
      </c>
      <c r="C508" s="6" t="str">
        <f t="shared" si="2"/>
        <v>Apr</v>
      </c>
      <c r="D508" s="6">
        <f>MONTH(Patient_Data!$E508)</f>
        <v>4</v>
      </c>
      <c r="E508" s="7">
        <v>45756</v>
      </c>
      <c r="F508" s="55" t="str">
        <f>TEXT(Patient_Data[[#This Row],[Admission_Date]],"YYYY")</f>
        <v>2025</v>
      </c>
      <c r="G508" s="8" t="s">
        <v>1083</v>
      </c>
      <c r="H508" s="8" t="s">
        <v>34</v>
      </c>
      <c r="I508" s="4" t="s">
        <v>29</v>
      </c>
      <c r="J508" s="4">
        <v>17</v>
      </c>
      <c r="K508" s="4" t="s">
        <v>30</v>
      </c>
      <c r="L508" s="8">
        <v>1</v>
      </c>
      <c r="M508" s="9" t="s">
        <v>79</v>
      </c>
      <c r="N508" s="9" t="str">
        <f t="shared" si="3"/>
        <v>PD</v>
      </c>
      <c r="O508" s="10">
        <v>825.45</v>
      </c>
      <c r="P508" s="10">
        <v>597.80999999999995</v>
      </c>
      <c r="Q508" s="11">
        <v>2.5</v>
      </c>
      <c r="R508" s="13" t="str">
        <f>IF(Patient_Data!$L508&lt;2,"Low Risk",IF(Patient_Data!$L508&lt;4,"Moderate Risk","High Risk"))</f>
        <v>Low Risk</v>
      </c>
      <c r="S508" s="12" t="str">
        <f>IF(Patient_Data[[#This Row],[Age]]&lt;=18,"Pediatric",IF(Patient_Data[[#This Row],[Age]]&lt;=64,"Adult","Geriatric"))</f>
        <v>Pediatric</v>
      </c>
    </row>
    <row r="509" spans="1:19" ht="15.75" customHeight="1" x14ac:dyDescent="0.3">
      <c r="A509" s="4" t="s">
        <v>1084</v>
      </c>
      <c r="B509" s="5" t="str">
        <f>TEXT(Patient_Data!$E509,"mmmm")</f>
        <v>July</v>
      </c>
      <c r="C509" s="6" t="str">
        <f t="shared" si="2"/>
        <v>Jul</v>
      </c>
      <c r="D509" s="6">
        <f>MONTH(Patient_Data!$E509)</f>
        <v>7</v>
      </c>
      <c r="E509" s="7">
        <v>45490</v>
      </c>
      <c r="F509" s="55" t="str">
        <f>TEXT(Patient_Data[[#This Row],[Admission_Date]],"YYYY")</f>
        <v>2024</v>
      </c>
      <c r="G509" s="8" t="s">
        <v>1085</v>
      </c>
      <c r="H509" s="8" t="s">
        <v>53</v>
      </c>
      <c r="I509" s="4" t="s">
        <v>29</v>
      </c>
      <c r="J509" s="4">
        <v>43</v>
      </c>
      <c r="K509" s="4" t="s">
        <v>45</v>
      </c>
      <c r="L509" s="8">
        <v>3</v>
      </c>
      <c r="M509" s="9" t="s">
        <v>72</v>
      </c>
      <c r="N509" s="9" t="str">
        <f t="shared" si="3"/>
        <v>Surgery</v>
      </c>
      <c r="O509" s="10">
        <v>18046.009999999998</v>
      </c>
      <c r="P509" s="10">
        <v>13220.79</v>
      </c>
      <c r="Q509" s="11">
        <v>5.9</v>
      </c>
      <c r="R509" s="13" t="str">
        <f>IF(Patient_Data!$L509&lt;2,"Low Risk",IF(Patient_Data!$L509&lt;4,"Moderate Risk","High Risk"))</f>
        <v>Moderate Risk</v>
      </c>
      <c r="S509" s="12" t="str">
        <f>IF(Patient_Data[[#This Row],[Age]]&lt;=18,"Pediatric",IF(Patient_Data[[#This Row],[Age]]&lt;=64,"Adult","Geriatric"))</f>
        <v>Adult</v>
      </c>
    </row>
    <row r="510" spans="1:19" ht="15.75" customHeight="1" x14ac:dyDescent="0.3">
      <c r="A510" s="4" t="s">
        <v>1086</v>
      </c>
      <c r="B510" s="5" t="str">
        <f>TEXT(Patient_Data!$E510,"mmmm")</f>
        <v>August</v>
      </c>
      <c r="C510" s="6" t="str">
        <f t="shared" si="2"/>
        <v>Aug</v>
      </c>
      <c r="D510" s="6">
        <f>MONTH(Patient_Data!$E510)</f>
        <v>8</v>
      </c>
      <c r="E510" s="7">
        <v>45874</v>
      </c>
      <c r="F510" s="55" t="str">
        <f>TEXT(Patient_Data[[#This Row],[Admission_Date]],"YYYY")</f>
        <v>2025</v>
      </c>
      <c r="G510" s="8" t="s">
        <v>1087</v>
      </c>
      <c r="H510" s="8" t="s">
        <v>98</v>
      </c>
      <c r="I510" s="4" t="s">
        <v>29</v>
      </c>
      <c r="J510" s="4">
        <v>42</v>
      </c>
      <c r="K510" s="4" t="s">
        <v>30</v>
      </c>
      <c r="L510" s="8">
        <v>3</v>
      </c>
      <c r="M510" s="9" t="s">
        <v>31</v>
      </c>
      <c r="N510" s="9" t="str">
        <f t="shared" si="3"/>
        <v>Neuro</v>
      </c>
      <c r="O510" s="10">
        <v>13673.58</v>
      </c>
      <c r="P510" s="10">
        <v>10451.92</v>
      </c>
      <c r="Q510" s="11">
        <v>7.5</v>
      </c>
      <c r="R510" s="13" t="str">
        <f>IF(Patient_Data!$L510&lt;2,"Low Risk",IF(Patient_Data!$L510&lt;4,"Moderate Risk","High Risk"))</f>
        <v>Moderate Risk</v>
      </c>
      <c r="S510" s="12" t="str">
        <f>IF(Patient_Data[[#This Row],[Age]]&lt;=18,"Pediatric",IF(Patient_Data[[#This Row],[Age]]&lt;=64,"Adult","Geriatric"))</f>
        <v>Adult</v>
      </c>
    </row>
    <row r="511" spans="1:19" ht="15.75" customHeight="1" x14ac:dyDescent="0.3">
      <c r="A511" s="4" t="s">
        <v>1088</v>
      </c>
      <c r="B511" s="5" t="str">
        <f>TEXT(Patient_Data!$E511,"mmmm")</f>
        <v>May</v>
      </c>
      <c r="C511" s="6" t="str">
        <f t="shared" si="2"/>
        <v>May</v>
      </c>
      <c r="D511" s="6">
        <f>MONTH(Patient_Data!$E511)</f>
        <v>5</v>
      </c>
      <c r="E511" s="7">
        <v>45779</v>
      </c>
      <c r="F511" s="55" t="str">
        <f>TEXT(Patient_Data[[#This Row],[Admission_Date]],"YYYY")</f>
        <v>2025</v>
      </c>
      <c r="G511" s="8" t="s">
        <v>1089</v>
      </c>
      <c r="H511" s="8" t="s">
        <v>49</v>
      </c>
      <c r="I511" s="4" t="s">
        <v>29</v>
      </c>
      <c r="J511" s="4">
        <v>74</v>
      </c>
      <c r="K511" s="4" t="s">
        <v>30</v>
      </c>
      <c r="L511" s="8">
        <v>3</v>
      </c>
      <c r="M511" s="9" t="s">
        <v>72</v>
      </c>
      <c r="N511" s="9" t="str">
        <f t="shared" si="3"/>
        <v>Surgery</v>
      </c>
      <c r="O511" s="10">
        <v>19535.509999999998</v>
      </c>
      <c r="P511" s="10">
        <v>11367.4</v>
      </c>
      <c r="Q511" s="11">
        <v>4.5999999999999996</v>
      </c>
      <c r="R511" s="13" t="str">
        <f>IF(Patient_Data!$L511&lt;2,"Low Risk",IF(Patient_Data!$L511&lt;4,"Moderate Risk","High Risk"))</f>
        <v>Moderate Risk</v>
      </c>
      <c r="S511" s="12" t="str">
        <f>IF(Patient_Data[[#This Row],[Age]]&lt;=18,"Pediatric",IF(Patient_Data[[#This Row],[Age]]&lt;=64,"Adult","Geriatric"))</f>
        <v>Geriatric</v>
      </c>
    </row>
    <row r="512" spans="1:19" ht="15.75" customHeight="1" x14ac:dyDescent="0.3">
      <c r="A512" s="4" t="s">
        <v>1090</v>
      </c>
      <c r="B512" s="5" t="str">
        <f>TEXT(Patient_Data!$E512,"mmmm")</f>
        <v>January</v>
      </c>
      <c r="C512" s="6" t="str">
        <f t="shared" ref="C512:C766" si="4">LEFT(B512,3)</f>
        <v>Jan</v>
      </c>
      <c r="D512" s="6">
        <f>MONTH(Patient_Data!$E512)</f>
        <v>1</v>
      </c>
      <c r="E512" s="7">
        <v>46035</v>
      </c>
      <c r="F512" s="55" t="str">
        <f>TEXT(Patient_Data[[#This Row],[Admission_Date]],"YYYY")</f>
        <v>2026</v>
      </c>
      <c r="G512" s="8" t="s">
        <v>1091</v>
      </c>
      <c r="H512" s="8" t="s">
        <v>82</v>
      </c>
      <c r="I512" s="4" t="s">
        <v>35</v>
      </c>
      <c r="J512" s="4">
        <v>66</v>
      </c>
      <c r="K512" s="4" t="s">
        <v>54</v>
      </c>
      <c r="L512" s="8">
        <v>4</v>
      </c>
      <c r="M512" s="9" t="s">
        <v>36</v>
      </c>
      <c r="N512" s="9" t="str">
        <f t="shared" ref="N512:N766" si="5">IF(M512="Cardiology","Cardio",IF(M512="Intensive Care Unit","ICU",IF(M512="Neurology","Neuro",IF(M512="Emergency Room","ER",IF(M512="Pediatrics","PD",IF(M512="Surgery","Surgery",IF(M512="General Medicine","GM",IF(M512="Orthopedics","Ortho",""))))))))</f>
        <v>Cardio</v>
      </c>
      <c r="O512" s="10">
        <v>16036.9</v>
      </c>
      <c r="P512" s="10">
        <v>9837.7099999999991</v>
      </c>
      <c r="Q512" s="11">
        <v>6.9</v>
      </c>
      <c r="R512" s="13" t="str">
        <f>IF(Patient_Data!$L512&lt;2,"Low Risk",IF(Patient_Data!$L512&lt;4,"Moderate Risk","High Risk"))</f>
        <v>High Risk</v>
      </c>
      <c r="S512" s="12" t="str">
        <f>IF(Patient_Data[[#This Row],[Age]]&lt;=18,"Pediatric",IF(Patient_Data[[#This Row],[Age]]&lt;=64,"Adult","Geriatric"))</f>
        <v>Geriatric</v>
      </c>
    </row>
    <row r="513" spans="1:19" ht="15.75" customHeight="1" x14ac:dyDescent="0.3">
      <c r="A513" s="4" t="s">
        <v>1092</v>
      </c>
      <c r="B513" s="5" t="str">
        <f>TEXT(Patient_Data!$E513,"mmmm")</f>
        <v>January</v>
      </c>
      <c r="C513" s="6" t="str">
        <f t="shared" si="4"/>
        <v>Jan</v>
      </c>
      <c r="D513" s="6">
        <f>MONTH(Patient_Data!$E513)</f>
        <v>1</v>
      </c>
      <c r="E513" s="7">
        <v>45679</v>
      </c>
      <c r="F513" s="55" t="str">
        <f>TEXT(Patient_Data[[#This Row],[Admission_Date]],"YYYY")</f>
        <v>2025</v>
      </c>
      <c r="G513" s="8" t="s">
        <v>1093</v>
      </c>
      <c r="H513" s="8" t="s">
        <v>82</v>
      </c>
      <c r="I513" s="4" t="s">
        <v>29</v>
      </c>
      <c r="J513" s="4">
        <v>53</v>
      </c>
      <c r="K513" s="4" t="s">
        <v>54</v>
      </c>
      <c r="L513" s="8">
        <v>3</v>
      </c>
      <c r="M513" s="9" t="s">
        <v>36</v>
      </c>
      <c r="N513" s="9" t="str">
        <f t="shared" si="5"/>
        <v>Cardio</v>
      </c>
      <c r="O513" s="10">
        <v>9631.8700000000008</v>
      </c>
      <c r="P513" s="10">
        <v>6244.4</v>
      </c>
      <c r="Q513" s="11">
        <v>10</v>
      </c>
      <c r="R513" s="13" t="str">
        <f>IF(Patient_Data!$L513&lt;2,"Low Risk",IF(Patient_Data!$L513&lt;4,"Moderate Risk","High Risk"))</f>
        <v>Moderate Risk</v>
      </c>
      <c r="S513" s="12" t="str">
        <f>IF(Patient_Data[[#This Row],[Age]]&lt;=18,"Pediatric",IF(Patient_Data[[#This Row],[Age]]&lt;=64,"Adult","Geriatric"))</f>
        <v>Adult</v>
      </c>
    </row>
    <row r="514" spans="1:19" ht="15.75" customHeight="1" x14ac:dyDescent="0.3">
      <c r="A514" s="4" t="s">
        <v>1094</v>
      </c>
      <c r="B514" s="5" t="str">
        <f>TEXT(Patient_Data!$E514,"mmmm")</f>
        <v>October</v>
      </c>
      <c r="C514" s="6" t="str">
        <f t="shared" si="4"/>
        <v>Oct</v>
      </c>
      <c r="D514" s="6">
        <f>MONTH(Patient_Data!$E514)</f>
        <v>10</v>
      </c>
      <c r="E514" s="7">
        <v>45574</v>
      </c>
      <c r="F514" s="55" t="str">
        <f>TEXT(Patient_Data[[#This Row],[Admission_Date]],"YYYY")</f>
        <v>2024</v>
      </c>
      <c r="G514" s="8" t="s">
        <v>1095</v>
      </c>
      <c r="H514" s="8" t="s">
        <v>82</v>
      </c>
      <c r="I514" s="4" t="s">
        <v>35</v>
      </c>
      <c r="J514" s="4">
        <v>39</v>
      </c>
      <c r="K514" s="4" t="s">
        <v>30</v>
      </c>
      <c r="L514" s="8">
        <v>1</v>
      </c>
      <c r="M514" s="9" t="s">
        <v>36</v>
      </c>
      <c r="N514" s="9" t="str">
        <f t="shared" si="5"/>
        <v>Cardio</v>
      </c>
      <c r="O514" s="10">
        <v>9975.58</v>
      </c>
      <c r="P514" s="10">
        <v>6706.04</v>
      </c>
      <c r="Q514" s="11">
        <v>2.8</v>
      </c>
      <c r="R514" s="13" t="str">
        <f>IF(Patient_Data!$L514&lt;2,"Low Risk",IF(Patient_Data!$L514&lt;4,"Moderate Risk","High Risk"))</f>
        <v>Low Risk</v>
      </c>
      <c r="S514" s="12" t="str">
        <f>IF(Patient_Data[[#This Row],[Age]]&lt;=18,"Pediatric",IF(Patient_Data[[#This Row],[Age]]&lt;=64,"Adult","Geriatric"))</f>
        <v>Adult</v>
      </c>
    </row>
    <row r="515" spans="1:19" ht="15.75" customHeight="1" x14ac:dyDescent="0.3">
      <c r="A515" s="4" t="s">
        <v>1096</v>
      </c>
      <c r="B515" s="5" t="str">
        <f>TEXT(Patient_Data!$E515,"mmmm")</f>
        <v>October</v>
      </c>
      <c r="C515" s="6" t="str">
        <f t="shared" si="4"/>
        <v>Oct</v>
      </c>
      <c r="D515" s="6">
        <f>MONTH(Patient_Data!$E515)</f>
        <v>10</v>
      </c>
      <c r="E515" s="7">
        <v>45954</v>
      </c>
      <c r="F515" s="55" t="str">
        <f>TEXT(Patient_Data[[#This Row],[Admission_Date]],"YYYY")</f>
        <v>2025</v>
      </c>
      <c r="G515" s="8" t="s">
        <v>1097</v>
      </c>
      <c r="H515" s="8" t="s">
        <v>98</v>
      </c>
      <c r="I515" s="4" t="s">
        <v>29</v>
      </c>
      <c r="J515" s="4">
        <v>44</v>
      </c>
      <c r="K515" s="4" t="s">
        <v>45</v>
      </c>
      <c r="L515" s="8">
        <v>3</v>
      </c>
      <c r="M515" s="9" t="s">
        <v>31</v>
      </c>
      <c r="N515" s="9" t="str">
        <f t="shared" si="5"/>
        <v>Neuro</v>
      </c>
      <c r="O515" s="10">
        <v>5496.07</v>
      </c>
      <c r="P515" s="10">
        <v>3865.65</v>
      </c>
      <c r="Q515" s="11">
        <v>2.2999999999999998</v>
      </c>
      <c r="R515" s="13" t="str">
        <f>IF(Patient_Data!$L515&lt;2,"Low Risk",IF(Patient_Data!$L515&lt;4,"Moderate Risk","High Risk"))</f>
        <v>Moderate Risk</v>
      </c>
      <c r="S515" s="12" t="str">
        <f>IF(Patient_Data[[#This Row],[Age]]&lt;=18,"Pediatric",IF(Patient_Data[[#This Row],[Age]]&lt;=64,"Adult","Geriatric"))</f>
        <v>Adult</v>
      </c>
    </row>
    <row r="516" spans="1:19" ht="15.75" customHeight="1" x14ac:dyDescent="0.3">
      <c r="A516" s="4" t="s">
        <v>1098</v>
      </c>
      <c r="B516" s="5" t="str">
        <f>TEXT(Patient_Data!$E516,"mmmm")</f>
        <v>May</v>
      </c>
      <c r="C516" s="6" t="str">
        <f t="shared" si="4"/>
        <v>May</v>
      </c>
      <c r="D516" s="6">
        <f>MONTH(Patient_Data!$E516)</f>
        <v>5</v>
      </c>
      <c r="E516" s="7">
        <v>46156</v>
      </c>
      <c r="F516" s="55" t="str">
        <f>TEXT(Patient_Data[[#This Row],[Admission_Date]],"YYYY")</f>
        <v>2026</v>
      </c>
      <c r="G516" s="8" t="s">
        <v>1099</v>
      </c>
      <c r="H516" s="8" t="s">
        <v>132</v>
      </c>
      <c r="I516" s="4" t="s">
        <v>35</v>
      </c>
      <c r="J516" s="4">
        <v>8</v>
      </c>
      <c r="K516" s="4" t="s">
        <v>30</v>
      </c>
      <c r="L516" s="8">
        <v>1</v>
      </c>
      <c r="M516" s="9" t="s">
        <v>79</v>
      </c>
      <c r="N516" s="9" t="str">
        <f t="shared" si="5"/>
        <v>PD</v>
      </c>
      <c r="O516" s="10">
        <v>2480.98</v>
      </c>
      <c r="P516" s="10">
        <v>1814.32</v>
      </c>
      <c r="Q516" s="11">
        <v>0.4</v>
      </c>
      <c r="R516" s="13" t="str">
        <f>IF(Patient_Data!$L516&lt;2,"Low Risk",IF(Patient_Data!$L516&lt;4,"Moderate Risk","High Risk"))</f>
        <v>Low Risk</v>
      </c>
      <c r="S516" s="12" t="str">
        <f>IF(Patient_Data[[#This Row],[Age]]&lt;=18,"Pediatric",IF(Patient_Data[[#This Row],[Age]]&lt;=64,"Adult","Geriatric"))</f>
        <v>Pediatric</v>
      </c>
    </row>
    <row r="517" spans="1:19" ht="15.75" customHeight="1" x14ac:dyDescent="0.3">
      <c r="A517" s="4" t="s">
        <v>1100</v>
      </c>
      <c r="B517" s="5" t="str">
        <f>TEXT(Patient_Data!$E517,"mmmm")</f>
        <v>April</v>
      </c>
      <c r="C517" s="6" t="str">
        <f t="shared" si="4"/>
        <v>Apr</v>
      </c>
      <c r="D517" s="6">
        <f>MONTH(Patient_Data!$E517)</f>
        <v>4</v>
      </c>
      <c r="E517" s="7">
        <v>45385</v>
      </c>
      <c r="F517" s="55" t="str">
        <f>TEXT(Patient_Data[[#This Row],[Admission_Date]],"YYYY")</f>
        <v>2024</v>
      </c>
      <c r="G517" s="8" t="s">
        <v>1101</v>
      </c>
      <c r="H517" s="8" t="s">
        <v>28</v>
      </c>
      <c r="I517" s="4" t="s">
        <v>29</v>
      </c>
      <c r="J517" s="4">
        <v>9</v>
      </c>
      <c r="K517" s="4" t="s">
        <v>30</v>
      </c>
      <c r="L517" s="8">
        <v>2</v>
      </c>
      <c r="M517" s="9" t="s">
        <v>79</v>
      </c>
      <c r="N517" s="9" t="str">
        <f t="shared" si="5"/>
        <v>PD</v>
      </c>
      <c r="O517" s="10">
        <v>2153.16</v>
      </c>
      <c r="P517" s="10">
        <v>1661.2</v>
      </c>
      <c r="Q517" s="11">
        <v>3.1</v>
      </c>
      <c r="R517" s="13" t="str">
        <f>IF(Patient_Data!$L517&lt;2,"Low Risk",IF(Patient_Data!$L517&lt;4,"Moderate Risk","High Risk"))</f>
        <v>Moderate Risk</v>
      </c>
      <c r="S517" s="12" t="str">
        <f>IF(Patient_Data[[#This Row],[Age]]&lt;=18,"Pediatric",IF(Patient_Data[[#This Row],[Age]]&lt;=64,"Adult","Geriatric"))</f>
        <v>Pediatric</v>
      </c>
    </row>
    <row r="518" spans="1:19" ht="15.75" customHeight="1" x14ac:dyDescent="0.3">
      <c r="A518" s="4" t="s">
        <v>1102</v>
      </c>
      <c r="B518" s="5" t="str">
        <f>TEXT(Patient_Data!$E518,"mmmm")</f>
        <v>December</v>
      </c>
      <c r="C518" s="6" t="str">
        <f t="shared" si="4"/>
        <v>Dec</v>
      </c>
      <c r="D518" s="6">
        <f>MONTH(Patient_Data!$E518)</f>
        <v>12</v>
      </c>
      <c r="E518" s="7">
        <v>45652</v>
      </c>
      <c r="F518" s="55" t="str">
        <f>TEXT(Patient_Data[[#This Row],[Admission_Date]],"YYYY")</f>
        <v>2024</v>
      </c>
      <c r="G518" s="8" t="s">
        <v>1103</v>
      </c>
      <c r="H518" s="8" t="s">
        <v>28</v>
      </c>
      <c r="I518" s="4" t="s">
        <v>29</v>
      </c>
      <c r="J518" s="4">
        <v>64</v>
      </c>
      <c r="K518" s="4" t="s">
        <v>30</v>
      </c>
      <c r="L518" s="8">
        <v>2</v>
      </c>
      <c r="M518" s="9" t="s">
        <v>39</v>
      </c>
      <c r="N518" s="9" t="str">
        <f t="shared" si="5"/>
        <v>GM</v>
      </c>
      <c r="O518" s="10">
        <v>1732.06</v>
      </c>
      <c r="P518" s="10">
        <v>1050.99</v>
      </c>
      <c r="Q518" s="11">
        <v>5.8</v>
      </c>
      <c r="R518" s="13" t="str">
        <f>IF(Patient_Data!$L518&lt;2,"Low Risk",IF(Patient_Data!$L518&lt;4,"Moderate Risk","High Risk"))</f>
        <v>Moderate Risk</v>
      </c>
      <c r="S518" s="12" t="str">
        <f>IF(Patient_Data[[#This Row],[Age]]&lt;=18,"Pediatric",IF(Patient_Data[[#This Row],[Age]]&lt;=64,"Adult","Geriatric"))</f>
        <v>Adult</v>
      </c>
    </row>
    <row r="519" spans="1:19" ht="15.75" customHeight="1" x14ac:dyDescent="0.3">
      <c r="A519" s="4" t="s">
        <v>1104</v>
      </c>
      <c r="B519" s="5" t="str">
        <f>TEXT(Patient_Data!$E519,"mmmm")</f>
        <v>April</v>
      </c>
      <c r="C519" s="6" t="str">
        <f t="shared" si="4"/>
        <v>Apr</v>
      </c>
      <c r="D519" s="6">
        <f>MONTH(Patient_Data!$E519)</f>
        <v>4</v>
      </c>
      <c r="E519" s="7">
        <v>45772</v>
      </c>
      <c r="F519" s="55" t="str">
        <f>TEXT(Patient_Data[[#This Row],[Admission_Date]],"YYYY")</f>
        <v>2025</v>
      </c>
      <c r="G519" s="8" t="s">
        <v>1105</v>
      </c>
      <c r="H519" s="8" t="s">
        <v>132</v>
      </c>
      <c r="I519" s="4" t="s">
        <v>35</v>
      </c>
      <c r="J519" s="4">
        <v>69</v>
      </c>
      <c r="K519" s="4" t="s">
        <v>54</v>
      </c>
      <c r="L519" s="8">
        <v>5</v>
      </c>
      <c r="M519" s="9" t="s">
        <v>72</v>
      </c>
      <c r="N519" s="9" t="str">
        <f t="shared" si="5"/>
        <v>Surgery</v>
      </c>
      <c r="O519" s="10">
        <v>19706.46</v>
      </c>
      <c r="P519" s="10">
        <v>12080.14</v>
      </c>
      <c r="Q519" s="11">
        <v>7.4</v>
      </c>
      <c r="R519" s="13" t="str">
        <f>IF(Patient_Data!$L519&lt;2,"Low Risk",IF(Patient_Data!$L519&lt;4,"Moderate Risk","High Risk"))</f>
        <v>High Risk</v>
      </c>
      <c r="S519" s="12" t="str">
        <f>IF(Patient_Data[[#This Row],[Age]]&lt;=18,"Pediatric",IF(Patient_Data[[#This Row],[Age]]&lt;=64,"Adult","Geriatric"))</f>
        <v>Geriatric</v>
      </c>
    </row>
    <row r="520" spans="1:19" ht="15.75" customHeight="1" x14ac:dyDescent="0.3">
      <c r="A520" s="4" t="s">
        <v>1106</v>
      </c>
      <c r="B520" s="5" t="str">
        <f>TEXT(Patient_Data!$E520,"mmmm")</f>
        <v>April</v>
      </c>
      <c r="C520" s="6" t="str">
        <f t="shared" si="4"/>
        <v>Apr</v>
      </c>
      <c r="D520" s="6">
        <f>MONTH(Patient_Data!$E520)</f>
        <v>4</v>
      </c>
      <c r="E520" s="7">
        <v>45771</v>
      </c>
      <c r="F520" s="55" t="str">
        <f>TEXT(Patient_Data[[#This Row],[Admission_Date]],"YYYY")</f>
        <v>2025</v>
      </c>
      <c r="G520" s="8" t="s">
        <v>1107</v>
      </c>
      <c r="H520" s="8" t="s">
        <v>53</v>
      </c>
      <c r="I520" s="4" t="s">
        <v>35</v>
      </c>
      <c r="J520" s="4">
        <v>65</v>
      </c>
      <c r="K520" s="4" t="s">
        <v>54</v>
      </c>
      <c r="L520" s="8">
        <v>3</v>
      </c>
      <c r="M520" s="9" t="s">
        <v>36</v>
      </c>
      <c r="N520" s="9" t="str">
        <f t="shared" si="5"/>
        <v>Cardio</v>
      </c>
      <c r="O520" s="10">
        <v>8544.24</v>
      </c>
      <c r="P520" s="10">
        <v>5500.31</v>
      </c>
      <c r="Q520" s="11">
        <v>4</v>
      </c>
      <c r="R520" s="13" t="str">
        <f>IF(Patient_Data!$L520&lt;2,"Low Risk",IF(Patient_Data!$L520&lt;4,"Moderate Risk","High Risk"))</f>
        <v>Moderate Risk</v>
      </c>
      <c r="S520" s="12" t="str">
        <f>IF(Patient_Data[[#This Row],[Age]]&lt;=18,"Pediatric",IF(Patient_Data[[#This Row],[Age]]&lt;=64,"Adult","Geriatric"))</f>
        <v>Geriatric</v>
      </c>
    </row>
    <row r="521" spans="1:19" ht="15.75" customHeight="1" x14ac:dyDescent="0.3">
      <c r="A521" s="4" t="s">
        <v>1108</v>
      </c>
      <c r="B521" s="5" t="str">
        <f>TEXT(Patient_Data!$E521,"mmmm")</f>
        <v>October</v>
      </c>
      <c r="C521" s="6" t="str">
        <f t="shared" si="4"/>
        <v>Oct</v>
      </c>
      <c r="D521" s="6">
        <f>MONTH(Patient_Data!$E521)</f>
        <v>10</v>
      </c>
      <c r="E521" s="7">
        <v>45211</v>
      </c>
      <c r="F521" s="55" t="str">
        <f>TEXT(Patient_Data[[#This Row],[Admission_Date]],"YYYY")</f>
        <v>2023</v>
      </c>
      <c r="G521" s="8" t="s">
        <v>1109</v>
      </c>
      <c r="H521" s="8" t="s">
        <v>53</v>
      </c>
      <c r="I521" s="4" t="s">
        <v>35</v>
      </c>
      <c r="J521" s="4">
        <v>76</v>
      </c>
      <c r="K521" s="4" t="s">
        <v>30</v>
      </c>
      <c r="L521" s="8">
        <v>3</v>
      </c>
      <c r="M521" s="9" t="s">
        <v>31</v>
      </c>
      <c r="N521" s="9" t="str">
        <f t="shared" si="5"/>
        <v>Neuro</v>
      </c>
      <c r="O521" s="10">
        <v>10877.88</v>
      </c>
      <c r="P521" s="10">
        <v>7329.78</v>
      </c>
      <c r="Q521" s="11">
        <v>5.2</v>
      </c>
      <c r="R521" s="13" t="str">
        <f>IF(Patient_Data!$L521&lt;2,"Low Risk",IF(Patient_Data!$L521&lt;4,"Moderate Risk","High Risk"))</f>
        <v>Moderate Risk</v>
      </c>
      <c r="S521" s="12" t="str">
        <f>IF(Patient_Data[[#This Row],[Age]]&lt;=18,"Pediatric",IF(Patient_Data[[#This Row],[Age]]&lt;=64,"Adult","Geriatric"))</f>
        <v>Geriatric</v>
      </c>
    </row>
    <row r="522" spans="1:19" ht="15.75" customHeight="1" x14ac:dyDescent="0.3">
      <c r="A522" s="4" t="s">
        <v>1110</v>
      </c>
      <c r="B522" s="5" t="str">
        <f>TEXT(Patient_Data!$E522,"mmmm")</f>
        <v>December</v>
      </c>
      <c r="C522" s="6" t="str">
        <f t="shared" si="4"/>
        <v>Dec</v>
      </c>
      <c r="D522" s="6">
        <f>MONTH(Patient_Data!$E522)</f>
        <v>12</v>
      </c>
      <c r="E522" s="7">
        <v>45267</v>
      </c>
      <c r="F522" s="55" t="str">
        <f>TEXT(Patient_Data[[#This Row],[Admission_Date]],"YYYY")</f>
        <v>2023</v>
      </c>
      <c r="G522" s="8" t="s">
        <v>1111</v>
      </c>
      <c r="H522" s="8" t="s">
        <v>34</v>
      </c>
      <c r="I522" s="4" t="s">
        <v>35</v>
      </c>
      <c r="J522" s="4">
        <v>87</v>
      </c>
      <c r="K522" s="4" t="s">
        <v>54</v>
      </c>
      <c r="L522" s="8">
        <v>4</v>
      </c>
      <c r="M522" s="9" t="s">
        <v>50</v>
      </c>
      <c r="N522" s="9" t="str">
        <f t="shared" si="5"/>
        <v>ICU</v>
      </c>
      <c r="O522" s="10">
        <v>15389.82</v>
      </c>
      <c r="P522" s="10">
        <v>10842.47</v>
      </c>
      <c r="Q522" s="11">
        <v>8.6999999999999993</v>
      </c>
      <c r="R522" s="13" t="str">
        <f>IF(Patient_Data!$L522&lt;2,"Low Risk",IF(Patient_Data!$L522&lt;4,"Moderate Risk","High Risk"))</f>
        <v>High Risk</v>
      </c>
      <c r="S522" s="12" t="str">
        <f>IF(Patient_Data[[#This Row],[Age]]&lt;=18,"Pediatric",IF(Patient_Data[[#This Row],[Age]]&lt;=64,"Adult","Geriatric"))</f>
        <v>Geriatric</v>
      </c>
    </row>
    <row r="523" spans="1:19" ht="15.75" customHeight="1" x14ac:dyDescent="0.3">
      <c r="A523" s="4" t="s">
        <v>1112</v>
      </c>
      <c r="B523" s="5" t="str">
        <f>TEXT(Patient_Data!$E523,"mmmm")</f>
        <v>June</v>
      </c>
      <c r="C523" s="6" t="str">
        <f t="shared" si="4"/>
        <v>Jun</v>
      </c>
      <c r="D523" s="6">
        <f>MONTH(Patient_Data!$E523)</f>
        <v>6</v>
      </c>
      <c r="E523" s="7">
        <v>46184</v>
      </c>
      <c r="F523" s="55" t="str">
        <f>TEXT(Patient_Data[[#This Row],[Admission_Date]],"YYYY")</f>
        <v>2026</v>
      </c>
      <c r="G523" s="8" t="s">
        <v>1113</v>
      </c>
      <c r="H523" s="8" t="s">
        <v>82</v>
      </c>
      <c r="I523" s="4" t="s">
        <v>29</v>
      </c>
      <c r="J523" s="4">
        <v>59</v>
      </c>
      <c r="K523" s="4" t="s">
        <v>54</v>
      </c>
      <c r="L523" s="8">
        <v>1</v>
      </c>
      <c r="M523" s="9" t="s">
        <v>83</v>
      </c>
      <c r="N523" s="9" t="str">
        <f t="shared" si="5"/>
        <v>ER</v>
      </c>
      <c r="O523" s="10">
        <v>3362.03</v>
      </c>
      <c r="P523" s="10">
        <v>2637.48</v>
      </c>
      <c r="Q523" s="11">
        <v>22.9</v>
      </c>
      <c r="R523" s="13" t="str">
        <f>IF(Patient_Data!$L523&lt;2,"Low Risk",IF(Patient_Data!$L523&lt;4,"Moderate Risk","High Risk"))</f>
        <v>Low Risk</v>
      </c>
      <c r="S523" s="12" t="str">
        <f>IF(Patient_Data[[#This Row],[Age]]&lt;=18,"Pediatric",IF(Patient_Data[[#This Row],[Age]]&lt;=64,"Adult","Geriatric"))</f>
        <v>Adult</v>
      </c>
    </row>
    <row r="524" spans="1:19" ht="15.75" customHeight="1" x14ac:dyDescent="0.3">
      <c r="A524" s="4" t="s">
        <v>1114</v>
      </c>
      <c r="B524" s="5" t="str">
        <f>TEXT(Patient_Data!$E524,"mmmm")</f>
        <v>December</v>
      </c>
      <c r="C524" s="6" t="str">
        <f t="shared" si="4"/>
        <v>Dec</v>
      </c>
      <c r="D524" s="6">
        <f>MONTH(Patient_Data!$E524)</f>
        <v>12</v>
      </c>
      <c r="E524" s="7">
        <v>45638</v>
      </c>
      <c r="F524" s="55" t="str">
        <f>TEXT(Patient_Data[[#This Row],[Admission_Date]],"YYYY")</f>
        <v>2024</v>
      </c>
      <c r="G524" s="8" t="s">
        <v>1115</v>
      </c>
      <c r="H524" s="8" t="s">
        <v>34</v>
      </c>
      <c r="I524" s="4" t="s">
        <v>29</v>
      </c>
      <c r="J524" s="4">
        <v>1</v>
      </c>
      <c r="K524" s="4" t="s">
        <v>30</v>
      </c>
      <c r="L524" s="8">
        <v>2</v>
      </c>
      <c r="M524" s="9" t="s">
        <v>79</v>
      </c>
      <c r="N524" s="9" t="str">
        <f t="shared" si="5"/>
        <v>PD</v>
      </c>
      <c r="O524" s="10">
        <v>2643.49</v>
      </c>
      <c r="P524" s="10">
        <v>2037.85</v>
      </c>
      <c r="Q524" s="11">
        <v>3.6</v>
      </c>
      <c r="R524" s="13" t="str">
        <f>IF(Patient_Data!$L524&lt;2,"Low Risk",IF(Patient_Data!$L524&lt;4,"Moderate Risk","High Risk"))</f>
        <v>Moderate Risk</v>
      </c>
      <c r="S524" s="12" t="str">
        <f>IF(Patient_Data[[#This Row],[Age]]&lt;=18,"Pediatric",IF(Patient_Data[[#This Row],[Age]]&lt;=64,"Adult","Geriatric"))</f>
        <v>Pediatric</v>
      </c>
    </row>
    <row r="525" spans="1:19" ht="15.75" customHeight="1" x14ac:dyDescent="0.3">
      <c r="A525" s="4" t="s">
        <v>1116</v>
      </c>
      <c r="B525" s="5" t="str">
        <f>TEXT(Patient_Data!$E525,"mmmm")</f>
        <v>August</v>
      </c>
      <c r="C525" s="6" t="str">
        <f t="shared" si="4"/>
        <v>Aug</v>
      </c>
      <c r="D525" s="6">
        <f>MONTH(Patient_Data!$E525)</f>
        <v>8</v>
      </c>
      <c r="E525" s="7">
        <v>45888</v>
      </c>
      <c r="F525" s="55" t="str">
        <f>TEXT(Patient_Data[[#This Row],[Admission_Date]],"YYYY")</f>
        <v>2025</v>
      </c>
      <c r="G525" s="8" t="s">
        <v>1117</v>
      </c>
      <c r="H525" s="8" t="s">
        <v>82</v>
      </c>
      <c r="I525" s="4" t="s">
        <v>35</v>
      </c>
      <c r="J525" s="4">
        <v>64</v>
      </c>
      <c r="K525" s="4" t="s">
        <v>45</v>
      </c>
      <c r="L525" s="8">
        <v>4</v>
      </c>
      <c r="M525" s="9" t="s">
        <v>72</v>
      </c>
      <c r="N525" s="9" t="str">
        <f t="shared" si="5"/>
        <v>Surgery</v>
      </c>
      <c r="O525" s="10">
        <v>22860.7</v>
      </c>
      <c r="P525" s="10">
        <v>13353.61</v>
      </c>
      <c r="Q525" s="11">
        <v>11.8</v>
      </c>
      <c r="R525" s="13" t="str">
        <f>IF(Patient_Data!$L525&lt;2,"Low Risk",IF(Patient_Data!$L525&lt;4,"Moderate Risk","High Risk"))</f>
        <v>High Risk</v>
      </c>
      <c r="S525" s="12" t="str">
        <f>IF(Patient_Data[[#This Row],[Age]]&lt;=18,"Pediatric",IF(Patient_Data[[#This Row],[Age]]&lt;=64,"Adult","Geriatric"))</f>
        <v>Adult</v>
      </c>
    </row>
    <row r="526" spans="1:19" ht="15.75" customHeight="1" x14ac:dyDescent="0.3">
      <c r="A526" s="4" t="s">
        <v>1118</v>
      </c>
      <c r="B526" s="5" t="str">
        <f>TEXT(Patient_Data!$E526,"mmmm")</f>
        <v>November</v>
      </c>
      <c r="C526" s="6" t="str">
        <f t="shared" si="4"/>
        <v>Nov</v>
      </c>
      <c r="D526" s="6">
        <f>MONTH(Patient_Data!$E526)</f>
        <v>11</v>
      </c>
      <c r="E526" s="7">
        <v>45615</v>
      </c>
      <c r="F526" s="55" t="str">
        <f>TEXT(Patient_Data[[#This Row],[Admission_Date]],"YYYY")</f>
        <v>2024</v>
      </c>
      <c r="G526" s="8" t="s">
        <v>1119</v>
      </c>
      <c r="H526" s="8" t="s">
        <v>28</v>
      </c>
      <c r="I526" s="4" t="s">
        <v>29</v>
      </c>
      <c r="J526" s="4">
        <v>19</v>
      </c>
      <c r="K526" s="4" t="s">
        <v>30</v>
      </c>
      <c r="L526" s="8">
        <v>1</v>
      </c>
      <c r="M526" s="9" t="s">
        <v>83</v>
      </c>
      <c r="N526" s="9" t="str">
        <f t="shared" si="5"/>
        <v>ER</v>
      </c>
      <c r="O526" s="10">
        <v>8566.0400000000009</v>
      </c>
      <c r="P526" s="10">
        <v>5348.48</v>
      </c>
      <c r="Q526" s="11">
        <v>15.4</v>
      </c>
      <c r="R526" s="13" t="str">
        <f>IF(Patient_Data!$L526&lt;2,"Low Risk",IF(Patient_Data!$L526&lt;4,"Moderate Risk","High Risk"))</f>
        <v>Low Risk</v>
      </c>
      <c r="S526" s="12" t="str">
        <f>IF(Patient_Data[[#This Row],[Age]]&lt;=18,"Pediatric",IF(Patient_Data[[#This Row],[Age]]&lt;=64,"Adult","Geriatric"))</f>
        <v>Adult</v>
      </c>
    </row>
    <row r="527" spans="1:19" ht="15.75" customHeight="1" x14ac:dyDescent="0.3">
      <c r="A527" s="4" t="s">
        <v>1120</v>
      </c>
      <c r="B527" s="5" t="str">
        <f>TEXT(Patient_Data!$E527,"mmmm")</f>
        <v>June</v>
      </c>
      <c r="C527" s="6" t="str">
        <f t="shared" si="4"/>
        <v>Jun</v>
      </c>
      <c r="D527" s="6">
        <f>MONTH(Patient_Data!$E527)</f>
        <v>6</v>
      </c>
      <c r="E527" s="7">
        <v>45447</v>
      </c>
      <c r="F527" s="55" t="str">
        <f>TEXT(Patient_Data[[#This Row],[Admission_Date]],"YYYY")</f>
        <v>2024</v>
      </c>
      <c r="G527" s="8" t="s">
        <v>1121</v>
      </c>
      <c r="H527" s="8" t="s">
        <v>49</v>
      </c>
      <c r="I527" s="4" t="s">
        <v>35</v>
      </c>
      <c r="J527" s="4">
        <v>38</v>
      </c>
      <c r="K527" s="4" t="s">
        <v>30</v>
      </c>
      <c r="L527" s="8">
        <v>1</v>
      </c>
      <c r="M527" s="9" t="s">
        <v>39</v>
      </c>
      <c r="N527" s="9" t="str">
        <f t="shared" si="5"/>
        <v>GM</v>
      </c>
      <c r="O527" s="10">
        <v>1278.1400000000001</v>
      </c>
      <c r="P527" s="10">
        <v>887.61</v>
      </c>
      <c r="Q527" s="11">
        <v>8.6999999999999993</v>
      </c>
      <c r="R527" s="13" t="str">
        <f>IF(Patient_Data!$L527&lt;2,"Low Risk",IF(Patient_Data!$L527&lt;4,"Moderate Risk","High Risk"))</f>
        <v>Low Risk</v>
      </c>
      <c r="S527" s="12" t="str">
        <f>IF(Patient_Data[[#This Row],[Age]]&lt;=18,"Pediatric",IF(Patient_Data[[#This Row],[Age]]&lt;=64,"Adult","Geriatric"))</f>
        <v>Adult</v>
      </c>
    </row>
    <row r="528" spans="1:19" ht="15.75" customHeight="1" x14ac:dyDescent="0.3">
      <c r="A528" s="4" t="s">
        <v>1122</v>
      </c>
      <c r="B528" s="5" t="str">
        <f>TEXT(Patient_Data!$E528,"mmmm")</f>
        <v>March</v>
      </c>
      <c r="C528" s="6" t="str">
        <f t="shared" si="4"/>
        <v>Mar</v>
      </c>
      <c r="D528" s="6">
        <f>MONTH(Patient_Data!$E528)</f>
        <v>3</v>
      </c>
      <c r="E528" s="7">
        <v>45365</v>
      </c>
      <c r="F528" s="55" t="str">
        <f>TEXT(Patient_Data[[#This Row],[Admission_Date]],"YYYY")</f>
        <v>2024</v>
      </c>
      <c r="G528" s="8" t="s">
        <v>1123</v>
      </c>
      <c r="H528" s="8" t="s">
        <v>82</v>
      </c>
      <c r="I528" s="4" t="s">
        <v>29</v>
      </c>
      <c r="J528" s="4">
        <v>78</v>
      </c>
      <c r="K528" s="4" t="s">
        <v>45</v>
      </c>
      <c r="L528" s="8">
        <v>5</v>
      </c>
      <c r="M528" s="9" t="s">
        <v>72</v>
      </c>
      <c r="N528" s="9" t="str">
        <f t="shared" si="5"/>
        <v>Surgery</v>
      </c>
      <c r="O528" s="10">
        <v>20385.71</v>
      </c>
      <c r="P528" s="10">
        <v>13683.23</v>
      </c>
      <c r="Q528" s="11">
        <v>3.1</v>
      </c>
      <c r="R528" s="13" t="str">
        <f>IF(Patient_Data!$L528&lt;2,"Low Risk",IF(Patient_Data!$L528&lt;4,"Moderate Risk","High Risk"))</f>
        <v>High Risk</v>
      </c>
      <c r="S528" s="12" t="str">
        <f>IF(Patient_Data[[#This Row],[Age]]&lt;=18,"Pediatric",IF(Patient_Data[[#This Row],[Age]]&lt;=64,"Adult","Geriatric"))</f>
        <v>Geriatric</v>
      </c>
    </row>
    <row r="529" spans="1:19" ht="15.75" customHeight="1" x14ac:dyDescent="0.3">
      <c r="A529" s="4" t="s">
        <v>1124</v>
      </c>
      <c r="B529" s="5" t="str">
        <f>TEXT(Patient_Data!$E529,"mmmm")</f>
        <v>November</v>
      </c>
      <c r="C529" s="6" t="str">
        <f t="shared" si="4"/>
        <v>Nov</v>
      </c>
      <c r="D529" s="6">
        <f>MONTH(Patient_Data!$E529)</f>
        <v>11</v>
      </c>
      <c r="E529" s="7">
        <v>45247</v>
      </c>
      <c r="F529" s="55" t="str">
        <f>TEXT(Patient_Data[[#This Row],[Admission_Date]],"YYYY")</f>
        <v>2023</v>
      </c>
      <c r="G529" s="8" t="s">
        <v>1125</v>
      </c>
      <c r="H529" s="8" t="s">
        <v>49</v>
      </c>
      <c r="I529" s="4" t="s">
        <v>29</v>
      </c>
      <c r="J529" s="4">
        <v>74</v>
      </c>
      <c r="K529" s="4" t="s">
        <v>30</v>
      </c>
      <c r="L529" s="8">
        <v>1</v>
      </c>
      <c r="M529" s="9" t="s">
        <v>36</v>
      </c>
      <c r="N529" s="9" t="str">
        <f t="shared" si="5"/>
        <v>Cardio</v>
      </c>
      <c r="O529" s="10">
        <v>8522.98</v>
      </c>
      <c r="P529" s="10">
        <v>6002.09</v>
      </c>
      <c r="Q529" s="11">
        <v>4.5</v>
      </c>
      <c r="R529" s="13" t="str">
        <f>IF(Patient_Data!$L529&lt;2,"Low Risk",IF(Patient_Data!$L529&lt;4,"Moderate Risk","High Risk"))</f>
        <v>Low Risk</v>
      </c>
      <c r="S529" s="12" t="str">
        <f>IF(Patient_Data[[#This Row],[Age]]&lt;=18,"Pediatric",IF(Patient_Data[[#This Row],[Age]]&lt;=64,"Adult","Geriatric"))</f>
        <v>Geriatric</v>
      </c>
    </row>
    <row r="530" spans="1:19" ht="15.75" customHeight="1" x14ac:dyDescent="0.3">
      <c r="A530" s="4" t="s">
        <v>1126</v>
      </c>
      <c r="B530" s="5" t="str">
        <f>TEXT(Patient_Data!$E530,"mmmm")</f>
        <v>May</v>
      </c>
      <c r="C530" s="6" t="str">
        <f t="shared" si="4"/>
        <v>May</v>
      </c>
      <c r="D530" s="6">
        <f>MONTH(Patient_Data!$E530)</f>
        <v>5</v>
      </c>
      <c r="E530" s="7">
        <v>45799</v>
      </c>
      <c r="F530" s="55" t="str">
        <f>TEXT(Patient_Data[[#This Row],[Admission_Date]],"YYYY")</f>
        <v>2025</v>
      </c>
      <c r="G530" s="8" t="s">
        <v>1127</v>
      </c>
      <c r="H530" s="8" t="s">
        <v>34</v>
      </c>
      <c r="I530" s="4" t="s">
        <v>29</v>
      </c>
      <c r="J530" s="4">
        <v>15</v>
      </c>
      <c r="K530" s="4" t="s">
        <v>30</v>
      </c>
      <c r="L530" s="8">
        <v>1</v>
      </c>
      <c r="M530" s="9" t="s">
        <v>79</v>
      </c>
      <c r="N530" s="9" t="str">
        <f t="shared" si="5"/>
        <v>PD</v>
      </c>
      <c r="O530" s="10">
        <v>869.86</v>
      </c>
      <c r="P530" s="10">
        <v>654.20000000000005</v>
      </c>
      <c r="Q530" s="11">
        <v>2.4</v>
      </c>
      <c r="R530" s="13" t="str">
        <f>IF(Patient_Data!$L530&lt;2,"Low Risk",IF(Patient_Data!$L530&lt;4,"Moderate Risk","High Risk"))</f>
        <v>Low Risk</v>
      </c>
      <c r="S530" s="12" t="str">
        <f>IF(Patient_Data[[#This Row],[Age]]&lt;=18,"Pediatric",IF(Patient_Data[[#This Row],[Age]]&lt;=64,"Adult","Geriatric"))</f>
        <v>Pediatric</v>
      </c>
    </row>
    <row r="531" spans="1:19" ht="15.75" customHeight="1" x14ac:dyDescent="0.3">
      <c r="A531" s="4" t="s">
        <v>1128</v>
      </c>
      <c r="B531" s="5" t="str">
        <f>TEXT(Patient_Data!$E531,"mmmm")</f>
        <v>February</v>
      </c>
      <c r="C531" s="6" t="str">
        <f t="shared" si="4"/>
        <v>Feb</v>
      </c>
      <c r="D531" s="6">
        <f>MONTH(Patient_Data!$E531)</f>
        <v>2</v>
      </c>
      <c r="E531" s="7">
        <v>46069</v>
      </c>
      <c r="F531" s="55" t="str">
        <f>TEXT(Patient_Data[[#This Row],[Admission_Date]],"YYYY")</f>
        <v>2026</v>
      </c>
      <c r="G531" s="8" t="s">
        <v>1129</v>
      </c>
      <c r="H531" s="8" t="s">
        <v>34</v>
      </c>
      <c r="I531" s="4" t="s">
        <v>35</v>
      </c>
      <c r="J531" s="4">
        <v>32</v>
      </c>
      <c r="K531" s="4" t="s">
        <v>54</v>
      </c>
      <c r="L531" s="8">
        <v>5</v>
      </c>
      <c r="M531" s="9" t="s">
        <v>72</v>
      </c>
      <c r="N531" s="9" t="str">
        <f t="shared" si="5"/>
        <v>Surgery</v>
      </c>
      <c r="O531" s="10">
        <v>16768.88</v>
      </c>
      <c r="P531" s="10">
        <v>12762.75</v>
      </c>
      <c r="Q531" s="11">
        <v>2.2999999999999998</v>
      </c>
      <c r="R531" s="13" t="str">
        <f>IF(Patient_Data!$L531&lt;2,"Low Risk",IF(Patient_Data!$L531&lt;4,"Moderate Risk","High Risk"))</f>
        <v>High Risk</v>
      </c>
      <c r="S531" s="12" t="str">
        <f>IF(Patient_Data[[#This Row],[Age]]&lt;=18,"Pediatric",IF(Patient_Data[[#This Row],[Age]]&lt;=64,"Adult","Geriatric"))</f>
        <v>Adult</v>
      </c>
    </row>
    <row r="532" spans="1:19" ht="15.75" customHeight="1" x14ac:dyDescent="0.3">
      <c r="A532" s="4" t="s">
        <v>1130</v>
      </c>
      <c r="B532" s="5" t="str">
        <f>TEXT(Patient_Data!$E532,"mmmm")</f>
        <v>May</v>
      </c>
      <c r="C532" s="6" t="str">
        <f t="shared" si="4"/>
        <v>May</v>
      </c>
      <c r="D532" s="6">
        <f>MONTH(Patient_Data!$E532)</f>
        <v>5</v>
      </c>
      <c r="E532" s="7">
        <v>45436</v>
      </c>
      <c r="F532" s="55" t="str">
        <f>TEXT(Patient_Data[[#This Row],[Admission_Date]],"YYYY")</f>
        <v>2024</v>
      </c>
      <c r="G532" s="8" t="s">
        <v>1131</v>
      </c>
      <c r="H532" s="8" t="s">
        <v>49</v>
      </c>
      <c r="I532" s="4" t="s">
        <v>35</v>
      </c>
      <c r="J532" s="4">
        <v>48</v>
      </c>
      <c r="K532" s="4" t="s">
        <v>45</v>
      </c>
      <c r="L532" s="8">
        <v>5</v>
      </c>
      <c r="M532" s="9" t="s">
        <v>36</v>
      </c>
      <c r="N532" s="9" t="str">
        <f t="shared" si="5"/>
        <v>Cardio</v>
      </c>
      <c r="O532" s="10">
        <v>11087.83</v>
      </c>
      <c r="P532" s="10">
        <v>6460.54</v>
      </c>
      <c r="Q532" s="11">
        <v>3.7</v>
      </c>
      <c r="R532" s="13" t="str">
        <f>IF(Patient_Data!$L532&lt;2,"Low Risk",IF(Patient_Data!$L532&lt;4,"Moderate Risk","High Risk"))</f>
        <v>High Risk</v>
      </c>
      <c r="S532" s="12" t="str">
        <f>IF(Patient_Data[[#This Row],[Age]]&lt;=18,"Pediatric",IF(Patient_Data[[#This Row],[Age]]&lt;=64,"Adult","Geriatric"))</f>
        <v>Adult</v>
      </c>
    </row>
    <row r="533" spans="1:19" ht="15.75" customHeight="1" x14ac:dyDescent="0.3">
      <c r="A533" s="4" t="s">
        <v>1132</v>
      </c>
      <c r="B533" s="5" t="str">
        <f>TEXT(Patient_Data!$E533,"mmmm")</f>
        <v>February</v>
      </c>
      <c r="C533" s="6" t="str">
        <f t="shared" si="4"/>
        <v>Feb</v>
      </c>
      <c r="D533" s="6">
        <f>MONTH(Patient_Data!$E533)</f>
        <v>2</v>
      </c>
      <c r="E533" s="7">
        <v>45351</v>
      </c>
      <c r="F533" s="55" t="str">
        <f>TEXT(Patient_Data[[#This Row],[Admission_Date]],"YYYY")</f>
        <v>2024</v>
      </c>
      <c r="G533" s="8" t="s">
        <v>1133</v>
      </c>
      <c r="H533" s="8" t="s">
        <v>28</v>
      </c>
      <c r="I533" s="4" t="s">
        <v>35</v>
      </c>
      <c r="J533" s="4">
        <v>31</v>
      </c>
      <c r="K533" s="4" t="s">
        <v>54</v>
      </c>
      <c r="L533" s="8">
        <v>3</v>
      </c>
      <c r="M533" s="9" t="s">
        <v>39</v>
      </c>
      <c r="N533" s="9" t="str">
        <f t="shared" si="5"/>
        <v>GM</v>
      </c>
      <c r="O533" s="10">
        <v>6199.23</v>
      </c>
      <c r="P533" s="10">
        <v>3819.13</v>
      </c>
      <c r="Q533" s="11">
        <v>4.7</v>
      </c>
      <c r="R533" s="13" t="str">
        <f>IF(Patient_Data!$L533&lt;2,"Low Risk",IF(Patient_Data!$L533&lt;4,"Moderate Risk","High Risk"))</f>
        <v>Moderate Risk</v>
      </c>
      <c r="S533" s="12" t="str">
        <f>IF(Patient_Data[[#This Row],[Age]]&lt;=18,"Pediatric",IF(Patient_Data[[#This Row],[Age]]&lt;=64,"Adult","Geriatric"))</f>
        <v>Adult</v>
      </c>
    </row>
    <row r="534" spans="1:19" ht="15.75" customHeight="1" x14ac:dyDescent="0.3">
      <c r="A534" s="4" t="s">
        <v>1134</v>
      </c>
      <c r="B534" s="5" t="str">
        <f>TEXT(Patient_Data!$E534,"mmmm")</f>
        <v>April</v>
      </c>
      <c r="C534" s="6" t="str">
        <f t="shared" si="4"/>
        <v>Apr</v>
      </c>
      <c r="D534" s="6">
        <f>MONTH(Patient_Data!$E534)</f>
        <v>4</v>
      </c>
      <c r="E534" s="7">
        <v>45771</v>
      </c>
      <c r="F534" s="55" t="str">
        <f>TEXT(Patient_Data[[#This Row],[Admission_Date]],"YYYY")</f>
        <v>2025</v>
      </c>
      <c r="G534" s="8" t="s">
        <v>1135</v>
      </c>
      <c r="H534" s="8" t="s">
        <v>34</v>
      </c>
      <c r="I534" s="4" t="s">
        <v>29</v>
      </c>
      <c r="J534" s="4">
        <v>10</v>
      </c>
      <c r="K534" s="4" t="s">
        <v>30</v>
      </c>
      <c r="L534" s="8">
        <v>1</v>
      </c>
      <c r="M534" s="9" t="s">
        <v>79</v>
      </c>
      <c r="N534" s="9" t="str">
        <f t="shared" si="5"/>
        <v>PD</v>
      </c>
      <c r="O534" s="10">
        <v>804.12</v>
      </c>
      <c r="P534" s="10">
        <v>561.04</v>
      </c>
      <c r="Q534" s="11">
        <v>5.8</v>
      </c>
      <c r="R534" s="13" t="str">
        <f>IF(Patient_Data!$L534&lt;2,"Low Risk",IF(Patient_Data!$L534&lt;4,"Moderate Risk","High Risk"))</f>
        <v>Low Risk</v>
      </c>
      <c r="S534" s="12" t="str">
        <f>IF(Patient_Data[[#This Row],[Age]]&lt;=18,"Pediatric",IF(Patient_Data[[#This Row],[Age]]&lt;=64,"Adult","Geriatric"))</f>
        <v>Pediatric</v>
      </c>
    </row>
    <row r="535" spans="1:19" ht="15.75" customHeight="1" x14ac:dyDescent="0.3">
      <c r="A535" s="4" t="s">
        <v>1136</v>
      </c>
      <c r="B535" s="5" t="str">
        <f>TEXT(Patient_Data!$E535,"mmmm")</f>
        <v>August</v>
      </c>
      <c r="C535" s="6" t="str">
        <f t="shared" si="4"/>
        <v>Aug</v>
      </c>
      <c r="D535" s="6">
        <f>MONTH(Patient_Data!$E535)</f>
        <v>8</v>
      </c>
      <c r="E535" s="7">
        <v>45526</v>
      </c>
      <c r="F535" s="55" t="str">
        <f>TEXT(Patient_Data[[#This Row],[Admission_Date]],"YYYY")</f>
        <v>2024</v>
      </c>
      <c r="G535" s="8" t="s">
        <v>1137</v>
      </c>
      <c r="H535" s="8" t="s">
        <v>82</v>
      </c>
      <c r="I535" s="4" t="s">
        <v>29</v>
      </c>
      <c r="J535" s="4">
        <v>70</v>
      </c>
      <c r="K535" s="4" t="s">
        <v>30</v>
      </c>
      <c r="L535" s="8">
        <v>5</v>
      </c>
      <c r="M535" s="9" t="s">
        <v>72</v>
      </c>
      <c r="N535" s="9" t="str">
        <f t="shared" si="5"/>
        <v>Surgery</v>
      </c>
      <c r="O535" s="10">
        <v>22027.79</v>
      </c>
      <c r="P535" s="10">
        <v>14792.22</v>
      </c>
      <c r="Q535" s="11">
        <v>4.2</v>
      </c>
      <c r="R535" s="13" t="str">
        <f>IF(Patient_Data!$L535&lt;2,"Low Risk",IF(Patient_Data!$L535&lt;4,"Moderate Risk","High Risk"))</f>
        <v>High Risk</v>
      </c>
      <c r="S535" s="12" t="str">
        <f>IF(Patient_Data[[#This Row],[Age]]&lt;=18,"Pediatric",IF(Patient_Data[[#This Row],[Age]]&lt;=64,"Adult","Geriatric"))</f>
        <v>Geriatric</v>
      </c>
    </row>
    <row r="536" spans="1:19" ht="15.75" customHeight="1" x14ac:dyDescent="0.3">
      <c r="A536" s="4" t="s">
        <v>1138</v>
      </c>
      <c r="B536" s="5" t="str">
        <f>TEXT(Patient_Data!$E536,"mmmm")</f>
        <v>October</v>
      </c>
      <c r="C536" s="6" t="str">
        <f t="shared" si="4"/>
        <v>Oct</v>
      </c>
      <c r="D536" s="6">
        <f>MONTH(Patient_Data!$E536)</f>
        <v>10</v>
      </c>
      <c r="E536" s="7">
        <v>45578</v>
      </c>
      <c r="F536" s="55" t="str">
        <f>TEXT(Patient_Data[[#This Row],[Admission_Date]],"YYYY")</f>
        <v>2024</v>
      </c>
      <c r="G536" s="8" t="s">
        <v>1139</v>
      </c>
      <c r="H536" s="8" t="s">
        <v>132</v>
      </c>
      <c r="I536" s="4" t="s">
        <v>35</v>
      </c>
      <c r="J536" s="4">
        <v>29</v>
      </c>
      <c r="K536" s="4" t="s">
        <v>54</v>
      </c>
      <c r="L536" s="8">
        <v>4</v>
      </c>
      <c r="M536" s="9" t="s">
        <v>72</v>
      </c>
      <c r="N536" s="9" t="str">
        <f t="shared" si="5"/>
        <v>Surgery</v>
      </c>
      <c r="O536" s="10">
        <v>12120.39</v>
      </c>
      <c r="P536" s="10">
        <v>8502.67</v>
      </c>
      <c r="Q536" s="11">
        <v>2.2999999999999998</v>
      </c>
      <c r="R536" s="13" t="str">
        <f>IF(Patient_Data!$L536&lt;2,"Low Risk",IF(Patient_Data!$L536&lt;4,"Moderate Risk","High Risk"))</f>
        <v>High Risk</v>
      </c>
      <c r="S536" s="12" t="str">
        <f>IF(Patient_Data[[#This Row],[Age]]&lt;=18,"Pediatric",IF(Patient_Data[[#This Row],[Age]]&lt;=64,"Adult","Geriatric"))</f>
        <v>Adult</v>
      </c>
    </row>
    <row r="537" spans="1:19" ht="15.75" customHeight="1" x14ac:dyDescent="0.3">
      <c r="A537" s="4" t="s">
        <v>1140</v>
      </c>
      <c r="B537" s="5" t="str">
        <f>TEXT(Patient_Data!$E537,"mmmm")</f>
        <v>September</v>
      </c>
      <c r="C537" s="6" t="str">
        <f t="shared" si="4"/>
        <v>Sep</v>
      </c>
      <c r="D537" s="6">
        <f>MONTH(Patient_Data!$E537)</f>
        <v>9</v>
      </c>
      <c r="E537" s="7">
        <v>45916</v>
      </c>
      <c r="F537" s="55" t="str">
        <f>TEXT(Patient_Data[[#This Row],[Admission_Date]],"YYYY")</f>
        <v>2025</v>
      </c>
      <c r="G537" s="8" t="s">
        <v>1141</v>
      </c>
      <c r="H537" s="8" t="s">
        <v>42</v>
      </c>
      <c r="I537" s="4" t="s">
        <v>29</v>
      </c>
      <c r="J537" s="4">
        <v>85</v>
      </c>
      <c r="K537" s="4" t="s">
        <v>30</v>
      </c>
      <c r="L537" s="8">
        <v>1</v>
      </c>
      <c r="M537" s="9" t="s">
        <v>46</v>
      </c>
      <c r="N537" s="9" t="str">
        <f t="shared" si="5"/>
        <v>Ortho</v>
      </c>
      <c r="O537" s="10">
        <v>7827.17</v>
      </c>
      <c r="P537" s="10">
        <v>5778.63</v>
      </c>
      <c r="Q537" s="11">
        <v>8.1</v>
      </c>
      <c r="R537" s="13" t="str">
        <f>IF(Patient_Data!$L537&lt;2,"Low Risk",IF(Patient_Data!$L537&lt;4,"Moderate Risk","High Risk"))</f>
        <v>Low Risk</v>
      </c>
      <c r="S537" s="12" t="str">
        <f>IF(Patient_Data[[#This Row],[Age]]&lt;=18,"Pediatric",IF(Patient_Data[[#This Row],[Age]]&lt;=64,"Adult","Geriatric"))</f>
        <v>Geriatric</v>
      </c>
    </row>
    <row r="538" spans="1:19" ht="15.75" customHeight="1" x14ac:dyDescent="0.3">
      <c r="A538" s="4" t="s">
        <v>1142</v>
      </c>
      <c r="B538" s="5" t="str">
        <f>TEXT(Patient_Data!$E538,"mmmm")</f>
        <v>July</v>
      </c>
      <c r="C538" s="6" t="str">
        <f t="shared" si="4"/>
        <v>Jul</v>
      </c>
      <c r="D538" s="6">
        <f>MONTH(Patient_Data!$E538)</f>
        <v>7</v>
      </c>
      <c r="E538" s="7">
        <v>45503</v>
      </c>
      <c r="F538" s="55" t="str">
        <f>TEXT(Patient_Data[[#This Row],[Admission_Date]],"YYYY")</f>
        <v>2024</v>
      </c>
      <c r="G538" s="8" t="s">
        <v>1143</v>
      </c>
      <c r="H538" s="8" t="s">
        <v>28</v>
      </c>
      <c r="I538" s="4" t="s">
        <v>35</v>
      </c>
      <c r="J538" s="4">
        <v>26</v>
      </c>
      <c r="K538" s="4" t="s">
        <v>30</v>
      </c>
      <c r="L538" s="8">
        <v>4</v>
      </c>
      <c r="M538" s="9" t="s">
        <v>72</v>
      </c>
      <c r="N538" s="9" t="str">
        <f t="shared" si="5"/>
        <v>Surgery</v>
      </c>
      <c r="O538" s="10">
        <v>15842.05</v>
      </c>
      <c r="P538" s="10">
        <v>12096.76</v>
      </c>
      <c r="Q538" s="11">
        <v>7.1</v>
      </c>
      <c r="R538" s="13" t="str">
        <f>IF(Patient_Data!$L538&lt;2,"Low Risk",IF(Patient_Data!$L538&lt;4,"Moderate Risk","High Risk"))</f>
        <v>High Risk</v>
      </c>
      <c r="S538" s="12" t="str">
        <f>IF(Patient_Data[[#This Row],[Age]]&lt;=18,"Pediatric",IF(Patient_Data[[#This Row],[Age]]&lt;=64,"Adult","Geriatric"))</f>
        <v>Adult</v>
      </c>
    </row>
    <row r="539" spans="1:19" ht="15.75" customHeight="1" x14ac:dyDescent="0.3">
      <c r="A539" s="4" t="s">
        <v>1144</v>
      </c>
      <c r="B539" s="5" t="str">
        <f>TEXT(Patient_Data!$E539,"mmmm")</f>
        <v>February</v>
      </c>
      <c r="C539" s="6" t="str">
        <f t="shared" si="4"/>
        <v>Feb</v>
      </c>
      <c r="D539" s="6">
        <f>MONTH(Patient_Data!$E539)</f>
        <v>2</v>
      </c>
      <c r="E539" s="7">
        <v>45693</v>
      </c>
      <c r="F539" s="55" t="str">
        <f>TEXT(Patient_Data[[#This Row],[Admission_Date]],"YYYY")</f>
        <v>2025</v>
      </c>
      <c r="G539" s="8" t="s">
        <v>1145</v>
      </c>
      <c r="H539" s="8" t="s">
        <v>82</v>
      </c>
      <c r="I539" s="4" t="s">
        <v>29</v>
      </c>
      <c r="J539" s="4">
        <v>69</v>
      </c>
      <c r="K539" s="4" t="s">
        <v>30</v>
      </c>
      <c r="L539" s="8">
        <v>4</v>
      </c>
      <c r="M539" s="9" t="s">
        <v>50</v>
      </c>
      <c r="N539" s="9" t="str">
        <f t="shared" si="5"/>
        <v>ICU</v>
      </c>
      <c r="O539" s="10">
        <v>12315.73</v>
      </c>
      <c r="P539" s="10">
        <v>7237.52</v>
      </c>
      <c r="Q539" s="11">
        <v>11.8</v>
      </c>
      <c r="R539" s="13" t="str">
        <f>IF(Patient_Data!$L539&lt;2,"Low Risk",IF(Patient_Data!$L539&lt;4,"Moderate Risk","High Risk"))</f>
        <v>High Risk</v>
      </c>
      <c r="S539" s="12" t="str">
        <f>IF(Patient_Data[[#This Row],[Age]]&lt;=18,"Pediatric",IF(Patient_Data[[#This Row],[Age]]&lt;=64,"Adult","Geriatric"))</f>
        <v>Geriatric</v>
      </c>
    </row>
    <row r="540" spans="1:19" ht="15.75" customHeight="1" x14ac:dyDescent="0.3">
      <c r="A540" s="4" t="s">
        <v>1146</v>
      </c>
      <c r="B540" s="5" t="str">
        <f>TEXT(Patient_Data!$E540,"mmmm")</f>
        <v>May</v>
      </c>
      <c r="C540" s="6" t="str">
        <f t="shared" si="4"/>
        <v>May</v>
      </c>
      <c r="D540" s="6">
        <f>MONTH(Patient_Data!$E540)</f>
        <v>5</v>
      </c>
      <c r="E540" s="7">
        <v>46153</v>
      </c>
      <c r="F540" s="55" t="str">
        <f>TEXT(Patient_Data[[#This Row],[Admission_Date]],"YYYY")</f>
        <v>2026</v>
      </c>
      <c r="G540" s="8" t="s">
        <v>1147</v>
      </c>
      <c r="H540" s="8" t="s">
        <v>98</v>
      </c>
      <c r="I540" s="4" t="s">
        <v>29</v>
      </c>
      <c r="J540" s="4">
        <v>69</v>
      </c>
      <c r="K540" s="4" t="s">
        <v>45</v>
      </c>
      <c r="L540" s="8">
        <v>2</v>
      </c>
      <c r="M540" s="9" t="s">
        <v>36</v>
      </c>
      <c r="N540" s="9" t="str">
        <f t="shared" si="5"/>
        <v>Cardio</v>
      </c>
      <c r="O540" s="10">
        <v>9138.23</v>
      </c>
      <c r="P540" s="10">
        <v>5605.52</v>
      </c>
      <c r="Q540" s="11">
        <v>3.9</v>
      </c>
      <c r="R540" s="13" t="str">
        <f>IF(Patient_Data!$L540&lt;2,"Low Risk",IF(Patient_Data!$L540&lt;4,"Moderate Risk","High Risk"))</f>
        <v>Moderate Risk</v>
      </c>
      <c r="S540" s="12" t="str">
        <f>IF(Patient_Data[[#This Row],[Age]]&lt;=18,"Pediatric",IF(Patient_Data[[#This Row],[Age]]&lt;=64,"Adult","Geriatric"))</f>
        <v>Geriatric</v>
      </c>
    </row>
    <row r="541" spans="1:19" ht="15.75" customHeight="1" x14ac:dyDescent="0.3">
      <c r="A541" s="4" t="s">
        <v>1148</v>
      </c>
      <c r="B541" s="5" t="str">
        <f>TEXT(Patient_Data!$E541,"mmmm")</f>
        <v>April</v>
      </c>
      <c r="C541" s="6" t="str">
        <f t="shared" si="4"/>
        <v>Apr</v>
      </c>
      <c r="D541" s="6">
        <f>MONTH(Patient_Data!$E541)</f>
        <v>4</v>
      </c>
      <c r="E541" s="7">
        <v>45771</v>
      </c>
      <c r="F541" s="55" t="str">
        <f>TEXT(Patient_Data[[#This Row],[Admission_Date]],"YYYY")</f>
        <v>2025</v>
      </c>
      <c r="G541" s="8" t="s">
        <v>1149</v>
      </c>
      <c r="H541" s="8" t="s">
        <v>132</v>
      </c>
      <c r="I541" s="4" t="s">
        <v>35</v>
      </c>
      <c r="J541" s="4">
        <v>66</v>
      </c>
      <c r="K541" s="4" t="s">
        <v>54</v>
      </c>
      <c r="L541" s="8">
        <v>4</v>
      </c>
      <c r="M541" s="9" t="s">
        <v>36</v>
      </c>
      <c r="N541" s="9" t="str">
        <f t="shared" si="5"/>
        <v>Cardio</v>
      </c>
      <c r="O541" s="10">
        <v>13641.34</v>
      </c>
      <c r="P541" s="10">
        <v>8820.06</v>
      </c>
      <c r="Q541" s="11">
        <v>11.2</v>
      </c>
      <c r="R541" s="13" t="str">
        <f>IF(Patient_Data!$L541&lt;2,"Low Risk",IF(Patient_Data!$L541&lt;4,"Moderate Risk","High Risk"))</f>
        <v>High Risk</v>
      </c>
      <c r="S541" s="12" t="str">
        <f>IF(Patient_Data[[#This Row],[Age]]&lt;=18,"Pediatric",IF(Patient_Data[[#This Row],[Age]]&lt;=64,"Adult","Geriatric"))</f>
        <v>Geriatric</v>
      </c>
    </row>
    <row r="542" spans="1:19" ht="15.75" customHeight="1" x14ac:dyDescent="0.3">
      <c r="A542" s="4" t="s">
        <v>1150</v>
      </c>
      <c r="B542" s="5" t="str">
        <f>TEXT(Patient_Data!$E542,"mmmm")</f>
        <v>July</v>
      </c>
      <c r="C542" s="6" t="str">
        <f t="shared" si="4"/>
        <v>Jul</v>
      </c>
      <c r="D542" s="6">
        <f>MONTH(Patient_Data!$E542)</f>
        <v>7</v>
      </c>
      <c r="E542" s="7">
        <v>45860</v>
      </c>
      <c r="F542" s="55" t="str">
        <f>TEXT(Patient_Data[[#This Row],[Admission_Date]],"YYYY")</f>
        <v>2025</v>
      </c>
      <c r="G542" s="8" t="s">
        <v>1151</v>
      </c>
      <c r="H542" s="8" t="s">
        <v>82</v>
      </c>
      <c r="I542" s="4" t="s">
        <v>29</v>
      </c>
      <c r="J542" s="4">
        <v>77</v>
      </c>
      <c r="K542" s="4" t="s">
        <v>54</v>
      </c>
      <c r="L542" s="8">
        <v>4</v>
      </c>
      <c r="M542" s="9" t="s">
        <v>50</v>
      </c>
      <c r="N542" s="9" t="str">
        <f t="shared" si="5"/>
        <v>ICU</v>
      </c>
      <c r="O542" s="10">
        <v>21918.67</v>
      </c>
      <c r="P542" s="10">
        <v>14775.11</v>
      </c>
      <c r="Q542" s="11">
        <v>11.2</v>
      </c>
      <c r="R542" s="13" t="str">
        <f>IF(Patient_Data!$L542&lt;2,"Low Risk",IF(Patient_Data!$L542&lt;4,"Moderate Risk","High Risk"))</f>
        <v>High Risk</v>
      </c>
      <c r="S542" s="12" t="str">
        <f>IF(Patient_Data[[#This Row],[Age]]&lt;=18,"Pediatric",IF(Patient_Data[[#This Row],[Age]]&lt;=64,"Adult","Geriatric"))</f>
        <v>Geriatric</v>
      </c>
    </row>
    <row r="543" spans="1:19" ht="15.75" customHeight="1" x14ac:dyDescent="0.3">
      <c r="A543" s="4" t="s">
        <v>1152</v>
      </c>
      <c r="B543" s="5" t="str">
        <f>TEXT(Patient_Data!$E543,"mmmm")</f>
        <v>January</v>
      </c>
      <c r="C543" s="6" t="str">
        <f t="shared" si="4"/>
        <v>Jan</v>
      </c>
      <c r="D543" s="6">
        <f>MONTH(Patient_Data!$E543)</f>
        <v>1</v>
      </c>
      <c r="E543" s="7">
        <v>45321</v>
      </c>
      <c r="F543" s="55" t="str">
        <f>TEXT(Patient_Data[[#This Row],[Admission_Date]],"YYYY")</f>
        <v>2024</v>
      </c>
      <c r="G543" s="8" t="s">
        <v>1153</v>
      </c>
      <c r="H543" s="8" t="s">
        <v>98</v>
      </c>
      <c r="I543" s="4" t="s">
        <v>29</v>
      </c>
      <c r="J543" s="4">
        <v>70</v>
      </c>
      <c r="K543" s="4" t="s">
        <v>30</v>
      </c>
      <c r="L543" s="8">
        <v>4</v>
      </c>
      <c r="M543" s="9" t="s">
        <v>50</v>
      </c>
      <c r="N543" s="9" t="str">
        <f t="shared" si="5"/>
        <v>ICU</v>
      </c>
      <c r="O543" s="10">
        <v>21317.72</v>
      </c>
      <c r="P543" s="10">
        <v>14997.6</v>
      </c>
      <c r="Q543" s="11">
        <v>9.4</v>
      </c>
      <c r="R543" s="13" t="str">
        <f>IF(Patient_Data!$L543&lt;2,"Low Risk",IF(Patient_Data!$L543&lt;4,"Moderate Risk","High Risk"))</f>
        <v>High Risk</v>
      </c>
      <c r="S543" s="12" t="str">
        <f>IF(Patient_Data[[#This Row],[Age]]&lt;=18,"Pediatric",IF(Patient_Data[[#This Row],[Age]]&lt;=64,"Adult","Geriatric"))</f>
        <v>Geriatric</v>
      </c>
    </row>
    <row r="544" spans="1:19" ht="15.75" customHeight="1" x14ac:dyDescent="0.3">
      <c r="A544" s="4" t="s">
        <v>1154</v>
      </c>
      <c r="B544" s="5" t="str">
        <f>TEXT(Patient_Data!$E544,"mmmm")</f>
        <v>June</v>
      </c>
      <c r="C544" s="6" t="str">
        <f t="shared" si="4"/>
        <v>Jun</v>
      </c>
      <c r="D544" s="6">
        <f>MONTH(Patient_Data!$E544)</f>
        <v>6</v>
      </c>
      <c r="E544" s="7">
        <v>45455</v>
      </c>
      <c r="F544" s="55" t="str">
        <f>TEXT(Patient_Data[[#This Row],[Admission_Date]],"YYYY")</f>
        <v>2024</v>
      </c>
      <c r="G544" s="8" t="s">
        <v>1155</v>
      </c>
      <c r="H544" s="8" t="s">
        <v>28</v>
      </c>
      <c r="I544" s="4" t="s">
        <v>35</v>
      </c>
      <c r="J544" s="4">
        <v>83</v>
      </c>
      <c r="K544" s="4" t="s">
        <v>30</v>
      </c>
      <c r="L544" s="8">
        <v>2</v>
      </c>
      <c r="M544" s="9" t="s">
        <v>36</v>
      </c>
      <c r="N544" s="9" t="str">
        <f t="shared" si="5"/>
        <v>Cardio</v>
      </c>
      <c r="O544" s="10">
        <v>10965.11</v>
      </c>
      <c r="P544" s="10">
        <v>8064.53</v>
      </c>
      <c r="Q544" s="11">
        <v>7.5</v>
      </c>
      <c r="R544" s="13" t="str">
        <f>IF(Patient_Data!$L544&lt;2,"Low Risk",IF(Patient_Data!$L544&lt;4,"Moderate Risk","High Risk"))</f>
        <v>Moderate Risk</v>
      </c>
      <c r="S544" s="12" t="str">
        <f>IF(Patient_Data[[#This Row],[Age]]&lt;=18,"Pediatric",IF(Patient_Data[[#This Row],[Age]]&lt;=64,"Adult","Geriatric"))</f>
        <v>Geriatric</v>
      </c>
    </row>
    <row r="545" spans="1:19" ht="15.75" customHeight="1" x14ac:dyDescent="0.3">
      <c r="A545" s="4" t="s">
        <v>1156</v>
      </c>
      <c r="B545" s="5" t="str">
        <f>TEXT(Patient_Data!$E545,"mmmm")</f>
        <v>December</v>
      </c>
      <c r="C545" s="6" t="str">
        <f t="shared" si="4"/>
        <v>Dec</v>
      </c>
      <c r="D545" s="6">
        <f>MONTH(Patient_Data!$E545)</f>
        <v>12</v>
      </c>
      <c r="E545" s="7">
        <v>45629</v>
      </c>
      <c r="F545" s="55" t="str">
        <f>TEXT(Patient_Data[[#This Row],[Admission_Date]],"YYYY")</f>
        <v>2024</v>
      </c>
      <c r="G545" s="8" t="s">
        <v>1157</v>
      </c>
      <c r="H545" s="8" t="s">
        <v>82</v>
      </c>
      <c r="I545" s="4" t="s">
        <v>35</v>
      </c>
      <c r="J545" s="4">
        <v>61</v>
      </c>
      <c r="K545" s="4" t="s">
        <v>54</v>
      </c>
      <c r="L545" s="8">
        <v>4</v>
      </c>
      <c r="M545" s="9" t="s">
        <v>50</v>
      </c>
      <c r="N545" s="9" t="str">
        <f t="shared" si="5"/>
        <v>ICU</v>
      </c>
      <c r="O545" s="10">
        <v>18104.71</v>
      </c>
      <c r="P545" s="10">
        <v>13867.58</v>
      </c>
      <c r="Q545" s="11">
        <v>13.5</v>
      </c>
      <c r="R545" s="13" t="str">
        <f>IF(Patient_Data!$L545&lt;2,"Low Risk",IF(Patient_Data!$L545&lt;4,"Moderate Risk","High Risk"))</f>
        <v>High Risk</v>
      </c>
      <c r="S545" s="12" t="str">
        <f>IF(Patient_Data[[#This Row],[Age]]&lt;=18,"Pediatric",IF(Patient_Data[[#This Row],[Age]]&lt;=64,"Adult","Geriatric"))</f>
        <v>Adult</v>
      </c>
    </row>
    <row r="546" spans="1:19" ht="15.75" customHeight="1" x14ac:dyDescent="0.3">
      <c r="A546" s="4" t="s">
        <v>1158</v>
      </c>
      <c r="B546" s="5" t="str">
        <f>TEXT(Patient_Data!$E546,"mmmm")</f>
        <v>November</v>
      </c>
      <c r="C546" s="6" t="str">
        <f t="shared" si="4"/>
        <v>Nov</v>
      </c>
      <c r="D546" s="6">
        <f>MONTH(Patient_Data!$E546)</f>
        <v>11</v>
      </c>
      <c r="E546" s="7">
        <v>45980</v>
      </c>
      <c r="F546" s="55" t="str">
        <f>TEXT(Patient_Data[[#This Row],[Admission_Date]],"YYYY")</f>
        <v>2025</v>
      </c>
      <c r="G546" s="8" t="s">
        <v>1159</v>
      </c>
      <c r="H546" s="8" t="s">
        <v>53</v>
      </c>
      <c r="I546" s="4" t="s">
        <v>35</v>
      </c>
      <c r="J546" s="4">
        <v>24</v>
      </c>
      <c r="K546" s="4" t="s">
        <v>54</v>
      </c>
      <c r="L546" s="8">
        <v>1</v>
      </c>
      <c r="M546" s="9" t="s">
        <v>36</v>
      </c>
      <c r="N546" s="9" t="str">
        <f t="shared" si="5"/>
        <v>Cardio</v>
      </c>
      <c r="O546" s="10">
        <v>10714.96</v>
      </c>
      <c r="P546" s="10">
        <v>6256.28</v>
      </c>
      <c r="Q546" s="11">
        <v>5.2</v>
      </c>
      <c r="R546" s="13" t="str">
        <f>IF(Patient_Data!$L546&lt;2,"Low Risk",IF(Patient_Data!$L546&lt;4,"Moderate Risk","High Risk"))</f>
        <v>Low Risk</v>
      </c>
      <c r="S546" s="12" t="str">
        <f>IF(Patient_Data[[#This Row],[Age]]&lt;=18,"Pediatric",IF(Patient_Data[[#This Row],[Age]]&lt;=64,"Adult","Geriatric"))</f>
        <v>Adult</v>
      </c>
    </row>
    <row r="547" spans="1:19" ht="15.75" customHeight="1" x14ac:dyDescent="0.3">
      <c r="A547" s="4" t="s">
        <v>1160</v>
      </c>
      <c r="B547" s="5" t="str">
        <f>TEXT(Patient_Data!$E547,"mmmm")</f>
        <v>September</v>
      </c>
      <c r="C547" s="6" t="str">
        <f t="shared" si="4"/>
        <v>Sep</v>
      </c>
      <c r="D547" s="6">
        <f>MONTH(Patient_Data!$E547)</f>
        <v>9</v>
      </c>
      <c r="E547" s="7">
        <v>45916</v>
      </c>
      <c r="F547" s="55" t="str">
        <f>TEXT(Patient_Data[[#This Row],[Admission_Date]],"YYYY")</f>
        <v>2025</v>
      </c>
      <c r="G547" s="8" t="s">
        <v>1161</v>
      </c>
      <c r="H547" s="8" t="s">
        <v>49</v>
      </c>
      <c r="I547" s="4" t="s">
        <v>35</v>
      </c>
      <c r="J547" s="4">
        <v>46</v>
      </c>
      <c r="K547" s="4" t="s">
        <v>54</v>
      </c>
      <c r="L547" s="8">
        <v>2</v>
      </c>
      <c r="M547" s="9" t="s">
        <v>39</v>
      </c>
      <c r="N547" s="9" t="str">
        <f t="shared" si="5"/>
        <v>GM</v>
      </c>
      <c r="O547" s="10">
        <v>3522.01</v>
      </c>
      <c r="P547" s="10">
        <v>2205.23</v>
      </c>
      <c r="Q547" s="11">
        <v>7.1</v>
      </c>
      <c r="R547" s="13" t="str">
        <f>IF(Patient_Data!$L547&lt;2,"Low Risk",IF(Patient_Data!$L547&lt;4,"Moderate Risk","High Risk"))</f>
        <v>Moderate Risk</v>
      </c>
      <c r="S547" s="12" t="str">
        <f>IF(Patient_Data[[#This Row],[Age]]&lt;=18,"Pediatric",IF(Patient_Data[[#This Row],[Age]]&lt;=64,"Adult","Geriatric"))</f>
        <v>Adult</v>
      </c>
    </row>
    <row r="548" spans="1:19" ht="15.75" customHeight="1" x14ac:dyDescent="0.3">
      <c r="A548" s="4" t="s">
        <v>1162</v>
      </c>
      <c r="B548" s="5" t="str">
        <f>TEXT(Patient_Data!$E548,"mmmm")</f>
        <v>February</v>
      </c>
      <c r="C548" s="6" t="str">
        <f t="shared" si="4"/>
        <v>Feb</v>
      </c>
      <c r="D548" s="6">
        <f>MONTH(Patient_Data!$E548)</f>
        <v>2</v>
      </c>
      <c r="E548" s="7">
        <v>45351</v>
      </c>
      <c r="F548" s="55" t="str">
        <f>TEXT(Patient_Data[[#This Row],[Admission_Date]],"YYYY")</f>
        <v>2024</v>
      </c>
      <c r="G548" s="8" t="s">
        <v>1163</v>
      </c>
      <c r="H548" s="8" t="s">
        <v>82</v>
      </c>
      <c r="I548" s="4" t="s">
        <v>35</v>
      </c>
      <c r="J548" s="4">
        <v>33</v>
      </c>
      <c r="K548" s="4" t="s">
        <v>30</v>
      </c>
      <c r="L548" s="8">
        <v>2</v>
      </c>
      <c r="M548" s="9" t="s">
        <v>31</v>
      </c>
      <c r="N548" s="9" t="str">
        <f t="shared" si="5"/>
        <v>Neuro</v>
      </c>
      <c r="O548" s="10">
        <v>7974.42</v>
      </c>
      <c r="P548" s="10">
        <v>5150.03</v>
      </c>
      <c r="Q548" s="11">
        <v>5.8</v>
      </c>
      <c r="R548" s="13" t="str">
        <f>IF(Patient_Data!$L548&lt;2,"Low Risk",IF(Patient_Data!$L548&lt;4,"Moderate Risk","High Risk"))</f>
        <v>Moderate Risk</v>
      </c>
      <c r="S548" s="12" t="str">
        <f>IF(Patient_Data[[#This Row],[Age]]&lt;=18,"Pediatric",IF(Patient_Data[[#This Row],[Age]]&lt;=64,"Adult","Geriatric"))</f>
        <v>Adult</v>
      </c>
    </row>
    <row r="549" spans="1:19" ht="15.75" customHeight="1" x14ac:dyDescent="0.3">
      <c r="A549" s="4" t="s">
        <v>1164</v>
      </c>
      <c r="B549" s="5" t="str">
        <f>TEXT(Patient_Data!$E549,"mmmm")</f>
        <v>November</v>
      </c>
      <c r="C549" s="6" t="str">
        <f t="shared" si="4"/>
        <v>Nov</v>
      </c>
      <c r="D549" s="6">
        <f>MONTH(Patient_Data!$E549)</f>
        <v>11</v>
      </c>
      <c r="E549" s="7">
        <v>45975</v>
      </c>
      <c r="F549" s="55" t="str">
        <f>TEXT(Patient_Data[[#This Row],[Admission_Date]],"YYYY")</f>
        <v>2025</v>
      </c>
      <c r="G549" s="8" t="s">
        <v>1165</v>
      </c>
      <c r="H549" s="8" t="s">
        <v>75</v>
      </c>
      <c r="I549" s="4" t="s">
        <v>29</v>
      </c>
      <c r="J549" s="4">
        <v>61</v>
      </c>
      <c r="K549" s="4" t="s">
        <v>54</v>
      </c>
      <c r="L549" s="8">
        <v>2</v>
      </c>
      <c r="M549" s="9" t="s">
        <v>31</v>
      </c>
      <c r="N549" s="9" t="str">
        <f t="shared" si="5"/>
        <v>Neuro</v>
      </c>
      <c r="O549" s="10">
        <v>9846.18</v>
      </c>
      <c r="P549" s="10">
        <v>6667.34</v>
      </c>
      <c r="Q549" s="11">
        <v>8.8000000000000007</v>
      </c>
      <c r="R549" s="13" t="str">
        <f>IF(Patient_Data!$L549&lt;2,"Low Risk",IF(Patient_Data!$L549&lt;4,"Moderate Risk","High Risk"))</f>
        <v>Moderate Risk</v>
      </c>
      <c r="S549" s="12" t="str">
        <f>IF(Patient_Data[[#This Row],[Age]]&lt;=18,"Pediatric",IF(Patient_Data[[#This Row],[Age]]&lt;=64,"Adult","Geriatric"))</f>
        <v>Adult</v>
      </c>
    </row>
    <row r="550" spans="1:19" ht="15.75" customHeight="1" x14ac:dyDescent="0.3">
      <c r="A550" s="4" t="s">
        <v>1166</v>
      </c>
      <c r="B550" s="5" t="str">
        <f>TEXT(Patient_Data!$E550,"mmmm")</f>
        <v>September</v>
      </c>
      <c r="C550" s="6" t="str">
        <f t="shared" si="4"/>
        <v>Sep</v>
      </c>
      <c r="D550" s="6">
        <f>MONTH(Patient_Data!$E550)</f>
        <v>9</v>
      </c>
      <c r="E550" s="7">
        <v>45195</v>
      </c>
      <c r="F550" s="55" t="str">
        <f>TEXT(Patient_Data[[#This Row],[Admission_Date]],"YYYY")</f>
        <v>2023</v>
      </c>
      <c r="G550" s="8" t="s">
        <v>1167</v>
      </c>
      <c r="H550" s="8" t="s">
        <v>42</v>
      </c>
      <c r="I550" s="4" t="s">
        <v>29</v>
      </c>
      <c r="J550" s="4">
        <v>54</v>
      </c>
      <c r="K550" s="4" t="s">
        <v>54</v>
      </c>
      <c r="L550" s="8">
        <v>4</v>
      </c>
      <c r="M550" s="9" t="s">
        <v>36</v>
      </c>
      <c r="N550" s="9" t="str">
        <f t="shared" si="5"/>
        <v>Cardio</v>
      </c>
      <c r="O550" s="10">
        <v>14009.73</v>
      </c>
      <c r="P550" s="10">
        <v>9878.01</v>
      </c>
      <c r="Q550" s="11">
        <v>8.9</v>
      </c>
      <c r="R550" s="13" t="str">
        <f>IF(Patient_Data!$L550&lt;2,"Low Risk",IF(Patient_Data!$L550&lt;4,"Moderate Risk","High Risk"))</f>
        <v>High Risk</v>
      </c>
      <c r="S550" s="12" t="str">
        <f>IF(Patient_Data[[#This Row],[Age]]&lt;=18,"Pediatric",IF(Patient_Data[[#This Row],[Age]]&lt;=64,"Adult","Geriatric"))</f>
        <v>Adult</v>
      </c>
    </row>
    <row r="551" spans="1:19" ht="15.75" customHeight="1" x14ac:dyDescent="0.3">
      <c r="A551" s="4" t="s">
        <v>1168</v>
      </c>
      <c r="B551" s="5" t="str">
        <f>TEXT(Patient_Data!$E551,"mmmm")</f>
        <v>February</v>
      </c>
      <c r="C551" s="6" t="str">
        <f t="shared" si="4"/>
        <v>Feb</v>
      </c>
      <c r="D551" s="6">
        <f>MONTH(Patient_Data!$E551)</f>
        <v>2</v>
      </c>
      <c r="E551" s="7">
        <v>45708</v>
      </c>
      <c r="F551" s="55" t="str">
        <f>TEXT(Patient_Data[[#This Row],[Admission_Date]],"YYYY")</f>
        <v>2025</v>
      </c>
      <c r="G551" s="8" t="s">
        <v>1169</v>
      </c>
      <c r="H551" s="8" t="s">
        <v>82</v>
      </c>
      <c r="I551" s="4" t="s">
        <v>29</v>
      </c>
      <c r="J551" s="4">
        <v>46</v>
      </c>
      <c r="K551" s="4" t="s">
        <v>30</v>
      </c>
      <c r="L551" s="8">
        <v>1</v>
      </c>
      <c r="M551" s="9" t="s">
        <v>46</v>
      </c>
      <c r="N551" s="9" t="str">
        <f t="shared" si="5"/>
        <v>Ortho</v>
      </c>
      <c r="O551" s="10">
        <v>7270.04</v>
      </c>
      <c r="P551" s="10">
        <v>5363.93</v>
      </c>
      <c r="Q551" s="11">
        <v>7.1</v>
      </c>
      <c r="R551" s="13" t="str">
        <f>IF(Patient_Data!$L551&lt;2,"Low Risk",IF(Patient_Data!$L551&lt;4,"Moderate Risk","High Risk"))</f>
        <v>Low Risk</v>
      </c>
      <c r="S551" s="12" t="str">
        <f>IF(Patient_Data[[#This Row],[Age]]&lt;=18,"Pediatric",IF(Patient_Data[[#This Row],[Age]]&lt;=64,"Adult","Geriatric"))</f>
        <v>Adult</v>
      </c>
    </row>
    <row r="552" spans="1:19" ht="15.75" customHeight="1" x14ac:dyDescent="0.3">
      <c r="A552" s="4" t="s">
        <v>1170</v>
      </c>
      <c r="B552" s="5" t="str">
        <f>TEXT(Patient_Data!$E552,"mmmm")</f>
        <v>May</v>
      </c>
      <c r="C552" s="6" t="str">
        <f t="shared" si="4"/>
        <v>May</v>
      </c>
      <c r="D552" s="6">
        <f>MONTH(Patient_Data!$E552)</f>
        <v>5</v>
      </c>
      <c r="E552" s="7">
        <v>45420</v>
      </c>
      <c r="F552" s="55" t="str">
        <f>TEXT(Patient_Data[[#This Row],[Admission_Date]],"YYYY")</f>
        <v>2024</v>
      </c>
      <c r="G552" s="8" t="s">
        <v>1171</v>
      </c>
      <c r="H552" s="8" t="s">
        <v>53</v>
      </c>
      <c r="I552" s="4" t="s">
        <v>35</v>
      </c>
      <c r="J552" s="4">
        <v>53</v>
      </c>
      <c r="K552" s="4" t="s">
        <v>30</v>
      </c>
      <c r="L552" s="8">
        <v>1</v>
      </c>
      <c r="M552" s="9" t="s">
        <v>31</v>
      </c>
      <c r="N552" s="9" t="str">
        <f t="shared" si="5"/>
        <v>Neuro</v>
      </c>
      <c r="O552" s="10">
        <v>6901.81</v>
      </c>
      <c r="P552" s="10">
        <v>5334.98</v>
      </c>
      <c r="Q552" s="11">
        <v>11.2</v>
      </c>
      <c r="R552" s="13" t="str">
        <f>IF(Patient_Data!$L552&lt;2,"Low Risk",IF(Patient_Data!$L552&lt;4,"Moderate Risk","High Risk"))</f>
        <v>Low Risk</v>
      </c>
      <c r="S552" s="12" t="str">
        <f>IF(Patient_Data[[#This Row],[Age]]&lt;=18,"Pediatric",IF(Patient_Data[[#This Row],[Age]]&lt;=64,"Adult","Geriatric"))</f>
        <v>Adult</v>
      </c>
    </row>
    <row r="553" spans="1:19" ht="15.75" customHeight="1" x14ac:dyDescent="0.3">
      <c r="A553" s="4" t="s">
        <v>1172</v>
      </c>
      <c r="B553" s="5" t="str">
        <f>TEXT(Patient_Data!$E553,"mmmm")</f>
        <v>March</v>
      </c>
      <c r="C553" s="6" t="str">
        <f t="shared" si="4"/>
        <v>Mar</v>
      </c>
      <c r="D553" s="6">
        <f>MONTH(Patient_Data!$E553)</f>
        <v>3</v>
      </c>
      <c r="E553" s="7">
        <v>46098</v>
      </c>
      <c r="F553" s="55" t="str">
        <f>TEXT(Patient_Data[[#This Row],[Admission_Date]],"YYYY")</f>
        <v>2026</v>
      </c>
      <c r="G553" s="8" t="s">
        <v>1173</v>
      </c>
      <c r="H553" s="8" t="s">
        <v>132</v>
      </c>
      <c r="I553" s="4" t="s">
        <v>35</v>
      </c>
      <c r="J553" s="4">
        <v>85</v>
      </c>
      <c r="K553" s="4" t="s">
        <v>54</v>
      </c>
      <c r="L553" s="8">
        <v>4</v>
      </c>
      <c r="M553" s="9" t="s">
        <v>72</v>
      </c>
      <c r="N553" s="9" t="str">
        <f t="shared" si="5"/>
        <v>Surgery</v>
      </c>
      <c r="O553" s="10">
        <v>11678.28</v>
      </c>
      <c r="P553" s="10">
        <v>6823.8</v>
      </c>
      <c r="Q553" s="11">
        <v>6.3</v>
      </c>
      <c r="R553" s="13" t="str">
        <f>IF(Patient_Data!$L553&lt;2,"Low Risk",IF(Patient_Data!$L553&lt;4,"Moderate Risk","High Risk"))</f>
        <v>High Risk</v>
      </c>
      <c r="S553" s="12" t="str">
        <f>IF(Patient_Data[[#This Row],[Age]]&lt;=18,"Pediatric",IF(Patient_Data[[#This Row],[Age]]&lt;=64,"Adult","Geriatric"))</f>
        <v>Geriatric</v>
      </c>
    </row>
    <row r="554" spans="1:19" ht="15.75" customHeight="1" x14ac:dyDescent="0.3">
      <c r="A554" s="4" t="s">
        <v>1174</v>
      </c>
      <c r="B554" s="5" t="str">
        <f>TEXT(Patient_Data!$E554,"mmmm")</f>
        <v>September</v>
      </c>
      <c r="C554" s="6" t="str">
        <f t="shared" si="4"/>
        <v>Sep</v>
      </c>
      <c r="D554" s="6">
        <f>MONTH(Patient_Data!$E554)</f>
        <v>9</v>
      </c>
      <c r="E554" s="7">
        <v>45927</v>
      </c>
      <c r="F554" s="55" t="str">
        <f>TEXT(Patient_Data[[#This Row],[Admission_Date]],"YYYY")</f>
        <v>2025</v>
      </c>
      <c r="G554" s="8" t="s">
        <v>1175</v>
      </c>
      <c r="H554" s="8" t="s">
        <v>82</v>
      </c>
      <c r="I554" s="4" t="s">
        <v>29</v>
      </c>
      <c r="J554" s="4">
        <v>76</v>
      </c>
      <c r="K554" s="4" t="s">
        <v>30</v>
      </c>
      <c r="L554" s="8">
        <v>1</v>
      </c>
      <c r="M554" s="9" t="s">
        <v>31</v>
      </c>
      <c r="N554" s="9" t="str">
        <f t="shared" si="5"/>
        <v>Neuro</v>
      </c>
      <c r="O554" s="10">
        <v>10357.75</v>
      </c>
      <c r="P554" s="10">
        <v>6352.63</v>
      </c>
      <c r="Q554" s="11">
        <v>4.3</v>
      </c>
      <c r="R554" s="13" t="str">
        <f>IF(Patient_Data!$L554&lt;2,"Low Risk",IF(Patient_Data!$L554&lt;4,"Moderate Risk","High Risk"))</f>
        <v>Low Risk</v>
      </c>
      <c r="S554" s="12" t="str">
        <f>IF(Patient_Data[[#This Row],[Age]]&lt;=18,"Pediatric",IF(Patient_Data[[#This Row],[Age]]&lt;=64,"Adult","Geriatric"))</f>
        <v>Geriatric</v>
      </c>
    </row>
    <row r="555" spans="1:19" ht="15.75" customHeight="1" x14ac:dyDescent="0.3">
      <c r="A555" s="4" t="s">
        <v>1176</v>
      </c>
      <c r="B555" s="5" t="str">
        <f>TEXT(Patient_Data!$E555,"mmmm")</f>
        <v>December</v>
      </c>
      <c r="C555" s="6" t="str">
        <f t="shared" si="4"/>
        <v>Dec</v>
      </c>
      <c r="D555" s="6">
        <f>MONTH(Patient_Data!$E555)</f>
        <v>12</v>
      </c>
      <c r="E555" s="7">
        <v>45645</v>
      </c>
      <c r="F555" s="55" t="str">
        <f>TEXT(Patient_Data[[#This Row],[Admission_Date]],"YYYY")</f>
        <v>2024</v>
      </c>
      <c r="G555" s="8" t="s">
        <v>1177</v>
      </c>
      <c r="H555" s="8" t="s">
        <v>28</v>
      </c>
      <c r="I555" s="4" t="s">
        <v>29</v>
      </c>
      <c r="J555" s="4">
        <v>67</v>
      </c>
      <c r="K555" s="4" t="s">
        <v>30</v>
      </c>
      <c r="L555" s="8">
        <v>4</v>
      </c>
      <c r="M555" s="9" t="s">
        <v>39</v>
      </c>
      <c r="N555" s="9" t="str">
        <f t="shared" si="5"/>
        <v>GM</v>
      </c>
      <c r="O555" s="10">
        <v>5878.14</v>
      </c>
      <c r="P555" s="10">
        <v>3825.21</v>
      </c>
      <c r="Q555" s="11">
        <v>7.9</v>
      </c>
      <c r="R555" s="13" t="str">
        <f>IF(Patient_Data!$L555&lt;2,"Low Risk",IF(Patient_Data!$L555&lt;4,"Moderate Risk","High Risk"))</f>
        <v>High Risk</v>
      </c>
      <c r="S555" s="12" t="str">
        <f>IF(Patient_Data[[#This Row],[Age]]&lt;=18,"Pediatric",IF(Patient_Data[[#This Row],[Age]]&lt;=64,"Adult","Geriatric"))</f>
        <v>Geriatric</v>
      </c>
    </row>
    <row r="556" spans="1:19" ht="15.75" customHeight="1" x14ac:dyDescent="0.3">
      <c r="A556" s="4" t="s">
        <v>1178</v>
      </c>
      <c r="B556" s="5" t="str">
        <f>TEXT(Patient_Data!$E556,"mmmm")</f>
        <v>April</v>
      </c>
      <c r="C556" s="6" t="str">
        <f t="shared" si="4"/>
        <v>Apr</v>
      </c>
      <c r="D556" s="6">
        <f>MONTH(Patient_Data!$E556)</f>
        <v>4</v>
      </c>
      <c r="E556" s="7">
        <v>46132</v>
      </c>
      <c r="F556" s="55" t="str">
        <f>TEXT(Patient_Data[[#This Row],[Admission_Date]],"YYYY")</f>
        <v>2026</v>
      </c>
      <c r="G556" s="8" t="s">
        <v>1179</v>
      </c>
      <c r="H556" s="8" t="s">
        <v>82</v>
      </c>
      <c r="I556" s="4" t="s">
        <v>29</v>
      </c>
      <c r="J556" s="4">
        <v>3</v>
      </c>
      <c r="K556" s="4" t="s">
        <v>30</v>
      </c>
      <c r="L556" s="8">
        <v>2</v>
      </c>
      <c r="M556" s="9" t="s">
        <v>79</v>
      </c>
      <c r="N556" s="9" t="str">
        <f t="shared" si="5"/>
        <v>PD</v>
      </c>
      <c r="O556" s="10">
        <v>1175.47</v>
      </c>
      <c r="P556" s="10">
        <v>816.36</v>
      </c>
      <c r="Q556" s="11">
        <v>3.6</v>
      </c>
      <c r="R556" s="13" t="str">
        <f>IF(Patient_Data!$L556&lt;2,"Low Risk",IF(Patient_Data!$L556&lt;4,"Moderate Risk","High Risk"))</f>
        <v>Moderate Risk</v>
      </c>
      <c r="S556" s="12" t="str">
        <f>IF(Patient_Data[[#This Row],[Age]]&lt;=18,"Pediatric",IF(Patient_Data[[#This Row],[Age]]&lt;=64,"Adult","Geriatric"))</f>
        <v>Pediatric</v>
      </c>
    </row>
    <row r="557" spans="1:19" ht="15.75" customHeight="1" x14ac:dyDescent="0.3">
      <c r="A557" s="4" t="s">
        <v>1180</v>
      </c>
      <c r="B557" s="5" t="str">
        <f>TEXT(Patient_Data!$E557,"mmmm")</f>
        <v>October</v>
      </c>
      <c r="C557" s="6" t="str">
        <f t="shared" si="4"/>
        <v>Oct</v>
      </c>
      <c r="D557" s="6">
        <f>MONTH(Patient_Data!$E557)</f>
        <v>10</v>
      </c>
      <c r="E557" s="7">
        <v>45218</v>
      </c>
      <c r="F557" s="55" t="str">
        <f>TEXT(Patient_Data[[#This Row],[Admission_Date]],"YYYY")</f>
        <v>2023</v>
      </c>
      <c r="G557" s="8" t="s">
        <v>1181</v>
      </c>
      <c r="H557" s="8" t="s">
        <v>98</v>
      </c>
      <c r="I557" s="4" t="s">
        <v>29</v>
      </c>
      <c r="J557" s="4">
        <v>67</v>
      </c>
      <c r="K557" s="4" t="s">
        <v>54</v>
      </c>
      <c r="L557" s="8">
        <v>3</v>
      </c>
      <c r="M557" s="9" t="s">
        <v>39</v>
      </c>
      <c r="N557" s="9" t="str">
        <f t="shared" si="5"/>
        <v>GM</v>
      </c>
      <c r="O557" s="10">
        <v>2578.9499999999998</v>
      </c>
      <c r="P557" s="10">
        <v>1874.86</v>
      </c>
      <c r="Q557" s="11">
        <v>8.6999999999999993</v>
      </c>
      <c r="R557" s="13" t="str">
        <f>IF(Patient_Data!$L557&lt;2,"Low Risk",IF(Patient_Data!$L557&lt;4,"Moderate Risk","High Risk"))</f>
        <v>Moderate Risk</v>
      </c>
      <c r="S557" s="12" t="str">
        <f>IF(Patient_Data[[#This Row],[Age]]&lt;=18,"Pediatric",IF(Patient_Data[[#This Row],[Age]]&lt;=64,"Adult","Geriatric"))</f>
        <v>Geriatric</v>
      </c>
    </row>
    <row r="558" spans="1:19" ht="15.75" customHeight="1" x14ac:dyDescent="0.3">
      <c r="A558" s="4" t="s">
        <v>1182</v>
      </c>
      <c r="B558" s="5" t="str">
        <f>TEXT(Patient_Data!$E558,"mmmm")</f>
        <v>June</v>
      </c>
      <c r="C558" s="6" t="str">
        <f t="shared" si="4"/>
        <v>Jun</v>
      </c>
      <c r="D558" s="6">
        <f>MONTH(Patient_Data!$E558)</f>
        <v>6</v>
      </c>
      <c r="E558" s="7">
        <v>45838</v>
      </c>
      <c r="F558" s="55" t="str">
        <f>TEXT(Patient_Data[[#This Row],[Admission_Date]],"YYYY")</f>
        <v>2025</v>
      </c>
      <c r="G558" s="8" t="s">
        <v>1183</v>
      </c>
      <c r="H558" s="8" t="s">
        <v>132</v>
      </c>
      <c r="I558" s="4" t="s">
        <v>35</v>
      </c>
      <c r="J558" s="4">
        <v>46</v>
      </c>
      <c r="K558" s="4" t="s">
        <v>45</v>
      </c>
      <c r="L558" s="8">
        <v>5</v>
      </c>
      <c r="M558" s="9" t="s">
        <v>72</v>
      </c>
      <c r="N558" s="9" t="str">
        <f t="shared" si="5"/>
        <v>Surgery</v>
      </c>
      <c r="O558" s="10">
        <v>15611.45</v>
      </c>
      <c r="P558" s="10">
        <v>11427.56</v>
      </c>
      <c r="Q558" s="11">
        <v>3.9</v>
      </c>
      <c r="R558" s="13" t="str">
        <f>IF(Patient_Data!$L558&lt;2,"Low Risk",IF(Patient_Data!$L558&lt;4,"Moderate Risk","High Risk"))</f>
        <v>High Risk</v>
      </c>
      <c r="S558" s="12" t="str">
        <f>IF(Patient_Data[[#This Row],[Age]]&lt;=18,"Pediatric",IF(Patient_Data[[#This Row],[Age]]&lt;=64,"Adult","Geriatric"))</f>
        <v>Adult</v>
      </c>
    </row>
    <row r="559" spans="1:19" ht="15.75" customHeight="1" x14ac:dyDescent="0.3">
      <c r="A559" s="4" t="s">
        <v>1184</v>
      </c>
      <c r="B559" s="5" t="str">
        <f>TEXT(Patient_Data!$E559,"mmmm")</f>
        <v>May</v>
      </c>
      <c r="C559" s="6" t="str">
        <f t="shared" si="4"/>
        <v>May</v>
      </c>
      <c r="D559" s="6">
        <f>MONTH(Patient_Data!$E559)</f>
        <v>5</v>
      </c>
      <c r="E559" s="7">
        <v>45785</v>
      </c>
      <c r="F559" s="55" t="str">
        <f>TEXT(Patient_Data[[#This Row],[Admission_Date]],"YYYY")</f>
        <v>2025</v>
      </c>
      <c r="G559" s="8" t="s">
        <v>1185</v>
      </c>
      <c r="H559" s="8" t="s">
        <v>53</v>
      </c>
      <c r="I559" s="4" t="s">
        <v>35</v>
      </c>
      <c r="J559" s="4">
        <v>40</v>
      </c>
      <c r="K559" s="4" t="s">
        <v>54</v>
      </c>
      <c r="L559" s="8">
        <v>3</v>
      </c>
      <c r="M559" s="9" t="s">
        <v>36</v>
      </c>
      <c r="N559" s="9" t="str">
        <f t="shared" si="5"/>
        <v>Cardio</v>
      </c>
      <c r="O559" s="10">
        <v>12286.68</v>
      </c>
      <c r="P559" s="10">
        <v>9421.8799999999992</v>
      </c>
      <c r="Q559" s="11">
        <v>10.5</v>
      </c>
      <c r="R559" s="13" t="str">
        <f>IF(Patient_Data!$L559&lt;2,"Low Risk",IF(Patient_Data!$L559&lt;4,"Moderate Risk","High Risk"))</f>
        <v>Moderate Risk</v>
      </c>
      <c r="S559" s="12" t="str">
        <f>IF(Patient_Data[[#This Row],[Age]]&lt;=18,"Pediatric",IF(Patient_Data[[#This Row],[Age]]&lt;=64,"Adult","Geriatric"))</f>
        <v>Adult</v>
      </c>
    </row>
    <row r="560" spans="1:19" ht="15.75" customHeight="1" x14ac:dyDescent="0.3">
      <c r="A560" s="4" t="s">
        <v>1186</v>
      </c>
      <c r="B560" s="5" t="str">
        <f>TEXT(Patient_Data!$E560,"mmmm")</f>
        <v>December</v>
      </c>
      <c r="C560" s="6" t="str">
        <f t="shared" si="4"/>
        <v>Dec</v>
      </c>
      <c r="D560" s="6">
        <f>MONTH(Patient_Data!$E560)</f>
        <v>12</v>
      </c>
      <c r="E560" s="7">
        <v>46003</v>
      </c>
      <c r="F560" s="55" t="str">
        <f>TEXT(Patient_Data[[#This Row],[Admission_Date]],"YYYY")</f>
        <v>2025</v>
      </c>
      <c r="G560" s="8" t="s">
        <v>1187</v>
      </c>
      <c r="H560" s="8" t="s">
        <v>132</v>
      </c>
      <c r="I560" s="4" t="s">
        <v>29</v>
      </c>
      <c r="J560" s="4">
        <v>47</v>
      </c>
      <c r="K560" s="4" t="s">
        <v>45</v>
      </c>
      <c r="L560" s="8">
        <v>1</v>
      </c>
      <c r="M560" s="9" t="s">
        <v>39</v>
      </c>
      <c r="N560" s="9" t="str">
        <f t="shared" si="5"/>
        <v>GM</v>
      </c>
      <c r="O560" s="10">
        <v>3116.15</v>
      </c>
      <c r="P560" s="10">
        <v>1864.17</v>
      </c>
      <c r="Q560" s="11">
        <v>7.1</v>
      </c>
      <c r="R560" s="13" t="str">
        <f>IF(Patient_Data!$L560&lt;2,"Low Risk",IF(Patient_Data!$L560&lt;4,"Moderate Risk","High Risk"))</f>
        <v>Low Risk</v>
      </c>
      <c r="S560" s="12" t="str">
        <f>IF(Patient_Data[[#This Row],[Age]]&lt;=18,"Pediatric",IF(Patient_Data[[#This Row],[Age]]&lt;=64,"Adult","Geriatric"))</f>
        <v>Adult</v>
      </c>
    </row>
    <row r="561" spans="1:19" ht="15.75" customHeight="1" x14ac:dyDescent="0.3">
      <c r="A561" s="4" t="s">
        <v>1188</v>
      </c>
      <c r="B561" s="5" t="str">
        <f>TEXT(Patient_Data!$E561,"mmmm")</f>
        <v>April</v>
      </c>
      <c r="C561" s="6" t="str">
        <f t="shared" si="4"/>
        <v>Apr</v>
      </c>
      <c r="D561" s="6">
        <f>MONTH(Patient_Data!$E561)</f>
        <v>4</v>
      </c>
      <c r="E561" s="7">
        <v>45405</v>
      </c>
      <c r="F561" s="55" t="str">
        <f>TEXT(Patient_Data[[#This Row],[Admission_Date]],"YYYY")</f>
        <v>2024</v>
      </c>
      <c r="G561" s="8" t="s">
        <v>1189</v>
      </c>
      <c r="H561" s="8" t="s">
        <v>34</v>
      </c>
      <c r="I561" s="4" t="s">
        <v>35</v>
      </c>
      <c r="J561" s="4">
        <v>82</v>
      </c>
      <c r="K561" s="4" t="s">
        <v>54</v>
      </c>
      <c r="L561" s="8">
        <v>4</v>
      </c>
      <c r="M561" s="9" t="s">
        <v>50</v>
      </c>
      <c r="N561" s="9" t="str">
        <f t="shared" si="5"/>
        <v>ICU</v>
      </c>
      <c r="O561" s="10">
        <v>20644.009999999998</v>
      </c>
      <c r="P561" s="10">
        <v>12669.65</v>
      </c>
      <c r="Q561" s="11">
        <v>9.6</v>
      </c>
      <c r="R561" s="13" t="str">
        <f>IF(Patient_Data!$L561&lt;2,"Low Risk",IF(Patient_Data!$L561&lt;4,"Moderate Risk","High Risk"))</f>
        <v>High Risk</v>
      </c>
      <c r="S561" s="12" t="str">
        <f>IF(Patient_Data[[#This Row],[Age]]&lt;=18,"Pediatric",IF(Patient_Data[[#This Row],[Age]]&lt;=64,"Adult","Geriatric"))</f>
        <v>Geriatric</v>
      </c>
    </row>
    <row r="562" spans="1:19" ht="15.75" customHeight="1" x14ac:dyDescent="0.3">
      <c r="A562" s="4" t="s">
        <v>1190</v>
      </c>
      <c r="B562" s="5" t="str">
        <f>TEXT(Patient_Data!$E562,"mmmm")</f>
        <v>June</v>
      </c>
      <c r="C562" s="6" t="str">
        <f t="shared" si="4"/>
        <v>Jun</v>
      </c>
      <c r="D562" s="6">
        <f>MONTH(Patient_Data!$E562)</f>
        <v>6</v>
      </c>
      <c r="E562" s="7">
        <v>45453</v>
      </c>
      <c r="F562" s="55" t="str">
        <f>TEXT(Patient_Data[[#This Row],[Admission_Date]],"YYYY")</f>
        <v>2024</v>
      </c>
      <c r="G562" s="8" t="s">
        <v>1191</v>
      </c>
      <c r="H562" s="8" t="s">
        <v>82</v>
      </c>
      <c r="I562" s="4" t="s">
        <v>35</v>
      </c>
      <c r="J562" s="4">
        <v>55</v>
      </c>
      <c r="K562" s="4" t="s">
        <v>30</v>
      </c>
      <c r="L562" s="8">
        <v>1</v>
      </c>
      <c r="M562" s="9" t="s">
        <v>36</v>
      </c>
      <c r="N562" s="9" t="str">
        <f t="shared" si="5"/>
        <v>Cardio</v>
      </c>
      <c r="O562" s="10">
        <v>5434.7</v>
      </c>
      <c r="P562" s="10">
        <v>3530.21</v>
      </c>
      <c r="Q562" s="11">
        <v>6.5</v>
      </c>
      <c r="R562" s="13" t="str">
        <f>IF(Patient_Data!$L562&lt;2,"Low Risk",IF(Patient_Data!$L562&lt;4,"Moderate Risk","High Risk"))</f>
        <v>Low Risk</v>
      </c>
      <c r="S562" s="12" t="str">
        <f>IF(Patient_Data[[#This Row],[Age]]&lt;=18,"Pediatric",IF(Patient_Data[[#This Row],[Age]]&lt;=64,"Adult","Geriatric"))</f>
        <v>Adult</v>
      </c>
    </row>
    <row r="563" spans="1:19" ht="15.75" customHeight="1" x14ac:dyDescent="0.3">
      <c r="A563" s="4" t="s">
        <v>1192</v>
      </c>
      <c r="B563" s="5" t="str">
        <f>TEXT(Patient_Data!$E563,"mmmm")</f>
        <v>November</v>
      </c>
      <c r="C563" s="6" t="str">
        <f t="shared" si="4"/>
        <v>Nov</v>
      </c>
      <c r="D563" s="6">
        <f>MONTH(Patient_Data!$E563)</f>
        <v>11</v>
      </c>
      <c r="E563" s="7">
        <v>45259</v>
      </c>
      <c r="F563" s="55" t="str">
        <f>TEXT(Patient_Data[[#This Row],[Admission_Date]],"YYYY")</f>
        <v>2023</v>
      </c>
      <c r="G563" s="8" t="s">
        <v>1193</v>
      </c>
      <c r="H563" s="8" t="s">
        <v>42</v>
      </c>
      <c r="I563" s="4" t="s">
        <v>29</v>
      </c>
      <c r="J563" s="4">
        <v>51</v>
      </c>
      <c r="K563" s="4" t="s">
        <v>54</v>
      </c>
      <c r="L563" s="8">
        <v>4</v>
      </c>
      <c r="M563" s="9" t="s">
        <v>31</v>
      </c>
      <c r="N563" s="9" t="str">
        <f t="shared" si="5"/>
        <v>Neuro</v>
      </c>
      <c r="O563" s="10">
        <v>10904.09</v>
      </c>
      <c r="P563" s="10">
        <v>7366.54</v>
      </c>
      <c r="Q563" s="11">
        <v>7.6</v>
      </c>
      <c r="R563" s="13" t="str">
        <f>IF(Patient_Data!$L563&lt;2,"Low Risk",IF(Patient_Data!$L563&lt;4,"Moderate Risk","High Risk"))</f>
        <v>High Risk</v>
      </c>
      <c r="S563" s="12" t="str">
        <f>IF(Patient_Data[[#This Row],[Age]]&lt;=18,"Pediatric",IF(Patient_Data[[#This Row],[Age]]&lt;=64,"Adult","Geriatric"))</f>
        <v>Adult</v>
      </c>
    </row>
    <row r="564" spans="1:19" ht="15.75" customHeight="1" x14ac:dyDescent="0.3">
      <c r="A564" s="4" t="s">
        <v>1194</v>
      </c>
      <c r="B564" s="5" t="str">
        <f>TEXT(Patient_Data!$E564,"mmmm")</f>
        <v>November</v>
      </c>
      <c r="C564" s="6" t="str">
        <f t="shared" si="4"/>
        <v>Nov</v>
      </c>
      <c r="D564" s="6">
        <f>MONTH(Patient_Data!$E564)</f>
        <v>11</v>
      </c>
      <c r="E564" s="7">
        <v>45243</v>
      </c>
      <c r="F564" s="55" t="str">
        <f>TEXT(Patient_Data[[#This Row],[Admission_Date]],"YYYY")</f>
        <v>2023</v>
      </c>
      <c r="G564" s="8" t="s">
        <v>1115</v>
      </c>
      <c r="H564" s="8" t="s">
        <v>34</v>
      </c>
      <c r="I564" s="4" t="s">
        <v>29</v>
      </c>
      <c r="J564" s="4">
        <v>85</v>
      </c>
      <c r="K564" s="4" t="s">
        <v>30</v>
      </c>
      <c r="L564" s="8">
        <v>1</v>
      </c>
      <c r="M564" s="9" t="s">
        <v>36</v>
      </c>
      <c r="N564" s="9" t="str">
        <f t="shared" si="5"/>
        <v>Cardio</v>
      </c>
      <c r="O564" s="10">
        <v>11141.88</v>
      </c>
      <c r="P564" s="10">
        <v>7880.92</v>
      </c>
      <c r="Q564" s="11">
        <v>10.199999999999999</v>
      </c>
      <c r="R564" s="13" t="str">
        <f>IF(Patient_Data!$L564&lt;2,"Low Risk",IF(Patient_Data!$L564&lt;4,"Moderate Risk","High Risk"))</f>
        <v>Low Risk</v>
      </c>
      <c r="S564" s="12" t="str">
        <f>IF(Patient_Data[[#This Row],[Age]]&lt;=18,"Pediatric",IF(Patient_Data[[#This Row],[Age]]&lt;=64,"Adult","Geriatric"))</f>
        <v>Geriatric</v>
      </c>
    </row>
    <row r="565" spans="1:19" ht="15.75" customHeight="1" x14ac:dyDescent="0.3">
      <c r="A565" s="4" t="s">
        <v>1195</v>
      </c>
      <c r="B565" s="5" t="str">
        <f>TEXT(Patient_Data!$E565,"mmmm")</f>
        <v>May</v>
      </c>
      <c r="C565" s="6" t="str">
        <f t="shared" si="4"/>
        <v>May</v>
      </c>
      <c r="D565" s="6">
        <f>MONTH(Patient_Data!$E565)</f>
        <v>5</v>
      </c>
      <c r="E565" s="7">
        <v>45790</v>
      </c>
      <c r="F565" s="55" t="str">
        <f>TEXT(Patient_Data[[#This Row],[Admission_Date]],"YYYY")</f>
        <v>2025</v>
      </c>
      <c r="G565" s="8" t="s">
        <v>1196</v>
      </c>
      <c r="H565" s="8" t="s">
        <v>132</v>
      </c>
      <c r="I565" s="4" t="s">
        <v>29</v>
      </c>
      <c r="J565" s="4">
        <v>14</v>
      </c>
      <c r="K565" s="4" t="s">
        <v>30</v>
      </c>
      <c r="L565" s="8">
        <v>2</v>
      </c>
      <c r="M565" s="9" t="s">
        <v>79</v>
      </c>
      <c r="N565" s="9" t="str">
        <f t="shared" si="5"/>
        <v>PD</v>
      </c>
      <c r="O565" s="10">
        <v>686.65</v>
      </c>
      <c r="P565" s="10">
        <v>521.25</v>
      </c>
      <c r="Q565" s="11">
        <v>2.5</v>
      </c>
      <c r="R565" s="13" t="str">
        <f>IF(Patient_Data!$L565&lt;2,"Low Risk",IF(Patient_Data!$L565&lt;4,"Moderate Risk","High Risk"))</f>
        <v>Moderate Risk</v>
      </c>
      <c r="S565" s="12" t="str">
        <f>IF(Patient_Data[[#This Row],[Age]]&lt;=18,"Pediatric",IF(Patient_Data[[#This Row],[Age]]&lt;=64,"Adult","Geriatric"))</f>
        <v>Pediatric</v>
      </c>
    </row>
    <row r="566" spans="1:19" ht="15.75" customHeight="1" x14ac:dyDescent="0.3">
      <c r="A566" s="4" t="s">
        <v>1197</v>
      </c>
      <c r="B566" s="5" t="str">
        <f>TEXT(Patient_Data!$E566,"mmmm")</f>
        <v>June</v>
      </c>
      <c r="C566" s="6" t="str">
        <f t="shared" si="4"/>
        <v>Jun</v>
      </c>
      <c r="D566" s="6">
        <f>MONTH(Patient_Data!$E566)</f>
        <v>6</v>
      </c>
      <c r="E566" s="7">
        <v>46175</v>
      </c>
      <c r="F566" s="55" t="str">
        <f>TEXT(Patient_Data[[#This Row],[Admission_Date]],"YYYY")</f>
        <v>2026</v>
      </c>
      <c r="G566" s="8" t="s">
        <v>1198</v>
      </c>
      <c r="H566" s="8" t="s">
        <v>49</v>
      </c>
      <c r="I566" s="4" t="s">
        <v>35</v>
      </c>
      <c r="J566" s="4">
        <v>72</v>
      </c>
      <c r="K566" s="4" t="s">
        <v>45</v>
      </c>
      <c r="L566" s="8">
        <v>5</v>
      </c>
      <c r="M566" s="9" t="s">
        <v>50</v>
      </c>
      <c r="N566" s="9" t="str">
        <f t="shared" si="5"/>
        <v>ICU</v>
      </c>
      <c r="O566" s="10">
        <v>18441.88</v>
      </c>
      <c r="P566" s="10">
        <v>14129.43</v>
      </c>
      <c r="Q566" s="11">
        <v>14.2</v>
      </c>
      <c r="R566" s="13" t="str">
        <f>IF(Patient_Data!$L566&lt;2,"Low Risk",IF(Patient_Data!$L566&lt;4,"Moderate Risk","High Risk"))</f>
        <v>High Risk</v>
      </c>
      <c r="S566" s="12" t="str">
        <f>IF(Patient_Data[[#This Row],[Age]]&lt;=18,"Pediatric",IF(Patient_Data[[#This Row],[Age]]&lt;=64,"Adult","Geriatric"))</f>
        <v>Geriatric</v>
      </c>
    </row>
    <row r="567" spans="1:19" ht="15.75" customHeight="1" x14ac:dyDescent="0.3">
      <c r="A567" s="4" t="s">
        <v>1199</v>
      </c>
      <c r="B567" s="5" t="str">
        <f>TEXT(Patient_Data!$E567,"mmmm")</f>
        <v>April</v>
      </c>
      <c r="C567" s="6" t="str">
        <f t="shared" si="4"/>
        <v>Apr</v>
      </c>
      <c r="D567" s="6">
        <f>MONTH(Patient_Data!$E567)</f>
        <v>4</v>
      </c>
      <c r="E567" s="7">
        <v>45404</v>
      </c>
      <c r="F567" s="55" t="str">
        <f>TEXT(Patient_Data[[#This Row],[Admission_Date]],"YYYY")</f>
        <v>2024</v>
      </c>
      <c r="G567" s="8" t="s">
        <v>1200</v>
      </c>
      <c r="H567" s="8" t="s">
        <v>98</v>
      </c>
      <c r="I567" s="4" t="s">
        <v>29</v>
      </c>
      <c r="J567" s="4">
        <v>19</v>
      </c>
      <c r="K567" s="4" t="s">
        <v>30</v>
      </c>
      <c r="L567" s="8">
        <v>1</v>
      </c>
      <c r="M567" s="9" t="s">
        <v>39</v>
      </c>
      <c r="N567" s="9" t="str">
        <f t="shared" si="5"/>
        <v>GM</v>
      </c>
      <c r="O567" s="10">
        <v>3254.05</v>
      </c>
      <c r="P567" s="10">
        <v>1964.15</v>
      </c>
      <c r="Q567" s="11">
        <v>9.6</v>
      </c>
      <c r="R567" s="13" t="str">
        <f>IF(Patient_Data!$L567&lt;2,"Low Risk",IF(Patient_Data!$L567&lt;4,"Moderate Risk","High Risk"))</f>
        <v>Low Risk</v>
      </c>
      <c r="S567" s="12" t="str">
        <f>IF(Patient_Data[[#This Row],[Age]]&lt;=18,"Pediatric",IF(Patient_Data[[#This Row],[Age]]&lt;=64,"Adult","Geriatric"))</f>
        <v>Adult</v>
      </c>
    </row>
    <row r="568" spans="1:19" ht="15.75" customHeight="1" x14ac:dyDescent="0.3">
      <c r="A568" s="4" t="s">
        <v>1201</v>
      </c>
      <c r="B568" s="5" t="str">
        <f>TEXT(Patient_Data!$E568,"mmmm")</f>
        <v>March</v>
      </c>
      <c r="C568" s="6" t="str">
        <f t="shared" si="4"/>
        <v>Mar</v>
      </c>
      <c r="D568" s="6">
        <f>MONTH(Patient_Data!$E568)</f>
        <v>3</v>
      </c>
      <c r="E568" s="7">
        <v>45366</v>
      </c>
      <c r="F568" s="55" t="str">
        <f>TEXT(Patient_Data[[#This Row],[Admission_Date]],"YYYY")</f>
        <v>2024</v>
      </c>
      <c r="G568" s="8" t="s">
        <v>1202</v>
      </c>
      <c r="H568" s="8" t="s">
        <v>49</v>
      </c>
      <c r="I568" s="4" t="s">
        <v>29</v>
      </c>
      <c r="J568" s="4">
        <v>10</v>
      </c>
      <c r="K568" s="4" t="s">
        <v>54</v>
      </c>
      <c r="L568" s="8">
        <v>3</v>
      </c>
      <c r="M568" s="9" t="s">
        <v>79</v>
      </c>
      <c r="N568" s="9" t="str">
        <f t="shared" si="5"/>
        <v>PD</v>
      </c>
      <c r="O568" s="10">
        <v>2746.42</v>
      </c>
      <c r="P568" s="10">
        <v>1712.92</v>
      </c>
      <c r="Q568" s="11">
        <v>4.7</v>
      </c>
      <c r="R568" s="13" t="str">
        <f>IF(Patient_Data!$L568&lt;2,"Low Risk",IF(Patient_Data!$L568&lt;4,"Moderate Risk","High Risk"))</f>
        <v>Moderate Risk</v>
      </c>
      <c r="S568" s="12" t="str">
        <f>IF(Patient_Data[[#This Row],[Age]]&lt;=18,"Pediatric",IF(Patient_Data[[#This Row],[Age]]&lt;=64,"Adult","Geriatric"))</f>
        <v>Pediatric</v>
      </c>
    </row>
    <row r="569" spans="1:19" ht="15.75" customHeight="1" x14ac:dyDescent="0.3">
      <c r="A569" s="4" t="s">
        <v>1203</v>
      </c>
      <c r="B569" s="5" t="str">
        <f>TEXT(Patient_Data!$E569,"mmmm")</f>
        <v>September</v>
      </c>
      <c r="C569" s="6" t="str">
        <f t="shared" si="4"/>
        <v>Sep</v>
      </c>
      <c r="D569" s="6">
        <f>MONTH(Patient_Data!$E569)</f>
        <v>9</v>
      </c>
      <c r="E569" s="7">
        <v>45926</v>
      </c>
      <c r="F569" s="55" t="str">
        <f>TEXT(Patient_Data[[#This Row],[Admission_Date]],"YYYY")</f>
        <v>2025</v>
      </c>
      <c r="G569" s="8" t="s">
        <v>1204</v>
      </c>
      <c r="H569" s="8" t="s">
        <v>34</v>
      </c>
      <c r="I569" s="4" t="s">
        <v>35</v>
      </c>
      <c r="J569" s="4">
        <v>28</v>
      </c>
      <c r="K569" s="4" t="s">
        <v>30</v>
      </c>
      <c r="L569" s="8">
        <v>1</v>
      </c>
      <c r="M569" s="9" t="s">
        <v>83</v>
      </c>
      <c r="N569" s="9" t="str">
        <f t="shared" si="5"/>
        <v>ER</v>
      </c>
      <c r="O569" s="10">
        <v>3851.09</v>
      </c>
      <c r="P569" s="10">
        <v>2639.9</v>
      </c>
      <c r="Q569" s="11">
        <v>21.9</v>
      </c>
      <c r="R569" s="13" t="str">
        <f>IF(Patient_Data!$L569&lt;2,"Low Risk",IF(Patient_Data!$L569&lt;4,"Moderate Risk","High Risk"))</f>
        <v>Low Risk</v>
      </c>
      <c r="S569" s="12" t="str">
        <f>IF(Patient_Data[[#This Row],[Age]]&lt;=18,"Pediatric",IF(Patient_Data[[#This Row],[Age]]&lt;=64,"Adult","Geriatric"))</f>
        <v>Adult</v>
      </c>
    </row>
    <row r="570" spans="1:19" ht="15.75" customHeight="1" x14ac:dyDescent="0.3">
      <c r="A570" s="4" t="s">
        <v>1205</v>
      </c>
      <c r="B570" s="5" t="str">
        <f>TEXT(Patient_Data!$E570,"mmmm")</f>
        <v>July</v>
      </c>
      <c r="C570" s="6" t="str">
        <f t="shared" si="4"/>
        <v>Jul</v>
      </c>
      <c r="D570" s="6">
        <f>MONTH(Patient_Data!$E570)</f>
        <v>7</v>
      </c>
      <c r="E570" s="7">
        <v>45483</v>
      </c>
      <c r="F570" s="55" t="str">
        <f>TEXT(Patient_Data[[#This Row],[Admission_Date]],"YYYY")</f>
        <v>2024</v>
      </c>
      <c r="G570" s="8" t="s">
        <v>1206</v>
      </c>
      <c r="H570" s="8" t="s">
        <v>82</v>
      </c>
      <c r="I570" s="4" t="s">
        <v>35</v>
      </c>
      <c r="J570" s="4">
        <v>78</v>
      </c>
      <c r="K570" s="4" t="s">
        <v>30</v>
      </c>
      <c r="L570" s="8">
        <v>3</v>
      </c>
      <c r="M570" s="9" t="s">
        <v>72</v>
      </c>
      <c r="N570" s="9" t="str">
        <f t="shared" si="5"/>
        <v>Surgery</v>
      </c>
      <c r="O570" s="10">
        <v>15282.51</v>
      </c>
      <c r="P570" s="10">
        <v>10255.280000000001</v>
      </c>
      <c r="Q570" s="11">
        <v>2</v>
      </c>
      <c r="R570" s="13" t="str">
        <f>IF(Patient_Data!$L570&lt;2,"Low Risk",IF(Patient_Data!$L570&lt;4,"Moderate Risk","High Risk"))</f>
        <v>Moderate Risk</v>
      </c>
      <c r="S570" s="12" t="str">
        <f>IF(Patient_Data[[#This Row],[Age]]&lt;=18,"Pediatric",IF(Patient_Data[[#This Row],[Age]]&lt;=64,"Adult","Geriatric"))</f>
        <v>Geriatric</v>
      </c>
    </row>
    <row r="571" spans="1:19" ht="15.75" customHeight="1" x14ac:dyDescent="0.3">
      <c r="A571" s="4" t="s">
        <v>1207</v>
      </c>
      <c r="B571" s="5" t="str">
        <f>TEXT(Patient_Data!$E571,"mmmm")</f>
        <v>December</v>
      </c>
      <c r="C571" s="6" t="str">
        <f t="shared" si="4"/>
        <v>Dec</v>
      </c>
      <c r="D571" s="6">
        <f>MONTH(Patient_Data!$E571)</f>
        <v>12</v>
      </c>
      <c r="E571" s="7">
        <v>46016</v>
      </c>
      <c r="F571" s="55" t="str">
        <f>TEXT(Patient_Data[[#This Row],[Admission_Date]],"YYYY")</f>
        <v>2025</v>
      </c>
      <c r="G571" s="8" t="s">
        <v>1208</v>
      </c>
      <c r="H571" s="8" t="s">
        <v>49</v>
      </c>
      <c r="I571" s="4" t="s">
        <v>35</v>
      </c>
      <c r="J571" s="4">
        <v>71</v>
      </c>
      <c r="K571" s="4" t="s">
        <v>30</v>
      </c>
      <c r="L571" s="8">
        <v>1</v>
      </c>
      <c r="M571" s="9" t="s">
        <v>83</v>
      </c>
      <c r="N571" s="9" t="str">
        <f t="shared" si="5"/>
        <v>ER</v>
      </c>
      <c r="O571" s="10">
        <v>4645.6499999999996</v>
      </c>
      <c r="P571" s="10">
        <v>3396.75</v>
      </c>
      <c r="Q571" s="11">
        <v>18.100000000000001</v>
      </c>
      <c r="R571" s="13" t="str">
        <f>IF(Patient_Data!$L571&lt;2,"Low Risk",IF(Patient_Data!$L571&lt;4,"Moderate Risk","High Risk"))</f>
        <v>Low Risk</v>
      </c>
      <c r="S571" s="12" t="str">
        <f>IF(Patient_Data[[#This Row],[Age]]&lt;=18,"Pediatric",IF(Patient_Data[[#This Row],[Age]]&lt;=64,"Adult","Geriatric"))</f>
        <v>Geriatric</v>
      </c>
    </row>
    <row r="572" spans="1:19" ht="15.75" customHeight="1" x14ac:dyDescent="0.3">
      <c r="A572" s="4" t="s">
        <v>1209</v>
      </c>
      <c r="B572" s="5" t="str">
        <f>TEXT(Patient_Data!$E572,"mmmm")</f>
        <v>March</v>
      </c>
      <c r="C572" s="6" t="str">
        <f t="shared" si="4"/>
        <v>Mar</v>
      </c>
      <c r="D572" s="6">
        <f>MONTH(Patient_Data!$E572)</f>
        <v>3</v>
      </c>
      <c r="E572" s="7">
        <v>45369</v>
      </c>
      <c r="F572" s="55" t="str">
        <f>TEXT(Patient_Data[[#This Row],[Admission_Date]],"YYYY")</f>
        <v>2024</v>
      </c>
      <c r="G572" s="8" t="s">
        <v>1210</v>
      </c>
      <c r="H572" s="8" t="s">
        <v>98</v>
      </c>
      <c r="I572" s="4" t="s">
        <v>35</v>
      </c>
      <c r="J572" s="4">
        <v>32</v>
      </c>
      <c r="K572" s="4" t="s">
        <v>30</v>
      </c>
      <c r="L572" s="8">
        <v>1</v>
      </c>
      <c r="M572" s="9" t="s">
        <v>39</v>
      </c>
      <c r="N572" s="9" t="str">
        <f t="shared" si="5"/>
        <v>GM</v>
      </c>
      <c r="O572" s="10">
        <v>2074.37</v>
      </c>
      <c r="P572" s="10">
        <v>1571.09</v>
      </c>
      <c r="Q572" s="11">
        <v>7.1</v>
      </c>
      <c r="R572" s="13" t="str">
        <f>IF(Patient_Data!$L572&lt;2,"Low Risk",IF(Patient_Data!$L572&lt;4,"Moderate Risk","High Risk"))</f>
        <v>Low Risk</v>
      </c>
      <c r="S572" s="12" t="str">
        <f>IF(Patient_Data[[#This Row],[Age]]&lt;=18,"Pediatric",IF(Patient_Data[[#This Row],[Age]]&lt;=64,"Adult","Geriatric"))</f>
        <v>Adult</v>
      </c>
    </row>
    <row r="573" spans="1:19" ht="15.75" customHeight="1" x14ac:dyDescent="0.3">
      <c r="A573" s="4" t="s">
        <v>1211</v>
      </c>
      <c r="B573" s="5" t="str">
        <f>TEXT(Patient_Data!$E573,"mmmm")</f>
        <v>May</v>
      </c>
      <c r="C573" s="6" t="str">
        <f t="shared" si="4"/>
        <v>May</v>
      </c>
      <c r="D573" s="6">
        <f>MONTH(Patient_Data!$E573)</f>
        <v>5</v>
      </c>
      <c r="E573" s="7">
        <v>46169</v>
      </c>
      <c r="F573" s="55" t="str">
        <f>TEXT(Patient_Data[[#This Row],[Admission_Date]],"YYYY")</f>
        <v>2026</v>
      </c>
      <c r="G573" s="8" t="s">
        <v>1212</v>
      </c>
      <c r="H573" s="8" t="s">
        <v>28</v>
      </c>
      <c r="I573" s="4" t="s">
        <v>29</v>
      </c>
      <c r="J573" s="4">
        <v>60</v>
      </c>
      <c r="K573" s="4" t="s">
        <v>30</v>
      </c>
      <c r="L573" s="8">
        <v>3</v>
      </c>
      <c r="M573" s="9" t="s">
        <v>46</v>
      </c>
      <c r="N573" s="9" t="str">
        <f t="shared" si="5"/>
        <v>Ortho</v>
      </c>
      <c r="O573" s="10">
        <v>7018.29</v>
      </c>
      <c r="P573" s="10">
        <v>5422.7</v>
      </c>
      <c r="Q573" s="11">
        <v>11.1</v>
      </c>
      <c r="R573" s="13" t="str">
        <f>IF(Patient_Data!$L573&lt;2,"Low Risk",IF(Patient_Data!$L573&lt;4,"Moderate Risk","High Risk"))</f>
        <v>Moderate Risk</v>
      </c>
      <c r="S573" s="12" t="str">
        <f>IF(Patient_Data[[#This Row],[Age]]&lt;=18,"Pediatric",IF(Patient_Data[[#This Row],[Age]]&lt;=64,"Adult","Geriatric"))</f>
        <v>Adult</v>
      </c>
    </row>
    <row r="574" spans="1:19" ht="15.75" customHeight="1" x14ac:dyDescent="0.3">
      <c r="A574" s="4" t="s">
        <v>1213</v>
      </c>
      <c r="B574" s="5" t="str">
        <f>TEXT(Patient_Data!$E574,"mmmm")</f>
        <v>December</v>
      </c>
      <c r="C574" s="6" t="str">
        <f t="shared" si="4"/>
        <v>Dec</v>
      </c>
      <c r="D574" s="6">
        <f>MONTH(Patient_Data!$E574)</f>
        <v>12</v>
      </c>
      <c r="E574" s="7">
        <v>46002</v>
      </c>
      <c r="F574" s="55" t="str">
        <f>TEXT(Patient_Data[[#This Row],[Admission_Date]],"YYYY")</f>
        <v>2025</v>
      </c>
      <c r="G574" s="8" t="s">
        <v>1214</v>
      </c>
      <c r="H574" s="8" t="s">
        <v>34</v>
      </c>
      <c r="I574" s="4" t="s">
        <v>29</v>
      </c>
      <c r="J574" s="4">
        <v>77</v>
      </c>
      <c r="K574" s="4" t="s">
        <v>54</v>
      </c>
      <c r="L574" s="8">
        <v>2</v>
      </c>
      <c r="M574" s="9" t="s">
        <v>46</v>
      </c>
      <c r="N574" s="9" t="str">
        <f t="shared" si="5"/>
        <v>Ortho</v>
      </c>
      <c r="O574" s="10">
        <v>4658.96</v>
      </c>
      <c r="P574" s="10">
        <v>2735.8</v>
      </c>
      <c r="Q574" s="11">
        <v>4.2</v>
      </c>
      <c r="R574" s="13" t="str">
        <f>IF(Patient_Data!$L574&lt;2,"Low Risk",IF(Patient_Data!$L574&lt;4,"Moderate Risk","High Risk"))</f>
        <v>Moderate Risk</v>
      </c>
      <c r="S574" s="12" t="str">
        <f>IF(Patient_Data[[#This Row],[Age]]&lt;=18,"Pediatric",IF(Patient_Data[[#This Row],[Age]]&lt;=64,"Adult","Geriatric"))</f>
        <v>Geriatric</v>
      </c>
    </row>
    <row r="575" spans="1:19" ht="15.75" customHeight="1" x14ac:dyDescent="0.3">
      <c r="A575" s="4" t="s">
        <v>1215</v>
      </c>
      <c r="B575" s="5" t="str">
        <f>TEXT(Patient_Data!$E575,"mmmm")</f>
        <v>March</v>
      </c>
      <c r="C575" s="6" t="str">
        <f t="shared" si="4"/>
        <v>Mar</v>
      </c>
      <c r="D575" s="6">
        <f>MONTH(Patient_Data!$E575)</f>
        <v>3</v>
      </c>
      <c r="E575" s="7">
        <v>45739</v>
      </c>
      <c r="F575" s="55" t="str">
        <f>TEXT(Patient_Data[[#This Row],[Admission_Date]],"YYYY")</f>
        <v>2025</v>
      </c>
      <c r="G575" s="8" t="s">
        <v>1216</v>
      </c>
      <c r="H575" s="8" t="s">
        <v>49</v>
      </c>
      <c r="I575" s="4" t="s">
        <v>35</v>
      </c>
      <c r="J575" s="4">
        <v>23</v>
      </c>
      <c r="K575" s="4" t="s">
        <v>30</v>
      </c>
      <c r="L575" s="8">
        <v>1</v>
      </c>
      <c r="M575" s="9" t="s">
        <v>36</v>
      </c>
      <c r="N575" s="9" t="str">
        <f t="shared" si="5"/>
        <v>Cardio</v>
      </c>
      <c r="O575" s="10">
        <v>4690.55</v>
      </c>
      <c r="P575" s="10">
        <v>2918.84</v>
      </c>
      <c r="Q575" s="11">
        <v>7.2</v>
      </c>
      <c r="R575" s="13" t="str">
        <f>IF(Patient_Data!$L575&lt;2,"Low Risk",IF(Patient_Data!$L575&lt;4,"Moderate Risk","High Risk"))</f>
        <v>Low Risk</v>
      </c>
      <c r="S575" s="12" t="str">
        <f>IF(Patient_Data[[#This Row],[Age]]&lt;=18,"Pediatric",IF(Patient_Data[[#This Row],[Age]]&lt;=64,"Adult","Geriatric"))</f>
        <v>Adult</v>
      </c>
    </row>
    <row r="576" spans="1:19" ht="15.75" customHeight="1" x14ac:dyDescent="0.3">
      <c r="A576" s="4" t="s">
        <v>1217</v>
      </c>
      <c r="B576" s="5" t="str">
        <f>TEXT(Patient_Data!$E576,"mmmm")</f>
        <v>September</v>
      </c>
      <c r="C576" s="6" t="str">
        <f t="shared" si="4"/>
        <v>Sep</v>
      </c>
      <c r="D576" s="6">
        <f>MONTH(Patient_Data!$E576)</f>
        <v>9</v>
      </c>
      <c r="E576" s="7">
        <v>45925</v>
      </c>
      <c r="F576" s="55" t="str">
        <f>TEXT(Patient_Data[[#This Row],[Admission_Date]],"YYYY")</f>
        <v>2025</v>
      </c>
      <c r="G576" s="8" t="s">
        <v>1218</v>
      </c>
      <c r="H576" s="8" t="s">
        <v>34</v>
      </c>
      <c r="I576" s="4" t="s">
        <v>29</v>
      </c>
      <c r="J576" s="4">
        <v>56</v>
      </c>
      <c r="K576" s="4" t="s">
        <v>30</v>
      </c>
      <c r="L576" s="8">
        <v>2</v>
      </c>
      <c r="M576" s="9" t="s">
        <v>36</v>
      </c>
      <c r="N576" s="9" t="str">
        <f t="shared" si="5"/>
        <v>Cardio</v>
      </c>
      <c r="O576" s="10">
        <v>6855.98</v>
      </c>
      <c r="P576" s="10">
        <v>4387.83</v>
      </c>
      <c r="Q576" s="11"/>
      <c r="R576" s="13" t="str">
        <f>IF(Patient_Data!$L576&lt;2,"Low Risk",IF(Patient_Data!$L576&lt;4,"Moderate Risk","High Risk"))</f>
        <v>Moderate Risk</v>
      </c>
      <c r="S576" s="12" t="str">
        <f>IF(Patient_Data[[#This Row],[Age]]&lt;=18,"Pediatric",IF(Patient_Data[[#This Row],[Age]]&lt;=64,"Adult","Geriatric"))</f>
        <v>Adult</v>
      </c>
    </row>
    <row r="577" spans="1:19" ht="15.75" customHeight="1" x14ac:dyDescent="0.3">
      <c r="A577" s="4" t="s">
        <v>1219</v>
      </c>
      <c r="B577" s="5" t="str">
        <f>TEXT(Patient_Data!$E577,"mmmm")</f>
        <v>November</v>
      </c>
      <c r="C577" s="6" t="str">
        <f t="shared" si="4"/>
        <v>Nov</v>
      </c>
      <c r="D577" s="6">
        <f>MONTH(Patient_Data!$E577)</f>
        <v>11</v>
      </c>
      <c r="E577" s="7">
        <v>45611</v>
      </c>
      <c r="F577" s="55" t="str">
        <f>TEXT(Patient_Data[[#This Row],[Admission_Date]],"YYYY")</f>
        <v>2024</v>
      </c>
      <c r="G577" s="8" t="s">
        <v>1220</v>
      </c>
      <c r="H577" s="8" t="s">
        <v>28</v>
      </c>
      <c r="I577" s="4" t="s">
        <v>35</v>
      </c>
      <c r="J577" s="4">
        <v>55</v>
      </c>
      <c r="K577" s="4" t="s">
        <v>30</v>
      </c>
      <c r="L577" s="8">
        <v>2</v>
      </c>
      <c r="M577" s="9" t="s">
        <v>36</v>
      </c>
      <c r="N577" s="9" t="str">
        <f t="shared" si="5"/>
        <v>Cardio</v>
      </c>
      <c r="O577" s="10">
        <v>6405.43</v>
      </c>
      <c r="P577" s="10">
        <v>4315.6400000000003</v>
      </c>
      <c r="Q577" s="11">
        <v>3</v>
      </c>
      <c r="R577" s="13" t="str">
        <f>IF(Patient_Data!$L577&lt;2,"Low Risk",IF(Patient_Data!$L577&lt;4,"Moderate Risk","High Risk"))</f>
        <v>Moderate Risk</v>
      </c>
      <c r="S577" s="12" t="str">
        <f>IF(Patient_Data[[#This Row],[Age]]&lt;=18,"Pediatric",IF(Patient_Data[[#This Row],[Age]]&lt;=64,"Adult","Geriatric"))</f>
        <v>Adult</v>
      </c>
    </row>
    <row r="578" spans="1:19" ht="15.75" customHeight="1" x14ac:dyDescent="0.3">
      <c r="A578" s="4" t="s">
        <v>1221</v>
      </c>
      <c r="B578" s="5" t="str">
        <f>TEXT(Patient_Data!$E578,"mmmm")</f>
        <v>December</v>
      </c>
      <c r="C578" s="6" t="str">
        <f t="shared" si="4"/>
        <v>Dec</v>
      </c>
      <c r="D578" s="6">
        <f>MONTH(Patient_Data!$E578)</f>
        <v>12</v>
      </c>
      <c r="E578" s="7">
        <v>45650</v>
      </c>
      <c r="F578" s="55" t="str">
        <f>TEXT(Patient_Data[[#This Row],[Admission_Date]],"YYYY")</f>
        <v>2024</v>
      </c>
      <c r="G578" s="8" t="s">
        <v>1222</v>
      </c>
      <c r="H578" s="8" t="s">
        <v>132</v>
      </c>
      <c r="I578" s="4" t="s">
        <v>35</v>
      </c>
      <c r="J578" s="4">
        <v>81</v>
      </c>
      <c r="K578" s="4" t="s">
        <v>30</v>
      </c>
      <c r="L578" s="8">
        <v>3</v>
      </c>
      <c r="M578" s="9" t="s">
        <v>36</v>
      </c>
      <c r="N578" s="9" t="str">
        <f t="shared" si="5"/>
        <v>Cardio</v>
      </c>
      <c r="O578" s="10">
        <v>13169.08</v>
      </c>
      <c r="P578" s="10">
        <v>9251.9599999999991</v>
      </c>
      <c r="Q578" s="11">
        <v>4.2</v>
      </c>
      <c r="R578" s="13" t="str">
        <f>IF(Patient_Data!$L578&lt;2,"Low Risk",IF(Patient_Data!$L578&lt;4,"Moderate Risk","High Risk"))</f>
        <v>Moderate Risk</v>
      </c>
      <c r="S578" s="12" t="str">
        <f>IF(Patient_Data[[#This Row],[Age]]&lt;=18,"Pediatric",IF(Patient_Data[[#This Row],[Age]]&lt;=64,"Adult","Geriatric"))</f>
        <v>Geriatric</v>
      </c>
    </row>
    <row r="579" spans="1:19" ht="15.75" customHeight="1" x14ac:dyDescent="0.3">
      <c r="A579" s="4" t="s">
        <v>1223</v>
      </c>
      <c r="B579" s="5" t="str">
        <f>TEXT(Patient_Data!$E579,"mmmm")</f>
        <v>September</v>
      </c>
      <c r="C579" s="6" t="str">
        <f t="shared" si="4"/>
        <v>Sep</v>
      </c>
      <c r="D579" s="6">
        <f>MONTH(Patient_Data!$E579)</f>
        <v>9</v>
      </c>
      <c r="E579" s="7">
        <v>45909</v>
      </c>
      <c r="F579" s="55" t="str">
        <f>TEXT(Patient_Data[[#This Row],[Admission_Date]],"YYYY")</f>
        <v>2025</v>
      </c>
      <c r="G579" s="8" t="s">
        <v>1224</v>
      </c>
      <c r="H579" s="8" t="s">
        <v>28</v>
      </c>
      <c r="I579" s="4" t="s">
        <v>29</v>
      </c>
      <c r="J579" s="4">
        <v>65</v>
      </c>
      <c r="K579" s="4" t="s">
        <v>30</v>
      </c>
      <c r="L579" s="8">
        <v>1</v>
      </c>
      <c r="M579" s="9" t="s">
        <v>36</v>
      </c>
      <c r="N579" s="9" t="str">
        <f t="shared" si="5"/>
        <v>Cardio</v>
      </c>
      <c r="O579" s="10">
        <v>4976.9799999999996</v>
      </c>
      <c r="P579" s="10">
        <v>3691.6</v>
      </c>
      <c r="Q579" s="11">
        <v>7.3</v>
      </c>
      <c r="R579" s="13" t="str">
        <f>IF(Patient_Data!$L579&lt;2,"Low Risk",IF(Patient_Data!$L579&lt;4,"Moderate Risk","High Risk"))</f>
        <v>Low Risk</v>
      </c>
      <c r="S579" s="12" t="str">
        <f>IF(Patient_Data[[#This Row],[Age]]&lt;=18,"Pediatric",IF(Patient_Data[[#This Row],[Age]]&lt;=64,"Adult","Geriatric"))</f>
        <v>Geriatric</v>
      </c>
    </row>
    <row r="580" spans="1:19" ht="15.75" customHeight="1" x14ac:dyDescent="0.3">
      <c r="A580" s="4" t="s">
        <v>1225</v>
      </c>
      <c r="B580" s="5" t="str">
        <f>TEXT(Patient_Data!$E580,"mmmm")</f>
        <v>March</v>
      </c>
      <c r="C580" s="6" t="str">
        <f t="shared" si="4"/>
        <v>Mar</v>
      </c>
      <c r="D580" s="6">
        <f>MONTH(Patient_Data!$E580)</f>
        <v>3</v>
      </c>
      <c r="E580" s="7">
        <v>45370</v>
      </c>
      <c r="F580" s="55" t="str">
        <f>TEXT(Patient_Data[[#This Row],[Admission_Date]],"YYYY")</f>
        <v>2024</v>
      </c>
      <c r="G580" s="8" t="s">
        <v>1226</v>
      </c>
      <c r="H580" s="8" t="s">
        <v>49</v>
      </c>
      <c r="I580" s="4" t="s">
        <v>29</v>
      </c>
      <c r="J580" s="4">
        <v>80</v>
      </c>
      <c r="K580" s="4" t="s">
        <v>54</v>
      </c>
      <c r="L580" s="8">
        <v>3</v>
      </c>
      <c r="M580" s="9" t="s">
        <v>36</v>
      </c>
      <c r="N580" s="9" t="str">
        <f t="shared" si="5"/>
        <v>Cardio</v>
      </c>
      <c r="O580" s="10">
        <v>11210.97</v>
      </c>
      <c r="P580" s="10">
        <v>8566.74</v>
      </c>
      <c r="Q580" s="11">
        <v>5.8</v>
      </c>
      <c r="R580" s="13" t="str">
        <f>IF(Patient_Data!$L580&lt;2,"Low Risk",IF(Patient_Data!$L580&lt;4,"Moderate Risk","High Risk"))</f>
        <v>Moderate Risk</v>
      </c>
      <c r="S580" s="12" t="str">
        <f>IF(Patient_Data[[#This Row],[Age]]&lt;=18,"Pediatric",IF(Patient_Data[[#This Row],[Age]]&lt;=64,"Adult","Geriatric"))</f>
        <v>Geriatric</v>
      </c>
    </row>
    <row r="581" spans="1:19" ht="15.75" customHeight="1" x14ac:dyDescent="0.3">
      <c r="A581" s="4" t="s">
        <v>1227</v>
      </c>
      <c r="B581" s="5" t="str">
        <f>TEXT(Patient_Data!$E581,"mmmm")</f>
        <v>September</v>
      </c>
      <c r="C581" s="6" t="str">
        <f t="shared" si="4"/>
        <v>Sep</v>
      </c>
      <c r="D581" s="6">
        <f>MONTH(Patient_Data!$E581)</f>
        <v>9</v>
      </c>
      <c r="E581" s="7">
        <v>45919</v>
      </c>
      <c r="F581" s="55" t="str">
        <f>TEXT(Patient_Data[[#This Row],[Admission_Date]],"YYYY")</f>
        <v>2025</v>
      </c>
      <c r="G581" s="8" t="s">
        <v>1228</v>
      </c>
      <c r="H581" s="8" t="s">
        <v>28</v>
      </c>
      <c r="I581" s="4" t="s">
        <v>35</v>
      </c>
      <c r="J581" s="4">
        <v>63</v>
      </c>
      <c r="K581" s="4" t="s">
        <v>30</v>
      </c>
      <c r="L581" s="8">
        <v>2</v>
      </c>
      <c r="M581" s="9" t="s">
        <v>39</v>
      </c>
      <c r="N581" s="9" t="str">
        <f t="shared" si="5"/>
        <v>GM</v>
      </c>
      <c r="O581" s="10">
        <v>5010.01</v>
      </c>
      <c r="P581" s="10">
        <v>2959.41</v>
      </c>
      <c r="Q581" s="11">
        <v>6.7</v>
      </c>
      <c r="R581" s="13" t="str">
        <f>IF(Patient_Data!$L581&lt;2,"Low Risk",IF(Patient_Data!$L581&lt;4,"Moderate Risk","High Risk"))</f>
        <v>Moderate Risk</v>
      </c>
      <c r="S581" s="12" t="str">
        <f>IF(Patient_Data[[#This Row],[Age]]&lt;=18,"Pediatric",IF(Patient_Data[[#This Row],[Age]]&lt;=64,"Adult","Geriatric"))</f>
        <v>Adult</v>
      </c>
    </row>
    <row r="582" spans="1:19" ht="15.75" customHeight="1" x14ac:dyDescent="0.3">
      <c r="A582" s="4" t="s">
        <v>1229</v>
      </c>
      <c r="B582" s="5" t="str">
        <f>TEXT(Patient_Data!$E582,"mmmm")</f>
        <v>September</v>
      </c>
      <c r="C582" s="6" t="str">
        <f t="shared" si="4"/>
        <v>Sep</v>
      </c>
      <c r="D582" s="6">
        <f>MONTH(Patient_Data!$E582)</f>
        <v>9</v>
      </c>
      <c r="E582" s="7">
        <v>45901</v>
      </c>
      <c r="F582" s="55" t="str">
        <f>TEXT(Patient_Data[[#This Row],[Admission_Date]],"YYYY")</f>
        <v>2025</v>
      </c>
      <c r="G582" s="8" t="s">
        <v>1230</v>
      </c>
      <c r="H582" s="8" t="s">
        <v>49</v>
      </c>
      <c r="I582" s="4" t="s">
        <v>35</v>
      </c>
      <c r="J582" s="4">
        <v>58</v>
      </c>
      <c r="K582" s="4" t="s">
        <v>54</v>
      </c>
      <c r="L582" s="8">
        <v>4</v>
      </c>
      <c r="M582" s="9" t="s">
        <v>50</v>
      </c>
      <c r="N582" s="9" t="str">
        <f t="shared" si="5"/>
        <v>ICU</v>
      </c>
      <c r="O582" s="10">
        <v>11839.58</v>
      </c>
      <c r="P582" s="10">
        <v>7303.74</v>
      </c>
      <c r="Q582" s="11">
        <v>10.199999999999999</v>
      </c>
      <c r="R582" s="13" t="str">
        <f>IF(Patient_Data!$L582&lt;2,"Low Risk",IF(Patient_Data!$L582&lt;4,"Moderate Risk","High Risk"))</f>
        <v>High Risk</v>
      </c>
      <c r="S582" s="12" t="str">
        <f>IF(Patient_Data[[#This Row],[Age]]&lt;=18,"Pediatric",IF(Patient_Data[[#This Row],[Age]]&lt;=64,"Adult","Geriatric"))</f>
        <v>Adult</v>
      </c>
    </row>
    <row r="583" spans="1:19" ht="15.75" customHeight="1" x14ac:dyDescent="0.3">
      <c r="A583" s="4" t="s">
        <v>1231</v>
      </c>
      <c r="B583" s="5" t="str">
        <f>TEXT(Patient_Data!$E583,"mmmm")</f>
        <v>September</v>
      </c>
      <c r="C583" s="6" t="str">
        <f t="shared" si="4"/>
        <v>Sep</v>
      </c>
      <c r="D583" s="6">
        <f>MONTH(Patient_Data!$E583)</f>
        <v>9</v>
      </c>
      <c r="E583" s="7">
        <v>45555</v>
      </c>
      <c r="F583" s="55" t="str">
        <f>TEXT(Patient_Data[[#This Row],[Admission_Date]],"YYYY")</f>
        <v>2024</v>
      </c>
      <c r="G583" s="8" t="s">
        <v>1232</v>
      </c>
      <c r="H583" s="8" t="s">
        <v>34</v>
      </c>
      <c r="I583" s="4" t="s">
        <v>35</v>
      </c>
      <c r="J583" s="4">
        <v>16</v>
      </c>
      <c r="K583" s="4" t="s">
        <v>30</v>
      </c>
      <c r="L583" s="8">
        <v>1</v>
      </c>
      <c r="M583" s="9" t="s">
        <v>79</v>
      </c>
      <c r="N583" s="9" t="str">
        <f t="shared" si="5"/>
        <v>PD</v>
      </c>
      <c r="O583" s="10">
        <v>1254.6099999999999</v>
      </c>
      <c r="P583" s="10">
        <v>843.75</v>
      </c>
      <c r="Q583" s="11">
        <v>5.0999999999999996</v>
      </c>
      <c r="R583" s="13" t="str">
        <f>IF(Patient_Data!$L583&lt;2,"Low Risk",IF(Patient_Data!$L583&lt;4,"Moderate Risk","High Risk"))</f>
        <v>Low Risk</v>
      </c>
      <c r="S583" s="12" t="str">
        <f>IF(Patient_Data[[#This Row],[Age]]&lt;=18,"Pediatric",IF(Patient_Data[[#This Row],[Age]]&lt;=64,"Adult","Geriatric"))</f>
        <v>Pediatric</v>
      </c>
    </row>
    <row r="584" spans="1:19" ht="15.75" customHeight="1" x14ac:dyDescent="0.3">
      <c r="A584" s="4" t="s">
        <v>1233</v>
      </c>
      <c r="B584" s="5" t="str">
        <f>TEXT(Patient_Data!$E584,"mmmm")</f>
        <v>March</v>
      </c>
      <c r="C584" s="6" t="str">
        <f t="shared" si="4"/>
        <v>Mar</v>
      </c>
      <c r="D584" s="6">
        <f>MONTH(Patient_Data!$E584)</f>
        <v>3</v>
      </c>
      <c r="E584" s="7">
        <v>46098</v>
      </c>
      <c r="F584" s="55" t="str">
        <f>TEXT(Patient_Data[[#This Row],[Admission_Date]],"YYYY")</f>
        <v>2026</v>
      </c>
      <c r="G584" s="8" t="s">
        <v>1234</v>
      </c>
      <c r="H584" s="8" t="s">
        <v>82</v>
      </c>
      <c r="I584" s="4" t="s">
        <v>35</v>
      </c>
      <c r="J584" s="4">
        <v>89</v>
      </c>
      <c r="K584" s="4" t="s">
        <v>54</v>
      </c>
      <c r="L584" s="8">
        <v>4</v>
      </c>
      <c r="M584" s="9" t="s">
        <v>50</v>
      </c>
      <c r="N584" s="9" t="str">
        <f t="shared" si="5"/>
        <v>ICU</v>
      </c>
      <c r="O584" s="10">
        <v>18390.89</v>
      </c>
      <c r="P584" s="10">
        <v>12421.1</v>
      </c>
      <c r="Q584" s="11">
        <v>12.4</v>
      </c>
      <c r="R584" s="13" t="str">
        <f>IF(Patient_Data!$L584&lt;2,"Low Risk",IF(Patient_Data!$L584&lt;4,"Moderate Risk","High Risk"))</f>
        <v>High Risk</v>
      </c>
      <c r="S584" s="12" t="str">
        <f>IF(Patient_Data[[#This Row],[Age]]&lt;=18,"Pediatric",IF(Patient_Data[[#This Row],[Age]]&lt;=64,"Adult","Geriatric"))</f>
        <v>Geriatric</v>
      </c>
    </row>
    <row r="585" spans="1:19" ht="15.75" customHeight="1" x14ac:dyDescent="0.3">
      <c r="A585" s="4" t="s">
        <v>1235</v>
      </c>
      <c r="B585" s="5" t="str">
        <f>TEXT(Patient_Data!$E585,"mmmm")</f>
        <v>October</v>
      </c>
      <c r="C585" s="6" t="str">
        <f t="shared" si="4"/>
        <v>Oct</v>
      </c>
      <c r="D585" s="6">
        <f>MONTH(Patient_Data!$E585)</f>
        <v>10</v>
      </c>
      <c r="E585" s="7">
        <v>45210</v>
      </c>
      <c r="F585" s="55" t="str">
        <f>TEXT(Patient_Data[[#This Row],[Admission_Date]],"YYYY")</f>
        <v>2023</v>
      </c>
      <c r="G585" s="8" t="s">
        <v>1236</v>
      </c>
      <c r="H585" s="8" t="s">
        <v>98</v>
      </c>
      <c r="I585" s="4" t="s">
        <v>29</v>
      </c>
      <c r="J585" s="4">
        <v>36</v>
      </c>
      <c r="K585" s="4" t="s">
        <v>30</v>
      </c>
      <c r="L585" s="8">
        <v>2</v>
      </c>
      <c r="M585" s="9" t="s">
        <v>83</v>
      </c>
      <c r="N585" s="9" t="str">
        <f t="shared" si="5"/>
        <v>ER</v>
      </c>
      <c r="O585" s="10">
        <v>7347.42</v>
      </c>
      <c r="P585" s="10">
        <v>5255.19</v>
      </c>
      <c r="Q585" s="11">
        <v>14</v>
      </c>
      <c r="R585" s="13" t="str">
        <f>IF(Patient_Data!$L585&lt;2,"Low Risk",IF(Patient_Data!$L585&lt;4,"Moderate Risk","High Risk"))</f>
        <v>Moderate Risk</v>
      </c>
      <c r="S585" s="12" t="str">
        <f>IF(Patient_Data[[#This Row],[Age]]&lt;=18,"Pediatric",IF(Patient_Data[[#This Row],[Age]]&lt;=64,"Adult","Geriatric"))</f>
        <v>Adult</v>
      </c>
    </row>
    <row r="586" spans="1:19" ht="15.75" customHeight="1" x14ac:dyDescent="0.3">
      <c r="A586" s="4" t="s">
        <v>1237</v>
      </c>
      <c r="B586" s="5" t="str">
        <f>TEXT(Patient_Data!$E586,"mmmm")</f>
        <v>January</v>
      </c>
      <c r="C586" s="6" t="str">
        <f t="shared" si="4"/>
        <v>Jan</v>
      </c>
      <c r="D586" s="6">
        <f>MONTH(Patient_Data!$E586)</f>
        <v>1</v>
      </c>
      <c r="E586" s="7">
        <v>45665</v>
      </c>
      <c r="F586" s="55" t="str">
        <f>TEXT(Patient_Data[[#This Row],[Admission_Date]],"YYYY")</f>
        <v>2025</v>
      </c>
      <c r="G586" s="8" t="s">
        <v>1238</v>
      </c>
      <c r="H586" s="8" t="s">
        <v>34</v>
      </c>
      <c r="I586" s="4" t="s">
        <v>29</v>
      </c>
      <c r="J586" s="4">
        <v>53</v>
      </c>
      <c r="K586" s="4" t="s">
        <v>54</v>
      </c>
      <c r="L586" s="8">
        <v>3</v>
      </c>
      <c r="M586" s="9" t="s">
        <v>72</v>
      </c>
      <c r="N586" s="9" t="str">
        <f t="shared" si="5"/>
        <v>Surgery</v>
      </c>
      <c r="O586" s="10">
        <v>12902.94</v>
      </c>
      <c r="P586" s="10">
        <v>9466.35</v>
      </c>
      <c r="Q586" s="11">
        <v>5.9</v>
      </c>
      <c r="R586" s="13" t="str">
        <f>IF(Patient_Data!$L586&lt;2,"Low Risk",IF(Patient_Data!$L586&lt;4,"Moderate Risk","High Risk"))</f>
        <v>Moderate Risk</v>
      </c>
      <c r="S586" s="12" t="str">
        <f>IF(Patient_Data[[#This Row],[Age]]&lt;=18,"Pediatric",IF(Patient_Data[[#This Row],[Age]]&lt;=64,"Adult","Geriatric"))</f>
        <v>Adult</v>
      </c>
    </row>
    <row r="587" spans="1:19" ht="15.75" customHeight="1" x14ac:dyDescent="0.3">
      <c r="A587" s="4" t="s">
        <v>1239</v>
      </c>
      <c r="B587" s="5" t="str">
        <f>TEXT(Patient_Data!$E587,"mmmm")</f>
        <v>October</v>
      </c>
      <c r="C587" s="6" t="str">
        <f t="shared" si="4"/>
        <v>Oct</v>
      </c>
      <c r="D587" s="6">
        <f>MONTH(Patient_Data!$E587)</f>
        <v>10</v>
      </c>
      <c r="E587" s="7">
        <v>45587</v>
      </c>
      <c r="F587" s="55" t="str">
        <f>TEXT(Patient_Data[[#This Row],[Admission_Date]],"YYYY")</f>
        <v>2024</v>
      </c>
      <c r="G587" s="8" t="s">
        <v>1240</v>
      </c>
      <c r="H587" s="8" t="s">
        <v>34</v>
      </c>
      <c r="I587" s="4" t="s">
        <v>29</v>
      </c>
      <c r="J587" s="4">
        <v>2</v>
      </c>
      <c r="K587" s="4" t="s">
        <v>30</v>
      </c>
      <c r="L587" s="8">
        <v>2</v>
      </c>
      <c r="M587" s="9" t="s">
        <v>79</v>
      </c>
      <c r="N587" s="9" t="str">
        <f t="shared" si="5"/>
        <v>PD</v>
      </c>
      <c r="O587" s="10">
        <v>1661.72</v>
      </c>
      <c r="P587" s="10">
        <v>1301.31</v>
      </c>
      <c r="Q587" s="11">
        <v>4.8</v>
      </c>
      <c r="R587" s="13" t="str">
        <f>IF(Patient_Data!$L587&lt;2,"Low Risk",IF(Patient_Data!$L587&lt;4,"Moderate Risk","High Risk"))</f>
        <v>Moderate Risk</v>
      </c>
      <c r="S587" s="12" t="str">
        <f>IF(Patient_Data[[#This Row],[Age]]&lt;=18,"Pediatric",IF(Patient_Data[[#This Row],[Age]]&lt;=64,"Adult","Geriatric"))</f>
        <v>Pediatric</v>
      </c>
    </row>
    <row r="588" spans="1:19" ht="15.75" customHeight="1" x14ac:dyDescent="0.3">
      <c r="A588" s="4" t="s">
        <v>1241</v>
      </c>
      <c r="B588" s="5" t="str">
        <f>TEXT(Patient_Data!$E588,"mmmm")</f>
        <v>January</v>
      </c>
      <c r="C588" s="6" t="str">
        <f t="shared" si="4"/>
        <v>Jan</v>
      </c>
      <c r="D588" s="6">
        <f>MONTH(Patient_Data!$E588)</f>
        <v>1</v>
      </c>
      <c r="E588" s="7">
        <v>45307</v>
      </c>
      <c r="F588" s="55" t="str">
        <f>TEXT(Patient_Data[[#This Row],[Admission_Date]],"YYYY")</f>
        <v>2024</v>
      </c>
      <c r="G588" s="8" t="s">
        <v>1242</v>
      </c>
      <c r="H588" s="8" t="s">
        <v>53</v>
      </c>
      <c r="I588" s="4" t="s">
        <v>29</v>
      </c>
      <c r="J588" s="4">
        <v>6</v>
      </c>
      <c r="K588" s="4" t="s">
        <v>30</v>
      </c>
      <c r="L588" s="8">
        <v>2</v>
      </c>
      <c r="M588" s="9" t="s">
        <v>79</v>
      </c>
      <c r="N588" s="9" t="str">
        <f t="shared" si="5"/>
        <v>PD</v>
      </c>
      <c r="O588" s="10">
        <v>1336.04</v>
      </c>
      <c r="P588" s="10">
        <v>795.7</v>
      </c>
      <c r="Q588" s="11">
        <v>2.6</v>
      </c>
      <c r="R588" s="13" t="str">
        <f>IF(Patient_Data!$L588&lt;2,"Low Risk",IF(Patient_Data!$L588&lt;4,"Moderate Risk","High Risk"))</f>
        <v>Moderate Risk</v>
      </c>
      <c r="S588" s="12" t="str">
        <f>IF(Patient_Data[[#This Row],[Age]]&lt;=18,"Pediatric",IF(Patient_Data[[#This Row],[Age]]&lt;=64,"Adult","Geriatric"))</f>
        <v>Pediatric</v>
      </c>
    </row>
    <row r="589" spans="1:19" ht="15.75" customHeight="1" x14ac:dyDescent="0.3">
      <c r="A589" s="4" t="s">
        <v>1243</v>
      </c>
      <c r="B589" s="5" t="str">
        <f>TEXT(Patient_Data!$E589,"mmmm")</f>
        <v>December</v>
      </c>
      <c r="C589" s="6" t="str">
        <f t="shared" si="4"/>
        <v>Dec</v>
      </c>
      <c r="D589" s="6">
        <f>MONTH(Patient_Data!$E589)</f>
        <v>12</v>
      </c>
      <c r="E589" s="7">
        <v>45644</v>
      </c>
      <c r="F589" s="55" t="str">
        <f>TEXT(Patient_Data[[#This Row],[Admission_Date]],"YYYY")</f>
        <v>2024</v>
      </c>
      <c r="G589" s="8" t="s">
        <v>1244</v>
      </c>
      <c r="H589" s="8" t="s">
        <v>42</v>
      </c>
      <c r="I589" s="4" t="s">
        <v>35</v>
      </c>
      <c r="J589" s="4">
        <v>44</v>
      </c>
      <c r="K589" s="4" t="s">
        <v>54</v>
      </c>
      <c r="L589" s="8">
        <v>1</v>
      </c>
      <c r="M589" s="9" t="s">
        <v>83</v>
      </c>
      <c r="N589" s="9" t="str">
        <f t="shared" si="5"/>
        <v>ER</v>
      </c>
      <c r="O589" s="10">
        <v>3682.85</v>
      </c>
      <c r="P589" s="10">
        <v>2431.34</v>
      </c>
      <c r="Q589" s="11">
        <v>23.1</v>
      </c>
      <c r="R589" s="13" t="str">
        <f>IF(Patient_Data!$L589&lt;2,"Low Risk",IF(Patient_Data!$L589&lt;4,"Moderate Risk","High Risk"))</f>
        <v>Low Risk</v>
      </c>
      <c r="S589" s="12" t="str">
        <f>IF(Patient_Data[[#This Row],[Age]]&lt;=18,"Pediatric",IF(Patient_Data[[#This Row],[Age]]&lt;=64,"Adult","Geriatric"))</f>
        <v>Adult</v>
      </c>
    </row>
    <row r="590" spans="1:19" ht="15.75" customHeight="1" x14ac:dyDescent="0.3">
      <c r="A590" s="4" t="s">
        <v>1245</v>
      </c>
      <c r="B590" s="5" t="str">
        <f>TEXT(Patient_Data!$E590,"mmmm")</f>
        <v>July</v>
      </c>
      <c r="C590" s="6" t="str">
        <f t="shared" si="4"/>
        <v>Jul</v>
      </c>
      <c r="D590" s="6">
        <f>MONTH(Patient_Data!$E590)</f>
        <v>7</v>
      </c>
      <c r="E590" s="7">
        <v>45839</v>
      </c>
      <c r="F590" s="55" t="str">
        <f>TEXT(Patient_Data[[#This Row],[Admission_Date]],"YYYY")</f>
        <v>2025</v>
      </c>
      <c r="G590" s="8" t="s">
        <v>1246</v>
      </c>
      <c r="H590" s="8" t="s">
        <v>53</v>
      </c>
      <c r="I590" s="4" t="s">
        <v>35</v>
      </c>
      <c r="J590" s="4">
        <v>64</v>
      </c>
      <c r="K590" s="4" t="s">
        <v>30</v>
      </c>
      <c r="L590" s="8">
        <v>1</v>
      </c>
      <c r="M590" s="9" t="s">
        <v>31</v>
      </c>
      <c r="N590" s="9" t="str">
        <f t="shared" si="5"/>
        <v>Neuro</v>
      </c>
      <c r="O590" s="10">
        <v>9356.19</v>
      </c>
      <c r="P590" s="10">
        <v>6046.36</v>
      </c>
      <c r="Q590" s="11">
        <v>7.3</v>
      </c>
      <c r="R590" s="13" t="str">
        <f>IF(Patient_Data!$L590&lt;2,"Low Risk",IF(Patient_Data!$L590&lt;4,"Moderate Risk","High Risk"))</f>
        <v>Low Risk</v>
      </c>
      <c r="S590" s="12" t="str">
        <f>IF(Patient_Data[[#This Row],[Age]]&lt;=18,"Pediatric",IF(Patient_Data[[#This Row],[Age]]&lt;=64,"Adult","Geriatric"))</f>
        <v>Adult</v>
      </c>
    </row>
    <row r="591" spans="1:19" ht="15.75" customHeight="1" x14ac:dyDescent="0.3">
      <c r="A591" s="4" t="s">
        <v>1247</v>
      </c>
      <c r="B591" s="5" t="str">
        <f>TEXT(Patient_Data!$E591,"mmmm")</f>
        <v>June</v>
      </c>
      <c r="C591" s="6" t="str">
        <f t="shared" si="4"/>
        <v>Jun</v>
      </c>
      <c r="D591" s="6">
        <f>MONTH(Patient_Data!$E591)</f>
        <v>6</v>
      </c>
      <c r="E591" s="7">
        <v>45469</v>
      </c>
      <c r="F591" s="55" t="str">
        <f>TEXT(Patient_Data[[#This Row],[Admission_Date]],"YYYY")</f>
        <v>2024</v>
      </c>
      <c r="G591" s="8" t="s">
        <v>1248</v>
      </c>
      <c r="H591" s="8" t="s">
        <v>28</v>
      </c>
      <c r="I591" s="4" t="s">
        <v>35</v>
      </c>
      <c r="J591" s="4">
        <v>61</v>
      </c>
      <c r="K591" s="4" t="s">
        <v>30</v>
      </c>
      <c r="L591" s="8">
        <v>3</v>
      </c>
      <c r="M591" s="9" t="s">
        <v>46</v>
      </c>
      <c r="N591" s="9" t="str">
        <f t="shared" si="5"/>
        <v>Ortho</v>
      </c>
      <c r="O591" s="10">
        <v>10865.17</v>
      </c>
      <c r="P591" s="10">
        <v>7338.86</v>
      </c>
      <c r="Q591" s="11">
        <v>7.4</v>
      </c>
      <c r="R591" s="13" t="str">
        <f>IF(Patient_Data!$L591&lt;2,"Low Risk",IF(Patient_Data!$L591&lt;4,"Moderate Risk","High Risk"))</f>
        <v>Moderate Risk</v>
      </c>
      <c r="S591" s="12" t="str">
        <f>IF(Patient_Data[[#This Row],[Age]]&lt;=18,"Pediatric",IF(Patient_Data[[#This Row],[Age]]&lt;=64,"Adult","Geriatric"))</f>
        <v>Adult</v>
      </c>
    </row>
    <row r="592" spans="1:19" ht="15.75" customHeight="1" x14ac:dyDescent="0.3">
      <c r="A592" s="4" t="s">
        <v>1249</v>
      </c>
      <c r="B592" s="5" t="str">
        <f>TEXT(Patient_Data!$E592,"mmmm")</f>
        <v>June</v>
      </c>
      <c r="C592" s="6" t="str">
        <f t="shared" si="4"/>
        <v>Jun</v>
      </c>
      <c r="D592" s="6">
        <f>MONTH(Patient_Data!$E592)</f>
        <v>6</v>
      </c>
      <c r="E592" s="7">
        <v>45463</v>
      </c>
      <c r="F592" s="55" t="str">
        <f>TEXT(Patient_Data[[#This Row],[Admission_Date]],"YYYY")</f>
        <v>2024</v>
      </c>
      <c r="G592" s="8" t="s">
        <v>1250</v>
      </c>
      <c r="H592" s="8" t="s">
        <v>34</v>
      </c>
      <c r="I592" s="4" t="s">
        <v>35</v>
      </c>
      <c r="J592" s="4">
        <v>33</v>
      </c>
      <c r="K592" s="4" t="s">
        <v>30</v>
      </c>
      <c r="L592" s="8">
        <v>1</v>
      </c>
      <c r="M592" s="9" t="s">
        <v>31</v>
      </c>
      <c r="N592" s="9" t="str">
        <f t="shared" si="5"/>
        <v>Neuro</v>
      </c>
      <c r="O592" s="10">
        <v>8126.41</v>
      </c>
      <c r="P592" s="10">
        <v>5756.49</v>
      </c>
      <c r="Q592" s="11">
        <v>8.5</v>
      </c>
      <c r="R592" s="13" t="str">
        <f>IF(Patient_Data!$L592&lt;2,"Low Risk",IF(Patient_Data!$L592&lt;4,"Moderate Risk","High Risk"))</f>
        <v>Low Risk</v>
      </c>
      <c r="S592" s="12" t="str">
        <f>IF(Patient_Data[[#This Row],[Age]]&lt;=18,"Pediatric",IF(Patient_Data[[#This Row],[Age]]&lt;=64,"Adult","Geriatric"))</f>
        <v>Adult</v>
      </c>
    </row>
    <row r="593" spans="1:19" ht="15.75" customHeight="1" x14ac:dyDescent="0.3">
      <c r="A593" s="4" t="s">
        <v>1251</v>
      </c>
      <c r="B593" s="5" t="str">
        <f>TEXT(Patient_Data!$E593,"mmmm")</f>
        <v>May</v>
      </c>
      <c r="C593" s="6" t="str">
        <f t="shared" si="4"/>
        <v>May</v>
      </c>
      <c r="D593" s="6">
        <f>MONTH(Patient_Data!$E593)</f>
        <v>5</v>
      </c>
      <c r="E593" s="7">
        <v>45433</v>
      </c>
      <c r="F593" s="55" t="str">
        <f>TEXT(Patient_Data[[#This Row],[Admission_Date]],"YYYY")</f>
        <v>2024</v>
      </c>
      <c r="G593" s="8" t="s">
        <v>1252</v>
      </c>
      <c r="H593" s="8" t="s">
        <v>98</v>
      </c>
      <c r="I593" s="4" t="s">
        <v>35</v>
      </c>
      <c r="J593" s="4">
        <v>48</v>
      </c>
      <c r="K593" s="4" t="s">
        <v>30</v>
      </c>
      <c r="L593" s="8">
        <v>1</v>
      </c>
      <c r="M593" s="9" t="s">
        <v>36</v>
      </c>
      <c r="N593" s="9" t="str">
        <f t="shared" si="5"/>
        <v>Cardio</v>
      </c>
      <c r="O593" s="10">
        <v>7250.9</v>
      </c>
      <c r="P593" s="10">
        <v>5382.76</v>
      </c>
      <c r="Q593" s="11">
        <v>11.2</v>
      </c>
      <c r="R593" s="13" t="str">
        <f>IF(Patient_Data!$L593&lt;2,"Low Risk",IF(Patient_Data!$L593&lt;4,"Moderate Risk","High Risk"))</f>
        <v>Low Risk</v>
      </c>
      <c r="S593" s="12" t="str">
        <f>IF(Patient_Data[[#This Row],[Age]]&lt;=18,"Pediatric",IF(Patient_Data[[#This Row],[Age]]&lt;=64,"Adult","Geriatric"))</f>
        <v>Adult</v>
      </c>
    </row>
    <row r="594" spans="1:19" ht="15.75" customHeight="1" x14ac:dyDescent="0.3">
      <c r="A594" s="4" t="s">
        <v>1253</v>
      </c>
      <c r="B594" s="5" t="str">
        <f>TEXT(Patient_Data!$E594,"mmmm")</f>
        <v>January</v>
      </c>
      <c r="C594" s="6" t="str">
        <f t="shared" si="4"/>
        <v>Jan</v>
      </c>
      <c r="D594" s="6">
        <f>MONTH(Patient_Data!$E594)</f>
        <v>1</v>
      </c>
      <c r="E594" s="7">
        <v>45680</v>
      </c>
      <c r="F594" s="55" t="str">
        <f>TEXT(Patient_Data[[#This Row],[Admission_Date]],"YYYY")</f>
        <v>2025</v>
      </c>
      <c r="G594" s="8" t="s">
        <v>1254</v>
      </c>
      <c r="H594" s="8" t="s">
        <v>34</v>
      </c>
      <c r="I594" s="4" t="s">
        <v>35</v>
      </c>
      <c r="J594" s="4">
        <v>63</v>
      </c>
      <c r="K594" s="4" t="s">
        <v>54</v>
      </c>
      <c r="L594" s="8">
        <v>3</v>
      </c>
      <c r="M594" s="9" t="s">
        <v>46</v>
      </c>
      <c r="N594" s="9" t="str">
        <f t="shared" si="5"/>
        <v>Ortho</v>
      </c>
      <c r="O594" s="10">
        <v>10560.82</v>
      </c>
      <c r="P594" s="10">
        <v>8103.02</v>
      </c>
      <c r="Q594" s="11">
        <v>9.6</v>
      </c>
      <c r="R594" s="13" t="str">
        <f>IF(Patient_Data!$L594&lt;2,"Low Risk",IF(Patient_Data!$L594&lt;4,"Moderate Risk","High Risk"))</f>
        <v>Moderate Risk</v>
      </c>
      <c r="S594" s="12" t="str">
        <f>IF(Patient_Data[[#This Row],[Age]]&lt;=18,"Pediatric",IF(Patient_Data[[#This Row],[Age]]&lt;=64,"Adult","Geriatric"))</f>
        <v>Adult</v>
      </c>
    </row>
    <row r="595" spans="1:19" ht="15.75" customHeight="1" x14ac:dyDescent="0.3">
      <c r="A595" s="4" t="s">
        <v>1255</v>
      </c>
      <c r="B595" s="5" t="str">
        <f>TEXT(Patient_Data!$E595,"mmmm")</f>
        <v>August</v>
      </c>
      <c r="C595" s="6" t="str">
        <f t="shared" si="4"/>
        <v>Aug</v>
      </c>
      <c r="D595" s="6">
        <f>MONTH(Patient_Data!$E595)</f>
        <v>8</v>
      </c>
      <c r="E595" s="7">
        <v>45524</v>
      </c>
      <c r="F595" s="55" t="str">
        <f>TEXT(Patient_Data[[#This Row],[Admission_Date]],"YYYY")</f>
        <v>2024</v>
      </c>
      <c r="G595" s="8" t="s">
        <v>1256</v>
      </c>
      <c r="H595" s="8" t="s">
        <v>82</v>
      </c>
      <c r="I595" s="4" t="s">
        <v>35</v>
      </c>
      <c r="J595" s="4">
        <v>60</v>
      </c>
      <c r="K595" s="4" t="s">
        <v>30</v>
      </c>
      <c r="L595" s="8">
        <v>1</v>
      </c>
      <c r="M595" s="9" t="s">
        <v>36</v>
      </c>
      <c r="N595" s="9" t="str">
        <f t="shared" si="5"/>
        <v>Cardio</v>
      </c>
      <c r="O595" s="10">
        <v>8771.92</v>
      </c>
      <c r="P595" s="10">
        <v>5178.91</v>
      </c>
      <c r="Q595" s="11">
        <v>11.4</v>
      </c>
      <c r="R595" s="13" t="str">
        <f>IF(Patient_Data!$L595&lt;2,"Low Risk",IF(Patient_Data!$L595&lt;4,"Moderate Risk","High Risk"))</f>
        <v>Low Risk</v>
      </c>
      <c r="S595" s="12" t="str">
        <f>IF(Patient_Data[[#This Row],[Age]]&lt;=18,"Pediatric",IF(Patient_Data[[#This Row],[Age]]&lt;=64,"Adult","Geriatric"))</f>
        <v>Adult</v>
      </c>
    </row>
    <row r="596" spans="1:19" ht="15.75" customHeight="1" x14ac:dyDescent="0.3">
      <c r="A596" s="4" t="s">
        <v>1257</v>
      </c>
      <c r="B596" s="5" t="str">
        <f>TEXT(Patient_Data!$E596,"mmmm")</f>
        <v>April</v>
      </c>
      <c r="C596" s="6" t="str">
        <f t="shared" si="4"/>
        <v>Apr</v>
      </c>
      <c r="D596" s="6">
        <f>MONTH(Patient_Data!$E596)</f>
        <v>4</v>
      </c>
      <c r="E596" s="7">
        <v>45392</v>
      </c>
      <c r="F596" s="55" t="str">
        <f>TEXT(Patient_Data[[#This Row],[Admission_Date]],"YYYY")</f>
        <v>2024</v>
      </c>
      <c r="G596" s="8" t="s">
        <v>1258</v>
      </c>
      <c r="H596" s="8" t="s">
        <v>28</v>
      </c>
      <c r="I596" s="4" t="s">
        <v>35</v>
      </c>
      <c r="J596" s="4">
        <v>43</v>
      </c>
      <c r="K596" s="4" t="s">
        <v>54</v>
      </c>
      <c r="L596" s="8">
        <v>4</v>
      </c>
      <c r="M596" s="9" t="s">
        <v>72</v>
      </c>
      <c r="N596" s="9" t="str">
        <f t="shared" si="5"/>
        <v>Surgery</v>
      </c>
      <c r="O596" s="10">
        <v>20417.669999999998</v>
      </c>
      <c r="P596" s="10">
        <v>12493.98</v>
      </c>
      <c r="Q596" s="11">
        <v>4.9000000000000004</v>
      </c>
      <c r="R596" s="13" t="str">
        <f>IF(Patient_Data!$L596&lt;2,"Low Risk",IF(Patient_Data!$L596&lt;4,"Moderate Risk","High Risk"))</f>
        <v>High Risk</v>
      </c>
      <c r="S596" s="12" t="str">
        <f>IF(Patient_Data[[#This Row],[Age]]&lt;=18,"Pediatric",IF(Patient_Data[[#This Row],[Age]]&lt;=64,"Adult","Geriatric"))</f>
        <v>Adult</v>
      </c>
    </row>
    <row r="597" spans="1:19" ht="15.75" customHeight="1" x14ac:dyDescent="0.3">
      <c r="A597" s="4" t="s">
        <v>1259</v>
      </c>
      <c r="B597" s="5" t="str">
        <f>TEXT(Patient_Data!$E597,"mmmm")</f>
        <v>October</v>
      </c>
      <c r="C597" s="6" t="str">
        <f t="shared" si="4"/>
        <v>Oct</v>
      </c>
      <c r="D597" s="6">
        <f>MONTH(Patient_Data!$E597)</f>
        <v>10</v>
      </c>
      <c r="E597" s="7">
        <v>45219</v>
      </c>
      <c r="F597" s="55" t="str">
        <f>TEXT(Patient_Data[[#This Row],[Admission_Date]],"YYYY")</f>
        <v>2023</v>
      </c>
      <c r="G597" s="8" t="s">
        <v>1260</v>
      </c>
      <c r="H597" s="8" t="s">
        <v>98</v>
      </c>
      <c r="I597" s="4" t="s">
        <v>35</v>
      </c>
      <c r="J597" s="4">
        <v>48</v>
      </c>
      <c r="K597" s="4" t="s">
        <v>30</v>
      </c>
      <c r="L597" s="8">
        <v>2</v>
      </c>
      <c r="M597" s="9" t="s">
        <v>31</v>
      </c>
      <c r="N597" s="9" t="str">
        <f t="shared" si="5"/>
        <v>Neuro</v>
      </c>
      <c r="O597" s="10">
        <v>12124.05</v>
      </c>
      <c r="P597" s="10">
        <v>7790.59</v>
      </c>
      <c r="Q597" s="11">
        <v>3.9</v>
      </c>
      <c r="R597" s="13" t="str">
        <f>IF(Patient_Data!$L597&lt;2,"Low Risk",IF(Patient_Data!$L597&lt;4,"Moderate Risk","High Risk"))</f>
        <v>Moderate Risk</v>
      </c>
      <c r="S597" s="12" t="str">
        <f>IF(Patient_Data[[#This Row],[Age]]&lt;=18,"Pediatric",IF(Patient_Data[[#This Row],[Age]]&lt;=64,"Adult","Geriatric"))</f>
        <v>Adult</v>
      </c>
    </row>
    <row r="598" spans="1:19" ht="15.75" customHeight="1" x14ac:dyDescent="0.3">
      <c r="A598" s="4" t="s">
        <v>1261</v>
      </c>
      <c r="B598" s="5" t="str">
        <f>TEXT(Patient_Data!$E598,"mmmm")</f>
        <v>May</v>
      </c>
      <c r="C598" s="6" t="str">
        <f t="shared" si="4"/>
        <v>May</v>
      </c>
      <c r="D598" s="6">
        <f>MONTH(Patient_Data!$E598)</f>
        <v>5</v>
      </c>
      <c r="E598" s="7">
        <v>45436</v>
      </c>
      <c r="F598" s="55" t="str">
        <f>TEXT(Patient_Data[[#This Row],[Admission_Date]],"YYYY")</f>
        <v>2024</v>
      </c>
      <c r="G598" s="8" t="s">
        <v>1262</v>
      </c>
      <c r="H598" s="8" t="s">
        <v>34</v>
      </c>
      <c r="I598" s="4" t="s">
        <v>35</v>
      </c>
      <c r="J598" s="4">
        <v>53</v>
      </c>
      <c r="K598" s="4" t="s">
        <v>45</v>
      </c>
      <c r="L598" s="8">
        <v>4</v>
      </c>
      <c r="M598" s="9" t="s">
        <v>83</v>
      </c>
      <c r="N598" s="9" t="str">
        <f t="shared" si="5"/>
        <v>ER</v>
      </c>
      <c r="O598" s="10">
        <v>6464.14</v>
      </c>
      <c r="P598" s="10">
        <v>4496.57</v>
      </c>
      <c r="Q598" s="11">
        <v>20.7</v>
      </c>
      <c r="R598" s="13" t="str">
        <f>IF(Patient_Data!$L598&lt;2,"Low Risk",IF(Patient_Data!$L598&lt;4,"Moderate Risk","High Risk"))</f>
        <v>High Risk</v>
      </c>
      <c r="S598" s="12" t="str">
        <f>IF(Patient_Data[[#This Row],[Age]]&lt;=18,"Pediatric",IF(Patient_Data[[#This Row],[Age]]&lt;=64,"Adult","Geriatric"))</f>
        <v>Adult</v>
      </c>
    </row>
    <row r="599" spans="1:19" ht="15.75" customHeight="1" x14ac:dyDescent="0.3">
      <c r="A599" s="4" t="s">
        <v>1263</v>
      </c>
      <c r="B599" s="5" t="str">
        <f>TEXT(Patient_Data!$E599,"mmmm")</f>
        <v>September</v>
      </c>
      <c r="C599" s="6" t="str">
        <f t="shared" si="4"/>
        <v>Sep</v>
      </c>
      <c r="D599" s="6">
        <f>MONTH(Patient_Data!$E599)</f>
        <v>9</v>
      </c>
      <c r="E599" s="7">
        <v>45197</v>
      </c>
      <c r="F599" s="55" t="str">
        <f>TEXT(Patient_Data[[#This Row],[Admission_Date]],"YYYY")</f>
        <v>2023</v>
      </c>
      <c r="G599" s="8" t="s">
        <v>1264</v>
      </c>
      <c r="H599" s="8" t="s">
        <v>132</v>
      </c>
      <c r="I599" s="4" t="s">
        <v>29</v>
      </c>
      <c r="J599" s="4">
        <v>72</v>
      </c>
      <c r="K599" s="4" t="s">
        <v>45</v>
      </c>
      <c r="L599" s="8">
        <v>3</v>
      </c>
      <c r="M599" s="9" t="s">
        <v>31</v>
      </c>
      <c r="N599" s="9" t="str">
        <f t="shared" si="5"/>
        <v>Neuro</v>
      </c>
      <c r="O599" s="10">
        <v>13220.66</v>
      </c>
      <c r="P599" s="10">
        <v>9341.66</v>
      </c>
      <c r="Q599" s="11">
        <v>10.9</v>
      </c>
      <c r="R599" s="13" t="str">
        <f>IF(Patient_Data!$L599&lt;2,"Low Risk",IF(Patient_Data!$L599&lt;4,"Moderate Risk","High Risk"))</f>
        <v>Moderate Risk</v>
      </c>
      <c r="S599" s="12" t="str">
        <f>IF(Patient_Data[[#This Row],[Age]]&lt;=18,"Pediatric",IF(Patient_Data[[#This Row],[Age]]&lt;=64,"Adult","Geriatric"))</f>
        <v>Geriatric</v>
      </c>
    </row>
    <row r="600" spans="1:19" ht="15.75" customHeight="1" x14ac:dyDescent="0.3">
      <c r="A600" s="4" t="s">
        <v>1265</v>
      </c>
      <c r="B600" s="5" t="str">
        <f>TEXT(Patient_Data!$E600,"mmmm")</f>
        <v>December</v>
      </c>
      <c r="C600" s="6" t="str">
        <f t="shared" si="4"/>
        <v>Dec</v>
      </c>
      <c r="D600" s="6">
        <f>MONTH(Patient_Data!$E600)</f>
        <v>12</v>
      </c>
      <c r="E600" s="7">
        <v>45274</v>
      </c>
      <c r="F600" s="55" t="str">
        <f>TEXT(Patient_Data[[#This Row],[Admission_Date]],"YYYY")</f>
        <v>2023</v>
      </c>
      <c r="G600" s="8" t="s">
        <v>1266</v>
      </c>
      <c r="H600" s="8" t="s">
        <v>82</v>
      </c>
      <c r="I600" s="4" t="s">
        <v>35</v>
      </c>
      <c r="J600" s="4">
        <v>47</v>
      </c>
      <c r="K600" s="4" t="s">
        <v>54</v>
      </c>
      <c r="L600" s="8">
        <v>5</v>
      </c>
      <c r="M600" s="9" t="s">
        <v>46</v>
      </c>
      <c r="N600" s="9" t="str">
        <f t="shared" si="5"/>
        <v>Ortho</v>
      </c>
      <c r="O600" s="10">
        <v>12811.89</v>
      </c>
      <c r="P600" s="10">
        <v>9397.48</v>
      </c>
      <c r="Q600" s="11">
        <v>5.6</v>
      </c>
      <c r="R600" s="13" t="str">
        <f>IF(Patient_Data!$L600&lt;2,"Low Risk",IF(Patient_Data!$L600&lt;4,"Moderate Risk","High Risk"))</f>
        <v>High Risk</v>
      </c>
      <c r="S600" s="12" t="str">
        <f>IF(Patient_Data[[#This Row],[Age]]&lt;=18,"Pediatric",IF(Patient_Data[[#This Row],[Age]]&lt;=64,"Adult","Geriatric"))</f>
        <v>Adult</v>
      </c>
    </row>
    <row r="601" spans="1:19" ht="15.75" customHeight="1" x14ac:dyDescent="0.3">
      <c r="A601" s="4" t="s">
        <v>1267</v>
      </c>
      <c r="B601" s="5" t="str">
        <f>TEXT(Patient_Data!$E601,"mmmm")</f>
        <v>May</v>
      </c>
      <c r="C601" s="6" t="str">
        <f t="shared" si="4"/>
        <v>May</v>
      </c>
      <c r="D601" s="6">
        <f>MONTH(Patient_Data!$E601)</f>
        <v>5</v>
      </c>
      <c r="E601" s="7">
        <v>45426</v>
      </c>
      <c r="F601" s="55" t="str">
        <f>TEXT(Patient_Data[[#This Row],[Admission_Date]],"YYYY")</f>
        <v>2024</v>
      </c>
      <c r="G601" s="8" t="s">
        <v>1268</v>
      </c>
      <c r="H601" s="8" t="s">
        <v>53</v>
      </c>
      <c r="I601" s="4" t="s">
        <v>35</v>
      </c>
      <c r="J601" s="4">
        <v>92</v>
      </c>
      <c r="K601" s="4" t="s">
        <v>45</v>
      </c>
      <c r="L601" s="8">
        <v>3</v>
      </c>
      <c r="M601" s="9" t="s">
        <v>50</v>
      </c>
      <c r="N601" s="9" t="str">
        <f t="shared" si="5"/>
        <v>ICU</v>
      </c>
      <c r="O601" s="10">
        <v>18539.169999999998</v>
      </c>
      <c r="P601" s="10">
        <v>14232.97</v>
      </c>
      <c r="Q601" s="11">
        <v>17.899999999999999</v>
      </c>
      <c r="R601" s="13" t="str">
        <f>IF(Patient_Data!$L601&lt;2,"Low Risk",IF(Patient_Data!$L601&lt;4,"Moderate Risk","High Risk"))</f>
        <v>Moderate Risk</v>
      </c>
      <c r="S601" s="12" t="str">
        <f>IF(Patient_Data[[#This Row],[Age]]&lt;=18,"Pediatric",IF(Patient_Data[[#This Row],[Age]]&lt;=64,"Adult","Geriatric"))</f>
        <v>Geriatric</v>
      </c>
    </row>
    <row r="602" spans="1:19" ht="15.75" customHeight="1" x14ac:dyDescent="0.3">
      <c r="A602" s="4" t="s">
        <v>1269</v>
      </c>
      <c r="B602" s="5" t="str">
        <f>TEXT(Patient_Data!$E602,"mmmm")</f>
        <v>January</v>
      </c>
      <c r="C602" s="6" t="str">
        <f t="shared" si="4"/>
        <v>Jan</v>
      </c>
      <c r="D602" s="6">
        <f>MONTH(Patient_Data!$E602)</f>
        <v>1</v>
      </c>
      <c r="E602" s="7">
        <v>46029</v>
      </c>
      <c r="F602" s="55" t="str">
        <f>TEXT(Patient_Data[[#This Row],[Admission_Date]],"YYYY")</f>
        <v>2026</v>
      </c>
      <c r="G602" s="8" t="s">
        <v>1270</v>
      </c>
      <c r="H602" s="8" t="s">
        <v>42</v>
      </c>
      <c r="I602" s="4" t="s">
        <v>35</v>
      </c>
      <c r="J602" s="4">
        <v>79</v>
      </c>
      <c r="K602" s="4" t="s">
        <v>30</v>
      </c>
      <c r="L602" s="8">
        <v>1</v>
      </c>
      <c r="M602" s="9" t="s">
        <v>39</v>
      </c>
      <c r="N602" s="9" t="str">
        <f t="shared" si="5"/>
        <v>GM</v>
      </c>
      <c r="O602" s="10">
        <v>3254.64</v>
      </c>
      <c r="P602" s="10">
        <v>1948.49</v>
      </c>
      <c r="Q602" s="11">
        <v>7.6</v>
      </c>
      <c r="R602" s="13" t="str">
        <f>IF(Patient_Data!$L602&lt;2,"Low Risk",IF(Patient_Data!$L602&lt;4,"Moderate Risk","High Risk"))</f>
        <v>Low Risk</v>
      </c>
      <c r="S602" s="12" t="str">
        <f>IF(Patient_Data[[#This Row],[Age]]&lt;=18,"Pediatric",IF(Patient_Data[[#This Row],[Age]]&lt;=64,"Adult","Geriatric"))</f>
        <v>Geriatric</v>
      </c>
    </row>
    <row r="603" spans="1:19" ht="15.75" customHeight="1" x14ac:dyDescent="0.3">
      <c r="A603" s="4" t="s">
        <v>1271</v>
      </c>
      <c r="B603" s="5" t="str">
        <f>TEXT(Patient_Data!$E603,"mmmm")</f>
        <v>April</v>
      </c>
      <c r="C603" s="6" t="str">
        <f t="shared" si="4"/>
        <v>Apr</v>
      </c>
      <c r="D603" s="6">
        <f>MONTH(Patient_Data!$E603)</f>
        <v>4</v>
      </c>
      <c r="E603" s="7">
        <v>45399</v>
      </c>
      <c r="F603" s="55" t="str">
        <f>TEXT(Patient_Data[[#This Row],[Admission_Date]],"YYYY")</f>
        <v>2024</v>
      </c>
      <c r="G603" s="8" t="s">
        <v>1272</v>
      </c>
      <c r="H603" s="8" t="s">
        <v>53</v>
      </c>
      <c r="I603" s="4" t="s">
        <v>35</v>
      </c>
      <c r="J603" s="4">
        <v>62</v>
      </c>
      <c r="K603" s="4" t="s">
        <v>30</v>
      </c>
      <c r="L603" s="8">
        <v>2</v>
      </c>
      <c r="M603" s="9" t="s">
        <v>46</v>
      </c>
      <c r="N603" s="9" t="str">
        <f t="shared" si="5"/>
        <v>Ortho</v>
      </c>
      <c r="O603" s="10">
        <v>6005.47</v>
      </c>
      <c r="P603" s="10">
        <v>3723.34</v>
      </c>
      <c r="Q603" s="11">
        <v>7.5</v>
      </c>
      <c r="R603" s="13" t="str">
        <f>IF(Patient_Data!$L603&lt;2,"Low Risk",IF(Patient_Data!$L603&lt;4,"Moderate Risk","High Risk"))</f>
        <v>Moderate Risk</v>
      </c>
      <c r="S603" s="12" t="str">
        <f>IF(Patient_Data[[#This Row],[Age]]&lt;=18,"Pediatric",IF(Patient_Data[[#This Row],[Age]]&lt;=64,"Adult","Geriatric"))</f>
        <v>Adult</v>
      </c>
    </row>
    <row r="604" spans="1:19" ht="15.75" customHeight="1" x14ac:dyDescent="0.3">
      <c r="A604" s="4" t="s">
        <v>1273</v>
      </c>
      <c r="B604" s="5" t="str">
        <f>TEXT(Patient_Data!$E604,"mmmm")</f>
        <v>September</v>
      </c>
      <c r="C604" s="6" t="str">
        <f t="shared" si="4"/>
        <v>Sep</v>
      </c>
      <c r="D604" s="6">
        <f>MONTH(Patient_Data!$E604)</f>
        <v>9</v>
      </c>
      <c r="E604" s="7">
        <v>45908</v>
      </c>
      <c r="F604" s="55" t="str">
        <f>TEXT(Patient_Data[[#This Row],[Admission_Date]],"YYYY")</f>
        <v>2025</v>
      </c>
      <c r="G604" s="8" t="s">
        <v>1274</v>
      </c>
      <c r="H604" s="8" t="s">
        <v>82</v>
      </c>
      <c r="I604" s="4" t="s">
        <v>29</v>
      </c>
      <c r="J604" s="4">
        <v>36</v>
      </c>
      <c r="K604" s="4" t="s">
        <v>54</v>
      </c>
      <c r="L604" s="8">
        <v>1</v>
      </c>
      <c r="M604" s="9" t="s">
        <v>83</v>
      </c>
      <c r="N604" s="9" t="str">
        <f t="shared" si="5"/>
        <v>ER</v>
      </c>
      <c r="O604" s="10">
        <v>6238.81</v>
      </c>
      <c r="P604" s="10">
        <v>4132.04</v>
      </c>
      <c r="Q604" s="11">
        <v>17.399999999999999</v>
      </c>
      <c r="R604" s="13" t="str">
        <f>IF(Patient_Data!$L604&lt;2,"Low Risk",IF(Patient_Data!$L604&lt;4,"Moderate Risk","High Risk"))</f>
        <v>Low Risk</v>
      </c>
      <c r="S604" s="12" t="str">
        <f>IF(Patient_Data[[#This Row],[Age]]&lt;=18,"Pediatric",IF(Patient_Data[[#This Row],[Age]]&lt;=64,"Adult","Geriatric"))</f>
        <v>Adult</v>
      </c>
    </row>
    <row r="605" spans="1:19" ht="15.75" customHeight="1" x14ac:dyDescent="0.3">
      <c r="A605" s="4" t="s">
        <v>1275</v>
      </c>
      <c r="B605" s="5" t="str">
        <f>TEXT(Patient_Data!$E605,"mmmm")</f>
        <v>July</v>
      </c>
      <c r="C605" s="6" t="str">
        <f t="shared" si="4"/>
        <v>Jul</v>
      </c>
      <c r="D605" s="6">
        <f>MONTH(Patient_Data!$E605)</f>
        <v>7</v>
      </c>
      <c r="E605" s="7">
        <v>46218</v>
      </c>
      <c r="F605" s="55" t="str">
        <f>TEXT(Patient_Data[[#This Row],[Admission_Date]],"YYYY")</f>
        <v>2026</v>
      </c>
      <c r="G605" s="8" t="s">
        <v>1276</v>
      </c>
      <c r="H605" s="8" t="s">
        <v>34</v>
      </c>
      <c r="I605" s="4" t="s">
        <v>29</v>
      </c>
      <c r="J605" s="4">
        <v>52</v>
      </c>
      <c r="K605" s="4" t="s">
        <v>30</v>
      </c>
      <c r="L605" s="8">
        <v>3</v>
      </c>
      <c r="M605" s="9" t="s">
        <v>72</v>
      </c>
      <c r="N605" s="9" t="str">
        <f t="shared" si="5"/>
        <v>Surgery</v>
      </c>
      <c r="O605" s="10">
        <v>17892.009999999998</v>
      </c>
      <c r="P605" s="10">
        <v>12022.05</v>
      </c>
      <c r="Q605" s="11">
        <v>4.3</v>
      </c>
      <c r="R605" s="13" t="str">
        <f>IF(Patient_Data!$L605&lt;2,"Low Risk",IF(Patient_Data!$L605&lt;4,"Moderate Risk","High Risk"))</f>
        <v>Moderate Risk</v>
      </c>
      <c r="S605" s="12" t="str">
        <f>IF(Patient_Data[[#This Row],[Age]]&lt;=18,"Pediatric",IF(Patient_Data[[#This Row],[Age]]&lt;=64,"Adult","Geriatric"))</f>
        <v>Adult</v>
      </c>
    </row>
    <row r="606" spans="1:19" ht="15.75" customHeight="1" x14ac:dyDescent="0.3">
      <c r="A606" s="4" t="s">
        <v>1277</v>
      </c>
      <c r="B606" s="5" t="str">
        <f>TEXT(Patient_Data!$E606,"mmmm")</f>
        <v>April</v>
      </c>
      <c r="C606" s="6" t="str">
        <f t="shared" si="4"/>
        <v>Apr</v>
      </c>
      <c r="D606" s="6">
        <f>MONTH(Patient_Data!$E606)</f>
        <v>4</v>
      </c>
      <c r="E606" s="7">
        <v>45390</v>
      </c>
      <c r="F606" s="55" t="str">
        <f>TEXT(Patient_Data[[#This Row],[Admission_Date]],"YYYY")</f>
        <v>2024</v>
      </c>
      <c r="G606" s="8" t="s">
        <v>1029</v>
      </c>
      <c r="H606" s="8" t="s">
        <v>34</v>
      </c>
      <c r="I606" s="4" t="s">
        <v>35</v>
      </c>
      <c r="J606" s="4">
        <v>64</v>
      </c>
      <c r="K606" s="4" t="s">
        <v>45</v>
      </c>
      <c r="L606" s="8">
        <v>5</v>
      </c>
      <c r="M606" s="9" t="s">
        <v>50</v>
      </c>
      <c r="N606" s="9" t="str">
        <f t="shared" si="5"/>
        <v>ICU</v>
      </c>
      <c r="O606" s="10">
        <v>17747.599999999999</v>
      </c>
      <c r="P606" s="10">
        <v>12562.52</v>
      </c>
      <c r="Q606" s="11">
        <v>17.399999999999999</v>
      </c>
      <c r="R606" s="13" t="str">
        <f>IF(Patient_Data!$L606&lt;2,"Low Risk",IF(Patient_Data!$L606&lt;4,"Moderate Risk","High Risk"))</f>
        <v>High Risk</v>
      </c>
      <c r="S606" s="12" t="str">
        <f>IF(Patient_Data[[#This Row],[Age]]&lt;=18,"Pediatric",IF(Patient_Data[[#This Row],[Age]]&lt;=64,"Adult","Geriatric"))</f>
        <v>Adult</v>
      </c>
    </row>
    <row r="607" spans="1:19" ht="15.75" customHeight="1" x14ac:dyDescent="0.3">
      <c r="A607" s="4" t="s">
        <v>1278</v>
      </c>
      <c r="B607" s="5" t="str">
        <f>TEXT(Patient_Data!$E607,"mmmm")</f>
        <v>March</v>
      </c>
      <c r="C607" s="6" t="str">
        <f t="shared" si="4"/>
        <v>Mar</v>
      </c>
      <c r="D607" s="6">
        <f>MONTH(Patient_Data!$E607)</f>
        <v>3</v>
      </c>
      <c r="E607" s="7">
        <v>46092</v>
      </c>
      <c r="F607" s="55" t="str">
        <f>TEXT(Patient_Data[[#This Row],[Admission_Date]],"YYYY")</f>
        <v>2026</v>
      </c>
      <c r="G607" s="8" t="s">
        <v>1279</v>
      </c>
      <c r="H607" s="8" t="s">
        <v>28</v>
      </c>
      <c r="I607" s="4" t="s">
        <v>29</v>
      </c>
      <c r="J607" s="4">
        <v>5</v>
      </c>
      <c r="K607" s="4" t="s">
        <v>30</v>
      </c>
      <c r="L607" s="8">
        <v>1</v>
      </c>
      <c r="M607" s="9" t="s">
        <v>79</v>
      </c>
      <c r="N607" s="9" t="str">
        <f t="shared" si="5"/>
        <v>PD</v>
      </c>
      <c r="O607" s="10">
        <v>2043.52</v>
      </c>
      <c r="P607" s="10">
        <v>1530.97</v>
      </c>
      <c r="Q607" s="11">
        <v>4.9000000000000004</v>
      </c>
      <c r="R607" s="13" t="str">
        <f>IF(Patient_Data!$L607&lt;2,"Low Risk",IF(Patient_Data!$L607&lt;4,"Moderate Risk","High Risk"))</f>
        <v>Low Risk</v>
      </c>
      <c r="S607" s="12" t="str">
        <f>IF(Patient_Data[[#This Row],[Age]]&lt;=18,"Pediatric",IF(Patient_Data[[#This Row],[Age]]&lt;=64,"Adult","Geriatric"))</f>
        <v>Pediatric</v>
      </c>
    </row>
    <row r="608" spans="1:19" ht="15.75" customHeight="1" x14ac:dyDescent="0.3">
      <c r="A608" s="4" t="s">
        <v>1280</v>
      </c>
      <c r="B608" s="5" t="str">
        <f>TEXT(Patient_Data!$E608,"mmmm")</f>
        <v>June</v>
      </c>
      <c r="C608" s="6" t="str">
        <f t="shared" si="4"/>
        <v>Jun</v>
      </c>
      <c r="D608" s="6">
        <f>MONTH(Patient_Data!$E608)</f>
        <v>6</v>
      </c>
      <c r="E608" s="7">
        <v>46198</v>
      </c>
      <c r="F608" s="55" t="str">
        <f>TEXT(Patient_Data[[#This Row],[Admission_Date]],"YYYY")</f>
        <v>2026</v>
      </c>
      <c r="G608" s="8" t="s">
        <v>1281</v>
      </c>
      <c r="H608" s="8" t="s">
        <v>34</v>
      </c>
      <c r="I608" s="4" t="s">
        <v>29</v>
      </c>
      <c r="J608" s="4">
        <v>36</v>
      </c>
      <c r="K608" s="4" t="s">
        <v>30</v>
      </c>
      <c r="L608" s="8">
        <v>2</v>
      </c>
      <c r="M608" s="9" t="s">
        <v>36</v>
      </c>
      <c r="N608" s="9" t="str">
        <f t="shared" si="5"/>
        <v>Cardio</v>
      </c>
      <c r="O608" s="10">
        <v>10513.56</v>
      </c>
      <c r="P608" s="10">
        <v>8072.71</v>
      </c>
      <c r="Q608" s="11">
        <v>10.3</v>
      </c>
      <c r="R608" s="13" t="str">
        <f>IF(Patient_Data!$L608&lt;2,"Low Risk",IF(Patient_Data!$L608&lt;4,"Moderate Risk","High Risk"))</f>
        <v>Moderate Risk</v>
      </c>
      <c r="S608" s="12" t="str">
        <f>IF(Patient_Data[[#This Row],[Age]]&lt;=18,"Pediatric",IF(Patient_Data[[#This Row],[Age]]&lt;=64,"Adult","Geriatric"))</f>
        <v>Adult</v>
      </c>
    </row>
    <row r="609" spans="1:19" ht="15.75" customHeight="1" x14ac:dyDescent="0.3">
      <c r="A609" s="4" t="s">
        <v>1282</v>
      </c>
      <c r="B609" s="5" t="str">
        <f>TEXT(Patient_Data!$E609,"mmmm")</f>
        <v>May</v>
      </c>
      <c r="C609" s="6" t="str">
        <f t="shared" si="4"/>
        <v>May</v>
      </c>
      <c r="D609" s="6">
        <f>MONTH(Patient_Data!$E609)</f>
        <v>5</v>
      </c>
      <c r="E609" s="7">
        <v>45784</v>
      </c>
      <c r="F609" s="55" t="str">
        <f>TEXT(Patient_Data[[#This Row],[Admission_Date]],"YYYY")</f>
        <v>2025</v>
      </c>
      <c r="G609" s="8" t="s">
        <v>1283</v>
      </c>
      <c r="H609" s="8" t="s">
        <v>49</v>
      </c>
      <c r="I609" s="4" t="s">
        <v>29</v>
      </c>
      <c r="J609" s="4">
        <v>82</v>
      </c>
      <c r="K609" s="4" t="s">
        <v>45</v>
      </c>
      <c r="L609" s="8">
        <v>3</v>
      </c>
      <c r="M609" s="9" t="s">
        <v>50</v>
      </c>
      <c r="N609" s="9" t="str">
        <f t="shared" si="5"/>
        <v>ICU</v>
      </c>
      <c r="O609" s="10">
        <v>13411.29</v>
      </c>
      <c r="P609" s="10">
        <v>7860.15</v>
      </c>
      <c r="Q609" s="11">
        <v>10.199999999999999</v>
      </c>
      <c r="R609" s="13" t="str">
        <f>IF(Patient_Data!$L609&lt;2,"Low Risk",IF(Patient_Data!$L609&lt;4,"Moderate Risk","High Risk"))</f>
        <v>Moderate Risk</v>
      </c>
      <c r="S609" s="12" t="str">
        <f>IF(Patient_Data[[#This Row],[Age]]&lt;=18,"Pediatric",IF(Patient_Data[[#This Row],[Age]]&lt;=64,"Adult","Geriatric"))</f>
        <v>Geriatric</v>
      </c>
    </row>
    <row r="610" spans="1:19" ht="15.75" customHeight="1" x14ac:dyDescent="0.3">
      <c r="A610" s="4" t="s">
        <v>1284</v>
      </c>
      <c r="B610" s="5" t="str">
        <f>TEXT(Patient_Data!$E610,"mmmm")</f>
        <v>March</v>
      </c>
      <c r="C610" s="6" t="str">
        <f t="shared" si="4"/>
        <v>Mar</v>
      </c>
      <c r="D610" s="6">
        <f>MONTH(Patient_Data!$E610)</f>
        <v>3</v>
      </c>
      <c r="E610" s="7">
        <v>46105</v>
      </c>
      <c r="F610" s="55" t="str">
        <f>TEXT(Patient_Data[[#This Row],[Admission_Date]],"YYYY")</f>
        <v>2026</v>
      </c>
      <c r="G610" s="8" t="s">
        <v>1285</v>
      </c>
      <c r="H610" s="8" t="s">
        <v>82</v>
      </c>
      <c r="I610" s="4" t="s">
        <v>29</v>
      </c>
      <c r="J610" s="4">
        <v>14</v>
      </c>
      <c r="K610" s="4" t="s">
        <v>30</v>
      </c>
      <c r="L610" s="8">
        <v>1</v>
      </c>
      <c r="M610" s="9" t="s">
        <v>79</v>
      </c>
      <c r="N610" s="9" t="str">
        <f t="shared" si="5"/>
        <v>PD</v>
      </c>
      <c r="O610" s="10">
        <v>2288.0300000000002</v>
      </c>
      <c r="P610" s="10">
        <v>1436.5</v>
      </c>
      <c r="Q610" s="11">
        <v>5.0999999999999996</v>
      </c>
      <c r="R610" s="13" t="str">
        <f>IF(Patient_Data!$L610&lt;2,"Low Risk",IF(Patient_Data!$L610&lt;4,"Moderate Risk","High Risk"))</f>
        <v>Low Risk</v>
      </c>
      <c r="S610" s="12" t="str">
        <f>IF(Patient_Data[[#This Row],[Age]]&lt;=18,"Pediatric",IF(Patient_Data[[#This Row],[Age]]&lt;=64,"Adult","Geriatric"))</f>
        <v>Pediatric</v>
      </c>
    </row>
    <row r="611" spans="1:19" ht="15.75" customHeight="1" x14ac:dyDescent="0.3">
      <c r="A611" s="4" t="s">
        <v>1286</v>
      </c>
      <c r="B611" s="5" t="str">
        <f>TEXT(Patient_Data!$E611,"mmmm")</f>
        <v>October</v>
      </c>
      <c r="C611" s="6" t="str">
        <f t="shared" si="4"/>
        <v>Oct</v>
      </c>
      <c r="D611" s="6">
        <f>MONTH(Patient_Data!$E611)</f>
        <v>10</v>
      </c>
      <c r="E611" s="7">
        <v>45230</v>
      </c>
      <c r="F611" s="55" t="str">
        <f>TEXT(Patient_Data[[#This Row],[Admission_Date]],"YYYY")</f>
        <v>2023</v>
      </c>
      <c r="G611" s="8" t="s">
        <v>1287</v>
      </c>
      <c r="H611" s="8" t="s">
        <v>132</v>
      </c>
      <c r="I611" s="4" t="s">
        <v>29</v>
      </c>
      <c r="J611" s="4">
        <v>57</v>
      </c>
      <c r="K611" s="4" t="s">
        <v>30</v>
      </c>
      <c r="L611" s="8">
        <v>2</v>
      </c>
      <c r="M611" s="9" t="s">
        <v>31</v>
      </c>
      <c r="N611" s="9" t="str">
        <f t="shared" si="5"/>
        <v>Neuro</v>
      </c>
      <c r="O611" s="10">
        <v>4996.75</v>
      </c>
      <c r="P611" s="10">
        <v>3246.72</v>
      </c>
      <c r="Q611" s="11">
        <v>6.1</v>
      </c>
      <c r="R611" s="13" t="str">
        <f>IF(Patient_Data!$L611&lt;2,"Low Risk",IF(Patient_Data!$L611&lt;4,"Moderate Risk","High Risk"))</f>
        <v>Moderate Risk</v>
      </c>
      <c r="S611" s="12" t="str">
        <f>IF(Patient_Data[[#This Row],[Age]]&lt;=18,"Pediatric",IF(Patient_Data[[#This Row],[Age]]&lt;=64,"Adult","Geriatric"))</f>
        <v>Adult</v>
      </c>
    </row>
    <row r="612" spans="1:19" ht="15.75" customHeight="1" x14ac:dyDescent="0.3">
      <c r="A612" s="4" t="s">
        <v>1288</v>
      </c>
      <c r="B612" s="5" t="str">
        <f>TEXT(Patient_Data!$E612,"mmmm")</f>
        <v>November</v>
      </c>
      <c r="C612" s="6" t="str">
        <f t="shared" si="4"/>
        <v>Nov</v>
      </c>
      <c r="D612" s="6">
        <f>MONTH(Patient_Data!$E612)</f>
        <v>11</v>
      </c>
      <c r="E612" s="7">
        <v>45989</v>
      </c>
      <c r="F612" s="55" t="str">
        <f>TEXT(Patient_Data[[#This Row],[Admission_Date]],"YYYY")</f>
        <v>2025</v>
      </c>
      <c r="G612" s="8" t="s">
        <v>1289</v>
      </c>
      <c r="H612" s="8" t="s">
        <v>82</v>
      </c>
      <c r="I612" s="4" t="s">
        <v>29</v>
      </c>
      <c r="J612" s="4">
        <v>76</v>
      </c>
      <c r="K612" s="4" t="s">
        <v>54</v>
      </c>
      <c r="L612" s="8">
        <v>4</v>
      </c>
      <c r="M612" s="9" t="s">
        <v>31</v>
      </c>
      <c r="N612" s="9" t="str">
        <f t="shared" si="5"/>
        <v>Neuro</v>
      </c>
      <c r="O612" s="10">
        <v>11009.36</v>
      </c>
      <c r="P612" s="10">
        <v>7461.87</v>
      </c>
      <c r="Q612" s="11">
        <v>10.7</v>
      </c>
      <c r="R612" s="13" t="str">
        <f>IF(Patient_Data!$L612&lt;2,"Low Risk",IF(Patient_Data!$L612&lt;4,"Moderate Risk","High Risk"))</f>
        <v>High Risk</v>
      </c>
      <c r="S612" s="12" t="str">
        <f>IF(Patient_Data[[#This Row],[Age]]&lt;=18,"Pediatric",IF(Patient_Data[[#This Row],[Age]]&lt;=64,"Adult","Geriatric"))</f>
        <v>Geriatric</v>
      </c>
    </row>
    <row r="613" spans="1:19" ht="15.75" customHeight="1" x14ac:dyDescent="0.3">
      <c r="A613" s="4" t="s">
        <v>1290</v>
      </c>
      <c r="B613" s="5" t="str">
        <f>TEXT(Patient_Data!$E613,"mmmm")</f>
        <v>May</v>
      </c>
      <c r="C613" s="6" t="str">
        <f t="shared" si="4"/>
        <v>May</v>
      </c>
      <c r="D613" s="6">
        <f>MONTH(Patient_Data!$E613)</f>
        <v>5</v>
      </c>
      <c r="E613" s="7">
        <v>46171</v>
      </c>
      <c r="F613" s="55" t="str">
        <f>TEXT(Patient_Data[[#This Row],[Admission_Date]],"YYYY")</f>
        <v>2026</v>
      </c>
      <c r="G613" s="8" t="s">
        <v>1291</v>
      </c>
      <c r="H613" s="8" t="s">
        <v>34</v>
      </c>
      <c r="I613" s="4" t="s">
        <v>29</v>
      </c>
      <c r="J613" s="4">
        <v>55</v>
      </c>
      <c r="K613" s="4" t="s">
        <v>30</v>
      </c>
      <c r="L613" s="8">
        <v>2</v>
      </c>
      <c r="M613" s="9" t="s">
        <v>36</v>
      </c>
      <c r="N613" s="9" t="str">
        <f t="shared" si="5"/>
        <v>Cardio</v>
      </c>
      <c r="O613" s="10">
        <v>10750.75</v>
      </c>
      <c r="P613" s="10">
        <v>7552.72</v>
      </c>
      <c r="Q613" s="11">
        <v>3.4</v>
      </c>
      <c r="R613" s="13" t="str">
        <f>IF(Patient_Data!$L613&lt;2,"Low Risk",IF(Patient_Data!$L613&lt;4,"Moderate Risk","High Risk"))</f>
        <v>Moderate Risk</v>
      </c>
      <c r="S613" s="12" t="str">
        <f>IF(Patient_Data[[#This Row],[Age]]&lt;=18,"Pediatric",IF(Patient_Data[[#This Row],[Age]]&lt;=64,"Adult","Geriatric"))</f>
        <v>Adult</v>
      </c>
    </row>
    <row r="614" spans="1:19" ht="15.75" customHeight="1" x14ac:dyDescent="0.3">
      <c r="A614" s="4" t="s">
        <v>1292</v>
      </c>
      <c r="B614" s="5" t="str">
        <f>TEXT(Patient_Data!$E614,"mmmm")</f>
        <v>February</v>
      </c>
      <c r="C614" s="6" t="str">
        <f t="shared" si="4"/>
        <v>Feb</v>
      </c>
      <c r="D614" s="6">
        <f>MONTH(Patient_Data!$E614)</f>
        <v>2</v>
      </c>
      <c r="E614" s="7">
        <v>46075</v>
      </c>
      <c r="F614" s="55" t="str">
        <f>TEXT(Patient_Data[[#This Row],[Admission_Date]],"YYYY")</f>
        <v>2026</v>
      </c>
      <c r="G614" s="8" t="s">
        <v>1293</v>
      </c>
      <c r="H614" s="8" t="s">
        <v>49</v>
      </c>
      <c r="I614" s="4" t="s">
        <v>29</v>
      </c>
      <c r="J614" s="4">
        <v>70</v>
      </c>
      <c r="K614" s="4" t="s">
        <v>30</v>
      </c>
      <c r="L614" s="8">
        <v>2</v>
      </c>
      <c r="M614" s="9" t="s">
        <v>39</v>
      </c>
      <c r="N614" s="9" t="str">
        <f t="shared" si="5"/>
        <v>GM</v>
      </c>
      <c r="O614" s="10">
        <v>3835.3</v>
      </c>
      <c r="P614" s="10">
        <v>2849.37</v>
      </c>
      <c r="Q614" s="11">
        <v>6.2</v>
      </c>
      <c r="R614" s="13" t="str">
        <f>IF(Patient_Data!$L614&lt;2,"Low Risk",IF(Patient_Data!$L614&lt;4,"Moderate Risk","High Risk"))</f>
        <v>Moderate Risk</v>
      </c>
      <c r="S614" s="12" t="str">
        <f>IF(Patient_Data[[#This Row],[Age]]&lt;=18,"Pediatric",IF(Patient_Data[[#This Row],[Age]]&lt;=64,"Adult","Geriatric"))</f>
        <v>Geriatric</v>
      </c>
    </row>
    <row r="615" spans="1:19" ht="15.75" customHeight="1" x14ac:dyDescent="0.3">
      <c r="A615" s="4" t="s">
        <v>1294</v>
      </c>
      <c r="B615" s="5" t="str">
        <f>TEXT(Patient_Data!$E615,"mmmm")</f>
        <v>June</v>
      </c>
      <c r="C615" s="6" t="str">
        <f t="shared" si="4"/>
        <v>Jun</v>
      </c>
      <c r="D615" s="6">
        <f>MONTH(Patient_Data!$E615)</f>
        <v>6</v>
      </c>
      <c r="E615" s="7">
        <v>45470</v>
      </c>
      <c r="F615" s="55" t="str">
        <f>TEXT(Patient_Data[[#This Row],[Admission_Date]],"YYYY")</f>
        <v>2024</v>
      </c>
      <c r="G615" s="8" t="s">
        <v>1295</v>
      </c>
      <c r="H615" s="8" t="s">
        <v>82</v>
      </c>
      <c r="I615" s="4" t="s">
        <v>29</v>
      </c>
      <c r="J615" s="4">
        <v>83</v>
      </c>
      <c r="K615" s="4" t="s">
        <v>30</v>
      </c>
      <c r="L615" s="8">
        <v>2</v>
      </c>
      <c r="M615" s="9" t="s">
        <v>83</v>
      </c>
      <c r="N615" s="9" t="str">
        <f t="shared" si="5"/>
        <v>ER</v>
      </c>
      <c r="O615" s="10">
        <v>3366.22</v>
      </c>
      <c r="P615" s="10">
        <v>2683.13</v>
      </c>
      <c r="Q615" s="11">
        <v>15.6</v>
      </c>
      <c r="R615" s="13" t="str">
        <f>IF(Patient_Data!$L615&lt;2,"Low Risk",IF(Patient_Data!$L615&lt;4,"Moderate Risk","High Risk"))</f>
        <v>Moderate Risk</v>
      </c>
      <c r="S615" s="12" t="str">
        <f>IF(Patient_Data[[#This Row],[Age]]&lt;=18,"Pediatric",IF(Patient_Data[[#This Row],[Age]]&lt;=64,"Adult","Geriatric"))</f>
        <v>Geriatric</v>
      </c>
    </row>
    <row r="616" spans="1:19" ht="15.75" customHeight="1" x14ac:dyDescent="0.3">
      <c r="A616" s="4" t="s">
        <v>1296</v>
      </c>
      <c r="B616" s="5" t="str">
        <f>TEXT(Patient_Data!$E616,"mmmm")</f>
        <v>January</v>
      </c>
      <c r="C616" s="6" t="str">
        <f t="shared" si="4"/>
        <v>Jan</v>
      </c>
      <c r="D616" s="6">
        <f>MONTH(Patient_Data!$E616)</f>
        <v>1</v>
      </c>
      <c r="E616" s="7">
        <v>45301</v>
      </c>
      <c r="F616" s="55" t="str">
        <f>TEXT(Patient_Data[[#This Row],[Admission_Date]],"YYYY")</f>
        <v>2024</v>
      </c>
      <c r="G616" s="8" t="s">
        <v>1297</v>
      </c>
      <c r="H616" s="8" t="s">
        <v>132</v>
      </c>
      <c r="I616" s="4" t="s">
        <v>35</v>
      </c>
      <c r="J616" s="4">
        <v>45</v>
      </c>
      <c r="K616" s="4" t="s">
        <v>30</v>
      </c>
      <c r="L616" s="8">
        <v>1</v>
      </c>
      <c r="M616" s="9" t="s">
        <v>46</v>
      </c>
      <c r="N616" s="9" t="str">
        <f t="shared" si="5"/>
        <v>Ortho</v>
      </c>
      <c r="O616" s="10">
        <v>4628.9799999999996</v>
      </c>
      <c r="P616" s="10">
        <v>2764.01</v>
      </c>
      <c r="Q616" s="11">
        <v>9.9</v>
      </c>
      <c r="R616" s="13" t="str">
        <f>IF(Patient_Data!$L616&lt;2,"Low Risk",IF(Patient_Data!$L616&lt;4,"Moderate Risk","High Risk"))</f>
        <v>Low Risk</v>
      </c>
      <c r="S616" s="12" t="str">
        <f>IF(Patient_Data[[#This Row],[Age]]&lt;=18,"Pediatric",IF(Patient_Data[[#This Row],[Age]]&lt;=64,"Adult","Geriatric"))</f>
        <v>Adult</v>
      </c>
    </row>
    <row r="617" spans="1:19" ht="15.75" customHeight="1" x14ac:dyDescent="0.3">
      <c r="A617" s="4" t="s">
        <v>1298</v>
      </c>
      <c r="B617" s="5" t="str">
        <f>TEXT(Patient_Data!$E617,"mmmm")</f>
        <v>May</v>
      </c>
      <c r="C617" s="6" t="str">
        <f t="shared" si="4"/>
        <v>May</v>
      </c>
      <c r="D617" s="6">
        <f>MONTH(Patient_Data!$E617)</f>
        <v>5</v>
      </c>
      <c r="E617" s="7">
        <v>45425</v>
      </c>
      <c r="F617" s="55" t="str">
        <f>TEXT(Patient_Data[[#This Row],[Admission_Date]],"YYYY")</f>
        <v>2024</v>
      </c>
      <c r="G617" s="8" t="s">
        <v>1299</v>
      </c>
      <c r="H617" s="8" t="s">
        <v>49</v>
      </c>
      <c r="I617" s="4" t="s">
        <v>29</v>
      </c>
      <c r="J617" s="4">
        <v>38</v>
      </c>
      <c r="K617" s="4" t="s">
        <v>30</v>
      </c>
      <c r="L617" s="8">
        <v>1</v>
      </c>
      <c r="M617" s="9" t="s">
        <v>36</v>
      </c>
      <c r="N617" s="9" t="str">
        <f t="shared" si="5"/>
        <v>Cardio</v>
      </c>
      <c r="O617" s="10">
        <v>10644.15</v>
      </c>
      <c r="P617" s="10">
        <v>6520.93</v>
      </c>
      <c r="Q617" s="11">
        <v>3.5</v>
      </c>
      <c r="R617" s="13" t="str">
        <f>IF(Patient_Data!$L617&lt;2,"Low Risk",IF(Patient_Data!$L617&lt;4,"Moderate Risk","High Risk"))</f>
        <v>Low Risk</v>
      </c>
      <c r="S617" s="12" t="str">
        <f>IF(Patient_Data[[#This Row],[Age]]&lt;=18,"Pediatric",IF(Patient_Data[[#This Row],[Age]]&lt;=64,"Adult","Geriatric"))</f>
        <v>Adult</v>
      </c>
    </row>
    <row r="618" spans="1:19" ht="15.75" customHeight="1" x14ac:dyDescent="0.3">
      <c r="A618" s="4" t="s">
        <v>1300</v>
      </c>
      <c r="B618" s="5" t="str">
        <f>TEXT(Patient_Data!$E618,"mmmm")</f>
        <v>March</v>
      </c>
      <c r="C618" s="6" t="str">
        <f t="shared" si="4"/>
        <v>Mar</v>
      </c>
      <c r="D618" s="6">
        <f>MONTH(Patient_Data!$E618)</f>
        <v>3</v>
      </c>
      <c r="E618" s="7">
        <v>45730</v>
      </c>
      <c r="F618" s="55" t="str">
        <f>TEXT(Patient_Data[[#This Row],[Admission_Date]],"YYYY")</f>
        <v>2025</v>
      </c>
      <c r="G618" s="8" t="s">
        <v>1301</v>
      </c>
      <c r="H618" s="8" t="s">
        <v>28</v>
      </c>
      <c r="I618" s="4" t="s">
        <v>29</v>
      </c>
      <c r="J618" s="4">
        <v>76</v>
      </c>
      <c r="K618" s="4" t="s">
        <v>45</v>
      </c>
      <c r="L618" s="8">
        <v>5</v>
      </c>
      <c r="M618" s="9" t="s">
        <v>50</v>
      </c>
      <c r="N618" s="9" t="str">
        <f t="shared" si="5"/>
        <v>ICU</v>
      </c>
      <c r="O618" s="10">
        <v>16436.75</v>
      </c>
      <c r="P618" s="10">
        <v>10644.32</v>
      </c>
      <c r="Q618" s="11">
        <v>15.6</v>
      </c>
      <c r="R618" s="13" t="str">
        <f>IF(Patient_Data!$L618&lt;2,"Low Risk",IF(Patient_Data!$L618&lt;4,"Moderate Risk","High Risk"))</f>
        <v>High Risk</v>
      </c>
      <c r="S618" s="12" t="str">
        <f>IF(Patient_Data[[#This Row],[Age]]&lt;=18,"Pediatric",IF(Patient_Data[[#This Row],[Age]]&lt;=64,"Adult","Geriatric"))</f>
        <v>Geriatric</v>
      </c>
    </row>
    <row r="619" spans="1:19" ht="15.75" customHeight="1" x14ac:dyDescent="0.3">
      <c r="A619" s="4" t="s">
        <v>1302</v>
      </c>
      <c r="B619" s="5" t="str">
        <f>TEXT(Patient_Data!$E619,"mmmm")</f>
        <v>June</v>
      </c>
      <c r="C619" s="6" t="str">
        <f t="shared" si="4"/>
        <v>Jun</v>
      </c>
      <c r="D619" s="6">
        <f>MONTH(Patient_Data!$E619)</f>
        <v>6</v>
      </c>
      <c r="E619" s="7">
        <v>45832</v>
      </c>
      <c r="F619" s="55" t="str">
        <f>TEXT(Patient_Data[[#This Row],[Admission_Date]],"YYYY")</f>
        <v>2025</v>
      </c>
      <c r="G619" s="8" t="s">
        <v>1303</v>
      </c>
      <c r="H619" s="8" t="s">
        <v>28</v>
      </c>
      <c r="I619" s="4" t="s">
        <v>29</v>
      </c>
      <c r="J619" s="4">
        <v>74</v>
      </c>
      <c r="K619" s="4" t="s">
        <v>30</v>
      </c>
      <c r="L619" s="8">
        <v>3</v>
      </c>
      <c r="M619" s="9" t="s">
        <v>46</v>
      </c>
      <c r="N619" s="9" t="str">
        <f t="shared" si="5"/>
        <v>Ortho</v>
      </c>
      <c r="O619" s="10">
        <v>7260.06</v>
      </c>
      <c r="P619" s="10">
        <v>4954.6400000000003</v>
      </c>
      <c r="Q619" s="11">
        <v>11.3</v>
      </c>
      <c r="R619" s="13" t="str">
        <f>IF(Patient_Data!$L619&lt;2,"Low Risk",IF(Patient_Data!$L619&lt;4,"Moderate Risk","High Risk"))</f>
        <v>Moderate Risk</v>
      </c>
      <c r="S619" s="12" t="str">
        <f>IF(Patient_Data[[#This Row],[Age]]&lt;=18,"Pediatric",IF(Patient_Data[[#This Row],[Age]]&lt;=64,"Adult","Geriatric"))</f>
        <v>Geriatric</v>
      </c>
    </row>
    <row r="620" spans="1:19" ht="15.75" customHeight="1" x14ac:dyDescent="0.3">
      <c r="A620" s="4" t="s">
        <v>1304</v>
      </c>
      <c r="B620" s="5" t="str">
        <f>TEXT(Patient_Data!$E620,"mmmm")</f>
        <v>October</v>
      </c>
      <c r="C620" s="6" t="str">
        <f t="shared" si="4"/>
        <v>Oct</v>
      </c>
      <c r="D620" s="6">
        <f>MONTH(Patient_Data!$E620)</f>
        <v>10</v>
      </c>
      <c r="E620" s="7">
        <v>45947</v>
      </c>
      <c r="F620" s="55" t="str">
        <f>TEXT(Patient_Data[[#This Row],[Admission_Date]],"YYYY")</f>
        <v>2025</v>
      </c>
      <c r="G620" s="8" t="s">
        <v>1305</v>
      </c>
      <c r="H620" s="8" t="s">
        <v>28</v>
      </c>
      <c r="I620" s="4" t="s">
        <v>35</v>
      </c>
      <c r="J620" s="4">
        <v>53</v>
      </c>
      <c r="K620" s="4" t="s">
        <v>54</v>
      </c>
      <c r="L620" s="8">
        <v>3</v>
      </c>
      <c r="M620" s="9" t="s">
        <v>39</v>
      </c>
      <c r="N620" s="9" t="str">
        <f t="shared" si="5"/>
        <v>GM</v>
      </c>
      <c r="O620" s="10">
        <v>6449.24</v>
      </c>
      <c r="P620" s="10">
        <v>4594.47</v>
      </c>
      <c r="Q620" s="11">
        <v>10</v>
      </c>
      <c r="R620" s="13" t="str">
        <f>IF(Patient_Data!$L620&lt;2,"Low Risk",IF(Patient_Data!$L620&lt;4,"Moderate Risk","High Risk"))</f>
        <v>Moderate Risk</v>
      </c>
      <c r="S620" s="12" t="str">
        <f>IF(Patient_Data[[#This Row],[Age]]&lt;=18,"Pediatric",IF(Patient_Data[[#This Row],[Age]]&lt;=64,"Adult","Geriatric"))</f>
        <v>Adult</v>
      </c>
    </row>
    <row r="621" spans="1:19" ht="15.75" customHeight="1" x14ac:dyDescent="0.3">
      <c r="A621" s="4" t="s">
        <v>1306</v>
      </c>
      <c r="B621" s="5" t="str">
        <f>TEXT(Patient_Data!$E621,"mmmm")</f>
        <v>April</v>
      </c>
      <c r="C621" s="6" t="str">
        <f t="shared" si="4"/>
        <v>Apr</v>
      </c>
      <c r="D621" s="6">
        <f>MONTH(Patient_Data!$E621)</f>
        <v>4</v>
      </c>
      <c r="E621" s="7">
        <v>45770</v>
      </c>
      <c r="F621" s="55" t="str">
        <f>TEXT(Patient_Data[[#This Row],[Admission_Date]],"YYYY")</f>
        <v>2025</v>
      </c>
      <c r="G621" s="8" t="s">
        <v>1307</v>
      </c>
      <c r="H621" s="8" t="s">
        <v>82</v>
      </c>
      <c r="I621" s="4" t="s">
        <v>35</v>
      </c>
      <c r="J621" s="4">
        <v>80</v>
      </c>
      <c r="K621" s="4" t="s">
        <v>30</v>
      </c>
      <c r="L621" s="8">
        <v>5</v>
      </c>
      <c r="M621" s="9" t="s">
        <v>36</v>
      </c>
      <c r="N621" s="9" t="str">
        <f t="shared" si="5"/>
        <v>Cardio</v>
      </c>
      <c r="O621" s="10">
        <v>14212.97</v>
      </c>
      <c r="P621" s="10">
        <v>10436.27</v>
      </c>
      <c r="Q621" s="11">
        <v>7.6</v>
      </c>
      <c r="R621" s="13" t="str">
        <f>IF(Patient_Data!$L621&lt;2,"Low Risk",IF(Patient_Data!$L621&lt;4,"Moderate Risk","High Risk"))</f>
        <v>High Risk</v>
      </c>
      <c r="S621" s="12" t="str">
        <f>IF(Patient_Data[[#This Row],[Age]]&lt;=18,"Pediatric",IF(Patient_Data[[#This Row],[Age]]&lt;=64,"Adult","Geriatric"))</f>
        <v>Geriatric</v>
      </c>
    </row>
    <row r="622" spans="1:19" ht="15.75" customHeight="1" x14ac:dyDescent="0.3">
      <c r="A622" s="4" t="s">
        <v>1308</v>
      </c>
      <c r="B622" s="5" t="str">
        <f>TEXT(Patient_Data!$E622,"mmmm")</f>
        <v>January</v>
      </c>
      <c r="C622" s="6" t="str">
        <f t="shared" si="4"/>
        <v>Jan</v>
      </c>
      <c r="D622" s="6">
        <f>MONTH(Patient_Data!$E622)</f>
        <v>1</v>
      </c>
      <c r="E622" s="7">
        <v>46048</v>
      </c>
      <c r="F622" s="55" t="str">
        <f>TEXT(Patient_Data[[#This Row],[Admission_Date]],"YYYY")</f>
        <v>2026</v>
      </c>
      <c r="G622" s="8" t="s">
        <v>1309</v>
      </c>
      <c r="H622" s="8" t="s">
        <v>28</v>
      </c>
      <c r="I622" s="4" t="s">
        <v>35</v>
      </c>
      <c r="J622" s="4">
        <v>81</v>
      </c>
      <c r="K622" s="4" t="s">
        <v>30</v>
      </c>
      <c r="L622" s="8">
        <v>4</v>
      </c>
      <c r="M622" s="9" t="s">
        <v>39</v>
      </c>
      <c r="N622" s="9" t="str">
        <f t="shared" si="5"/>
        <v>GM</v>
      </c>
      <c r="O622" s="10">
        <v>2655.69</v>
      </c>
      <c r="P622" s="10">
        <v>2057.52</v>
      </c>
      <c r="Q622" s="11">
        <v>4.9000000000000004</v>
      </c>
      <c r="R622" s="13" t="str">
        <f>IF(Patient_Data!$L622&lt;2,"Low Risk",IF(Patient_Data!$L622&lt;4,"Moderate Risk","High Risk"))</f>
        <v>High Risk</v>
      </c>
      <c r="S622" s="12" t="str">
        <f>IF(Patient_Data[[#This Row],[Age]]&lt;=18,"Pediatric",IF(Patient_Data[[#This Row],[Age]]&lt;=64,"Adult","Geriatric"))</f>
        <v>Geriatric</v>
      </c>
    </row>
    <row r="623" spans="1:19" ht="15.75" customHeight="1" x14ac:dyDescent="0.3">
      <c r="A623" s="4" t="s">
        <v>1310</v>
      </c>
      <c r="B623" s="5" t="str">
        <f>TEXT(Patient_Data!$E623,"mmmm")</f>
        <v>March</v>
      </c>
      <c r="C623" s="6" t="str">
        <f t="shared" si="4"/>
        <v>Mar</v>
      </c>
      <c r="D623" s="6">
        <f>MONTH(Patient_Data!$E623)</f>
        <v>3</v>
      </c>
      <c r="E623" s="7">
        <v>45370</v>
      </c>
      <c r="F623" s="55" t="str">
        <f>TEXT(Patient_Data[[#This Row],[Admission_Date]],"YYYY")</f>
        <v>2024</v>
      </c>
      <c r="G623" s="8" t="s">
        <v>1311</v>
      </c>
      <c r="H623" s="8" t="s">
        <v>49</v>
      </c>
      <c r="I623" s="4" t="s">
        <v>29</v>
      </c>
      <c r="J623" s="4">
        <v>73</v>
      </c>
      <c r="K623" s="4" t="s">
        <v>30</v>
      </c>
      <c r="L623" s="8">
        <v>2</v>
      </c>
      <c r="M623" s="9" t="s">
        <v>46</v>
      </c>
      <c r="N623" s="9" t="str">
        <f t="shared" si="5"/>
        <v>Ortho</v>
      </c>
      <c r="O623" s="10">
        <v>7306.28</v>
      </c>
      <c r="P623" s="10">
        <v>4309.6400000000003</v>
      </c>
      <c r="Q623" s="11">
        <v>9</v>
      </c>
      <c r="R623" s="13" t="str">
        <f>IF(Patient_Data!$L623&lt;2,"Low Risk",IF(Patient_Data!$L623&lt;4,"Moderate Risk","High Risk"))</f>
        <v>Moderate Risk</v>
      </c>
      <c r="S623" s="12" t="str">
        <f>IF(Patient_Data[[#This Row],[Age]]&lt;=18,"Pediatric",IF(Patient_Data[[#This Row],[Age]]&lt;=64,"Adult","Geriatric"))</f>
        <v>Geriatric</v>
      </c>
    </row>
    <row r="624" spans="1:19" ht="15.75" customHeight="1" x14ac:dyDescent="0.3">
      <c r="A624" s="4" t="s">
        <v>1312</v>
      </c>
      <c r="B624" s="5" t="str">
        <f>TEXT(Patient_Data!$E624,"mmmm")</f>
        <v>April</v>
      </c>
      <c r="C624" s="6" t="str">
        <f t="shared" si="4"/>
        <v>Apr</v>
      </c>
      <c r="D624" s="6">
        <f>MONTH(Patient_Data!$E624)</f>
        <v>4</v>
      </c>
      <c r="E624" s="7">
        <v>45401</v>
      </c>
      <c r="F624" s="55" t="str">
        <f>TEXT(Patient_Data[[#This Row],[Admission_Date]],"YYYY")</f>
        <v>2024</v>
      </c>
      <c r="G624" s="8" t="s">
        <v>1313</v>
      </c>
      <c r="H624" s="8" t="s">
        <v>53</v>
      </c>
      <c r="I624" s="4" t="s">
        <v>29</v>
      </c>
      <c r="J624" s="4">
        <v>66</v>
      </c>
      <c r="K624" s="4" t="s">
        <v>54</v>
      </c>
      <c r="L624" s="8">
        <v>4</v>
      </c>
      <c r="M624" s="9" t="s">
        <v>46</v>
      </c>
      <c r="N624" s="9" t="str">
        <f t="shared" si="5"/>
        <v>Ortho</v>
      </c>
      <c r="O624" s="10">
        <v>5971.1</v>
      </c>
      <c r="P624" s="10">
        <v>3678.37</v>
      </c>
      <c r="Q624" s="11">
        <v>4.5</v>
      </c>
      <c r="R624" s="13" t="str">
        <f>IF(Patient_Data!$L624&lt;2,"Low Risk",IF(Patient_Data!$L624&lt;4,"Moderate Risk","High Risk"))</f>
        <v>High Risk</v>
      </c>
      <c r="S624" s="12" t="str">
        <f>IF(Patient_Data[[#This Row],[Age]]&lt;=18,"Pediatric",IF(Patient_Data[[#This Row],[Age]]&lt;=64,"Adult","Geriatric"))</f>
        <v>Geriatric</v>
      </c>
    </row>
    <row r="625" spans="1:19" ht="15.75" customHeight="1" x14ac:dyDescent="0.3">
      <c r="A625" s="4" t="s">
        <v>1314</v>
      </c>
      <c r="B625" s="5" t="str">
        <f>TEXT(Patient_Data!$E625,"mmmm")</f>
        <v>November</v>
      </c>
      <c r="C625" s="6" t="str">
        <f t="shared" si="4"/>
        <v>Nov</v>
      </c>
      <c r="D625" s="6">
        <f>MONTH(Patient_Data!$E625)</f>
        <v>11</v>
      </c>
      <c r="E625" s="7">
        <v>45607</v>
      </c>
      <c r="F625" s="55" t="str">
        <f>TEXT(Patient_Data[[#This Row],[Admission_Date]],"YYYY")</f>
        <v>2024</v>
      </c>
      <c r="G625" s="8" t="s">
        <v>1315</v>
      </c>
      <c r="H625" s="8" t="s">
        <v>98</v>
      </c>
      <c r="I625" s="4" t="s">
        <v>35</v>
      </c>
      <c r="J625" s="4">
        <v>83</v>
      </c>
      <c r="K625" s="4" t="s">
        <v>30</v>
      </c>
      <c r="L625" s="8">
        <v>2</v>
      </c>
      <c r="M625" s="9" t="s">
        <v>39</v>
      </c>
      <c r="N625" s="9" t="str">
        <f t="shared" si="5"/>
        <v>GM</v>
      </c>
      <c r="O625" s="10">
        <v>1726.35</v>
      </c>
      <c r="P625" s="10">
        <v>1144.06</v>
      </c>
      <c r="Q625" s="11">
        <v>4.9000000000000004</v>
      </c>
      <c r="R625" s="13" t="str">
        <f>IF(Patient_Data!$L625&lt;2,"Low Risk",IF(Patient_Data!$L625&lt;4,"Moderate Risk","High Risk"))</f>
        <v>Moderate Risk</v>
      </c>
      <c r="S625" s="12" t="str">
        <f>IF(Patient_Data[[#This Row],[Age]]&lt;=18,"Pediatric",IF(Patient_Data[[#This Row],[Age]]&lt;=64,"Adult","Geriatric"))</f>
        <v>Geriatric</v>
      </c>
    </row>
    <row r="626" spans="1:19" ht="15.75" customHeight="1" x14ac:dyDescent="0.3">
      <c r="A626" s="4" t="s">
        <v>1316</v>
      </c>
      <c r="B626" s="5" t="str">
        <f>TEXT(Patient_Data!$E626,"mmmm")</f>
        <v>May</v>
      </c>
      <c r="C626" s="6" t="str">
        <f t="shared" si="4"/>
        <v>May</v>
      </c>
      <c r="D626" s="6">
        <f>MONTH(Patient_Data!$E626)</f>
        <v>5</v>
      </c>
      <c r="E626" s="7">
        <v>45807</v>
      </c>
      <c r="F626" s="55" t="str">
        <f>TEXT(Patient_Data[[#This Row],[Admission_Date]],"YYYY")</f>
        <v>2025</v>
      </c>
      <c r="G626" s="8" t="s">
        <v>1317</v>
      </c>
      <c r="H626" s="8" t="s">
        <v>53</v>
      </c>
      <c r="I626" s="4" t="s">
        <v>35</v>
      </c>
      <c r="J626" s="4">
        <v>36</v>
      </c>
      <c r="K626" s="4" t="s">
        <v>30</v>
      </c>
      <c r="L626" s="8">
        <v>2</v>
      </c>
      <c r="M626" s="9" t="s">
        <v>36</v>
      </c>
      <c r="N626" s="9" t="str">
        <f t="shared" si="5"/>
        <v>Cardio</v>
      </c>
      <c r="O626" s="10">
        <v>11175.29</v>
      </c>
      <c r="P626" s="10">
        <v>7532.24</v>
      </c>
      <c r="Q626" s="11">
        <v>5.6</v>
      </c>
      <c r="R626" s="13" t="str">
        <f>IF(Patient_Data!$L626&lt;2,"Low Risk",IF(Patient_Data!$L626&lt;4,"Moderate Risk","High Risk"))</f>
        <v>Moderate Risk</v>
      </c>
      <c r="S626" s="12" t="str">
        <f>IF(Patient_Data[[#This Row],[Age]]&lt;=18,"Pediatric",IF(Patient_Data[[#This Row],[Age]]&lt;=64,"Adult","Geriatric"))</f>
        <v>Adult</v>
      </c>
    </row>
    <row r="627" spans="1:19" ht="15.75" customHeight="1" x14ac:dyDescent="0.3">
      <c r="A627" s="4" t="s">
        <v>1318</v>
      </c>
      <c r="B627" s="5" t="str">
        <f>TEXT(Patient_Data!$E627,"mmmm")</f>
        <v>April</v>
      </c>
      <c r="C627" s="6" t="str">
        <f t="shared" si="4"/>
        <v>Apr</v>
      </c>
      <c r="D627" s="6">
        <f>MONTH(Patient_Data!$E627)</f>
        <v>4</v>
      </c>
      <c r="E627" s="7">
        <v>46138</v>
      </c>
      <c r="F627" s="55" t="str">
        <f>TEXT(Patient_Data[[#This Row],[Admission_Date]],"YYYY")</f>
        <v>2026</v>
      </c>
      <c r="G627" s="8" t="s">
        <v>892</v>
      </c>
      <c r="H627" s="8" t="s">
        <v>82</v>
      </c>
      <c r="I627" s="4" t="s">
        <v>35</v>
      </c>
      <c r="J627" s="4">
        <v>11</v>
      </c>
      <c r="K627" s="4" t="s">
        <v>30</v>
      </c>
      <c r="L627" s="8">
        <v>2</v>
      </c>
      <c r="M627" s="9" t="s">
        <v>79</v>
      </c>
      <c r="N627" s="9" t="str">
        <f t="shared" si="5"/>
        <v>PD</v>
      </c>
      <c r="O627" s="10">
        <v>2260.5500000000002</v>
      </c>
      <c r="P627" s="10">
        <v>1589.59</v>
      </c>
      <c r="Q627" s="11">
        <v>0.9</v>
      </c>
      <c r="R627" s="13" t="str">
        <f>IF(Patient_Data!$L627&lt;2,"Low Risk",IF(Patient_Data!$L627&lt;4,"Moderate Risk","High Risk"))</f>
        <v>Moderate Risk</v>
      </c>
      <c r="S627" s="12" t="str">
        <f>IF(Patient_Data[[#This Row],[Age]]&lt;=18,"Pediatric",IF(Patient_Data[[#This Row],[Age]]&lt;=64,"Adult","Geriatric"))</f>
        <v>Pediatric</v>
      </c>
    </row>
    <row r="628" spans="1:19" ht="15.75" customHeight="1" x14ac:dyDescent="0.3">
      <c r="A628" s="4" t="s">
        <v>1319</v>
      </c>
      <c r="B628" s="5" t="str">
        <f>TEXT(Patient_Data!$E628,"mmmm")</f>
        <v>February</v>
      </c>
      <c r="C628" s="6" t="str">
        <f t="shared" si="4"/>
        <v>Feb</v>
      </c>
      <c r="D628" s="6">
        <f>MONTH(Patient_Data!$E628)</f>
        <v>2</v>
      </c>
      <c r="E628" s="7">
        <v>45341</v>
      </c>
      <c r="F628" s="55" t="str">
        <f>TEXT(Patient_Data[[#This Row],[Admission_Date]],"YYYY")</f>
        <v>2024</v>
      </c>
      <c r="G628" s="8" t="s">
        <v>1320</v>
      </c>
      <c r="H628" s="8" t="s">
        <v>28</v>
      </c>
      <c r="I628" s="4" t="s">
        <v>29</v>
      </c>
      <c r="J628" s="4">
        <v>65</v>
      </c>
      <c r="K628" s="4" t="s">
        <v>30</v>
      </c>
      <c r="L628" s="8">
        <v>1</v>
      </c>
      <c r="M628" s="9" t="s">
        <v>46</v>
      </c>
      <c r="N628" s="9" t="str">
        <f t="shared" si="5"/>
        <v>Ortho</v>
      </c>
      <c r="O628" s="10">
        <v>7347.89</v>
      </c>
      <c r="P628" s="10">
        <v>5421.56</v>
      </c>
      <c r="Q628" s="11">
        <v>7.2</v>
      </c>
      <c r="R628" s="13" t="str">
        <f>IF(Patient_Data!$L628&lt;2,"Low Risk",IF(Patient_Data!$L628&lt;4,"Moderate Risk","High Risk"))</f>
        <v>Low Risk</v>
      </c>
      <c r="S628" s="12" t="str">
        <f>IF(Patient_Data[[#This Row],[Age]]&lt;=18,"Pediatric",IF(Patient_Data[[#This Row],[Age]]&lt;=64,"Adult","Geriatric"))</f>
        <v>Geriatric</v>
      </c>
    </row>
    <row r="629" spans="1:19" ht="15.75" customHeight="1" x14ac:dyDescent="0.3">
      <c r="A629" s="4" t="s">
        <v>1321</v>
      </c>
      <c r="B629" s="5" t="str">
        <f>TEXT(Patient_Data!$E629,"mmmm")</f>
        <v>March</v>
      </c>
      <c r="C629" s="6" t="str">
        <f t="shared" si="4"/>
        <v>Mar</v>
      </c>
      <c r="D629" s="6">
        <f>MONTH(Patient_Data!$E629)</f>
        <v>3</v>
      </c>
      <c r="E629" s="7">
        <v>45357</v>
      </c>
      <c r="F629" s="55" t="str">
        <f>TEXT(Patient_Data[[#This Row],[Admission_Date]],"YYYY")</f>
        <v>2024</v>
      </c>
      <c r="G629" s="8" t="s">
        <v>1322</v>
      </c>
      <c r="H629" s="8" t="s">
        <v>49</v>
      </c>
      <c r="I629" s="4" t="s">
        <v>35</v>
      </c>
      <c r="J629" s="4">
        <v>90</v>
      </c>
      <c r="K629" s="4" t="s">
        <v>54</v>
      </c>
      <c r="L629" s="8">
        <v>3</v>
      </c>
      <c r="M629" s="9" t="s">
        <v>50</v>
      </c>
      <c r="N629" s="9" t="str">
        <f t="shared" si="5"/>
        <v>ICU</v>
      </c>
      <c r="O629" s="10">
        <v>9568.02</v>
      </c>
      <c r="P629" s="10">
        <v>7373.3</v>
      </c>
      <c r="Q629" s="11">
        <v>12.7</v>
      </c>
      <c r="R629" s="13" t="str">
        <f>IF(Patient_Data!$L629&lt;2,"Low Risk",IF(Patient_Data!$L629&lt;4,"Moderate Risk","High Risk"))</f>
        <v>Moderate Risk</v>
      </c>
      <c r="S629" s="12" t="str">
        <f>IF(Patient_Data[[#This Row],[Age]]&lt;=18,"Pediatric",IF(Patient_Data[[#This Row],[Age]]&lt;=64,"Adult","Geriatric"))</f>
        <v>Geriatric</v>
      </c>
    </row>
    <row r="630" spans="1:19" ht="15.75" customHeight="1" x14ac:dyDescent="0.3">
      <c r="A630" s="4" t="s">
        <v>1323</v>
      </c>
      <c r="B630" s="5" t="str">
        <f>TEXT(Patient_Data!$E630,"mmmm")</f>
        <v>January</v>
      </c>
      <c r="C630" s="6" t="str">
        <f t="shared" si="4"/>
        <v>Jan</v>
      </c>
      <c r="D630" s="6">
        <f>MONTH(Patient_Data!$E630)</f>
        <v>1</v>
      </c>
      <c r="E630" s="7">
        <v>46051</v>
      </c>
      <c r="F630" s="55" t="str">
        <f>TEXT(Patient_Data[[#This Row],[Admission_Date]],"YYYY")</f>
        <v>2026</v>
      </c>
      <c r="G630" s="8" t="s">
        <v>1324</v>
      </c>
      <c r="H630" s="8" t="s">
        <v>28</v>
      </c>
      <c r="I630" s="4" t="s">
        <v>35</v>
      </c>
      <c r="J630" s="4">
        <v>29</v>
      </c>
      <c r="K630" s="4" t="s">
        <v>30</v>
      </c>
      <c r="L630" s="8">
        <v>2</v>
      </c>
      <c r="M630" s="9" t="s">
        <v>83</v>
      </c>
      <c r="N630" s="9" t="str">
        <f t="shared" si="5"/>
        <v>ER</v>
      </c>
      <c r="O630" s="10">
        <v>10533.36</v>
      </c>
      <c r="P630" s="10">
        <v>6258.15</v>
      </c>
      <c r="Q630" s="11">
        <v>18.600000000000001</v>
      </c>
      <c r="R630" s="13" t="str">
        <f>IF(Patient_Data!$L630&lt;2,"Low Risk",IF(Patient_Data!$L630&lt;4,"Moderate Risk","High Risk"))</f>
        <v>Moderate Risk</v>
      </c>
      <c r="S630" s="12" t="str">
        <f>IF(Patient_Data[[#This Row],[Age]]&lt;=18,"Pediatric",IF(Patient_Data[[#This Row],[Age]]&lt;=64,"Adult","Geriatric"))</f>
        <v>Adult</v>
      </c>
    </row>
    <row r="631" spans="1:19" ht="15.75" customHeight="1" x14ac:dyDescent="0.3">
      <c r="A631" s="4" t="s">
        <v>1325</v>
      </c>
      <c r="B631" s="5" t="str">
        <f>TEXT(Patient_Data!$E631,"mmmm")</f>
        <v>March</v>
      </c>
      <c r="C631" s="6" t="str">
        <f t="shared" si="4"/>
        <v>Mar</v>
      </c>
      <c r="D631" s="6">
        <f>MONTH(Patient_Data!$E631)</f>
        <v>3</v>
      </c>
      <c r="E631" s="7">
        <v>45364</v>
      </c>
      <c r="F631" s="55" t="str">
        <f>TEXT(Patient_Data[[#This Row],[Admission_Date]],"YYYY")</f>
        <v>2024</v>
      </c>
      <c r="G631" s="8" t="s">
        <v>1326</v>
      </c>
      <c r="H631" s="8" t="s">
        <v>28</v>
      </c>
      <c r="I631" s="4" t="s">
        <v>35</v>
      </c>
      <c r="J631" s="4">
        <v>61</v>
      </c>
      <c r="K631" s="4" t="s">
        <v>30</v>
      </c>
      <c r="L631" s="8">
        <v>1</v>
      </c>
      <c r="M631" s="9" t="s">
        <v>46</v>
      </c>
      <c r="N631" s="9" t="str">
        <f t="shared" si="5"/>
        <v>Ortho</v>
      </c>
      <c r="O631" s="10">
        <v>7767.29</v>
      </c>
      <c r="P631" s="10">
        <v>4821.25</v>
      </c>
      <c r="Q631" s="11">
        <v>10.4</v>
      </c>
      <c r="R631" s="13" t="str">
        <f>IF(Patient_Data!$L631&lt;2,"Low Risk",IF(Patient_Data!$L631&lt;4,"Moderate Risk","High Risk"))</f>
        <v>Low Risk</v>
      </c>
      <c r="S631" s="12" t="str">
        <f>IF(Patient_Data[[#This Row],[Age]]&lt;=18,"Pediatric",IF(Patient_Data[[#This Row],[Age]]&lt;=64,"Adult","Geriatric"))</f>
        <v>Adult</v>
      </c>
    </row>
    <row r="632" spans="1:19" ht="15.75" customHeight="1" x14ac:dyDescent="0.3">
      <c r="A632" s="4" t="s">
        <v>1327</v>
      </c>
      <c r="B632" s="5" t="str">
        <f>TEXT(Patient_Data!$E632,"mmmm")</f>
        <v>September</v>
      </c>
      <c r="C632" s="6" t="str">
        <f t="shared" si="4"/>
        <v>Sep</v>
      </c>
      <c r="D632" s="6">
        <f>MONTH(Patient_Data!$E632)</f>
        <v>9</v>
      </c>
      <c r="E632" s="7">
        <v>45930</v>
      </c>
      <c r="F632" s="55" t="str">
        <f>TEXT(Patient_Data[[#This Row],[Admission_Date]],"YYYY")</f>
        <v>2025</v>
      </c>
      <c r="G632" s="8" t="s">
        <v>1328</v>
      </c>
      <c r="H632" s="8" t="s">
        <v>34</v>
      </c>
      <c r="I632" s="4" t="s">
        <v>29</v>
      </c>
      <c r="J632" s="4">
        <v>5</v>
      </c>
      <c r="K632" s="4" t="s">
        <v>30</v>
      </c>
      <c r="L632" s="8">
        <v>2</v>
      </c>
      <c r="M632" s="9" t="s">
        <v>79</v>
      </c>
      <c r="N632" s="9" t="str">
        <f t="shared" si="5"/>
        <v>PD</v>
      </c>
      <c r="O632" s="10">
        <v>1094.94</v>
      </c>
      <c r="P632" s="10">
        <v>731.96</v>
      </c>
      <c r="Q632" s="11">
        <v>3.9</v>
      </c>
      <c r="R632" s="13" t="str">
        <f>IF(Patient_Data!$L632&lt;2,"Low Risk",IF(Patient_Data!$L632&lt;4,"Moderate Risk","High Risk"))</f>
        <v>Moderate Risk</v>
      </c>
      <c r="S632" s="12" t="str">
        <f>IF(Patient_Data[[#This Row],[Age]]&lt;=18,"Pediatric",IF(Patient_Data[[#This Row],[Age]]&lt;=64,"Adult","Geriatric"))</f>
        <v>Pediatric</v>
      </c>
    </row>
    <row r="633" spans="1:19" ht="15.75" customHeight="1" x14ac:dyDescent="0.3">
      <c r="A633" s="4" t="s">
        <v>1329</v>
      </c>
      <c r="B633" s="5" t="str">
        <f>TEXT(Patient_Data!$E633,"mmmm")</f>
        <v>May</v>
      </c>
      <c r="C633" s="6" t="str">
        <f t="shared" si="4"/>
        <v>May</v>
      </c>
      <c r="D633" s="6">
        <f>MONTH(Patient_Data!$E633)</f>
        <v>5</v>
      </c>
      <c r="E633" s="7">
        <v>45433</v>
      </c>
      <c r="F633" s="55" t="str">
        <f>TEXT(Patient_Data[[#This Row],[Admission_Date]],"YYYY")</f>
        <v>2024</v>
      </c>
      <c r="G633" s="8" t="s">
        <v>1330</v>
      </c>
      <c r="H633" s="8" t="s">
        <v>82</v>
      </c>
      <c r="I633" s="4" t="s">
        <v>35</v>
      </c>
      <c r="J633" s="4">
        <v>58</v>
      </c>
      <c r="K633" s="4" t="s">
        <v>30</v>
      </c>
      <c r="L633" s="8">
        <v>1</v>
      </c>
      <c r="M633" s="9" t="s">
        <v>36</v>
      </c>
      <c r="N633" s="9" t="str">
        <f t="shared" si="5"/>
        <v>Cardio</v>
      </c>
      <c r="O633" s="10">
        <v>8463.11</v>
      </c>
      <c r="P633" s="10">
        <v>5747.08</v>
      </c>
      <c r="Q633" s="11">
        <v>9.6</v>
      </c>
      <c r="R633" s="13" t="str">
        <f>IF(Patient_Data!$L633&lt;2,"Low Risk",IF(Patient_Data!$L633&lt;4,"Moderate Risk","High Risk"))</f>
        <v>Low Risk</v>
      </c>
      <c r="S633" s="12" t="str">
        <f>IF(Patient_Data[[#This Row],[Age]]&lt;=18,"Pediatric",IF(Patient_Data[[#This Row],[Age]]&lt;=64,"Adult","Geriatric"))</f>
        <v>Adult</v>
      </c>
    </row>
    <row r="634" spans="1:19" ht="15.75" customHeight="1" x14ac:dyDescent="0.3">
      <c r="A634" s="4" t="s">
        <v>1331</v>
      </c>
      <c r="B634" s="5" t="str">
        <f>TEXT(Patient_Data!$E634,"mmmm")</f>
        <v>December</v>
      </c>
      <c r="C634" s="6" t="str">
        <f t="shared" si="4"/>
        <v>Dec</v>
      </c>
      <c r="D634" s="6">
        <f>MONTH(Patient_Data!$E634)</f>
        <v>12</v>
      </c>
      <c r="E634" s="7">
        <v>45289</v>
      </c>
      <c r="F634" s="55" t="str">
        <f>TEXT(Patient_Data[[#This Row],[Admission_Date]],"YYYY")</f>
        <v>2023</v>
      </c>
      <c r="G634" s="8" t="s">
        <v>1332</v>
      </c>
      <c r="H634" s="8" t="s">
        <v>34</v>
      </c>
      <c r="I634" s="4" t="s">
        <v>29</v>
      </c>
      <c r="J634" s="4">
        <v>61</v>
      </c>
      <c r="K634" s="4" t="s">
        <v>30</v>
      </c>
      <c r="L634" s="8">
        <v>1</v>
      </c>
      <c r="M634" s="9" t="s">
        <v>36</v>
      </c>
      <c r="N634" s="9" t="str">
        <f t="shared" si="5"/>
        <v>Cardio</v>
      </c>
      <c r="O634" s="10">
        <v>9303.6299999999992</v>
      </c>
      <c r="P634" s="10">
        <v>6553.34</v>
      </c>
      <c r="Q634" s="11">
        <v>5.0999999999999996</v>
      </c>
      <c r="R634" s="13" t="str">
        <f>IF(Patient_Data!$L634&lt;2,"Low Risk",IF(Patient_Data!$L634&lt;4,"Moderate Risk","High Risk"))</f>
        <v>Low Risk</v>
      </c>
      <c r="S634" s="12" t="str">
        <f>IF(Patient_Data[[#This Row],[Age]]&lt;=18,"Pediatric",IF(Patient_Data[[#This Row],[Age]]&lt;=64,"Adult","Geriatric"))</f>
        <v>Adult</v>
      </c>
    </row>
    <row r="635" spans="1:19" ht="15.75" customHeight="1" x14ac:dyDescent="0.3">
      <c r="A635" s="4" t="s">
        <v>1333</v>
      </c>
      <c r="B635" s="5" t="str">
        <f>TEXT(Patient_Data!$E635,"mmmm")</f>
        <v>July</v>
      </c>
      <c r="C635" s="6" t="str">
        <f t="shared" si="4"/>
        <v>Jul</v>
      </c>
      <c r="D635" s="6">
        <f>MONTH(Patient_Data!$E635)</f>
        <v>7</v>
      </c>
      <c r="E635" s="7">
        <v>45842</v>
      </c>
      <c r="F635" s="55" t="str">
        <f>TEXT(Patient_Data[[#This Row],[Admission_Date]],"YYYY")</f>
        <v>2025</v>
      </c>
      <c r="G635" s="8" t="s">
        <v>1334</v>
      </c>
      <c r="H635" s="8" t="s">
        <v>28</v>
      </c>
      <c r="I635" s="4" t="s">
        <v>35</v>
      </c>
      <c r="J635" s="4">
        <v>23</v>
      </c>
      <c r="K635" s="4" t="s">
        <v>30</v>
      </c>
      <c r="L635" s="8">
        <v>1</v>
      </c>
      <c r="M635" s="9" t="s">
        <v>39</v>
      </c>
      <c r="N635" s="9" t="str">
        <f t="shared" si="5"/>
        <v>GM</v>
      </c>
      <c r="O635" s="10">
        <v>3965.25</v>
      </c>
      <c r="P635" s="10">
        <v>2948.23</v>
      </c>
      <c r="Q635" s="11">
        <v>6.7</v>
      </c>
      <c r="R635" s="13" t="str">
        <f>IF(Patient_Data!$L635&lt;2,"Low Risk",IF(Patient_Data!$L635&lt;4,"Moderate Risk","High Risk"))</f>
        <v>Low Risk</v>
      </c>
      <c r="S635" s="12" t="str">
        <f>IF(Patient_Data[[#This Row],[Age]]&lt;=18,"Pediatric",IF(Patient_Data[[#This Row],[Age]]&lt;=64,"Adult","Geriatric"))</f>
        <v>Adult</v>
      </c>
    </row>
    <row r="636" spans="1:19" ht="15.75" customHeight="1" x14ac:dyDescent="0.3">
      <c r="A636" s="4" t="s">
        <v>1335</v>
      </c>
      <c r="B636" s="5" t="str">
        <f>TEXT(Patient_Data!$E636,"mmmm")</f>
        <v>December</v>
      </c>
      <c r="C636" s="6" t="str">
        <f t="shared" si="4"/>
        <v>Dec</v>
      </c>
      <c r="D636" s="6">
        <f>MONTH(Patient_Data!$E636)</f>
        <v>12</v>
      </c>
      <c r="E636" s="7">
        <v>45272</v>
      </c>
      <c r="F636" s="55" t="str">
        <f>TEXT(Patient_Data[[#This Row],[Admission_Date]],"YYYY")</f>
        <v>2023</v>
      </c>
      <c r="G636" s="8" t="s">
        <v>1336</v>
      </c>
      <c r="H636" s="8" t="s">
        <v>53</v>
      </c>
      <c r="I636" s="4" t="s">
        <v>35</v>
      </c>
      <c r="J636" s="4">
        <v>72</v>
      </c>
      <c r="K636" s="4" t="s">
        <v>45</v>
      </c>
      <c r="L636" s="8">
        <v>4</v>
      </c>
      <c r="M636" s="9" t="s">
        <v>72</v>
      </c>
      <c r="N636" s="9" t="str">
        <f t="shared" si="5"/>
        <v>Surgery</v>
      </c>
      <c r="O636" s="10">
        <v>22480.87</v>
      </c>
      <c r="P636" s="10">
        <v>17175.060000000001</v>
      </c>
      <c r="Q636" s="11">
        <v>11.2</v>
      </c>
      <c r="R636" s="13" t="str">
        <f>IF(Patient_Data!$L636&lt;2,"Low Risk",IF(Patient_Data!$L636&lt;4,"Moderate Risk","High Risk"))</f>
        <v>High Risk</v>
      </c>
      <c r="S636" s="12" t="str">
        <f>IF(Patient_Data[[#This Row],[Age]]&lt;=18,"Pediatric",IF(Patient_Data[[#This Row],[Age]]&lt;=64,"Adult","Geriatric"))</f>
        <v>Geriatric</v>
      </c>
    </row>
    <row r="637" spans="1:19" ht="15.75" customHeight="1" x14ac:dyDescent="0.3">
      <c r="A637" s="4" t="s">
        <v>1337</v>
      </c>
      <c r="B637" s="5" t="str">
        <f>TEXT(Patient_Data!$E637,"mmmm")</f>
        <v>April</v>
      </c>
      <c r="C637" s="6" t="str">
        <f t="shared" si="4"/>
        <v>Apr</v>
      </c>
      <c r="D637" s="6">
        <f>MONTH(Patient_Data!$E637)</f>
        <v>4</v>
      </c>
      <c r="E637" s="7">
        <v>45756</v>
      </c>
      <c r="F637" s="55" t="str">
        <f>TEXT(Patient_Data[[#This Row],[Admission_Date]],"YYYY")</f>
        <v>2025</v>
      </c>
      <c r="G637" s="8" t="s">
        <v>1338</v>
      </c>
      <c r="H637" s="8" t="s">
        <v>28</v>
      </c>
      <c r="I637" s="4" t="s">
        <v>35</v>
      </c>
      <c r="J637" s="4">
        <v>62</v>
      </c>
      <c r="K637" s="4" t="s">
        <v>30</v>
      </c>
      <c r="L637" s="8">
        <v>3</v>
      </c>
      <c r="M637" s="9" t="s">
        <v>83</v>
      </c>
      <c r="N637" s="9" t="str">
        <f t="shared" si="5"/>
        <v>ER</v>
      </c>
      <c r="O637" s="10">
        <v>7679.93</v>
      </c>
      <c r="P637" s="10">
        <v>4572.76</v>
      </c>
      <c r="Q637" s="11">
        <v>14.8</v>
      </c>
      <c r="R637" s="13" t="str">
        <f>IF(Patient_Data!$L637&lt;2,"Low Risk",IF(Patient_Data!$L637&lt;4,"Moderate Risk","High Risk"))</f>
        <v>Moderate Risk</v>
      </c>
      <c r="S637" s="12" t="str">
        <f>IF(Patient_Data[[#This Row],[Age]]&lt;=18,"Pediatric",IF(Patient_Data[[#This Row],[Age]]&lt;=64,"Adult","Geriatric"))</f>
        <v>Adult</v>
      </c>
    </row>
    <row r="638" spans="1:19" ht="15.75" customHeight="1" x14ac:dyDescent="0.3">
      <c r="A638" s="4" t="s">
        <v>1339</v>
      </c>
      <c r="B638" s="5" t="str">
        <f>TEXT(Patient_Data!$E638,"mmmm")</f>
        <v>May</v>
      </c>
      <c r="C638" s="6" t="str">
        <f t="shared" si="4"/>
        <v>May</v>
      </c>
      <c r="D638" s="6">
        <f>MONTH(Patient_Data!$E638)</f>
        <v>5</v>
      </c>
      <c r="E638" s="7">
        <v>45806</v>
      </c>
      <c r="F638" s="55" t="str">
        <f>TEXT(Patient_Data[[#This Row],[Admission_Date]],"YYYY")</f>
        <v>2025</v>
      </c>
      <c r="G638" s="8" t="s">
        <v>1340</v>
      </c>
      <c r="H638" s="8" t="s">
        <v>49</v>
      </c>
      <c r="I638" s="4" t="s">
        <v>29</v>
      </c>
      <c r="J638" s="4">
        <v>55</v>
      </c>
      <c r="K638" s="4" t="s">
        <v>54</v>
      </c>
      <c r="L638" s="8">
        <v>5</v>
      </c>
      <c r="M638" s="9" t="s">
        <v>50</v>
      </c>
      <c r="N638" s="9" t="str">
        <f t="shared" si="5"/>
        <v>ICU</v>
      </c>
      <c r="O638" s="10">
        <v>14672.41</v>
      </c>
      <c r="P638" s="10">
        <v>9077.3700000000008</v>
      </c>
      <c r="Q638" s="11">
        <v>15.9</v>
      </c>
      <c r="R638" s="13" t="str">
        <f>IF(Patient_Data!$L638&lt;2,"Low Risk",IF(Patient_Data!$L638&lt;4,"Moderate Risk","High Risk"))</f>
        <v>High Risk</v>
      </c>
      <c r="S638" s="12" t="str">
        <f>IF(Patient_Data[[#This Row],[Age]]&lt;=18,"Pediatric",IF(Patient_Data[[#This Row],[Age]]&lt;=64,"Adult","Geriatric"))</f>
        <v>Adult</v>
      </c>
    </row>
    <row r="639" spans="1:19" ht="15.75" customHeight="1" x14ac:dyDescent="0.3">
      <c r="A639" s="4" t="s">
        <v>1341</v>
      </c>
      <c r="B639" s="5" t="str">
        <f>TEXT(Patient_Data!$E639,"mmmm")</f>
        <v>August</v>
      </c>
      <c r="C639" s="6" t="str">
        <f t="shared" si="4"/>
        <v>Aug</v>
      </c>
      <c r="D639" s="6">
        <f>MONTH(Patient_Data!$E639)</f>
        <v>8</v>
      </c>
      <c r="E639" s="7">
        <v>45887</v>
      </c>
      <c r="F639" s="55" t="str">
        <f>TEXT(Patient_Data[[#This Row],[Admission_Date]],"YYYY")</f>
        <v>2025</v>
      </c>
      <c r="G639" s="8" t="s">
        <v>1342</v>
      </c>
      <c r="H639" s="8" t="s">
        <v>132</v>
      </c>
      <c r="I639" s="4" t="s">
        <v>35</v>
      </c>
      <c r="J639" s="4">
        <v>41</v>
      </c>
      <c r="K639" s="4" t="s">
        <v>30</v>
      </c>
      <c r="L639" s="8">
        <v>2</v>
      </c>
      <c r="M639" s="9" t="s">
        <v>36</v>
      </c>
      <c r="N639" s="9" t="str">
        <f t="shared" si="5"/>
        <v>Cardio</v>
      </c>
      <c r="O639" s="10">
        <v>8254.9</v>
      </c>
      <c r="P639" s="10">
        <v>5376.74</v>
      </c>
      <c r="Q639" s="11">
        <v>11.7</v>
      </c>
      <c r="R639" s="13" t="str">
        <f>IF(Patient_Data!$L639&lt;2,"Low Risk",IF(Patient_Data!$L639&lt;4,"Moderate Risk","High Risk"))</f>
        <v>Moderate Risk</v>
      </c>
      <c r="S639" s="12" t="str">
        <f>IF(Patient_Data[[#This Row],[Age]]&lt;=18,"Pediatric",IF(Patient_Data[[#This Row],[Age]]&lt;=64,"Adult","Geriatric"))</f>
        <v>Adult</v>
      </c>
    </row>
    <row r="640" spans="1:19" ht="15.75" customHeight="1" x14ac:dyDescent="0.3">
      <c r="A640" s="4" t="s">
        <v>1343</v>
      </c>
      <c r="B640" s="5" t="str">
        <f>TEXT(Patient_Data!$E640,"mmmm")</f>
        <v>March</v>
      </c>
      <c r="C640" s="6" t="str">
        <f t="shared" si="4"/>
        <v>Mar</v>
      </c>
      <c r="D640" s="6">
        <f>MONTH(Patient_Data!$E640)</f>
        <v>3</v>
      </c>
      <c r="E640" s="7">
        <v>45379</v>
      </c>
      <c r="F640" s="55" t="str">
        <f>TEXT(Patient_Data[[#This Row],[Admission_Date]],"YYYY")</f>
        <v>2024</v>
      </c>
      <c r="G640" s="8" t="s">
        <v>1344</v>
      </c>
      <c r="H640" s="8" t="s">
        <v>82</v>
      </c>
      <c r="I640" s="4" t="s">
        <v>29</v>
      </c>
      <c r="J640" s="4">
        <v>64</v>
      </c>
      <c r="K640" s="4" t="s">
        <v>30</v>
      </c>
      <c r="L640" s="8">
        <v>2</v>
      </c>
      <c r="M640" s="9" t="s">
        <v>46</v>
      </c>
      <c r="N640" s="9" t="str">
        <f t="shared" si="5"/>
        <v>Ortho</v>
      </c>
      <c r="O640" s="10">
        <v>4234.16</v>
      </c>
      <c r="P640" s="10">
        <v>2879.29</v>
      </c>
      <c r="Q640" s="11">
        <v>5.3</v>
      </c>
      <c r="R640" s="13" t="str">
        <f>IF(Patient_Data!$L640&lt;2,"Low Risk",IF(Patient_Data!$L640&lt;4,"Moderate Risk","High Risk"))</f>
        <v>Moderate Risk</v>
      </c>
      <c r="S640" s="12" t="str">
        <f>IF(Patient_Data[[#This Row],[Age]]&lt;=18,"Pediatric",IF(Patient_Data[[#This Row],[Age]]&lt;=64,"Adult","Geriatric"))</f>
        <v>Adult</v>
      </c>
    </row>
    <row r="641" spans="1:19" ht="15.75" customHeight="1" x14ac:dyDescent="0.3">
      <c r="A641" s="4" t="s">
        <v>1345</v>
      </c>
      <c r="B641" s="5" t="str">
        <f>TEXT(Patient_Data!$E641,"mmmm")</f>
        <v>July</v>
      </c>
      <c r="C641" s="6" t="str">
        <f t="shared" si="4"/>
        <v>Jul</v>
      </c>
      <c r="D641" s="6">
        <f>MONTH(Patient_Data!$E641)</f>
        <v>7</v>
      </c>
      <c r="E641" s="7">
        <v>46206</v>
      </c>
      <c r="F641" s="55" t="str">
        <f>TEXT(Patient_Data[[#This Row],[Admission_Date]],"YYYY")</f>
        <v>2026</v>
      </c>
      <c r="G641" s="8" t="s">
        <v>1346</v>
      </c>
      <c r="H641" s="8" t="s">
        <v>49</v>
      </c>
      <c r="I641" s="4" t="s">
        <v>29</v>
      </c>
      <c r="J641" s="4">
        <v>60</v>
      </c>
      <c r="K641" s="4" t="s">
        <v>30</v>
      </c>
      <c r="L641" s="8">
        <v>3</v>
      </c>
      <c r="M641" s="9" t="s">
        <v>50</v>
      </c>
      <c r="N641" s="9" t="str">
        <f t="shared" si="5"/>
        <v>ICU</v>
      </c>
      <c r="O641" s="10">
        <v>17307.669999999998</v>
      </c>
      <c r="P641" s="10">
        <v>12197.77</v>
      </c>
      <c r="Q641" s="11">
        <v>10.3</v>
      </c>
      <c r="R641" s="13" t="str">
        <f>IF(Patient_Data!$L641&lt;2,"Low Risk",IF(Patient_Data!$L641&lt;4,"Moderate Risk","High Risk"))</f>
        <v>Moderate Risk</v>
      </c>
      <c r="S641" s="12" t="str">
        <f>IF(Patient_Data[[#This Row],[Age]]&lt;=18,"Pediatric",IF(Patient_Data[[#This Row],[Age]]&lt;=64,"Adult","Geriatric"))</f>
        <v>Adult</v>
      </c>
    </row>
    <row r="642" spans="1:19" ht="15.75" customHeight="1" x14ac:dyDescent="0.3">
      <c r="A642" s="4" t="s">
        <v>1347</v>
      </c>
      <c r="B642" s="5" t="str">
        <f>TEXT(Patient_Data!$E642,"mmmm")</f>
        <v>November</v>
      </c>
      <c r="C642" s="6" t="str">
        <f t="shared" si="4"/>
        <v>Nov</v>
      </c>
      <c r="D642" s="6">
        <f>MONTH(Patient_Data!$E642)</f>
        <v>11</v>
      </c>
      <c r="E642" s="7">
        <v>45602</v>
      </c>
      <c r="F642" s="55" t="str">
        <f>TEXT(Patient_Data[[#This Row],[Admission_Date]],"YYYY")</f>
        <v>2024</v>
      </c>
      <c r="G642" s="8" t="s">
        <v>1348</v>
      </c>
      <c r="H642" s="8" t="s">
        <v>28</v>
      </c>
      <c r="I642" s="4" t="s">
        <v>35</v>
      </c>
      <c r="J642" s="4">
        <v>85</v>
      </c>
      <c r="K642" s="4" t="s">
        <v>30</v>
      </c>
      <c r="L642" s="8">
        <v>1</v>
      </c>
      <c r="M642" s="9" t="s">
        <v>31</v>
      </c>
      <c r="N642" s="9" t="str">
        <f t="shared" si="5"/>
        <v>Neuro</v>
      </c>
      <c r="O642" s="10">
        <v>7889.54</v>
      </c>
      <c r="P642" s="10">
        <v>5805.76</v>
      </c>
      <c r="Q642" s="11">
        <v>5.8</v>
      </c>
      <c r="R642" s="13" t="str">
        <f>IF(Patient_Data!$L642&lt;2,"Low Risk",IF(Patient_Data!$L642&lt;4,"Moderate Risk","High Risk"))</f>
        <v>Low Risk</v>
      </c>
      <c r="S642" s="12" t="str">
        <f>IF(Patient_Data[[#This Row],[Age]]&lt;=18,"Pediatric",IF(Patient_Data[[#This Row],[Age]]&lt;=64,"Adult","Geriatric"))</f>
        <v>Geriatric</v>
      </c>
    </row>
    <row r="643" spans="1:19" ht="15.75" customHeight="1" x14ac:dyDescent="0.3">
      <c r="A643" s="4" t="s">
        <v>1349</v>
      </c>
      <c r="B643" s="5" t="str">
        <f>TEXT(Patient_Data!$E643,"mmmm")</f>
        <v>July</v>
      </c>
      <c r="C643" s="6" t="str">
        <f t="shared" si="4"/>
        <v>Jul</v>
      </c>
      <c r="D643" s="6">
        <f>MONTH(Patient_Data!$E643)</f>
        <v>7</v>
      </c>
      <c r="E643" s="7">
        <v>45483</v>
      </c>
      <c r="F643" s="55" t="str">
        <f>TEXT(Patient_Data[[#This Row],[Admission_Date]],"YYYY")</f>
        <v>2024</v>
      </c>
      <c r="G643" s="8" t="s">
        <v>110</v>
      </c>
      <c r="H643" s="8" t="s">
        <v>82</v>
      </c>
      <c r="I643" s="4" t="s">
        <v>29</v>
      </c>
      <c r="J643" s="4">
        <v>70</v>
      </c>
      <c r="K643" s="4" t="s">
        <v>30</v>
      </c>
      <c r="L643" s="8">
        <v>2</v>
      </c>
      <c r="M643" s="9" t="s">
        <v>83</v>
      </c>
      <c r="N643" s="9" t="str">
        <f t="shared" si="5"/>
        <v>ER</v>
      </c>
      <c r="O643" s="10">
        <v>3457.96</v>
      </c>
      <c r="P643" s="10">
        <v>2770.45</v>
      </c>
      <c r="Q643" s="11">
        <v>17.8</v>
      </c>
      <c r="R643" s="13" t="str">
        <f>IF(Patient_Data!$L643&lt;2,"Low Risk",IF(Patient_Data!$L643&lt;4,"Moderate Risk","High Risk"))</f>
        <v>Moderate Risk</v>
      </c>
      <c r="S643" s="12" t="str">
        <f>IF(Patient_Data[[#This Row],[Age]]&lt;=18,"Pediatric",IF(Patient_Data[[#This Row],[Age]]&lt;=64,"Adult","Geriatric"))</f>
        <v>Geriatric</v>
      </c>
    </row>
    <row r="644" spans="1:19" ht="15.75" customHeight="1" x14ac:dyDescent="0.3">
      <c r="A644" s="4" t="s">
        <v>1350</v>
      </c>
      <c r="B644" s="5" t="str">
        <f>TEXT(Patient_Data!$E644,"mmmm")</f>
        <v>May</v>
      </c>
      <c r="C644" s="6" t="str">
        <f t="shared" si="4"/>
        <v>May</v>
      </c>
      <c r="D644" s="6">
        <f>MONTH(Patient_Data!$E644)</f>
        <v>5</v>
      </c>
      <c r="E644" s="7">
        <v>46154</v>
      </c>
      <c r="F644" s="55" t="str">
        <f>TEXT(Patient_Data[[#This Row],[Admission_Date]],"YYYY")</f>
        <v>2026</v>
      </c>
      <c r="G644" s="8" t="s">
        <v>1351</v>
      </c>
      <c r="H644" s="8" t="s">
        <v>28</v>
      </c>
      <c r="I644" s="4" t="s">
        <v>35</v>
      </c>
      <c r="J644" s="4">
        <v>74</v>
      </c>
      <c r="K644" s="4" t="s">
        <v>54</v>
      </c>
      <c r="L644" s="8">
        <v>5</v>
      </c>
      <c r="M644" s="9" t="s">
        <v>50</v>
      </c>
      <c r="N644" s="9" t="str">
        <f t="shared" si="5"/>
        <v>ICU</v>
      </c>
      <c r="O644" s="10">
        <v>19507.740000000002</v>
      </c>
      <c r="P644" s="10">
        <v>11424.89</v>
      </c>
      <c r="Q644" s="11">
        <v>13.8</v>
      </c>
      <c r="R644" s="13" t="str">
        <f>IF(Patient_Data!$L644&lt;2,"Low Risk",IF(Patient_Data!$L644&lt;4,"Moderate Risk","High Risk"))</f>
        <v>High Risk</v>
      </c>
      <c r="S644" s="12" t="str">
        <f>IF(Patient_Data[[#This Row],[Age]]&lt;=18,"Pediatric",IF(Patient_Data[[#This Row],[Age]]&lt;=64,"Adult","Geriatric"))</f>
        <v>Geriatric</v>
      </c>
    </row>
    <row r="645" spans="1:19" ht="15.75" customHeight="1" x14ac:dyDescent="0.3">
      <c r="A645" s="4" t="s">
        <v>1352</v>
      </c>
      <c r="B645" s="5" t="str">
        <f>TEXT(Patient_Data!$E645,"mmmm")</f>
        <v>August</v>
      </c>
      <c r="C645" s="6" t="str">
        <f t="shared" si="4"/>
        <v>Aug</v>
      </c>
      <c r="D645" s="6">
        <f>MONTH(Patient_Data!$E645)</f>
        <v>8</v>
      </c>
      <c r="E645" s="7">
        <v>45884</v>
      </c>
      <c r="F645" s="55" t="str">
        <f>TEXT(Patient_Data[[#This Row],[Admission_Date]],"YYYY")</f>
        <v>2025</v>
      </c>
      <c r="G645" s="8" t="s">
        <v>1353</v>
      </c>
      <c r="H645" s="8" t="s">
        <v>42</v>
      </c>
      <c r="I645" s="4" t="s">
        <v>29</v>
      </c>
      <c r="J645" s="4">
        <v>53</v>
      </c>
      <c r="K645" s="4" t="s">
        <v>54</v>
      </c>
      <c r="L645" s="8">
        <v>2</v>
      </c>
      <c r="M645" s="9" t="s">
        <v>46</v>
      </c>
      <c r="N645" s="9" t="str">
        <f t="shared" si="5"/>
        <v>Ortho</v>
      </c>
      <c r="O645" s="10">
        <v>9524.2099999999991</v>
      </c>
      <c r="P645" s="10">
        <v>5888.97</v>
      </c>
      <c r="Q645" s="11">
        <v>9.9</v>
      </c>
      <c r="R645" s="13" t="str">
        <f>IF(Patient_Data!$L645&lt;2,"Low Risk",IF(Patient_Data!$L645&lt;4,"Moderate Risk","High Risk"))</f>
        <v>Moderate Risk</v>
      </c>
      <c r="S645" s="12" t="str">
        <f>IF(Patient_Data[[#This Row],[Age]]&lt;=18,"Pediatric",IF(Patient_Data[[#This Row],[Age]]&lt;=64,"Adult","Geriatric"))</f>
        <v>Adult</v>
      </c>
    </row>
    <row r="646" spans="1:19" ht="15.75" customHeight="1" x14ac:dyDescent="0.3">
      <c r="A646" s="4" t="s">
        <v>1354</v>
      </c>
      <c r="B646" s="5" t="str">
        <f>TEXT(Patient_Data!$E646,"mmmm")</f>
        <v>September</v>
      </c>
      <c r="C646" s="6" t="str">
        <f t="shared" si="4"/>
        <v>Sep</v>
      </c>
      <c r="D646" s="6">
        <f>MONTH(Patient_Data!$E646)</f>
        <v>9</v>
      </c>
      <c r="E646" s="7">
        <v>45919</v>
      </c>
      <c r="F646" s="55" t="str">
        <f>TEXT(Patient_Data[[#This Row],[Admission_Date]],"YYYY")</f>
        <v>2025</v>
      </c>
      <c r="G646" s="8" t="s">
        <v>1355</v>
      </c>
      <c r="H646" s="8" t="s">
        <v>132</v>
      </c>
      <c r="I646" s="4" t="s">
        <v>35</v>
      </c>
      <c r="J646" s="4">
        <v>58</v>
      </c>
      <c r="K646" s="4" t="s">
        <v>30</v>
      </c>
      <c r="L646" s="8">
        <v>1</v>
      </c>
      <c r="M646" s="9" t="s">
        <v>36</v>
      </c>
      <c r="N646" s="9" t="str">
        <f t="shared" si="5"/>
        <v>Cardio</v>
      </c>
      <c r="O646" s="10">
        <v>4573.79</v>
      </c>
      <c r="P646" s="10">
        <v>2989.63</v>
      </c>
      <c r="Q646" s="11">
        <v>7.8</v>
      </c>
      <c r="R646" s="13" t="str">
        <f>IF(Patient_Data!$L646&lt;2,"Low Risk",IF(Patient_Data!$L646&lt;4,"Moderate Risk","High Risk"))</f>
        <v>Low Risk</v>
      </c>
      <c r="S646" s="12" t="str">
        <f>IF(Patient_Data[[#This Row],[Age]]&lt;=18,"Pediatric",IF(Patient_Data[[#This Row],[Age]]&lt;=64,"Adult","Geriatric"))</f>
        <v>Adult</v>
      </c>
    </row>
    <row r="647" spans="1:19" ht="15.75" customHeight="1" x14ac:dyDescent="0.3">
      <c r="A647" s="4" t="s">
        <v>1356</v>
      </c>
      <c r="B647" s="5" t="str">
        <f>TEXT(Patient_Data!$E647,"mmmm")</f>
        <v>December</v>
      </c>
      <c r="C647" s="6" t="str">
        <f t="shared" si="4"/>
        <v>Dec</v>
      </c>
      <c r="D647" s="6">
        <f>MONTH(Patient_Data!$E647)</f>
        <v>12</v>
      </c>
      <c r="E647" s="7">
        <v>45630</v>
      </c>
      <c r="F647" s="55" t="str">
        <f>TEXT(Patient_Data[[#This Row],[Admission_Date]],"YYYY")</f>
        <v>2024</v>
      </c>
      <c r="G647" s="8" t="s">
        <v>1357</v>
      </c>
      <c r="H647" s="8" t="s">
        <v>132</v>
      </c>
      <c r="I647" s="4" t="s">
        <v>35</v>
      </c>
      <c r="J647" s="4">
        <v>69</v>
      </c>
      <c r="K647" s="4" t="s">
        <v>45</v>
      </c>
      <c r="L647" s="8">
        <v>4</v>
      </c>
      <c r="M647" s="9" t="s">
        <v>50</v>
      </c>
      <c r="N647" s="9" t="str">
        <f t="shared" si="5"/>
        <v>ICU</v>
      </c>
      <c r="O647" s="10">
        <v>13095.17</v>
      </c>
      <c r="P647" s="10">
        <v>8840.16</v>
      </c>
      <c r="Q647" s="11">
        <v>8.3000000000000007</v>
      </c>
      <c r="R647" s="13" t="str">
        <f>IF(Patient_Data!$L647&lt;2,"Low Risk",IF(Patient_Data!$L647&lt;4,"Moderate Risk","High Risk"))</f>
        <v>High Risk</v>
      </c>
      <c r="S647" s="12" t="str">
        <f>IF(Patient_Data[[#This Row],[Age]]&lt;=18,"Pediatric",IF(Patient_Data[[#This Row],[Age]]&lt;=64,"Adult","Geriatric"))</f>
        <v>Geriatric</v>
      </c>
    </row>
    <row r="648" spans="1:19" ht="15.75" customHeight="1" x14ac:dyDescent="0.3">
      <c r="A648" s="4" t="s">
        <v>1358</v>
      </c>
      <c r="B648" s="5" t="str">
        <f>TEXT(Patient_Data!$E648,"mmmm")</f>
        <v>January</v>
      </c>
      <c r="C648" s="6" t="str">
        <f t="shared" si="4"/>
        <v>Jan</v>
      </c>
      <c r="D648" s="6">
        <f>MONTH(Patient_Data!$E648)</f>
        <v>1</v>
      </c>
      <c r="E648" s="7">
        <v>46045</v>
      </c>
      <c r="F648" s="55" t="str">
        <f>TEXT(Patient_Data[[#This Row],[Admission_Date]],"YYYY")</f>
        <v>2026</v>
      </c>
      <c r="G648" s="8" t="s">
        <v>1359</v>
      </c>
      <c r="H648" s="8" t="s">
        <v>98</v>
      </c>
      <c r="I648" s="4" t="s">
        <v>35</v>
      </c>
      <c r="J648" s="4">
        <v>30</v>
      </c>
      <c r="K648" s="4" t="s">
        <v>45</v>
      </c>
      <c r="L648" s="8">
        <v>2</v>
      </c>
      <c r="M648" s="9" t="s">
        <v>83</v>
      </c>
      <c r="N648" s="9" t="str">
        <f t="shared" si="5"/>
        <v>ER</v>
      </c>
      <c r="O648" s="10">
        <v>3159.96</v>
      </c>
      <c r="P648" s="10">
        <v>2297.5700000000002</v>
      </c>
      <c r="Q648" s="11">
        <v>10.7</v>
      </c>
      <c r="R648" s="13" t="str">
        <f>IF(Patient_Data!$L648&lt;2,"Low Risk",IF(Patient_Data!$L648&lt;4,"Moderate Risk","High Risk"))</f>
        <v>Moderate Risk</v>
      </c>
      <c r="S648" s="12" t="str">
        <f>IF(Patient_Data[[#This Row],[Age]]&lt;=18,"Pediatric",IF(Patient_Data[[#This Row],[Age]]&lt;=64,"Adult","Geriatric"))</f>
        <v>Adult</v>
      </c>
    </row>
    <row r="649" spans="1:19" ht="15.75" customHeight="1" x14ac:dyDescent="0.3">
      <c r="A649" s="4" t="s">
        <v>1360</v>
      </c>
      <c r="B649" s="5" t="str">
        <f>TEXT(Patient_Data!$E649,"mmmm")</f>
        <v>February</v>
      </c>
      <c r="C649" s="6" t="str">
        <f t="shared" si="4"/>
        <v>Feb</v>
      </c>
      <c r="D649" s="6">
        <f>MONTH(Patient_Data!$E649)</f>
        <v>2</v>
      </c>
      <c r="E649" s="7">
        <v>45714</v>
      </c>
      <c r="F649" s="55" t="str">
        <f>TEXT(Patient_Data[[#This Row],[Admission_Date]],"YYYY")</f>
        <v>2025</v>
      </c>
      <c r="G649" s="8" t="s">
        <v>1361</v>
      </c>
      <c r="H649" s="8" t="s">
        <v>49</v>
      </c>
      <c r="I649" s="4" t="s">
        <v>35</v>
      </c>
      <c r="J649" s="4">
        <v>5</v>
      </c>
      <c r="K649" s="4" t="s">
        <v>54</v>
      </c>
      <c r="L649" s="8">
        <v>4</v>
      </c>
      <c r="M649" s="9" t="s">
        <v>79</v>
      </c>
      <c r="N649" s="9" t="str">
        <f t="shared" si="5"/>
        <v>PD</v>
      </c>
      <c r="O649" s="10">
        <v>2093.9499999999998</v>
      </c>
      <c r="P649" s="10">
        <v>1551.78</v>
      </c>
      <c r="Q649" s="11">
        <v>2.9</v>
      </c>
      <c r="R649" s="13" t="str">
        <f>IF(Patient_Data!$L649&lt;2,"Low Risk",IF(Patient_Data!$L649&lt;4,"Moderate Risk","High Risk"))</f>
        <v>High Risk</v>
      </c>
      <c r="S649" s="12" t="str">
        <f>IF(Patient_Data[[#This Row],[Age]]&lt;=18,"Pediatric",IF(Patient_Data[[#This Row],[Age]]&lt;=64,"Adult","Geriatric"))</f>
        <v>Pediatric</v>
      </c>
    </row>
    <row r="650" spans="1:19" ht="15.75" customHeight="1" x14ac:dyDescent="0.3">
      <c r="A650" s="4" t="s">
        <v>1362</v>
      </c>
      <c r="B650" s="5" t="str">
        <f>TEXT(Patient_Data!$E650,"mmmm")</f>
        <v>October</v>
      </c>
      <c r="C650" s="6" t="str">
        <f t="shared" si="4"/>
        <v>Oct</v>
      </c>
      <c r="D650" s="6">
        <f>MONTH(Patient_Data!$E650)</f>
        <v>10</v>
      </c>
      <c r="E650" s="7">
        <v>45226</v>
      </c>
      <c r="F650" s="55" t="str">
        <f>TEXT(Patient_Data[[#This Row],[Admission_Date]],"YYYY")</f>
        <v>2023</v>
      </c>
      <c r="G650" s="8" t="s">
        <v>1363</v>
      </c>
      <c r="H650" s="8" t="s">
        <v>82</v>
      </c>
      <c r="I650" s="4" t="s">
        <v>35</v>
      </c>
      <c r="J650" s="4">
        <v>81</v>
      </c>
      <c r="K650" s="4" t="s">
        <v>54</v>
      </c>
      <c r="L650" s="8">
        <v>4</v>
      </c>
      <c r="M650" s="9" t="s">
        <v>72</v>
      </c>
      <c r="N650" s="9" t="str">
        <f t="shared" si="5"/>
        <v>Surgery</v>
      </c>
      <c r="O650" s="10">
        <v>22434.42</v>
      </c>
      <c r="P650" s="10">
        <v>17110.96</v>
      </c>
      <c r="Q650" s="11">
        <v>7.6</v>
      </c>
      <c r="R650" s="13" t="str">
        <f>IF(Patient_Data!$L650&lt;2,"Low Risk",IF(Patient_Data!$L650&lt;4,"Moderate Risk","High Risk"))</f>
        <v>High Risk</v>
      </c>
      <c r="S650" s="12" t="str">
        <f>IF(Patient_Data[[#This Row],[Age]]&lt;=18,"Pediatric",IF(Patient_Data[[#This Row],[Age]]&lt;=64,"Adult","Geriatric"))</f>
        <v>Geriatric</v>
      </c>
    </row>
    <row r="651" spans="1:19" ht="15.75" customHeight="1" x14ac:dyDescent="0.3">
      <c r="A651" s="4" t="s">
        <v>1364</v>
      </c>
      <c r="B651" s="5" t="str">
        <f>TEXT(Patient_Data!$E651,"mmmm")</f>
        <v>May</v>
      </c>
      <c r="C651" s="6" t="str">
        <f t="shared" si="4"/>
        <v>May</v>
      </c>
      <c r="D651" s="6">
        <f>MONTH(Patient_Data!$E651)</f>
        <v>5</v>
      </c>
      <c r="E651" s="7">
        <v>45799</v>
      </c>
      <c r="F651" s="55" t="str">
        <f>TEXT(Patient_Data[[#This Row],[Admission_Date]],"YYYY")</f>
        <v>2025</v>
      </c>
      <c r="G651" s="8" t="s">
        <v>1365</v>
      </c>
      <c r="H651" s="8" t="s">
        <v>34</v>
      </c>
      <c r="I651" s="4" t="s">
        <v>35</v>
      </c>
      <c r="J651" s="4">
        <v>0</v>
      </c>
      <c r="K651" s="4" t="s">
        <v>30</v>
      </c>
      <c r="L651" s="8">
        <v>1</v>
      </c>
      <c r="M651" s="9" t="s">
        <v>79</v>
      </c>
      <c r="N651" s="9" t="str">
        <f t="shared" si="5"/>
        <v>PD</v>
      </c>
      <c r="O651" s="10">
        <v>1167.01</v>
      </c>
      <c r="P651" s="10">
        <v>689.67</v>
      </c>
      <c r="Q651" s="11">
        <v>1.6</v>
      </c>
      <c r="R651" s="13" t="str">
        <f>IF(Patient_Data!$L651&lt;2,"Low Risk",IF(Patient_Data!$L651&lt;4,"Moderate Risk","High Risk"))</f>
        <v>Low Risk</v>
      </c>
      <c r="S651" s="12" t="str">
        <f>IF(Patient_Data[[#This Row],[Age]]&lt;=18,"Pediatric",IF(Patient_Data[[#This Row],[Age]]&lt;=64,"Adult","Geriatric"))</f>
        <v>Pediatric</v>
      </c>
    </row>
    <row r="652" spans="1:19" ht="15.75" customHeight="1" x14ac:dyDescent="0.3">
      <c r="A652" s="4" t="s">
        <v>1366</v>
      </c>
      <c r="B652" s="5" t="str">
        <f>TEXT(Patient_Data!$E652,"mmmm")</f>
        <v>July</v>
      </c>
      <c r="C652" s="6" t="str">
        <f t="shared" si="4"/>
        <v>Jul</v>
      </c>
      <c r="D652" s="6">
        <f>MONTH(Patient_Data!$E652)</f>
        <v>7</v>
      </c>
      <c r="E652" s="7">
        <v>45862</v>
      </c>
      <c r="F652" s="55" t="str">
        <f>TEXT(Patient_Data[[#This Row],[Admission_Date]],"YYYY")</f>
        <v>2025</v>
      </c>
      <c r="G652" s="8" t="s">
        <v>1367</v>
      </c>
      <c r="H652" s="8" t="s">
        <v>49</v>
      </c>
      <c r="I652" s="4" t="s">
        <v>29</v>
      </c>
      <c r="J652" s="4">
        <v>85</v>
      </c>
      <c r="K652" s="4" t="s">
        <v>54</v>
      </c>
      <c r="L652" s="8">
        <v>5</v>
      </c>
      <c r="M652" s="9" t="s">
        <v>50</v>
      </c>
      <c r="N652" s="9" t="str">
        <f t="shared" si="5"/>
        <v>ICU</v>
      </c>
      <c r="O652" s="10">
        <v>11501.25</v>
      </c>
      <c r="P652" s="10">
        <v>7104.56</v>
      </c>
      <c r="Q652" s="11">
        <v>11.1</v>
      </c>
      <c r="R652" s="13" t="str">
        <f>IF(Patient_Data!$L652&lt;2,"Low Risk",IF(Patient_Data!$L652&lt;4,"Moderate Risk","High Risk"))</f>
        <v>High Risk</v>
      </c>
      <c r="S652" s="12" t="str">
        <f>IF(Patient_Data[[#This Row],[Age]]&lt;=18,"Pediatric",IF(Patient_Data[[#This Row],[Age]]&lt;=64,"Adult","Geriatric"))</f>
        <v>Geriatric</v>
      </c>
    </row>
    <row r="653" spans="1:19" ht="15.75" customHeight="1" x14ac:dyDescent="0.3">
      <c r="A653" s="4" t="s">
        <v>1368</v>
      </c>
      <c r="B653" s="5" t="str">
        <f>TEXT(Patient_Data!$E653,"mmmm")</f>
        <v>August</v>
      </c>
      <c r="C653" s="6" t="str">
        <f t="shared" si="4"/>
        <v>Aug</v>
      </c>
      <c r="D653" s="6">
        <f>MONTH(Patient_Data!$E653)</f>
        <v>8</v>
      </c>
      <c r="E653" s="7">
        <v>45885</v>
      </c>
      <c r="F653" s="55" t="str">
        <f>TEXT(Patient_Data[[#This Row],[Admission_Date]],"YYYY")</f>
        <v>2025</v>
      </c>
      <c r="G653" s="8" t="s">
        <v>1369</v>
      </c>
      <c r="H653" s="8" t="s">
        <v>34</v>
      </c>
      <c r="I653" s="4" t="s">
        <v>29</v>
      </c>
      <c r="J653" s="4">
        <v>43</v>
      </c>
      <c r="K653" s="4" t="s">
        <v>54</v>
      </c>
      <c r="L653" s="8">
        <v>3</v>
      </c>
      <c r="M653" s="9" t="s">
        <v>83</v>
      </c>
      <c r="N653" s="9" t="str">
        <f t="shared" si="5"/>
        <v>ER</v>
      </c>
      <c r="O653" s="10">
        <v>6953.35</v>
      </c>
      <c r="P653" s="10">
        <v>4638.9399999999996</v>
      </c>
      <c r="Q653" s="11">
        <v>23.6</v>
      </c>
      <c r="R653" s="13" t="str">
        <f>IF(Patient_Data!$L653&lt;2,"Low Risk",IF(Patient_Data!$L653&lt;4,"Moderate Risk","High Risk"))</f>
        <v>Moderate Risk</v>
      </c>
      <c r="S653" s="12" t="str">
        <f>IF(Patient_Data[[#This Row],[Age]]&lt;=18,"Pediatric",IF(Patient_Data[[#This Row],[Age]]&lt;=64,"Adult","Geriatric"))</f>
        <v>Adult</v>
      </c>
    </row>
    <row r="654" spans="1:19" ht="15.75" customHeight="1" x14ac:dyDescent="0.3">
      <c r="A654" s="4" t="s">
        <v>1370</v>
      </c>
      <c r="B654" s="5" t="str">
        <f>TEXT(Patient_Data!$E654,"mmmm")</f>
        <v>June</v>
      </c>
      <c r="C654" s="6" t="str">
        <f t="shared" si="4"/>
        <v>Jun</v>
      </c>
      <c r="D654" s="6">
        <f>MONTH(Patient_Data!$E654)</f>
        <v>6</v>
      </c>
      <c r="E654" s="7">
        <v>45460</v>
      </c>
      <c r="F654" s="55" t="str">
        <f>TEXT(Patient_Data[[#This Row],[Admission_Date]],"YYYY")</f>
        <v>2024</v>
      </c>
      <c r="G654" s="8" t="s">
        <v>1371</v>
      </c>
      <c r="H654" s="8" t="s">
        <v>49</v>
      </c>
      <c r="I654" s="4" t="s">
        <v>29</v>
      </c>
      <c r="J654" s="4">
        <v>65</v>
      </c>
      <c r="K654" s="4" t="s">
        <v>30</v>
      </c>
      <c r="L654" s="8">
        <v>1</v>
      </c>
      <c r="M654" s="9" t="s">
        <v>31</v>
      </c>
      <c r="N654" s="9" t="str">
        <f t="shared" si="5"/>
        <v>Neuro</v>
      </c>
      <c r="O654" s="10">
        <v>7037.07</v>
      </c>
      <c r="P654" s="10">
        <v>4799.6400000000003</v>
      </c>
      <c r="Q654" s="11">
        <v>10.6</v>
      </c>
      <c r="R654" s="13" t="str">
        <f>IF(Patient_Data!$L654&lt;2,"Low Risk",IF(Patient_Data!$L654&lt;4,"Moderate Risk","High Risk"))</f>
        <v>Low Risk</v>
      </c>
      <c r="S654" s="12" t="str">
        <f>IF(Patient_Data[[#This Row],[Age]]&lt;=18,"Pediatric",IF(Patient_Data[[#This Row],[Age]]&lt;=64,"Adult","Geriatric"))</f>
        <v>Geriatric</v>
      </c>
    </row>
    <row r="655" spans="1:19" ht="15.75" customHeight="1" x14ac:dyDescent="0.3">
      <c r="A655" s="4" t="s">
        <v>1372</v>
      </c>
      <c r="B655" s="5" t="str">
        <f>TEXT(Patient_Data!$E655,"mmmm")</f>
        <v>November</v>
      </c>
      <c r="C655" s="6" t="str">
        <f t="shared" si="4"/>
        <v>Nov</v>
      </c>
      <c r="D655" s="6">
        <f>MONTH(Patient_Data!$E655)</f>
        <v>11</v>
      </c>
      <c r="E655" s="7">
        <v>45987</v>
      </c>
      <c r="F655" s="55" t="str">
        <f>TEXT(Patient_Data[[#This Row],[Admission_Date]],"YYYY")</f>
        <v>2025</v>
      </c>
      <c r="G655" s="8" t="s">
        <v>1373</v>
      </c>
      <c r="H655" s="8" t="s">
        <v>49</v>
      </c>
      <c r="I655" s="4" t="s">
        <v>29</v>
      </c>
      <c r="J655" s="4">
        <v>41</v>
      </c>
      <c r="K655" s="4" t="s">
        <v>30</v>
      </c>
      <c r="L655" s="8">
        <v>1</v>
      </c>
      <c r="M655" s="9" t="s">
        <v>36</v>
      </c>
      <c r="N655" s="9" t="str">
        <f t="shared" si="5"/>
        <v>Cardio</v>
      </c>
      <c r="O655" s="10">
        <v>9570.07</v>
      </c>
      <c r="P655" s="10">
        <v>6742.25</v>
      </c>
      <c r="Q655" s="11">
        <v>5.4</v>
      </c>
      <c r="R655" s="13" t="str">
        <f>IF(Patient_Data!$L655&lt;2,"Low Risk",IF(Patient_Data!$L655&lt;4,"Moderate Risk","High Risk"))</f>
        <v>Low Risk</v>
      </c>
      <c r="S655" s="12" t="str">
        <f>IF(Patient_Data[[#This Row],[Age]]&lt;=18,"Pediatric",IF(Patient_Data[[#This Row],[Age]]&lt;=64,"Adult","Geriatric"))</f>
        <v>Adult</v>
      </c>
    </row>
    <row r="656" spans="1:19" ht="15.75" customHeight="1" x14ac:dyDescent="0.3">
      <c r="A656" s="4" t="s">
        <v>1374</v>
      </c>
      <c r="B656" s="5" t="str">
        <f>TEXT(Patient_Data!$E656,"mmmm")</f>
        <v>January</v>
      </c>
      <c r="C656" s="6" t="str">
        <f t="shared" si="4"/>
        <v>Jan</v>
      </c>
      <c r="D656" s="6">
        <f>MONTH(Patient_Data!$E656)</f>
        <v>1</v>
      </c>
      <c r="E656" s="7">
        <v>45309</v>
      </c>
      <c r="F656" s="55" t="str">
        <f>TEXT(Patient_Data[[#This Row],[Admission_Date]],"YYYY")</f>
        <v>2024</v>
      </c>
      <c r="G656" s="8" t="s">
        <v>1375</v>
      </c>
      <c r="H656" s="8" t="s">
        <v>82</v>
      </c>
      <c r="I656" s="4" t="s">
        <v>29</v>
      </c>
      <c r="J656" s="4">
        <v>54</v>
      </c>
      <c r="K656" s="4" t="s">
        <v>30</v>
      </c>
      <c r="L656" s="8">
        <v>1</v>
      </c>
      <c r="M656" s="9" t="s">
        <v>39</v>
      </c>
      <c r="N656" s="9" t="str">
        <f t="shared" si="5"/>
        <v>GM</v>
      </c>
      <c r="O656" s="10">
        <v>4037.47</v>
      </c>
      <c r="P656" s="10">
        <v>2984.95</v>
      </c>
      <c r="Q656" s="11">
        <v>4.7</v>
      </c>
      <c r="R656" s="13" t="str">
        <f>IF(Patient_Data!$L656&lt;2,"Low Risk",IF(Patient_Data!$L656&lt;4,"Moderate Risk","High Risk"))</f>
        <v>Low Risk</v>
      </c>
      <c r="S656" s="12" t="str">
        <f>IF(Patient_Data[[#This Row],[Age]]&lt;=18,"Pediatric",IF(Patient_Data[[#This Row],[Age]]&lt;=64,"Adult","Geriatric"))</f>
        <v>Adult</v>
      </c>
    </row>
    <row r="657" spans="1:19" ht="15.75" customHeight="1" x14ac:dyDescent="0.3">
      <c r="A657" s="4" t="s">
        <v>1376</v>
      </c>
      <c r="B657" s="5" t="str">
        <f>TEXT(Patient_Data!$E657,"mmmm")</f>
        <v>June</v>
      </c>
      <c r="C657" s="6" t="str">
        <f t="shared" si="4"/>
        <v>Jun</v>
      </c>
      <c r="D657" s="6">
        <f>MONTH(Patient_Data!$E657)</f>
        <v>6</v>
      </c>
      <c r="E657" s="7">
        <v>45457</v>
      </c>
      <c r="F657" s="55" t="str">
        <f>TEXT(Patient_Data[[#This Row],[Admission_Date]],"YYYY")</f>
        <v>2024</v>
      </c>
      <c r="G657" s="8" t="s">
        <v>1377</v>
      </c>
      <c r="H657" s="8" t="s">
        <v>132</v>
      </c>
      <c r="I657" s="4" t="s">
        <v>35</v>
      </c>
      <c r="J657" s="4">
        <v>64</v>
      </c>
      <c r="K657" s="4" t="s">
        <v>30</v>
      </c>
      <c r="L657" s="8">
        <v>1</v>
      </c>
      <c r="M657" s="9" t="s">
        <v>39</v>
      </c>
      <c r="N657" s="9" t="str">
        <f t="shared" si="5"/>
        <v>GM</v>
      </c>
      <c r="O657" s="10">
        <v>1428.55</v>
      </c>
      <c r="P657" s="10">
        <v>1160.9000000000001</v>
      </c>
      <c r="Q657" s="11">
        <v>9.4</v>
      </c>
      <c r="R657" s="13" t="str">
        <f>IF(Patient_Data!$L657&lt;2,"Low Risk",IF(Patient_Data!$L657&lt;4,"Moderate Risk","High Risk"))</f>
        <v>Low Risk</v>
      </c>
      <c r="S657" s="12" t="str">
        <f>IF(Patient_Data[[#This Row],[Age]]&lt;=18,"Pediatric",IF(Patient_Data[[#This Row],[Age]]&lt;=64,"Adult","Geriatric"))</f>
        <v>Adult</v>
      </c>
    </row>
    <row r="658" spans="1:19" ht="15.75" customHeight="1" x14ac:dyDescent="0.3">
      <c r="A658" s="4" t="s">
        <v>1378</v>
      </c>
      <c r="B658" s="5" t="str">
        <f>TEXT(Patient_Data!$E658,"mmmm")</f>
        <v>October</v>
      </c>
      <c r="C658" s="6" t="str">
        <f t="shared" si="4"/>
        <v>Oct</v>
      </c>
      <c r="D658" s="6">
        <f>MONTH(Patient_Data!$E658)</f>
        <v>10</v>
      </c>
      <c r="E658" s="7">
        <v>45229</v>
      </c>
      <c r="F658" s="55" t="str">
        <f>TEXT(Patient_Data[[#This Row],[Admission_Date]],"YYYY")</f>
        <v>2023</v>
      </c>
      <c r="G658" s="8" t="s">
        <v>1379</v>
      </c>
      <c r="H658" s="8" t="s">
        <v>28</v>
      </c>
      <c r="I658" s="4" t="s">
        <v>29</v>
      </c>
      <c r="J658" s="4">
        <v>36</v>
      </c>
      <c r="K658" s="4" t="s">
        <v>54</v>
      </c>
      <c r="L658" s="8">
        <v>2</v>
      </c>
      <c r="M658" s="9" t="s">
        <v>31</v>
      </c>
      <c r="N658" s="9" t="str">
        <f t="shared" si="5"/>
        <v>Neuro</v>
      </c>
      <c r="O658" s="10">
        <v>9033.5400000000009</v>
      </c>
      <c r="P658" s="10">
        <v>5296.25</v>
      </c>
      <c r="Q658" s="11">
        <v>7.1</v>
      </c>
      <c r="R658" s="13" t="str">
        <f>IF(Patient_Data!$L658&lt;2,"Low Risk",IF(Patient_Data!$L658&lt;4,"Moderate Risk","High Risk"))</f>
        <v>Moderate Risk</v>
      </c>
      <c r="S658" s="12" t="str">
        <f>IF(Patient_Data[[#This Row],[Age]]&lt;=18,"Pediatric",IF(Patient_Data[[#This Row],[Age]]&lt;=64,"Adult","Geriatric"))</f>
        <v>Adult</v>
      </c>
    </row>
    <row r="659" spans="1:19" ht="15.75" customHeight="1" x14ac:dyDescent="0.3">
      <c r="A659" s="4" t="s">
        <v>1380</v>
      </c>
      <c r="B659" s="5" t="str">
        <f>TEXT(Patient_Data!$E659,"mmmm")</f>
        <v>November</v>
      </c>
      <c r="C659" s="6" t="str">
        <f t="shared" si="4"/>
        <v>Nov</v>
      </c>
      <c r="D659" s="6">
        <f>MONTH(Patient_Data!$E659)</f>
        <v>11</v>
      </c>
      <c r="E659" s="7">
        <v>45607</v>
      </c>
      <c r="F659" s="55" t="str">
        <f>TEXT(Patient_Data[[#This Row],[Admission_Date]],"YYYY")</f>
        <v>2024</v>
      </c>
      <c r="G659" s="8" t="s">
        <v>1381</v>
      </c>
      <c r="H659" s="8" t="s">
        <v>34</v>
      </c>
      <c r="I659" s="4" t="s">
        <v>29</v>
      </c>
      <c r="J659" s="4">
        <v>66</v>
      </c>
      <c r="K659" s="4" t="s">
        <v>54</v>
      </c>
      <c r="L659" s="8">
        <v>4</v>
      </c>
      <c r="M659" s="9" t="s">
        <v>46</v>
      </c>
      <c r="N659" s="9" t="str">
        <f t="shared" si="5"/>
        <v>Ortho</v>
      </c>
      <c r="O659" s="10">
        <v>12267.16</v>
      </c>
      <c r="P659" s="10">
        <v>7550.17</v>
      </c>
      <c r="Q659" s="11">
        <v>8.4</v>
      </c>
      <c r="R659" s="13" t="str">
        <f>IF(Patient_Data!$L659&lt;2,"Low Risk",IF(Patient_Data!$L659&lt;4,"Moderate Risk","High Risk"))</f>
        <v>High Risk</v>
      </c>
      <c r="S659" s="12" t="str">
        <f>IF(Patient_Data[[#This Row],[Age]]&lt;=18,"Pediatric",IF(Patient_Data[[#This Row],[Age]]&lt;=64,"Adult","Geriatric"))</f>
        <v>Geriatric</v>
      </c>
    </row>
    <row r="660" spans="1:19" ht="15.75" customHeight="1" x14ac:dyDescent="0.3">
      <c r="A660" s="4" t="s">
        <v>1382</v>
      </c>
      <c r="B660" s="5" t="str">
        <f>TEXT(Patient_Data!$E660,"mmmm")</f>
        <v>October</v>
      </c>
      <c r="C660" s="6" t="str">
        <f t="shared" si="4"/>
        <v>Oct</v>
      </c>
      <c r="D660" s="6">
        <f>MONTH(Patient_Data!$E660)</f>
        <v>10</v>
      </c>
      <c r="E660" s="7">
        <v>45937</v>
      </c>
      <c r="F660" s="55" t="str">
        <f>TEXT(Patient_Data[[#This Row],[Admission_Date]],"YYYY")</f>
        <v>2025</v>
      </c>
      <c r="G660" s="8" t="s">
        <v>1383</v>
      </c>
      <c r="H660" s="8" t="s">
        <v>34</v>
      </c>
      <c r="I660" s="4" t="s">
        <v>35</v>
      </c>
      <c r="J660" s="4">
        <v>13</v>
      </c>
      <c r="K660" s="4" t="s">
        <v>45</v>
      </c>
      <c r="L660" s="8">
        <v>3</v>
      </c>
      <c r="M660" s="9" t="s">
        <v>79</v>
      </c>
      <c r="N660" s="9" t="str">
        <f t="shared" si="5"/>
        <v>PD</v>
      </c>
      <c r="O660" s="10">
        <v>1103.3699999999999</v>
      </c>
      <c r="P660" s="10">
        <v>738.96</v>
      </c>
      <c r="Q660" s="11">
        <v>4.0999999999999996</v>
      </c>
      <c r="R660" s="13" t="str">
        <f>IF(Patient_Data!$L660&lt;2,"Low Risk",IF(Patient_Data!$L660&lt;4,"Moderate Risk","High Risk"))</f>
        <v>Moderate Risk</v>
      </c>
      <c r="S660" s="12" t="str">
        <f>IF(Patient_Data[[#This Row],[Age]]&lt;=18,"Pediatric",IF(Patient_Data[[#This Row],[Age]]&lt;=64,"Adult","Geriatric"))</f>
        <v>Pediatric</v>
      </c>
    </row>
    <row r="661" spans="1:19" ht="15.75" customHeight="1" x14ac:dyDescent="0.3">
      <c r="A661" s="4" t="s">
        <v>1384</v>
      </c>
      <c r="B661" s="5" t="str">
        <f>TEXT(Patient_Data!$E661,"mmmm")</f>
        <v>July</v>
      </c>
      <c r="C661" s="6" t="str">
        <f t="shared" si="4"/>
        <v>Jul</v>
      </c>
      <c r="D661" s="6">
        <f>MONTH(Patient_Data!$E661)</f>
        <v>7</v>
      </c>
      <c r="E661" s="7">
        <v>45489</v>
      </c>
      <c r="F661" s="55" t="str">
        <f>TEXT(Patient_Data[[#This Row],[Admission_Date]],"YYYY")</f>
        <v>2024</v>
      </c>
      <c r="G661" s="8" t="s">
        <v>1385</v>
      </c>
      <c r="H661" s="8" t="s">
        <v>98</v>
      </c>
      <c r="I661" s="4" t="s">
        <v>29</v>
      </c>
      <c r="J661" s="4">
        <v>17</v>
      </c>
      <c r="K661" s="4" t="s">
        <v>54</v>
      </c>
      <c r="L661" s="8">
        <v>1</v>
      </c>
      <c r="M661" s="9" t="s">
        <v>79</v>
      </c>
      <c r="N661" s="9" t="str">
        <f t="shared" si="5"/>
        <v>PD</v>
      </c>
      <c r="O661" s="10">
        <v>557.23</v>
      </c>
      <c r="P661" s="10">
        <v>412.54</v>
      </c>
      <c r="Q661" s="11">
        <v>4.9000000000000004</v>
      </c>
      <c r="R661" s="13" t="str">
        <f>IF(Patient_Data!$L661&lt;2,"Low Risk",IF(Patient_Data!$L661&lt;4,"Moderate Risk","High Risk"))</f>
        <v>Low Risk</v>
      </c>
      <c r="S661" s="12" t="str">
        <f>IF(Patient_Data[[#This Row],[Age]]&lt;=18,"Pediatric",IF(Patient_Data[[#This Row],[Age]]&lt;=64,"Adult","Geriatric"))</f>
        <v>Pediatric</v>
      </c>
    </row>
    <row r="662" spans="1:19" ht="15.75" customHeight="1" x14ac:dyDescent="0.3">
      <c r="A662" s="4" t="s">
        <v>1386</v>
      </c>
      <c r="B662" s="5" t="str">
        <f>TEXT(Patient_Data!$E662,"mmmm")</f>
        <v>September</v>
      </c>
      <c r="C662" s="6" t="str">
        <f t="shared" si="4"/>
        <v>Sep</v>
      </c>
      <c r="D662" s="6">
        <f>MONTH(Patient_Data!$E662)</f>
        <v>9</v>
      </c>
      <c r="E662" s="7">
        <v>45924</v>
      </c>
      <c r="F662" s="55" t="str">
        <f>TEXT(Patient_Data[[#This Row],[Admission_Date]],"YYYY")</f>
        <v>2025</v>
      </c>
      <c r="G662" s="8" t="s">
        <v>1387</v>
      </c>
      <c r="H662" s="8" t="s">
        <v>132</v>
      </c>
      <c r="I662" s="4" t="s">
        <v>29</v>
      </c>
      <c r="J662" s="4">
        <v>13</v>
      </c>
      <c r="K662" s="4" t="s">
        <v>30</v>
      </c>
      <c r="L662" s="8">
        <v>1</v>
      </c>
      <c r="M662" s="9" t="s">
        <v>79</v>
      </c>
      <c r="N662" s="9" t="str">
        <f t="shared" si="5"/>
        <v>PD</v>
      </c>
      <c r="O662" s="10">
        <v>2325.69</v>
      </c>
      <c r="P662" s="10">
        <v>1654.38</v>
      </c>
      <c r="Q662" s="11">
        <v>3.3</v>
      </c>
      <c r="R662" s="13" t="str">
        <f>IF(Patient_Data!$L662&lt;2,"Low Risk",IF(Patient_Data!$L662&lt;4,"Moderate Risk","High Risk"))</f>
        <v>Low Risk</v>
      </c>
      <c r="S662" s="12" t="str">
        <f>IF(Patient_Data[[#This Row],[Age]]&lt;=18,"Pediatric",IF(Patient_Data[[#This Row],[Age]]&lt;=64,"Adult","Geriatric"))</f>
        <v>Pediatric</v>
      </c>
    </row>
    <row r="663" spans="1:19" ht="15.75" customHeight="1" x14ac:dyDescent="0.3">
      <c r="A663" s="4" t="s">
        <v>1388</v>
      </c>
      <c r="B663" s="5" t="str">
        <f>TEXT(Patient_Data!$E663,"mmmm")</f>
        <v>May</v>
      </c>
      <c r="C663" s="6" t="str">
        <f t="shared" si="4"/>
        <v>May</v>
      </c>
      <c r="D663" s="6">
        <f>MONTH(Patient_Data!$E663)</f>
        <v>5</v>
      </c>
      <c r="E663" s="7">
        <v>45805</v>
      </c>
      <c r="F663" s="55" t="str">
        <f>TEXT(Patient_Data[[#This Row],[Admission_Date]],"YYYY")</f>
        <v>2025</v>
      </c>
      <c r="G663" s="8" t="s">
        <v>1389</v>
      </c>
      <c r="H663" s="8" t="s">
        <v>75</v>
      </c>
      <c r="I663" s="4" t="s">
        <v>29</v>
      </c>
      <c r="J663" s="4">
        <v>81</v>
      </c>
      <c r="K663" s="4" t="s">
        <v>45</v>
      </c>
      <c r="L663" s="8">
        <v>4</v>
      </c>
      <c r="M663" s="9" t="s">
        <v>72</v>
      </c>
      <c r="N663" s="9" t="str">
        <f t="shared" si="5"/>
        <v>Surgery</v>
      </c>
      <c r="O663" s="10">
        <v>21220.720000000001</v>
      </c>
      <c r="P663" s="10">
        <v>15584.73</v>
      </c>
      <c r="Q663" s="11">
        <v>11.7</v>
      </c>
      <c r="R663" s="13" t="str">
        <f>IF(Patient_Data!$L663&lt;2,"Low Risk",IF(Patient_Data!$L663&lt;4,"Moderate Risk","High Risk"))</f>
        <v>High Risk</v>
      </c>
      <c r="S663" s="12" t="str">
        <f>IF(Patient_Data[[#This Row],[Age]]&lt;=18,"Pediatric",IF(Patient_Data[[#This Row],[Age]]&lt;=64,"Adult","Geriatric"))</f>
        <v>Geriatric</v>
      </c>
    </row>
    <row r="664" spans="1:19" ht="15.75" customHeight="1" x14ac:dyDescent="0.3">
      <c r="A664" s="4" t="s">
        <v>1390</v>
      </c>
      <c r="B664" s="5" t="str">
        <f>TEXT(Patient_Data!$E664,"mmmm")</f>
        <v>June</v>
      </c>
      <c r="C664" s="6" t="str">
        <f t="shared" si="4"/>
        <v>Jun</v>
      </c>
      <c r="D664" s="6">
        <f>MONTH(Patient_Data!$E664)</f>
        <v>6</v>
      </c>
      <c r="E664" s="7">
        <v>45831</v>
      </c>
      <c r="F664" s="55" t="str">
        <f>TEXT(Patient_Data[[#This Row],[Admission_Date]],"YYYY")</f>
        <v>2025</v>
      </c>
      <c r="G664" s="8" t="s">
        <v>1391</v>
      </c>
      <c r="H664" s="8" t="s">
        <v>28</v>
      </c>
      <c r="I664" s="4" t="s">
        <v>29</v>
      </c>
      <c r="J664" s="4">
        <v>61</v>
      </c>
      <c r="K664" s="4" t="s">
        <v>54</v>
      </c>
      <c r="L664" s="8">
        <v>5</v>
      </c>
      <c r="M664" s="9" t="s">
        <v>72</v>
      </c>
      <c r="N664" s="9" t="str">
        <f t="shared" si="5"/>
        <v>Surgery</v>
      </c>
      <c r="O664" s="10">
        <v>20650.43</v>
      </c>
      <c r="P664" s="10">
        <v>15759.13</v>
      </c>
      <c r="Q664" s="11">
        <v>8.1</v>
      </c>
      <c r="R664" s="13" t="str">
        <f>IF(Patient_Data!$L664&lt;2,"Low Risk",IF(Patient_Data!$L664&lt;4,"Moderate Risk","High Risk"))</f>
        <v>High Risk</v>
      </c>
      <c r="S664" s="12" t="str">
        <f>IF(Patient_Data[[#This Row],[Age]]&lt;=18,"Pediatric",IF(Patient_Data[[#This Row],[Age]]&lt;=64,"Adult","Geriatric"))</f>
        <v>Adult</v>
      </c>
    </row>
    <row r="665" spans="1:19" ht="15.75" customHeight="1" x14ac:dyDescent="0.3">
      <c r="A665" s="4" t="s">
        <v>1392</v>
      </c>
      <c r="B665" s="5" t="str">
        <f>TEXT(Patient_Data!$E665,"mmmm")</f>
        <v>July</v>
      </c>
      <c r="C665" s="6" t="str">
        <f t="shared" si="4"/>
        <v>Jul</v>
      </c>
      <c r="D665" s="6">
        <f>MONTH(Patient_Data!$E665)</f>
        <v>7</v>
      </c>
      <c r="E665" s="7">
        <v>45485</v>
      </c>
      <c r="F665" s="55" t="str">
        <f>TEXT(Patient_Data[[#This Row],[Admission_Date]],"YYYY")</f>
        <v>2024</v>
      </c>
      <c r="G665" s="8" t="s">
        <v>1393</v>
      </c>
      <c r="H665" s="8" t="s">
        <v>75</v>
      </c>
      <c r="I665" s="4" t="s">
        <v>35</v>
      </c>
      <c r="J665" s="4">
        <v>93</v>
      </c>
      <c r="K665" s="4" t="s">
        <v>45</v>
      </c>
      <c r="L665" s="8">
        <v>4</v>
      </c>
      <c r="M665" s="9" t="s">
        <v>50</v>
      </c>
      <c r="N665" s="9" t="str">
        <f t="shared" si="5"/>
        <v>ICU</v>
      </c>
      <c r="O665" s="10">
        <v>22000.44</v>
      </c>
      <c r="P665" s="10">
        <v>12864.26</v>
      </c>
      <c r="Q665" s="11">
        <v>13</v>
      </c>
      <c r="R665" s="13" t="str">
        <f>IF(Patient_Data!$L665&lt;2,"Low Risk",IF(Patient_Data!$L665&lt;4,"Moderate Risk","High Risk"))</f>
        <v>High Risk</v>
      </c>
      <c r="S665" s="12" t="str">
        <f>IF(Patient_Data[[#This Row],[Age]]&lt;=18,"Pediatric",IF(Patient_Data[[#This Row],[Age]]&lt;=64,"Adult","Geriatric"))</f>
        <v>Geriatric</v>
      </c>
    </row>
    <row r="666" spans="1:19" ht="15.75" customHeight="1" x14ac:dyDescent="0.3">
      <c r="A666" s="4" t="s">
        <v>1394</v>
      </c>
      <c r="B666" s="5" t="str">
        <f>TEXT(Patient_Data!$E666,"mmmm")</f>
        <v>July</v>
      </c>
      <c r="C666" s="6" t="str">
        <f t="shared" si="4"/>
        <v>Jul</v>
      </c>
      <c r="D666" s="6">
        <f>MONTH(Patient_Data!$E666)</f>
        <v>7</v>
      </c>
      <c r="E666" s="7">
        <v>45489</v>
      </c>
      <c r="F666" s="55" t="str">
        <f>TEXT(Patient_Data[[#This Row],[Admission_Date]],"YYYY")</f>
        <v>2024</v>
      </c>
      <c r="G666" s="8" t="s">
        <v>1395</v>
      </c>
      <c r="H666" s="8" t="s">
        <v>42</v>
      </c>
      <c r="I666" s="4" t="s">
        <v>35</v>
      </c>
      <c r="J666" s="4">
        <v>33</v>
      </c>
      <c r="K666" s="4" t="s">
        <v>30</v>
      </c>
      <c r="L666" s="8">
        <v>1</v>
      </c>
      <c r="M666" s="9" t="s">
        <v>39</v>
      </c>
      <c r="N666" s="9" t="str">
        <f t="shared" si="5"/>
        <v>GM</v>
      </c>
      <c r="O666" s="10">
        <v>1380.49</v>
      </c>
      <c r="P666" s="10">
        <v>902.9</v>
      </c>
      <c r="Q666" s="11">
        <v>7.6</v>
      </c>
      <c r="R666" s="13" t="str">
        <f>IF(Patient_Data!$L666&lt;2,"Low Risk",IF(Patient_Data!$L666&lt;4,"Moderate Risk","High Risk"))</f>
        <v>Low Risk</v>
      </c>
      <c r="S666" s="12" t="str">
        <f>IF(Patient_Data[[#This Row],[Age]]&lt;=18,"Pediatric",IF(Patient_Data[[#This Row],[Age]]&lt;=64,"Adult","Geriatric"))</f>
        <v>Adult</v>
      </c>
    </row>
    <row r="667" spans="1:19" ht="15.75" customHeight="1" x14ac:dyDescent="0.3">
      <c r="A667" s="4" t="s">
        <v>1396</v>
      </c>
      <c r="B667" s="5" t="str">
        <f>TEXT(Patient_Data!$E667,"mmmm")</f>
        <v>December</v>
      </c>
      <c r="C667" s="6" t="str">
        <f t="shared" si="4"/>
        <v>Dec</v>
      </c>
      <c r="D667" s="6">
        <f>MONTH(Patient_Data!$E667)</f>
        <v>12</v>
      </c>
      <c r="E667" s="7">
        <v>45268</v>
      </c>
      <c r="F667" s="55" t="str">
        <f>TEXT(Patient_Data[[#This Row],[Admission_Date]],"YYYY")</f>
        <v>2023</v>
      </c>
      <c r="G667" s="8" t="s">
        <v>1397</v>
      </c>
      <c r="H667" s="8" t="s">
        <v>34</v>
      </c>
      <c r="I667" s="4" t="s">
        <v>29</v>
      </c>
      <c r="J667" s="4">
        <v>56</v>
      </c>
      <c r="K667" s="4" t="s">
        <v>30</v>
      </c>
      <c r="L667" s="8">
        <v>3</v>
      </c>
      <c r="M667" s="9" t="s">
        <v>31</v>
      </c>
      <c r="N667" s="9" t="str">
        <f t="shared" si="5"/>
        <v>Neuro</v>
      </c>
      <c r="O667" s="10">
        <v>8585.4500000000007</v>
      </c>
      <c r="P667" s="10">
        <v>5589.89</v>
      </c>
      <c r="Q667" s="11">
        <v>11.9</v>
      </c>
      <c r="R667" s="13" t="str">
        <f>IF(Patient_Data!$L667&lt;2,"Low Risk",IF(Patient_Data!$L667&lt;4,"Moderate Risk","High Risk"))</f>
        <v>Moderate Risk</v>
      </c>
      <c r="S667" s="12" t="str">
        <f>IF(Patient_Data[[#This Row],[Age]]&lt;=18,"Pediatric",IF(Patient_Data[[#This Row],[Age]]&lt;=64,"Adult","Geriatric"))</f>
        <v>Adult</v>
      </c>
    </row>
    <row r="668" spans="1:19" ht="15.75" customHeight="1" x14ac:dyDescent="0.3">
      <c r="A668" s="4" t="s">
        <v>1398</v>
      </c>
      <c r="B668" s="5" t="str">
        <f>TEXT(Patient_Data!$E668,"mmmm")</f>
        <v>February</v>
      </c>
      <c r="C668" s="6" t="str">
        <f t="shared" si="4"/>
        <v>Feb</v>
      </c>
      <c r="D668" s="6">
        <f>MONTH(Patient_Data!$E668)</f>
        <v>2</v>
      </c>
      <c r="E668" s="7">
        <v>45334</v>
      </c>
      <c r="F668" s="55" t="str">
        <f>TEXT(Patient_Data[[#This Row],[Admission_Date]],"YYYY")</f>
        <v>2024</v>
      </c>
      <c r="G668" s="8" t="s">
        <v>800</v>
      </c>
      <c r="H668" s="8" t="s">
        <v>53</v>
      </c>
      <c r="I668" s="4" t="s">
        <v>35</v>
      </c>
      <c r="J668" s="4">
        <v>83</v>
      </c>
      <c r="K668" s="4" t="s">
        <v>54</v>
      </c>
      <c r="L668" s="8">
        <v>5</v>
      </c>
      <c r="M668" s="9" t="s">
        <v>50</v>
      </c>
      <c r="N668" s="9" t="str">
        <f t="shared" si="5"/>
        <v>ICU</v>
      </c>
      <c r="O668" s="10">
        <v>16174.8</v>
      </c>
      <c r="P668" s="10">
        <v>10939.52</v>
      </c>
      <c r="Q668" s="11">
        <v>12.8</v>
      </c>
      <c r="R668" s="13" t="str">
        <f>IF(Patient_Data!$L668&lt;2,"Low Risk",IF(Patient_Data!$L668&lt;4,"Moderate Risk","High Risk"))</f>
        <v>High Risk</v>
      </c>
      <c r="S668" s="12" t="str">
        <f>IF(Patient_Data[[#This Row],[Age]]&lt;=18,"Pediatric",IF(Patient_Data[[#This Row],[Age]]&lt;=64,"Adult","Geriatric"))</f>
        <v>Geriatric</v>
      </c>
    </row>
    <row r="669" spans="1:19" ht="15.75" customHeight="1" x14ac:dyDescent="0.3">
      <c r="A669" s="4" t="s">
        <v>1399</v>
      </c>
      <c r="B669" s="5" t="str">
        <f>TEXT(Patient_Data!$E669,"mmmm")</f>
        <v>January</v>
      </c>
      <c r="C669" s="6" t="str">
        <f t="shared" si="4"/>
        <v>Jan</v>
      </c>
      <c r="D669" s="6">
        <f>MONTH(Patient_Data!$E669)</f>
        <v>1</v>
      </c>
      <c r="E669" s="7">
        <v>46035</v>
      </c>
      <c r="F669" s="55" t="str">
        <f>TEXT(Patient_Data[[#This Row],[Admission_Date]],"YYYY")</f>
        <v>2026</v>
      </c>
      <c r="G669" s="8" t="s">
        <v>1400</v>
      </c>
      <c r="H669" s="8" t="s">
        <v>28</v>
      </c>
      <c r="I669" s="4" t="s">
        <v>35</v>
      </c>
      <c r="J669" s="4">
        <v>20</v>
      </c>
      <c r="K669" s="4" t="s">
        <v>30</v>
      </c>
      <c r="L669" s="8">
        <v>1</v>
      </c>
      <c r="M669" s="9" t="s">
        <v>36</v>
      </c>
      <c r="N669" s="9" t="str">
        <f t="shared" si="5"/>
        <v>Cardio</v>
      </c>
      <c r="O669" s="10">
        <v>6314.94</v>
      </c>
      <c r="P669" s="10">
        <v>4470.0600000000004</v>
      </c>
      <c r="Q669" s="11">
        <v>6.2</v>
      </c>
      <c r="R669" s="13" t="str">
        <f>IF(Patient_Data!$L669&lt;2,"Low Risk",IF(Patient_Data!$L669&lt;4,"Moderate Risk","High Risk"))</f>
        <v>Low Risk</v>
      </c>
      <c r="S669" s="12" t="str">
        <f>IF(Patient_Data[[#This Row],[Age]]&lt;=18,"Pediatric",IF(Patient_Data[[#This Row],[Age]]&lt;=64,"Adult","Geriatric"))</f>
        <v>Adult</v>
      </c>
    </row>
    <row r="670" spans="1:19" ht="15.75" customHeight="1" x14ac:dyDescent="0.3">
      <c r="A670" s="4" t="s">
        <v>1401</v>
      </c>
      <c r="B670" s="5" t="str">
        <f>TEXT(Patient_Data!$E670,"mmmm")</f>
        <v>May</v>
      </c>
      <c r="C670" s="6" t="str">
        <f t="shared" si="4"/>
        <v>May</v>
      </c>
      <c r="D670" s="6">
        <f>MONTH(Patient_Data!$E670)</f>
        <v>5</v>
      </c>
      <c r="E670" s="7">
        <v>46161</v>
      </c>
      <c r="F670" s="55" t="str">
        <f>TEXT(Patient_Data[[#This Row],[Admission_Date]],"YYYY")</f>
        <v>2026</v>
      </c>
      <c r="G670" s="8" t="s">
        <v>1402</v>
      </c>
      <c r="H670" s="8" t="s">
        <v>42</v>
      </c>
      <c r="I670" s="4" t="s">
        <v>35</v>
      </c>
      <c r="J670" s="4">
        <v>79</v>
      </c>
      <c r="K670" s="4" t="s">
        <v>30</v>
      </c>
      <c r="L670" s="8">
        <v>2</v>
      </c>
      <c r="M670" s="9" t="s">
        <v>39</v>
      </c>
      <c r="N670" s="9" t="str">
        <f t="shared" si="5"/>
        <v>GM</v>
      </c>
      <c r="O670" s="10">
        <v>2216.1799999999998</v>
      </c>
      <c r="P670" s="10">
        <v>1689.81</v>
      </c>
      <c r="Q670" s="11">
        <v>9</v>
      </c>
      <c r="R670" s="13" t="str">
        <f>IF(Patient_Data!$L670&lt;2,"Low Risk",IF(Patient_Data!$L670&lt;4,"Moderate Risk","High Risk"))</f>
        <v>Moderate Risk</v>
      </c>
      <c r="S670" s="12" t="str">
        <f>IF(Patient_Data[[#This Row],[Age]]&lt;=18,"Pediatric",IF(Patient_Data[[#This Row],[Age]]&lt;=64,"Adult","Geriatric"))</f>
        <v>Geriatric</v>
      </c>
    </row>
    <row r="671" spans="1:19" ht="15.75" customHeight="1" x14ac:dyDescent="0.3">
      <c r="A671" s="4" t="s">
        <v>1403</v>
      </c>
      <c r="B671" s="5" t="str">
        <f>TEXT(Patient_Data!$E671,"mmmm")</f>
        <v>February</v>
      </c>
      <c r="C671" s="6" t="str">
        <f t="shared" si="4"/>
        <v>Feb</v>
      </c>
      <c r="D671" s="6">
        <f>MONTH(Patient_Data!$E671)</f>
        <v>2</v>
      </c>
      <c r="E671" s="7">
        <v>46072</v>
      </c>
      <c r="F671" s="55" t="str">
        <f>TEXT(Patient_Data[[#This Row],[Admission_Date]],"YYYY")</f>
        <v>2026</v>
      </c>
      <c r="G671" s="8" t="s">
        <v>1404</v>
      </c>
      <c r="H671" s="8" t="s">
        <v>28</v>
      </c>
      <c r="I671" s="4" t="s">
        <v>29</v>
      </c>
      <c r="J671" s="4">
        <v>76</v>
      </c>
      <c r="K671" s="4" t="s">
        <v>45</v>
      </c>
      <c r="L671" s="8">
        <v>4</v>
      </c>
      <c r="M671" s="9" t="s">
        <v>72</v>
      </c>
      <c r="N671" s="9" t="str">
        <f t="shared" si="5"/>
        <v>Surgery</v>
      </c>
      <c r="O671" s="10">
        <v>15028.69</v>
      </c>
      <c r="P671" s="10">
        <v>11469</v>
      </c>
      <c r="Q671" s="11">
        <v>5.9</v>
      </c>
      <c r="R671" s="13" t="str">
        <f>IF(Patient_Data!$L671&lt;2,"Low Risk",IF(Patient_Data!$L671&lt;4,"Moderate Risk","High Risk"))</f>
        <v>High Risk</v>
      </c>
      <c r="S671" s="12" t="str">
        <f>IF(Patient_Data[[#This Row],[Age]]&lt;=18,"Pediatric",IF(Patient_Data[[#This Row],[Age]]&lt;=64,"Adult","Geriatric"))</f>
        <v>Geriatric</v>
      </c>
    </row>
    <row r="672" spans="1:19" ht="15.75" customHeight="1" x14ac:dyDescent="0.3">
      <c r="A672" s="4" t="s">
        <v>1405</v>
      </c>
      <c r="B672" s="5" t="str">
        <f>TEXT(Patient_Data!$E672,"mmmm")</f>
        <v>December</v>
      </c>
      <c r="C672" s="6" t="str">
        <f t="shared" si="4"/>
        <v>Dec</v>
      </c>
      <c r="D672" s="6">
        <f>MONTH(Patient_Data!$E672)</f>
        <v>12</v>
      </c>
      <c r="E672" s="7">
        <v>46015</v>
      </c>
      <c r="F672" s="55" t="str">
        <f>TEXT(Patient_Data[[#This Row],[Admission_Date]],"YYYY")</f>
        <v>2025</v>
      </c>
      <c r="G672" s="8" t="s">
        <v>1406</v>
      </c>
      <c r="H672" s="8" t="s">
        <v>49</v>
      </c>
      <c r="I672" s="4" t="s">
        <v>29</v>
      </c>
      <c r="J672" s="4">
        <v>46</v>
      </c>
      <c r="K672" s="4" t="s">
        <v>30</v>
      </c>
      <c r="L672" s="8">
        <v>3</v>
      </c>
      <c r="M672" s="9" t="s">
        <v>31</v>
      </c>
      <c r="N672" s="9" t="str">
        <f t="shared" si="5"/>
        <v>Neuro</v>
      </c>
      <c r="O672" s="10">
        <v>11801.31</v>
      </c>
      <c r="P672" s="10">
        <v>6887.16</v>
      </c>
      <c r="Q672" s="11">
        <v>5.3</v>
      </c>
      <c r="R672" s="13" t="str">
        <f>IF(Patient_Data!$L672&lt;2,"Low Risk",IF(Patient_Data!$L672&lt;4,"Moderate Risk","High Risk"))</f>
        <v>Moderate Risk</v>
      </c>
      <c r="S672" s="12" t="str">
        <f>IF(Patient_Data[[#This Row],[Age]]&lt;=18,"Pediatric",IF(Patient_Data[[#This Row],[Age]]&lt;=64,"Adult","Geriatric"))</f>
        <v>Adult</v>
      </c>
    </row>
    <row r="673" spans="1:19" ht="15.75" customHeight="1" x14ac:dyDescent="0.3">
      <c r="A673" s="4" t="s">
        <v>1407</v>
      </c>
      <c r="B673" s="5" t="str">
        <f>TEXT(Patient_Data!$E673,"mmmm")</f>
        <v>March</v>
      </c>
      <c r="C673" s="6" t="str">
        <f t="shared" si="4"/>
        <v>Mar</v>
      </c>
      <c r="D673" s="6">
        <f>MONTH(Patient_Data!$E673)</f>
        <v>3</v>
      </c>
      <c r="E673" s="7">
        <v>45726</v>
      </c>
      <c r="F673" s="55" t="str">
        <f>TEXT(Patient_Data[[#This Row],[Admission_Date]],"YYYY")</f>
        <v>2025</v>
      </c>
      <c r="G673" s="8" t="s">
        <v>1408</v>
      </c>
      <c r="H673" s="8" t="s">
        <v>49</v>
      </c>
      <c r="I673" s="4" t="s">
        <v>29</v>
      </c>
      <c r="J673" s="4">
        <v>84</v>
      </c>
      <c r="K673" s="4" t="s">
        <v>30</v>
      </c>
      <c r="L673" s="8">
        <v>2</v>
      </c>
      <c r="M673" s="9" t="s">
        <v>46</v>
      </c>
      <c r="N673" s="9" t="str">
        <f t="shared" si="5"/>
        <v>Ortho</v>
      </c>
      <c r="O673" s="10">
        <v>8373.33</v>
      </c>
      <c r="P673" s="10">
        <v>5155.7299999999996</v>
      </c>
      <c r="Q673" s="11">
        <v>6</v>
      </c>
      <c r="R673" s="13" t="str">
        <f>IF(Patient_Data!$L673&lt;2,"Low Risk",IF(Patient_Data!$L673&lt;4,"Moderate Risk","High Risk"))</f>
        <v>Moderate Risk</v>
      </c>
      <c r="S673" s="12" t="str">
        <f>IF(Patient_Data[[#This Row],[Age]]&lt;=18,"Pediatric",IF(Patient_Data[[#This Row],[Age]]&lt;=64,"Adult","Geriatric"))</f>
        <v>Geriatric</v>
      </c>
    </row>
    <row r="674" spans="1:19" ht="15.75" customHeight="1" x14ac:dyDescent="0.3">
      <c r="A674" s="4" t="s">
        <v>1409</v>
      </c>
      <c r="B674" s="5" t="str">
        <f>TEXT(Patient_Data!$E674,"mmmm")</f>
        <v>November</v>
      </c>
      <c r="C674" s="6" t="str">
        <f t="shared" si="4"/>
        <v>Nov</v>
      </c>
      <c r="D674" s="6">
        <f>MONTH(Patient_Data!$E674)</f>
        <v>11</v>
      </c>
      <c r="E674" s="7">
        <v>45608</v>
      </c>
      <c r="F674" s="55" t="str">
        <f>TEXT(Patient_Data[[#This Row],[Admission_Date]],"YYYY")</f>
        <v>2024</v>
      </c>
      <c r="G674" s="8" t="s">
        <v>1410</v>
      </c>
      <c r="H674" s="8" t="s">
        <v>34</v>
      </c>
      <c r="I674" s="4" t="s">
        <v>29</v>
      </c>
      <c r="J674" s="4">
        <v>37</v>
      </c>
      <c r="K674" s="4" t="s">
        <v>30</v>
      </c>
      <c r="L674" s="8">
        <v>2</v>
      </c>
      <c r="M674" s="9" t="s">
        <v>31</v>
      </c>
      <c r="N674" s="9" t="str">
        <f t="shared" si="5"/>
        <v>Neuro</v>
      </c>
      <c r="O674" s="10">
        <v>9006.14</v>
      </c>
      <c r="P674" s="10">
        <v>5856.73</v>
      </c>
      <c r="Q674" s="11">
        <v>11.6</v>
      </c>
      <c r="R674" s="13" t="str">
        <f>IF(Patient_Data!$L674&lt;2,"Low Risk",IF(Patient_Data!$L674&lt;4,"Moderate Risk","High Risk"))</f>
        <v>Moderate Risk</v>
      </c>
      <c r="S674" s="12" t="str">
        <f>IF(Patient_Data[[#This Row],[Age]]&lt;=18,"Pediatric",IF(Patient_Data[[#This Row],[Age]]&lt;=64,"Adult","Geriatric"))</f>
        <v>Adult</v>
      </c>
    </row>
    <row r="675" spans="1:19" ht="15.75" customHeight="1" x14ac:dyDescent="0.3">
      <c r="A675" s="4" t="s">
        <v>1411</v>
      </c>
      <c r="B675" s="5" t="str">
        <f>TEXT(Patient_Data!$E675,"mmmm")</f>
        <v>July</v>
      </c>
      <c r="C675" s="6" t="str">
        <f t="shared" si="4"/>
        <v>Jul</v>
      </c>
      <c r="D675" s="6">
        <f>MONTH(Patient_Data!$E675)</f>
        <v>7</v>
      </c>
      <c r="E675" s="7">
        <v>46216</v>
      </c>
      <c r="F675" s="55" t="str">
        <f>TEXT(Patient_Data[[#This Row],[Admission_Date]],"YYYY")</f>
        <v>2026</v>
      </c>
      <c r="G675" s="8" t="s">
        <v>1412</v>
      </c>
      <c r="H675" s="8" t="s">
        <v>49</v>
      </c>
      <c r="I675" s="4" t="s">
        <v>29</v>
      </c>
      <c r="J675" s="4">
        <v>15</v>
      </c>
      <c r="K675" s="4" t="s">
        <v>30</v>
      </c>
      <c r="L675" s="8">
        <v>1</v>
      </c>
      <c r="M675" s="9" t="s">
        <v>79</v>
      </c>
      <c r="N675" s="9" t="str">
        <f t="shared" si="5"/>
        <v>PD</v>
      </c>
      <c r="O675" s="10">
        <v>1540.95</v>
      </c>
      <c r="P675" s="10">
        <v>1038.04</v>
      </c>
      <c r="Q675" s="11">
        <v>0.7</v>
      </c>
      <c r="R675" s="13" t="str">
        <f>IF(Patient_Data!$L675&lt;2,"Low Risk",IF(Patient_Data!$L675&lt;4,"Moderate Risk","High Risk"))</f>
        <v>Low Risk</v>
      </c>
      <c r="S675" s="12" t="str">
        <f>IF(Patient_Data[[#This Row],[Age]]&lt;=18,"Pediatric",IF(Patient_Data[[#This Row],[Age]]&lt;=64,"Adult","Geriatric"))</f>
        <v>Pediatric</v>
      </c>
    </row>
    <row r="676" spans="1:19" ht="15.75" customHeight="1" x14ac:dyDescent="0.3">
      <c r="A676" s="4" t="s">
        <v>1413</v>
      </c>
      <c r="B676" s="5" t="str">
        <f>TEXT(Patient_Data!$E676,"mmmm")</f>
        <v>April</v>
      </c>
      <c r="C676" s="6" t="str">
        <f t="shared" si="4"/>
        <v>Apr</v>
      </c>
      <c r="D676" s="6">
        <f>MONTH(Patient_Data!$E676)</f>
        <v>4</v>
      </c>
      <c r="E676" s="7">
        <v>45400</v>
      </c>
      <c r="F676" s="55" t="str">
        <f>TEXT(Patient_Data[[#This Row],[Admission_Date]],"YYYY")</f>
        <v>2024</v>
      </c>
      <c r="G676" s="8" t="s">
        <v>1414</v>
      </c>
      <c r="H676" s="8" t="s">
        <v>82</v>
      </c>
      <c r="I676" s="4" t="s">
        <v>35</v>
      </c>
      <c r="J676" s="4">
        <v>50</v>
      </c>
      <c r="K676" s="4" t="s">
        <v>54</v>
      </c>
      <c r="L676" s="8">
        <v>3</v>
      </c>
      <c r="M676" s="9" t="s">
        <v>31</v>
      </c>
      <c r="N676" s="9" t="str">
        <f t="shared" si="5"/>
        <v>Neuro</v>
      </c>
      <c r="O676" s="10">
        <v>9094.06</v>
      </c>
      <c r="P676" s="10">
        <v>6383.44</v>
      </c>
      <c r="Q676" s="11">
        <v>2.2000000000000002</v>
      </c>
      <c r="R676" s="13" t="str">
        <f>IF(Patient_Data!$L676&lt;2,"Low Risk",IF(Patient_Data!$L676&lt;4,"Moderate Risk","High Risk"))</f>
        <v>Moderate Risk</v>
      </c>
      <c r="S676" s="12" t="str">
        <f>IF(Patient_Data[[#This Row],[Age]]&lt;=18,"Pediatric",IF(Patient_Data[[#This Row],[Age]]&lt;=64,"Adult","Geriatric"))</f>
        <v>Adult</v>
      </c>
    </row>
    <row r="677" spans="1:19" ht="15.75" customHeight="1" x14ac:dyDescent="0.3">
      <c r="A677" s="4" t="s">
        <v>1415</v>
      </c>
      <c r="B677" s="5" t="str">
        <f>TEXT(Patient_Data!$E677,"mmmm")</f>
        <v>August</v>
      </c>
      <c r="C677" s="6" t="str">
        <f t="shared" si="4"/>
        <v>Aug</v>
      </c>
      <c r="D677" s="6">
        <f>MONTH(Patient_Data!$E677)</f>
        <v>8</v>
      </c>
      <c r="E677" s="7">
        <v>45873</v>
      </c>
      <c r="F677" s="55" t="str">
        <f>TEXT(Patient_Data[[#This Row],[Admission_Date]],"YYYY")</f>
        <v>2025</v>
      </c>
      <c r="G677" s="8" t="s">
        <v>1416</v>
      </c>
      <c r="H677" s="8" t="s">
        <v>34</v>
      </c>
      <c r="I677" s="4" t="s">
        <v>35</v>
      </c>
      <c r="J677" s="4">
        <v>45</v>
      </c>
      <c r="K677" s="4" t="s">
        <v>30</v>
      </c>
      <c r="L677" s="8">
        <v>1</v>
      </c>
      <c r="M677" s="9" t="s">
        <v>83</v>
      </c>
      <c r="N677" s="9" t="str">
        <f t="shared" si="5"/>
        <v>ER</v>
      </c>
      <c r="O677" s="10">
        <v>8956.43</v>
      </c>
      <c r="P677" s="10">
        <v>6691.79</v>
      </c>
      <c r="Q677" s="11">
        <v>19.2</v>
      </c>
      <c r="R677" s="13" t="str">
        <f>IF(Patient_Data!$L677&lt;2,"Low Risk",IF(Patient_Data!$L677&lt;4,"Moderate Risk","High Risk"))</f>
        <v>Low Risk</v>
      </c>
      <c r="S677" s="12" t="str">
        <f>IF(Patient_Data[[#This Row],[Age]]&lt;=18,"Pediatric",IF(Patient_Data[[#This Row],[Age]]&lt;=64,"Adult","Geriatric"))</f>
        <v>Adult</v>
      </c>
    </row>
    <row r="678" spans="1:19" ht="15.75" customHeight="1" x14ac:dyDescent="0.3">
      <c r="A678" s="4" t="s">
        <v>1417</v>
      </c>
      <c r="B678" s="5" t="str">
        <f>TEXT(Patient_Data!$E678,"mmmm")</f>
        <v>January</v>
      </c>
      <c r="C678" s="6" t="str">
        <f t="shared" si="4"/>
        <v>Jan</v>
      </c>
      <c r="D678" s="6">
        <f>MONTH(Patient_Data!$E678)</f>
        <v>1</v>
      </c>
      <c r="E678" s="7">
        <v>46047</v>
      </c>
      <c r="F678" s="55" t="str">
        <f>TEXT(Patient_Data[[#This Row],[Admission_Date]],"YYYY")</f>
        <v>2026</v>
      </c>
      <c r="G678" s="8" t="s">
        <v>1418</v>
      </c>
      <c r="H678" s="8" t="s">
        <v>82</v>
      </c>
      <c r="I678" s="4" t="s">
        <v>35</v>
      </c>
      <c r="J678" s="4">
        <v>74</v>
      </c>
      <c r="K678" s="4" t="s">
        <v>54</v>
      </c>
      <c r="L678" s="8">
        <v>4</v>
      </c>
      <c r="M678" s="9" t="s">
        <v>50</v>
      </c>
      <c r="N678" s="9" t="str">
        <f t="shared" si="5"/>
        <v>ICU</v>
      </c>
      <c r="O678" s="10">
        <v>17036.169999999998</v>
      </c>
      <c r="P678" s="10">
        <v>13042.69</v>
      </c>
      <c r="Q678" s="11">
        <v>11.9</v>
      </c>
      <c r="R678" s="13" t="str">
        <f>IF(Patient_Data!$L678&lt;2,"Low Risk",IF(Patient_Data!$L678&lt;4,"Moderate Risk","High Risk"))</f>
        <v>High Risk</v>
      </c>
      <c r="S678" s="12" t="str">
        <f>IF(Patient_Data[[#This Row],[Age]]&lt;=18,"Pediatric",IF(Patient_Data[[#This Row],[Age]]&lt;=64,"Adult","Geriatric"))</f>
        <v>Geriatric</v>
      </c>
    </row>
    <row r="679" spans="1:19" ht="15.75" customHeight="1" x14ac:dyDescent="0.3">
      <c r="A679" s="4" t="s">
        <v>1419</v>
      </c>
      <c r="B679" s="5" t="str">
        <f>TEXT(Patient_Data!$E679,"mmmm")</f>
        <v>May</v>
      </c>
      <c r="C679" s="6" t="str">
        <f t="shared" si="4"/>
        <v>May</v>
      </c>
      <c r="D679" s="6">
        <f>MONTH(Patient_Data!$E679)</f>
        <v>5</v>
      </c>
      <c r="E679" s="7">
        <v>46163</v>
      </c>
      <c r="F679" s="55" t="str">
        <f>TEXT(Patient_Data[[#This Row],[Admission_Date]],"YYYY")</f>
        <v>2026</v>
      </c>
      <c r="G679" s="8" t="s">
        <v>1420</v>
      </c>
      <c r="H679" s="8" t="s">
        <v>132</v>
      </c>
      <c r="I679" s="4" t="s">
        <v>35</v>
      </c>
      <c r="J679" s="4">
        <v>46</v>
      </c>
      <c r="K679" s="4" t="s">
        <v>30</v>
      </c>
      <c r="L679" s="8">
        <v>1</v>
      </c>
      <c r="M679" s="9" t="s">
        <v>36</v>
      </c>
      <c r="N679" s="9" t="str">
        <f t="shared" si="5"/>
        <v>Cardio</v>
      </c>
      <c r="O679" s="10">
        <v>4728.8100000000004</v>
      </c>
      <c r="P679" s="10">
        <v>2793.91</v>
      </c>
      <c r="Q679" s="11">
        <v>6.4</v>
      </c>
      <c r="R679" s="13" t="str">
        <f>IF(Patient_Data!$L679&lt;2,"Low Risk",IF(Patient_Data!$L679&lt;4,"Moderate Risk","High Risk"))</f>
        <v>Low Risk</v>
      </c>
      <c r="S679" s="12" t="str">
        <f>IF(Patient_Data[[#This Row],[Age]]&lt;=18,"Pediatric",IF(Patient_Data[[#This Row],[Age]]&lt;=64,"Adult","Geriatric"))</f>
        <v>Adult</v>
      </c>
    </row>
    <row r="680" spans="1:19" ht="15.75" customHeight="1" x14ac:dyDescent="0.3">
      <c r="A680" s="4" t="s">
        <v>1421</v>
      </c>
      <c r="B680" s="5" t="str">
        <f>TEXT(Patient_Data!$E680,"mmmm")</f>
        <v>May</v>
      </c>
      <c r="C680" s="6" t="str">
        <f t="shared" si="4"/>
        <v>May</v>
      </c>
      <c r="D680" s="6">
        <f>MONTH(Patient_Data!$E680)</f>
        <v>5</v>
      </c>
      <c r="E680" s="7">
        <v>45798</v>
      </c>
      <c r="F680" s="55" t="str">
        <f>TEXT(Patient_Data[[#This Row],[Admission_Date]],"YYYY")</f>
        <v>2025</v>
      </c>
      <c r="G680" s="8" t="s">
        <v>1422</v>
      </c>
      <c r="H680" s="8" t="s">
        <v>53</v>
      </c>
      <c r="I680" s="4" t="s">
        <v>35</v>
      </c>
      <c r="J680" s="4">
        <v>62</v>
      </c>
      <c r="K680" s="4" t="s">
        <v>30</v>
      </c>
      <c r="L680" s="8">
        <v>3</v>
      </c>
      <c r="M680" s="9" t="s">
        <v>50</v>
      </c>
      <c r="N680" s="9" t="str">
        <f t="shared" si="5"/>
        <v>ICU</v>
      </c>
      <c r="O680" s="10">
        <v>12215.94</v>
      </c>
      <c r="P680" s="10">
        <v>7590.12</v>
      </c>
      <c r="Q680" s="11">
        <v>17.3</v>
      </c>
      <c r="R680" s="13" t="str">
        <f>IF(Patient_Data!$L680&lt;2,"Low Risk",IF(Patient_Data!$L680&lt;4,"Moderate Risk","High Risk"))</f>
        <v>Moderate Risk</v>
      </c>
      <c r="S680" s="12" t="str">
        <f>IF(Patient_Data[[#This Row],[Age]]&lt;=18,"Pediatric",IF(Patient_Data[[#This Row],[Age]]&lt;=64,"Adult","Geriatric"))</f>
        <v>Adult</v>
      </c>
    </row>
    <row r="681" spans="1:19" ht="15.75" customHeight="1" x14ac:dyDescent="0.3">
      <c r="A681" s="4" t="s">
        <v>1423</v>
      </c>
      <c r="B681" s="5" t="str">
        <f>TEXT(Patient_Data!$E681,"mmmm")</f>
        <v>November</v>
      </c>
      <c r="C681" s="6" t="str">
        <f t="shared" si="4"/>
        <v>Nov</v>
      </c>
      <c r="D681" s="6">
        <f>MONTH(Patient_Data!$E681)</f>
        <v>11</v>
      </c>
      <c r="E681" s="7">
        <v>45260</v>
      </c>
      <c r="F681" s="55" t="str">
        <f>TEXT(Patient_Data[[#This Row],[Admission_Date]],"YYYY")</f>
        <v>2023</v>
      </c>
      <c r="G681" s="8" t="s">
        <v>391</v>
      </c>
      <c r="H681" s="8" t="s">
        <v>82</v>
      </c>
      <c r="I681" s="4" t="s">
        <v>29</v>
      </c>
      <c r="J681" s="4">
        <v>22</v>
      </c>
      <c r="K681" s="4" t="s">
        <v>30</v>
      </c>
      <c r="L681" s="8">
        <v>2</v>
      </c>
      <c r="M681" s="9" t="s">
        <v>39</v>
      </c>
      <c r="N681" s="9" t="str">
        <f t="shared" si="5"/>
        <v>GM</v>
      </c>
      <c r="O681" s="10">
        <v>3140.27</v>
      </c>
      <c r="P681" s="10">
        <v>2060.17</v>
      </c>
      <c r="Q681" s="11">
        <v>6.3</v>
      </c>
      <c r="R681" s="13" t="str">
        <f>IF(Patient_Data!$L681&lt;2,"Low Risk",IF(Patient_Data!$L681&lt;4,"Moderate Risk","High Risk"))</f>
        <v>Moderate Risk</v>
      </c>
      <c r="S681" s="12" t="str">
        <f>IF(Patient_Data[[#This Row],[Age]]&lt;=18,"Pediatric",IF(Patient_Data[[#This Row],[Age]]&lt;=64,"Adult","Geriatric"))</f>
        <v>Adult</v>
      </c>
    </row>
    <row r="682" spans="1:19" ht="15.75" customHeight="1" x14ac:dyDescent="0.3">
      <c r="A682" s="4" t="s">
        <v>1424</v>
      </c>
      <c r="B682" s="5" t="str">
        <f>TEXT(Patient_Data!$E682,"mmmm")</f>
        <v>November</v>
      </c>
      <c r="C682" s="6" t="str">
        <f t="shared" si="4"/>
        <v>Nov</v>
      </c>
      <c r="D682" s="6">
        <f>MONTH(Patient_Data!$E682)</f>
        <v>11</v>
      </c>
      <c r="E682" s="7">
        <v>45618</v>
      </c>
      <c r="F682" s="55" t="str">
        <f>TEXT(Patient_Data[[#This Row],[Admission_Date]],"YYYY")</f>
        <v>2024</v>
      </c>
      <c r="G682" s="8" t="s">
        <v>1425</v>
      </c>
      <c r="H682" s="8" t="s">
        <v>34</v>
      </c>
      <c r="I682" s="4" t="s">
        <v>29</v>
      </c>
      <c r="J682" s="4">
        <v>63</v>
      </c>
      <c r="K682" s="4" t="s">
        <v>30</v>
      </c>
      <c r="L682" s="8">
        <v>1</v>
      </c>
      <c r="M682" s="9" t="s">
        <v>36</v>
      </c>
      <c r="N682" s="9" t="str">
        <f t="shared" si="5"/>
        <v>Cardio</v>
      </c>
      <c r="O682" s="10">
        <v>6227.02</v>
      </c>
      <c r="P682" s="10">
        <v>4238.5</v>
      </c>
      <c r="Q682" s="11">
        <v>8.3000000000000007</v>
      </c>
      <c r="R682" s="13" t="str">
        <f>IF(Patient_Data!$L682&lt;2,"Low Risk",IF(Patient_Data!$L682&lt;4,"Moderate Risk","High Risk"))</f>
        <v>Low Risk</v>
      </c>
      <c r="S682" s="12" t="str">
        <f>IF(Patient_Data[[#This Row],[Age]]&lt;=18,"Pediatric",IF(Patient_Data[[#This Row],[Age]]&lt;=64,"Adult","Geriatric"))</f>
        <v>Adult</v>
      </c>
    </row>
    <row r="683" spans="1:19" ht="15.75" customHeight="1" x14ac:dyDescent="0.3">
      <c r="A683" s="4" t="s">
        <v>1426</v>
      </c>
      <c r="B683" s="5" t="str">
        <f>TEXT(Patient_Data!$E683,"mmmm")</f>
        <v>December</v>
      </c>
      <c r="C683" s="6" t="str">
        <f t="shared" si="4"/>
        <v>Dec</v>
      </c>
      <c r="D683" s="6">
        <f>MONTH(Patient_Data!$E683)</f>
        <v>12</v>
      </c>
      <c r="E683" s="7">
        <v>45279</v>
      </c>
      <c r="F683" s="55" t="str">
        <f>TEXT(Patient_Data[[#This Row],[Admission_Date]],"YYYY")</f>
        <v>2023</v>
      </c>
      <c r="G683" s="8" t="s">
        <v>1427</v>
      </c>
      <c r="H683" s="8" t="s">
        <v>28</v>
      </c>
      <c r="I683" s="4" t="s">
        <v>35</v>
      </c>
      <c r="J683" s="4">
        <v>74</v>
      </c>
      <c r="K683" s="4" t="s">
        <v>54</v>
      </c>
      <c r="L683" s="8">
        <v>3</v>
      </c>
      <c r="M683" s="9" t="s">
        <v>36</v>
      </c>
      <c r="N683" s="9" t="str">
        <f t="shared" si="5"/>
        <v>Cardio</v>
      </c>
      <c r="O683" s="10">
        <v>11999.39</v>
      </c>
      <c r="P683" s="10">
        <v>8423.57</v>
      </c>
      <c r="Q683" s="11">
        <v>3</v>
      </c>
      <c r="R683" s="13" t="str">
        <f>IF(Patient_Data!$L683&lt;2,"Low Risk",IF(Patient_Data!$L683&lt;4,"Moderate Risk","High Risk"))</f>
        <v>Moderate Risk</v>
      </c>
      <c r="S683" s="12" t="str">
        <f>IF(Patient_Data[[#This Row],[Age]]&lt;=18,"Pediatric",IF(Patient_Data[[#This Row],[Age]]&lt;=64,"Adult","Geriatric"))</f>
        <v>Geriatric</v>
      </c>
    </row>
    <row r="684" spans="1:19" ht="15.75" customHeight="1" x14ac:dyDescent="0.3">
      <c r="A684" s="4" t="s">
        <v>1428</v>
      </c>
      <c r="B684" s="5" t="str">
        <f>TEXT(Patient_Data!$E684,"mmmm")</f>
        <v>September</v>
      </c>
      <c r="C684" s="6" t="str">
        <f t="shared" si="4"/>
        <v>Sep</v>
      </c>
      <c r="D684" s="6">
        <f>MONTH(Patient_Data!$E684)</f>
        <v>9</v>
      </c>
      <c r="E684" s="7">
        <v>45182</v>
      </c>
      <c r="F684" s="55" t="str">
        <f>TEXT(Patient_Data[[#This Row],[Admission_Date]],"YYYY")</f>
        <v>2023</v>
      </c>
      <c r="G684" s="8" t="s">
        <v>1429</v>
      </c>
      <c r="H684" s="8" t="s">
        <v>42</v>
      </c>
      <c r="I684" s="4" t="s">
        <v>29</v>
      </c>
      <c r="J684" s="4">
        <v>16</v>
      </c>
      <c r="K684" s="4" t="s">
        <v>54</v>
      </c>
      <c r="L684" s="8">
        <v>1</v>
      </c>
      <c r="M684" s="9" t="s">
        <v>79</v>
      </c>
      <c r="N684" s="9" t="str">
        <f t="shared" si="5"/>
        <v>PD</v>
      </c>
      <c r="O684" s="10">
        <v>1420.37</v>
      </c>
      <c r="P684" s="10">
        <v>1044.8699999999999</v>
      </c>
      <c r="Q684" s="11">
        <v>1</v>
      </c>
      <c r="R684" s="13" t="str">
        <f>IF(Patient_Data!$L684&lt;2,"Low Risk",IF(Patient_Data!$L684&lt;4,"Moderate Risk","High Risk"))</f>
        <v>Low Risk</v>
      </c>
      <c r="S684" s="12" t="str">
        <f>IF(Patient_Data[[#This Row],[Age]]&lt;=18,"Pediatric",IF(Patient_Data[[#This Row],[Age]]&lt;=64,"Adult","Geriatric"))</f>
        <v>Pediatric</v>
      </c>
    </row>
    <row r="685" spans="1:19" ht="15.75" customHeight="1" x14ac:dyDescent="0.3">
      <c r="A685" s="4" t="s">
        <v>1430</v>
      </c>
      <c r="B685" s="5" t="str">
        <f>TEXT(Patient_Data!$E685,"mmmm")</f>
        <v>April</v>
      </c>
      <c r="C685" s="6" t="str">
        <f t="shared" si="4"/>
        <v>Apr</v>
      </c>
      <c r="D685" s="6">
        <f>MONTH(Patient_Data!$E685)</f>
        <v>4</v>
      </c>
      <c r="E685" s="7">
        <v>45412</v>
      </c>
      <c r="F685" s="55" t="str">
        <f>TEXT(Patient_Data[[#This Row],[Admission_Date]],"YYYY")</f>
        <v>2024</v>
      </c>
      <c r="G685" s="8" t="s">
        <v>1431</v>
      </c>
      <c r="H685" s="8" t="s">
        <v>28</v>
      </c>
      <c r="I685" s="4" t="s">
        <v>29</v>
      </c>
      <c r="J685" s="4">
        <v>73</v>
      </c>
      <c r="K685" s="4" t="s">
        <v>30</v>
      </c>
      <c r="L685" s="8">
        <v>1</v>
      </c>
      <c r="M685" s="9" t="s">
        <v>83</v>
      </c>
      <c r="N685" s="9" t="str">
        <f t="shared" si="5"/>
        <v>ER</v>
      </c>
      <c r="O685" s="10">
        <v>7391.87</v>
      </c>
      <c r="P685" s="10">
        <v>5770.62</v>
      </c>
      <c r="Q685" s="11">
        <v>19.100000000000001</v>
      </c>
      <c r="R685" s="13" t="str">
        <f>IF(Patient_Data!$L685&lt;2,"Low Risk",IF(Patient_Data!$L685&lt;4,"Moderate Risk","High Risk"))</f>
        <v>Low Risk</v>
      </c>
      <c r="S685" s="12" t="str">
        <f>IF(Patient_Data[[#This Row],[Age]]&lt;=18,"Pediatric",IF(Patient_Data[[#This Row],[Age]]&lt;=64,"Adult","Geriatric"))</f>
        <v>Geriatric</v>
      </c>
    </row>
    <row r="686" spans="1:19" ht="15.75" customHeight="1" x14ac:dyDescent="0.3">
      <c r="A686" s="4" t="s">
        <v>1432</v>
      </c>
      <c r="B686" s="5" t="str">
        <f>TEXT(Patient_Data!$E686,"mmmm")</f>
        <v>September</v>
      </c>
      <c r="C686" s="6" t="str">
        <f t="shared" si="4"/>
        <v>Sep</v>
      </c>
      <c r="D686" s="6">
        <f>MONTH(Patient_Data!$E686)</f>
        <v>9</v>
      </c>
      <c r="E686" s="7">
        <v>45182</v>
      </c>
      <c r="F686" s="55" t="str">
        <f>TEXT(Patient_Data[[#This Row],[Admission_Date]],"YYYY")</f>
        <v>2023</v>
      </c>
      <c r="G686" s="8" t="s">
        <v>1433</v>
      </c>
      <c r="H686" s="8" t="s">
        <v>132</v>
      </c>
      <c r="I686" s="4" t="s">
        <v>29</v>
      </c>
      <c r="J686" s="4">
        <v>44</v>
      </c>
      <c r="K686" s="4" t="s">
        <v>54</v>
      </c>
      <c r="L686" s="8">
        <v>1</v>
      </c>
      <c r="M686" s="9" t="s">
        <v>31</v>
      </c>
      <c r="N686" s="9" t="str">
        <f t="shared" si="5"/>
        <v>Neuro</v>
      </c>
      <c r="O686" s="10">
        <v>6946.72</v>
      </c>
      <c r="P686" s="10">
        <v>4059.5</v>
      </c>
      <c r="Q686" s="11">
        <v>3.8</v>
      </c>
      <c r="R686" s="13" t="str">
        <f>IF(Patient_Data!$L686&lt;2,"Low Risk",IF(Patient_Data!$L686&lt;4,"Moderate Risk","High Risk"))</f>
        <v>Low Risk</v>
      </c>
      <c r="S686" s="12" t="str">
        <f>IF(Patient_Data[[#This Row],[Age]]&lt;=18,"Pediatric",IF(Patient_Data[[#This Row],[Age]]&lt;=64,"Adult","Geriatric"))</f>
        <v>Adult</v>
      </c>
    </row>
    <row r="687" spans="1:19" ht="15.75" customHeight="1" x14ac:dyDescent="0.3">
      <c r="A687" s="4" t="s">
        <v>1434</v>
      </c>
      <c r="B687" s="5" t="str">
        <f>TEXT(Patient_Data!$E687,"mmmm")</f>
        <v>June</v>
      </c>
      <c r="C687" s="6" t="str">
        <f t="shared" si="4"/>
        <v>Jun</v>
      </c>
      <c r="D687" s="6">
        <f>MONTH(Patient_Data!$E687)</f>
        <v>6</v>
      </c>
      <c r="E687" s="7">
        <v>46185</v>
      </c>
      <c r="F687" s="55" t="str">
        <f>TEXT(Patient_Data[[#This Row],[Admission_Date]],"YYYY")</f>
        <v>2026</v>
      </c>
      <c r="G687" s="8" t="s">
        <v>1435</v>
      </c>
      <c r="H687" s="8" t="s">
        <v>34</v>
      </c>
      <c r="I687" s="4" t="s">
        <v>29</v>
      </c>
      <c r="J687" s="4">
        <v>79</v>
      </c>
      <c r="K687" s="4" t="s">
        <v>30</v>
      </c>
      <c r="L687" s="8">
        <v>3</v>
      </c>
      <c r="M687" s="9" t="s">
        <v>31</v>
      </c>
      <c r="N687" s="9" t="str">
        <f t="shared" si="5"/>
        <v>Neuro</v>
      </c>
      <c r="O687" s="10">
        <v>9196.42</v>
      </c>
      <c r="P687" s="10">
        <v>5670.62</v>
      </c>
      <c r="Q687" s="11">
        <v>7.6</v>
      </c>
      <c r="R687" s="13" t="str">
        <f>IF(Patient_Data!$L687&lt;2,"Low Risk",IF(Patient_Data!$L687&lt;4,"Moderate Risk","High Risk"))</f>
        <v>Moderate Risk</v>
      </c>
      <c r="S687" s="12" t="str">
        <f>IF(Patient_Data[[#This Row],[Age]]&lt;=18,"Pediatric",IF(Patient_Data[[#This Row],[Age]]&lt;=64,"Adult","Geriatric"))</f>
        <v>Geriatric</v>
      </c>
    </row>
    <row r="688" spans="1:19" ht="15.75" customHeight="1" x14ac:dyDescent="0.3">
      <c r="A688" s="4" t="s">
        <v>1436</v>
      </c>
      <c r="B688" s="5" t="str">
        <f>TEXT(Patient_Data!$E688,"mmmm")</f>
        <v>January</v>
      </c>
      <c r="C688" s="6" t="str">
        <f t="shared" si="4"/>
        <v>Jan</v>
      </c>
      <c r="D688" s="6">
        <f>MONTH(Patient_Data!$E688)</f>
        <v>1</v>
      </c>
      <c r="E688" s="7">
        <v>46048</v>
      </c>
      <c r="F688" s="55" t="str">
        <f>TEXT(Patient_Data[[#This Row],[Admission_Date]],"YYYY")</f>
        <v>2026</v>
      </c>
      <c r="G688" s="8" t="s">
        <v>1437</v>
      </c>
      <c r="H688" s="8" t="s">
        <v>53</v>
      </c>
      <c r="I688" s="4" t="s">
        <v>29</v>
      </c>
      <c r="J688" s="4">
        <v>83</v>
      </c>
      <c r="K688" s="4" t="s">
        <v>45</v>
      </c>
      <c r="L688" s="8">
        <v>4</v>
      </c>
      <c r="M688" s="9" t="s">
        <v>72</v>
      </c>
      <c r="N688" s="9" t="str">
        <f t="shared" si="5"/>
        <v>Surgery</v>
      </c>
      <c r="O688" s="10">
        <v>19322.73</v>
      </c>
      <c r="P688" s="10">
        <v>12382.55</v>
      </c>
      <c r="Q688" s="11">
        <v>2</v>
      </c>
      <c r="R688" s="13" t="str">
        <f>IF(Patient_Data!$L688&lt;2,"Low Risk",IF(Patient_Data!$L688&lt;4,"Moderate Risk","High Risk"))</f>
        <v>High Risk</v>
      </c>
      <c r="S688" s="12" t="str">
        <f>IF(Patient_Data[[#This Row],[Age]]&lt;=18,"Pediatric",IF(Patient_Data[[#This Row],[Age]]&lt;=64,"Adult","Geriatric"))</f>
        <v>Geriatric</v>
      </c>
    </row>
    <row r="689" spans="1:19" ht="15.75" customHeight="1" x14ac:dyDescent="0.3">
      <c r="A689" s="4" t="s">
        <v>1438</v>
      </c>
      <c r="B689" s="5" t="str">
        <f>TEXT(Patient_Data!$E689,"mmmm")</f>
        <v>August</v>
      </c>
      <c r="C689" s="6" t="str">
        <f t="shared" si="4"/>
        <v>Aug</v>
      </c>
      <c r="D689" s="6">
        <f>MONTH(Patient_Data!$E689)</f>
        <v>8</v>
      </c>
      <c r="E689" s="7">
        <v>45526</v>
      </c>
      <c r="F689" s="55" t="str">
        <f>TEXT(Patient_Data[[#This Row],[Admission_Date]],"YYYY")</f>
        <v>2024</v>
      </c>
      <c r="G689" s="8" t="s">
        <v>1439</v>
      </c>
      <c r="H689" s="8" t="s">
        <v>49</v>
      </c>
      <c r="I689" s="4" t="s">
        <v>35</v>
      </c>
      <c r="J689" s="4">
        <v>7</v>
      </c>
      <c r="K689" s="4" t="s">
        <v>30</v>
      </c>
      <c r="L689" s="8">
        <v>2</v>
      </c>
      <c r="M689" s="9" t="s">
        <v>79</v>
      </c>
      <c r="N689" s="9" t="str">
        <f t="shared" si="5"/>
        <v>PD</v>
      </c>
      <c r="O689" s="10">
        <v>1817.7</v>
      </c>
      <c r="P689" s="10">
        <v>1265.06</v>
      </c>
      <c r="Q689" s="11">
        <v>5.9</v>
      </c>
      <c r="R689" s="13" t="str">
        <f>IF(Patient_Data!$L689&lt;2,"Low Risk",IF(Patient_Data!$L689&lt;4,"Moderate Risk","High Risk"))</f>
        <v>Moderate Risk</v>
      </c>
      <c r="S689" s="12" t="str">
        <f>IF(Patient_Data[[#This Row],[Age]]&lt;=18,"Pediatric",IF(Patient_Data[[#This Row],[Age]]&lt;=64,"Adult","Geriatric"))</f>
        <v>Pediatric</v>
      </c>
    </row>
    <row r="690" spans="1:19" ht="15.75" customHeight="1" x14ac:dyDescent="0.3">
      <c r="A690" s="4" t="s">
        <v>1440</v>
      </c>
      <c r="B690" s="5" t="str">
        <f>TEXT(Patient_Data!$E690,"mmmm")</f>
        <v>December</v>
      </c>
      <c r="C690" s="6" t="str">
        <f t="shared" si="4"/>
        <v>Dec</v>
      </c>
      <c r="D690" s="6">
        <f>MONTH(Patient_Data!$E690)</f>
        <v>12</v>
      </c>
      <c r="E690" s="7">
        <v>45638</v>
      </c>
      <c r="F690" s="55" t="str">
        <f>TEXT(Patient_Data[[#This Row],[Admission_Date]],"YYYY")</f>
        <v>2024</v>
      </c>
      <c r="G690" s="8" t="s">
        <v>1441</v>
      </c>
      <c r="H690" s="8" t="s">
        <v>132</v>
      </c>
      <c r="I690" s="4" t="s">
        <v>35</v>
      </c>
      <c r="J690" s="4">
        <v>70</v>
      </c>
      <c r="K690" s="4" t="s">
        <v>54</v>
      </c>
      <c r="L690" s="8">
        <v>4</v>
      </c>
      <c r="M690" s="9" t="s">
        <v>50</v>
      </c>
      <c r="N690" s="9" t="str">
        <f t="shared" si="5"/>
        <v>ICU</v>
      </c>
      <c r="O690" s="10">
        <v>16440.04</v>
      </c>
      <c r="P690" s="10">
        <v>11580.83</v>
      </c>
      <c r="Q690" s="11">
        <v>9.1</v>
      </c>
      <c r="R690" s="13" t="str">
        <f>IF(Patient_Data!$L690&lt;2,"Low Risk",IF(Patient_Data!$L690&lt;4,"Moderate Risk","High Risk"))</f>
        <v>High Risk</v>
      </c>
      <c r="S690" s="12" t="str">
        <f>IF(Patient_Data[[#This Row],[Age]]&lt;=18,"Pediatric",IF(Patient_Data[[#This Row],[Age]]&lt;=64,"Adult","Geriatric"))</f>
        <v>Geriatric</v>
      </c>
    </row>
    <row r="691" spans="1:19" ht="15.75" customHeight="1" x14ac:dyDescent="0.3">
      <c r="A691" s="4" t="s">
        <v>1442</v>
      </c>
      <c r="B691" s="5" t="str">
        <f>TEXT(Patient_Data!$E691,"mmmm")</f>
        <v>June</v>
      </c>
      <c r="C691" s="6" t="str">
        <f t="shared" si="4"/>
        <v>Jun</v>
      </c>
      <c r="D691" s="6">
        <f>MONTH(Patient_Data!$E691)</f>
        <v>6</v>
      </c>
      <c r="E691" s="7">
        <v>46191</v>
      </c>
      <c r="F691" s="55" t="str">
        <f>TEXT(Patient_Data[[#This Row],[Admission_Date]],"YYYY")</f>
        <v>2026</v>
      </c>
      <c r="G691" s="8" t="s">
        <v>1443</v>
      </c>
      <c r="H691" s="8" t="s">
        <v>53</v>
      </c>
      <c r="I691" s="4" t="s">
        <v>29</v>
      </c>
      <c r="J691" s="4">
        <v>81</v>
      </c>
      <c r="K691" s="4" t="s">
        <v>30</v>
      </c>
      <c r="L691" s="8">
        <v>2</v>
      </c>
      <c r="M691" s="9" t="s">
        <v>83</v>
      </c>
      <c r="N691" s="9" t="str">
        <f t="shared" si="5"/>
        <v>ER</v>
      </c>
      <c r="O691" s="10">
        <v>5052.68</v>
      </c>
      <c r="P691" s="10">
        <v>3773.26</v>
      </c>
      <c r="Q691" s="11">
        <v>10.6</v>
      </c>
      <c r="R691" s="13" t="str">
        <f>IF(Patient_Data!$L691&lt;2,"Low Risk",IF(Patient_Data!$L691&lt;4,"Moderate Risk","High Risk"))</f>
        <v>Moderate Risk</v>
      </c>
      <c r="S691" s="12" t="str">
        <f>IF(Patient_Data[[#This Row],[Age]]&lt;=18,"Pediatric",IF(Patient_Data[[#This Row],[Age]]&lt;=64,"Adult","Geriatric"))</f>
        <v>Geriatric</v>
      </c>
    </row>
    <row r="692" spans="1:19" ht="15.75" customHeight="1" x14ac:dyDescent="0.3">
      <c r="A692" s="4" t="s">
        <v>1444</v>
      </c>
      <c r="B692" s="5" t="str">
        <f>TEXT(Patient_Data!$E692,"mmmm")</f>
        <v>August</v>
      </c>
      <c r="C692" s="6" t="str">
        <f t="shared" si="4"/>
        <v>Aug</v>
      </c>
      <c r="D692" s="6">
        <f>MONTH(Patient_Data!$E692)</f>
        <v>8</v>
      </c>
      <c r="E692" s="7">
        <v>45892</v>
      </c>
      <c r="F692" s="55" t="str">
        <f>TEXT(Patient_Data[[#This Row],[Admission_Date]],"YYYY")</f>
        <v>2025</v>
      </c>
      <c r="G692" s="8" t="s">
        <v>1445</v>
      </c>
      <c r="H692" s="8" t="s">
        <v>82</v>
      </c>
      <c r="I692" s="4" t="s">
        <v>35</v>
      </c>
      <c r="J692" s="4">
        <v>25</v>
      </c>
      <c r="K692" s="4" t="s">
        <v>30</v>
      </c>
      <c r="L692" s="8">
        <v>5</v>
      </c>
      <c r="M692" s="9" t="s">
        <v>72</v>
      </c>
      <c r="N692" s="9" t="str">
        <f t="shared" si="5"/>
        <v>Surgery</v>
      </c>
      <c r="O692" s="10">
        <v>22455.71</v>
      </c>
      <c r="P692" s="10">
        <v>17156.740000000002</v>
      </c>
      <c r="Q692" s="11">
        <v>11.3</v>
      </c>
      <c r="R692" s="13" t="str">
        <f>IF(Patient_Data!$L692&lt;2,"Low Risk",IF(Patient_Data!$L692&lt;4,"Moderate Risk","High Risk"))</f>
        <v>High Risk</v>
      </c>
      <c r="S692" s="12" t="str">
        <f>IF(Patient_Data[[#This Row],[Age]]&lt;=18,"Pediatric",IF(Patient_Data[[#This Row],[Age]]&lt;=64,"Adult","Geriatric"))</f>
        <v>Adult</v>
      </c>
    </row>
    <row r="693" spans="1:19" ht="15.75" customHeight="1" x14ac:dyDescent="0.3">
      <c r="A693" s="4" t="s">
        <v>1446</v>
      </c>
      <c r="B693" s="5" t="str">
        <f>TEXT(Patient_Data!$E693,"mmmm")</f>
        <v>November</v>
      </c>
      <c r="C693" s="6" t="str">
        <f t="shared" si="4"/>
        <v>Nov</v>
      </c>
      <c r="D693" s="6">
        <f>MONTH(Patient_Data!$E693)</f>
        <v>11</v>
      </c>
      <c r="E693" s="7">
        <v>45253</v>
      </c>
      <c r="F693" s="55" t="str">
        <f>TEXT(Patient_Data[[#This Row],[Admission_Date]],"YYYY")</f>
        <v>2023</v>
      </c>
      <c r="G693" s="8" t="s">
        <v>1447</v>
      </c>
      <c r="H693" s="8" t="s">
        <v>34</v>
      </c>
      <c r="I693" s="4" t="s">
        <v>35</v>
      </c>
      <c r="J693" s="4">
        <v>91</v>
      </c>
      <c r="K693" s="4" t="s">
        <v>54</v>
      </c>
      <c r="L693" s="8">
        <v>5</v>
      </c>
      <c r="M693" s="9" t="s">
        <v>50</v>
      </c>
      <c r="N693" s="9" t="str">
        <f t="shared" si="5"/>
        <v>ICU</v>
      </c>
      <c r="O693" s="10">
        <v>12732.23</v>
      </c>
      <c r="P693" s="10">
        <v>7455.89</v>
      </c>
      <c r="Q693" s="11">
        <v>8.9</v>
      </c>
      <c r="R693" s="13" t="str">
        <f>IF(Patient_Data!$L693&lt;2,"Low Risk",IF(Patient_Data!$L693&lt;4,"Moderate Risk","High Risk"))</f>
        <v>High Risk</v>
      </c>
      <c r="S693" s="12" t="str">
        <f>IF(Patient_Data[[#This Row],[Age]]&lt;=18,"Pediatric",IF(Patient_Data[[#This Row],[Age]]&lt;=64,"Adult","Geriatric"))</f>
        <v>Geriatric</v>
      </c>
    </row>
    <row r="694" spans="1:19" ht="15.75" customHeight="1" x14ac:dyDescent="0.3">
      <c r="A694" s="4" t="s">
        <v>1448</v>
      </c>
      <c r="B694" s="5" t="str">
        <f>TEXT(Patient_Data!$E694,"mmmm")</f>
        <v>February</v>
      </c>
      <c r="C694" s="6" t="str">
        <f t="shared" si="4"/>
        <v>Feb</v>
      </c>
      <c r="D694" s="6">
        <f>MONTH(Patient_Data!$E694)</f>
        <v>2</v>
      </c>
      <c r="E694" s="7">
        <v>46060</v>
      </c>
      <c r="F694" s="55" t="str">
        <f>TEXT(Patient_Data[[#This Row],[Admission_Date]],"YYYY")</f>
        <v>2026</v>
      </c>
      <c r="G694" s="8" t="s">
        <v>1449</v>
      </c>
      <c r="H694" s="8" t="s">
        <v>53</v>
      </c>
      <c r="I694" s="4" t="s">
        <v>35</v>
      </c>
      <c r="J694" s="4">
        <v>47</v>
      </c>
      <c r="K694" s="4" t="s">
        <v>30</v>
      </c>
      <c r="L694" s="8">
        <v>1</v>
      </c>
      <c r="M694" s="9" t="s">
        <v>31</v>
      </c>
      <c r="N694" s="9" t="str">
        <f t="shared" si="5"/>
        <v>Neuro</v>
      </c>
      <c r="O694" s="10">
        <v>9258.08</v>
      </c>
      <c r="P694" s="10">
        <v>5665.83</v>
      </c>
      <c r="Q694" s="11">
        <v>2.2999999999999998</v>
      </c>
      <c r="R694" s="13" t="str">
        <f>IF(Patient_Data!$L694&lt;2,"Low Risk",IF(Patient_Data!$L694&lt;4,"Moderate Risk","High Risk"))</f>
        <v>Low Risk</v>
      </c>
      <c r="S694" s="12" t="str">
        <f>IF(Patient_Data[[#This Row],[Age]]&lt;=18,"Pediatric",IF(Patient_Data[[#This Row],[Age]]&lt;=64,"Adult","Geriatric"))</f>
        <v>Adult</v>
      </c>
    </row>
    <row r="695" spans="1:19" ht="15.75" customHeight="1" x14ac:dyDescent="0.3">
      <c r="A695" s="4" t="s">
        <v>1450</v>
      </c>
      <c r="B695" s="5" t="str">
        <f>TEXT(Patient_Data!$E695,"mmmm")</f>
        <v>December</v>
      </c>
      <c r="C695" s="6" t="str">
        <f t="shared" si="4"/>
        <v>Dec</v>
      </c>
      <c r="D695" s="6">
        <f>MONTH(Patient_Data!$E695)</f>
        <v>12</v>
      </c>
      <c r="E695" s="7">
        <v>46022</v>
      </c>
      <c r="F695" s="55" t="str">
        <f>TEXT(Patient_Data[[#This Row],[Admission_Date]],"YYYY")</f>
        <v>2025</v>
      </c>
      <c r="G695" s="8" t="s">
        <v>1451</v>
      </c>
      <c r="H695" s="8" t="s">
        <v>53</v>
      </c>
      <c r="I695" s="4" t="s">
        <v>29</v>
      </c>
      <c r="J695" s="4">
        <v>61</v>
      </c>
      <c r="K695" s="4" t="s">
        <v>45</v>
      </c>
      <c r="L695" s="8">
        <v>3</v>
      </c>
      <c r="M695" s="9" t="s">
        <v>50</v>
      </c>
      <c r="N695" s="9" t="str">
        <f t="shared" si="5"/>
        <v>ICU</v>
      </c>
      <c r="O695" s="10">
        <v>19155.39</v>
      </c>
      <c r="P695" s="10">
        <v>12329.05</v>
      </c>
      <c r="Q695" s="11">
        <v>8.6999999999999993</v>
      </c>
      <c r="R695" s="13" t="str">
        <f>IF(Patient_Data!$L695&lt;2,"Low Risk",IF(Patient_Data!$L695&lt;4,"Moderate Risk","High Risk"))</f>
        <v>Moderate Risk</v>
      </c>
      <c r="S695" s="12" t="str">
        <f>IF(Patient_Data[[#This Row],[Age]]&lt;=18,"Pediatric",IF(Patient_Data[[#This Row],[Age]]&lt;=64,"Adult","Geriatric"))</f>
        <v>Adult</v>
      </c>
    </row>
    <row r="696" spans="1:19" ht="15.75" customHeight="1" x14ac:dyDescent="0.3">
      <c r="A696" s="4" t="s">
        <v>1452</v>
      </c>
      <c r="B696" s="5" t="str">
        <f>TEXT(Patient_Data!$E696,"mmmm")</f>
        <v>April</v>
      </c>
      <c r="C696" s="6" t="str">
        <f t="shared" si="4"/>
        <v>Apr</v>
      </c>
      <c r="D696" s="6">
        <f>MONTH(Patient_Data!$E696)</f>
        <v>4</v>
      </c>
      <c r="E696" s="7">
        <v>45759</v>
      </c>
      <c r="F696" s="55" t="str">
        <f>TEXT(Patient_Data[[#This Row],[Admission_Date]],"YYYY")</f>
        <v>2025</v>
      </c>
      <c r="G696" s="8" t="s">
        <v>1453</v>
      </c>
      <c r="H696" s="8" t="s">
        <v>132</v>
      </c>
      <c r="I696" s="4" t="s">
        <v>29</v>
      </c>
      <c r="J696" s="4">
        <v>95</v>
      </c>
      <c r="K696" s="4" t="s">
        <v>45</v>
      </c>
      <c r="L696" s="8">
        <v>5</v>
      </c>
      <c r="M696" s="9" t="s">
        <v>50</v>
      </c>
      <c r="N696" s="9" t="str">
        <f t="shared" si="5"/>
        <v>ICU</v>
      </c>
      <c r="O696" s="10">
        <v>17829.98</v>
      </c>
      <c r="P696" s="10">
        <v>12017.29</v>
      </c>
      <c r="Q696" s="11">
        <v>8.9</v>
      </c>
      <c r="R696" s="13" t="str">
        <f>IF(Patient_Data!$L696&lt;2,"Low Risk",IF(Patient_Data!$L696&lt;4,"Moderate Risk","High Risk"))</f>
        <v>High Risk</v>
      </c>
      <c r="S696" s="12" t="str">
        <f>IF(Patient_Data[[#This Row],[Age]]&lt;=18,"Pediatric",IF(Patient_Data[[#This Row],[Age]]&lt;=64,"Adult","Geriatric"))</f>
        <v>Geriatric</v>
      </c>
    </row>
    <row r="697" spans="1:19" ht="15.75" customHeight="1" x14ac:dyDescent="0.3">
      <c r="A697" s="4" t="s">
        <v>1454</v>
      </c>
      <c r="B697" s="5" t="str">
        <f>TEXT(Patient_Data!$E697,"mmmm")</f>
        <v>October</v>
      </c>
      <c r="C697" s="6" t="str">
        <f t="shared" si="4"/>
        <v>Oct</v>
      </c>
      <c r="D697" s="6">
        <f>MONTH(Patient_Data!$E697)</f>
        <v>10</v>
      </c>
      <c r="E697" s="7">
        <v>45209</v>
      </c>
      <c r="F697" s="55" t="str">
        <f>TEXT(Patient_Data[[#This Row],[Admission_Date]],"YYYY")</f>
        <v>2023</v>
      </c>
      <c r="G697" s="8" t="s">
        <v>1455</v>
      </c>
      <c r="H697" s="8" t="s">
        <v>98</v>
      </c>
      <c r="I697" s="4" t="s">
        <v>35</v>
      </c>
      <c r="J697" s="4">
        <v>6</v>
      </c>
      <c r="K697" s="4" t="s">
        <v>30</v>
      </c>
      <c r="L697" s="8">
        <v>2</v>
      </c>
      <c r="M697" s="9" t="s">
        <v>79</v>
      </c>
      <c r="N697" s="9" t="str">
        <f t="shared" si="5"/>
        <v>PD</v>
      </c>
      <c r="O697" s="10">
        <v>882.86</v>
      </c>
      <c r="P697" s="10">
        <v>630.79999999999995</v>
      </c>
      <c r="Q697" s="11">
        <v>1.6</v>
      </c>
      <c r="R697" s="13" t="str">
        <f>IF(Patient_Data!$L697&lt;2,"Low Risk",IF(Patient_Data!$L697&lt;4,"Moderate Risk","High Risk"))</f>
        <v>Moderate Risk</v>
      </c>
      <c r="S697" s="12" t="str">
        <f>IF(Patient_Data[[#This Row],[Age]]&lt;=18,"Pediatric",IF(Patient_Data[[#This Row],[Age]]&lt;=64,"Adult","Geriatric"))</f>
        <v>Pediatric</v>
      </c>
    </row>
    <row r="698" spans="1:19" ht="15.75" customHeight="1" x14ac:dyDescent="0.3">
      <c r="A698" s="4" t="s">
        <v>1456</v>
      </c>
      <c r="B698" s="5" t="str">
        <f>TEXT(Patient_Data!$E698,"mmmm")</f>
        <v>June</v>
      </c>
      <c r="C698" s="6" t="str">
        <f t="shared" si="4"/>
        <v>Jun</v>
      </c>
      <c r="D698" s="6">
        <f>MONTH(Patient_Data!$E698)</f>
        <v>6</v>
      </c>
      <c r="E698" s="7">
        <v>45832</v>
      </c>
      <c r="F698" s="55" t="str">
        <f>TEXT(Patient_Data[[#This Row],[Admission_Date]],"YYYY")</f>
        <v>2025</v>
      </c>
      <c r="G698" s="8" t="s">
        <v>1457</v>
      </c>
      <c r="H698" s="8" t="s">
        <v>28</v>
      </c>
      <c r="I698" s="4" t="s">
        <v>29</v>
      </c>
      <c r="J698" s="4">
        <v>88</v>
      </c>
      <c r="K698" s="4" t="s">
        <v>30</v>
      </c>
      <c r="L698" s="8">
        <v>5</v>
      </c>
      <c r="M698" s="9" t="s">
        <v>50</v>
      </c>
      <c r="N698" s="9" t="str">
        <f t="shared" si="5"/>
        <v>ICU</v>
      </c>
      <c r="O698" s="10">
        <v>18789.099999999999</v>
      </c>
      <c r="P698" s="10">
        <v>13843.24</v>
      </c>
      <c r="Q698" s="11">
        <v>15.9</v>
      </c>
      <c r="R698" s="13" t="str">
        <f>IF(Patient_Data!$L698&lt;2,"Low Risk",IF(Patient_Data!$L698&lt;4,"Moderate Risk","High Risk"))</f>
        <v>High Risk</v>
      </c>
      <c r="S698" s="12" t="str">
        <f>IF(Patient_Data[[#This Row],[Age]]&lt;=18,"Pediatric",IF(Patient_Data[[#This Row],[Age]]&lt;=64,"Adult","Geriatric"))</f>
        <v>Geriatric</v>
      </c>
    </row>
    <row r="699" spans="1:19" ht="15.75" customHeight="1" x14ac:dyDescent="0.3">
      <c r="A699" s="4" t="s">
        <v>1458</v>
      </c>
      <c r="B699" s="5" t="str">
        <f>TEXT(Patient_Data!$E699,"mmmm")</f>
        <v>August</v>
      </c>
      <c r="C699" s="6" t="str">
        <f t="shared" si="4"/>
        <v>Aug</v>
      </c>
      <c r="D699" s="6">
        <f>MONTH(Patient_Data!$E699)</f>
        <v>8</v>
      </c>
      <c r="E699" s="7">
        <v>45518</v>
      </c>
      <c r="F699" s="55" t="str">
        <f>TEXT(Patient_Data[[#This Row],[Admission_Date]],"YYYY")</f>
        <v>2024</v>
      </c>
      <c r="G699" s="8" t="s">
        <v>1459</v>
      </c>
      <c r="H699" s="8" t="s">
        <v>132</v>
      </c>
      <c r="I699" s="4" t="s">
        <v>35</v>
      </c>
      <c r="J699" s="4">
        <v>46</v>
      </c>
      <c r="K699" s="4" t="s">
        <v>30</v>
      </c>
      <c r="L699" s="8">
        <v>1</v>
      </c>
      <c r="M699" s="9" t="s">
        <v>36</v>
      </c>
      <c r="N699" s="9" t="str">
        <f t="shared" si="5"/>
        <v>Cardio</v>
      </c>
      <c r="O699" s="10">
        <v>5895.97</v>
      </c>
      <c r="P699" s="10">
        <v>4576.1400000000003</v>
      </c>
      <c r="Q699" s="11">
        <v>11.9</v>
      </c>
      <c r="R699" s="13" t="str">
        <f>IF(Patient_Data!$L699&lt;2,"Low Risk",IF(Patient_Data!$L699&lt;4,"Moderate Risk","High Risk"))</f>
        <v>Low Risk</v>
      </c>
      <c r="S699" s="12" t="str">
        <f>IF(Patient_Data[[#This Row],[Age]]&lt;=18,"Pediatric",IF(Patient_Data[[#This Row],[Age]]&lt;=64,"Adult","Geriatric"))</f>
        <v>Adult</v>
      </c>
    </row>
    <row r="700" spans="1:19" ht="15.75" customHeight="1" x14ac:dyDescent="0.3">
      <c r="A700" s="4" t="s">
        <v>1460</v>
      </c>
      <c r="B700" s="5" t="str">
        <f>TEXT(Patient_Data!$E700,"mmmm")</f>
        <v>September</v>
      </c>
      <c r="C700" s="6" t="str">
        <f t="shared" si="4"/>
        <v>Sep</v>
      </c>
      <c r="D700" s="6">
        <f>MONTH(Patient_Data!$E700)</f>
        <v>9</v>
      </c>
      <c r="E700" s="7">
        <v>45908</v>
      </c>
      <c r="F700" s="55" t="str">
        <f>TEXT(Patient_Data[[#This Row],[Admission_Date]],"YYYY")</f>
        <v>2025</v>
      </c>
      <c r="G700" s="8" t="s">
        <v>1461</v>
      </c>
      <c r="H700" s="8" t="s">
        <v>82</v>
      </c>
      <c r="I700" s="4" t="s">
        <v>35</v>
      </c>
      <c r="J700" s="4">
        <v>0</v>
      </c>
      <c r="K700" s="4" t="s">
        <v>54</v>
      </c>
      <c r="L700" s="8">
        <v>1</v>
      </c>
      <c r="M700" s="9" t="s">
        <v>79</v>
      </c>
      <c r="N700" s="9" t="str">
        <f t="shared" si="5"/>
        <v>PD</v>
      </c>
      <c r="O700" s="10">
        <v>2435.8000000000002</v>
      </c>
      <c r="P700" s="10">
        <v>1429.56</v>
      </c>
      <c r="Q700" s="11">
        <v>2.1</v>
      </c>
      <c r="R700" s="13" t="str">
        <f>IF(Patient_Data!$L700&lt;2,"Low Risk",IF(Patient_Data!$L700&lt;4,"Moderate Risk","High Risk"))</f>
        <v>Low Risk</v>
      </c>
      <c r="S700" s="12" t="str">
        <f>IF(Patient_Data[[#This Row],[Age]]&lt;=18,"Pediatric",IF(Patient_Data[[#This Row],[Age]]&lt;=64,"Adult","Geriatric"))</f>
        <v>Pediatric</v>
      </c>
    </row>
    <row r="701" spans="1:19" ht="15.75" customHeight="1" x14ac:dyDescent="0.3">
      <c r="A701" s="4" t="s">
        <v>1462</v>
      </c>
      <c r="B701" s="5" t="str">
        <f>TEXT(Patient_Data!$E701,"mmmm")</f>
        <v>April</v>
      </c>
      <c r="C701" s="6" t="str">
        <f t="shared" si="4"/>
        <v>Apr</v>
      </c>
      <c r="D701" s="6">
        <f>MONTH(Patient_Data!$E701)</f>
        <v>4</v>
      </c>
      <c r="E701" s="7">
        <v>45383</v>
      </c>
      <c r="F701" s="55" t="str">
        <f>TEXT(Patient_Data[[#This Row],[Admission_Date]],"YYYY")</f>
        <v>2024</v>
      </c>
      <c r="G701" s="8" t="s">
        <v>1463</v>
      </c>
      <c r="H701" s="8" t="s">
        <v>132</v>
      </c>
      <c r="I701" s="4" t="s">
        <v>29</v>
      </c>
      <c r="J701" s="4">
        <v>23</v>
      </c>
      <c r="K701" s="4" t="s">
        <v>30</v>
      </c>
      <c r="L701" s="8">
        <v>1</v>
      </c>
      <c r="M701" s="9" t="s">
        <v>39</v>
      </c>
      <c r="N701" s="9" t="str">
        <f t="shared" si="5"/>
        <v>GM</v>
      </c>
      <c r="O701" s="10">
        <v>1703.95</v>
      </c>
      <c r="P701" s="10">
        <v>1039.4100000000001</v>
      </c>
      <c r="Q701" s="11"/>
      <c r="R701" s="13" t="str">
        <f>IF(Patient_Data!$L701&lt;2,"Low Risk",IF(Patient_Data!$L701&lt;4,"Moderate Risk","High Risk"))</f>
        <v>Low Risk</v>
      </c>
      <c r="S701" s="12" t="str">
        <f>IF(Patient_Data[[#This Row],[Age]]&lt;=18,"Pediatric",IF(Patient_Data[[#This Row],[Age]]&lt;=64,"Adult","Geriatric"))</f>
        <v>Adult</v>
      </c>
    </row>
    <row r="702" spans="1:19" ht="15.75" customHeight="1" x14ac:dyDescent="0.3">
      <c r="A702" s="4" t="s">
        <v>1464</v>
      </c>
      <c r="B702" s="5" t="str">
        <f>TEXT(Patient_Data!$E702,"mmmm")</f>
        <v>January</v>
      </c>
      <c r="C702" s="6" t="str">
        <f t="shared" si="4"/>
        <v>Jan</v>
      </c>
      <c r="D702" s="6">
        <f>MONTH(Patient_Data!$E702)</f>
        <v>1</v>
      </c>
      <c r="E702" s="7">
        <v>45665</v>
      </c>
      <c r="F702" s="55" t="str">
        <f>TEXT(Patient_Data[[#This Row],[Admission_Date]],"YYYY")</f>
        <v>2025</v>
      </c>
      <c r="G702" s="8" t="s">
        <v>1465</v>
      </c>
      <c r="H702" s="8" t="s">
        <v>28</v>
      </c>
      <c r="I702" s="4" t="s">
        <v>29</v>
      </c>
      <c r="J702" s="4">
        <v>74</v>
      </c>
      <c r="K702" s="4" t="s">
        <v>30</v>
      </c>
      <c r="L702" s="8">
        <v>2</v>
      </c>
      <c r="M702" s="9" t="s">
        <v>83</v>
      </c>
      <c r="N702" s="9" t="str">
        <f t="shared" si="5"/>
        <v>ER</v>
      </c>
      <c r="O702" s="10">
        <v>4134.6400000000003</v>
      </c>
      <c r="P702" s="10">
        <v>2787.77</v>
      </c>
      <c r="Q702" s="11">
        <v>17.7</v>
      </c>
      <c r="R702" s="13" t="str">
        <f>IF(Patient_Data!$L702&lt;2,"Low Risk",IF(Patient_Data!$L702&lt;4,"Moderate Risk","High Risk"))</f>
        <v>Moderate Risk</v>
      </c>
      <c r="S702" s="12" t="str">
        <f>IF(Patient_Data[[#This Row],[Age]]&lt;=18,"Pediatric",IF(Patient_Data[[#This Row],[Age]]&lt;=64,"Adult","Geriatric"))</f>
        <v>Geriatric</v>
      </c>
    </row>
    <row r="703" spans="1:19" ht="15.75" customHeight="1" x14ac:dyDescent="0.3">
      <c r="A703" s="4" t="s">
        <v>1466</v>
      </c>
      <c r="B703" s="5" t="str">
        <f>TEXT(Patient_Data!$E703,"mmmm")</f>
        <v>February</v>
      </c>
      <c r="C703" s="6" t="str">
        <f t="shared" si="4"/>
        <v>Feb</v>
      </c>
      <c r="D703" s="6">
        <f>MONTH(Patient_Data!$E703)</f>
        <v>2</v>
      </c>
      <c r="E703" s="7">
        <v>46059</v>
      </c>
      <c r="F703" s="55" t="str">
        <f>TEXT(Patient_Data[[#This Row],[Admission_Date]],"YYYY")</f>
        <v>2026</v>
      </c>
      <c r="G703" s="8" t="s">
        <v>1467</v>
      </c>
      <c r="H703" s="8" t="s">
        <v>49</v>
      </c>
      <c r="I703" s="4" t="s">
        <v>29</v>
      </c>
      <c r="J703" s="4">
        <v>15</v>
      </c>
      <c r="K703" s="4" t="s">
        <v>30</v>
      </c>
      <c r="L703" s="8">
        <v>1</v>
      </c>
      <c r="M703" s="9" t="s">
        <v>79</v>
      </c>
      <c r="N703" s="9" t="str">
        <f t="shared" si="5"/>
        <v>PD</v>
      </c>
      <c r="O703" s="10">
        <v>1468.27</v>
      </c>
      <c r="P703" s="10">
        <v>1008.54</v>
      </c>
      <c r="Q703" s="11">
        <v>3.1</v>
      </c>
      <c r="R703" s="13" t="str">
        <f>IF(Patient_Data!$L703&lt;2,"Low Risk",IF(Patient_Data!$L703&lt;4,"Moderate Risk","High Risk"))</f>
        <v>Low Risk</v>
      </c>
      <c r="S703" s="12" t="str">
        <f>IF(Patient_Data[[#This Row],[Age]]&lt;=18,"Pediatric",IF(Patient_Data[[#This Row],[Age]]&lt;=64,"Adult","Geriatric"))</f>
        <v>Pediatric</v>
      </c>
    </row>
    <row r="704" spans="1:19" ht="15.75" customHeight="1" x14ac:dyDescent="0.3">
      <c r="A704" s="4" t="s">
        <v>1468</v>
      </c>
      <c r="B704" s="5" t="str">
        <f>TEXT(Patient_Data!$E704,"mmmm")</f>
        <v>November</v>
      </c>
      <c r="C704" s="6" t="str">
        <f t="shared" si="4"/>
        <v>Nov</v>
      </c>
      <c r="D704" s="6">
        <f>MONTH(Patient_Data!$E704)</f>
        <v>11</v>
      </c>
      <c r="E704" s="7">
        <v>45987</v>
      </c>
      <c r="F704" s="55" t="str">
        <f>TEXT(Patient_Data[[#This Row],[Admission_Date]],"YYYY")</f>
        <v>2025</v>
      </c>
      <c r="G704" s="8" t="s">
        <v>1469</v>
      </c>
      <c r="H704" s="8" t="s">
        <v>49</v>
      </c>
      <c r="I704" s="4" t="s">
        <v>29</v>
      </c>
      <c r="J704" s="4">
        <v>64</v>
      </c>
      <c r="K704" s="4" t="s">
        <v>30</v>
      </c>
      <c r="L704" s="8">
        <v>1</v>
      </c>
      <c r="M704" s="9" t="s">
        <v>83</v>
      </c>
      <c r="N704" s="9" t="str">
        <f t="shared" si="5"/>
        <v>ER</v>
      </c>
      <c r="O704" s="10">
        <v>4730.92</v>
      </c>
      <c r="P704" s="10">
        <v>3403.64</v>
      </c>
      <c r="Q704" s="11">
        <v>11.5</v>
      </c>
      <c r="R704" s="13" t="str">
        <f>IF(Patient_Data!$L704&lt;2,"Low Risk",IF(Patient_Data!$L704&lt;4,"Moderate Risk","High Risk"))</f>
        <v>Low Risk</v>
      </c>
      <c r="S704" s="12" t="str">
        <f>IF(Patient_Data[[#This Row],[Age]]&lt;=18,"Pediatric",IF(Patient_Data[[#This Row],[Age]]&lt;=64,"Adult","Geriatric"))</f>
        <v>Adult</v>
      </c>
    </row>
    <row r="705" spans="1:19" ht="15.75" customHeight="1" x14ac:dyDescent="0.3">
      <c r="A705" s="4" t="s">
        <v>1470</v>
      </c>
      <c r="B705" s="5" t="str">
        <f>TEXT(Patient_Data!$E705,"mmmm")</f>
        <v>February</v>
      </c>
      <c r="C705" s="6" t="str">
        <f t="shared" si="4"/>
        <v>Feb</v>
      </c>
      <c r="D705" s="6">
        <f>MONTH(Patient_Data!$E705)</f>
        <v>2</v>
      </c>
      <c r="E705" s="7">
        <v>45328</v>
      </c>
      <c r="F705" s="55" t="str">
        <f>TEXT(Patient_Data[[#This Row],[Admission_Date]],"YYYY")</f>
        <v>2024</v>
      </c>
      <c r="G705" s="8" t="s">
        <v>1471</v>
      </c>
      <c r="H705" s="8" t="s">
        <v>98</v>
      </c>
      <c r="I705" s="4" t="s">
        <v>35</v>
      </c>
      <c r="J705" s="4">
        <v>49</v>
      </c>
      <c r="K705" s="4" t="s">
        <v>30</v>
      </c>
      <c r="L705" s="8">
        <v>2</v>
      </c>
      <c r="M705" s="9" t="s">
        <v>39</v>
      </c>
      <c r="N705" s="9" t="str">
        <f t="shared" si="5"/>
        <v>GM</v>
      </c>
      <c r="O705" s="10">
        <v>5490.53</v>
      </c>
      <c r="P705" s="10">
        <v>4044.09</v>
      </c>
      <c r="Q705" s="11">
        <v>4.5</v>
      </c>
      <c r="R705" s="13" t="str">
        <f>IF(Patient_Data!$L705&lt;2,"Low Risk",IF(Patient_Data!$L705&lt;4,"Moderate Risk","High Risk"))</f>
        <v>Moderate Risk</v>
      </c>
      <c r="S705" s="12" t="str">
        <f>IF(Patient_Data[[#This Row],[Age]]&lt;=18,"Pediatric",IF(Patient_Data[[#This Row],[Age]]&lt;=64,"Adult","Geriatric"))</f>
        <v>Adult</v>
      </c>
    </row>
    <row r="706" spans="1:19" ht="15.75" customHeight="1" x14ac:dyDescent="0.3">
      <c r="A706" s="4" t="s">
        <v>1472</v>
      </c>
      <c r="B706" s="5" t="str">
        <f>TEXT(Patient_Data!$E706,"mmmm")</f>
        <v>July</v>
      </c>
      <c r="C706" s="6" t="str">
        <f t="shared" si="4"/>
        <v>Jul</v>
      </c>
      <c r="D706" s="6">
        <f>MONTH(Patient_Data!$E706)</f>
        <v>7</v>
      </c>
      <c r="E706" s="7">
        <v>45862</v>
      </c>
      <c r="F706" s="55" t="str">
        <f>TEXT(Patient_Data[[#This Row],[Admission_Date]],"YYYY")</f>
        <v>2025</v>
      </c>
      <c r="G706" s="8" t="s">
        <v>1473</v>
      </c>
      <c r="H706" s="8" t="s">
        <v>75</v>
      </c>
      <c r="I706" s="4" t="s">
        <v>29</v>
      </c>
      <c r="J706" s="4">
        <v>49</v>
      </c>
      <c r="K706" s="4" t="s">
        <v>30</v>
      </c>
      <c r="L706" s="8">
        <v>2</v>
      </c>
      <c r="M706" s="9" t="s">
        <v>36</v>
      </c>
      <c r="N706" s="9" t="str">
        <f t="shared" si="5"/>
        <v>Cardio</v>
      </c>
      <c r="O706" s="10">
        <v>7195.12</v>
      </c>
      <c r="P706" s="10">
        <v>5535.49</v>
      </c>
      <c r="Q706" s="11">
        <v>8.4</v>
      </c>
      <c r="R706" s="13" t="str">
        <f>IF(Patient_Data!$L706&lt;2,"Low Risk",IF(Patient_Data!$L706&lt;4,"Moderate Risk","High Risk"))</f>
        <v>Moderate Risk</v>
      </c>
      <c r="S706" s="12" t="str">
        <f>IF(Patient_Data[[#This Row],[Age]]&lt;=18,"Pediatric",IF(Patient_Data[[#This Row],[Age]]&lt;=64,"Adult","Geriatric"))</f>
        <v>Adult</v>
      </c>
    </row>
    <row r="707" spans="1:19" ht="15.75" customHeight="1" x14ac:dyDescent="0.3">
      <c r="A707" s="4" t="s">
        <v>1474</v>
      </c>
      <c r="B707" s="5" t="str">
        <f>TEXT(Patient_Data!$E707,"mmmm")</f>
        <v>August</v>
      </c>
      <c r="C707" s="6" t="str">
        <f t="shared" si="4"/>
        <v>Aug</v>
      </c>
      <c r="D707" s="6">
        <f>MONTH(Patient_Data!$E707)</f>
        <v>8</v>
      </c>
      <c r="E707" s="7">
        <v>45511</v>
      </c>
      <c r="F707" s="55" t="str">
        <f>TEXT(Patient_Data[[#This Row],[Admission_Date]],"YYYY")</f>
        <v>2024</v>
      </c>
      <c r="G707" s="8" t="s">
        <v>1475</v>
      </c>
      <c r="H707" s="8" t="s">
        <v>132</v>
      </c>
      <c r="I707" s="4" t="s">
        <v>35</v>
      </c>
      <c r="J707" s="4">
        <v>24</v>
      </c>
      <c r="K707" s="4" t="s">
        <v>54</v>
      </c>
      <c r="L707" s="8">
        <v>3</v>
      </c>
      <c r="M707" s="9" t="s">
        <v>36</v>
      </c>
      <c r="N707" s="9" t="str">
        <f t="shared" si="5"/>
        <v>Cardio</v>
      </c>
      <c r="O707" s="10">
        <v>7595.41</v>
      </c>
      <c r="P707" s="10">
        <v>4424.54</v>
      </c>
      <c r="Q707" s="11">
        <v>2.4</v>
      </c>
      <c r="R707" s="13" t="str">
        <f>IF(Patient_Data!$L707&lt;2,"Low Risk",IF(Patient_Data!$L707&lt;4,"Moderate Risk","High Risk"))</f>
        <v>Moderate Risk</v>
      </c>
      <c r="S707" s="12" t="str">
        <f>IF(Patient_Data[[#This Row],[Age]]&lt;=18,"Pediatric",IF(Patient_Data[[#This Row],[Age]]&lt;=64,"Adult","Geriatric"))</f>
        <v>Adult</v>
      </c>
    </row>
    <row r="708" spans="1:19" ht="15.75" customHeight="1" x14ac:dyDescent="0.3">
      <c r="A708" s="4" t="s">
        <v>1476</v>
      </c>
      <c r="B708" s="5" t="str">
        <f>TEXT(Patient_Data!$E708,"mmmm")</f>
        <v>February</v>
      </c>
      <c r="C708" s="6" t="str">
        <f t="shared" si="4"/>
        <v>Feb</v>
      </c>
      <c r="D708" s="6">
        <f>MONTH(Patient_Data!$E708)</f>
        <v>2</v>
      </c>
      <c r="E708" s="7">
        <v>45323</v>
      </c>
      <c r="F708" s="55" t="str">
        <f>TEXT(Patient_Data[[#This Row],[Admission_Date]],"YYYY")</f>
        <v>2024</v>
      </c>
      <c r="G708" s="8" t="s">
        <v>1477</v>
      </c>
      <c r="H708" s="8" t="s">
        <v>53</v>
      </c>
      <c r="I708" s="4" t="s">
        <v>35</v>
      </c>
      <c r="J708" s="4">
        <v>35</v>
      </c>
      <c r="K708" s="4" t="s">
        <v>30</v>
      </c>
      <c r="L708" s="8">
        <v>1</v>
      </c>
      <c r="M708" s="9" t="s">
        <v>83</v>
      </c>
      <c r="N708" s="9" t="str">
        <f t="shared" si="5"/>
        <v>ER</v>
      </c>
      <c r="O708" s="10">
        <v>3870.69</v>
      </c>
      <c r="P708" s="10">
        <v>2479.52</v>
      </c>
      <c r="Q708" s="11">
        <v>14.8</v>
      </c>
      <c r="R708" s="13" t="str">
        <f>IF(Patient_Data!$L708&lt;2,"Low Risk",IF(Patient_Data!$L708&lt;4,"Moderate Risk","High Risk"))</f>
        <v>Low Risk</v>
      </c>
      <c r="S708" s="12" t="str">
        <f>IF(Patient_Data[[#This Row],[Age]]&lt;=18,"Pediatric",IF(Patient_Data[[#This Row],[Age]]&lt;=64,"Adult","Geriatric"))</f>
        <v>Adult</v>
      </c>
    </row>
    <row r="709" spans="1:19" ht="15.75" customHeight="1" x14ac:dyDescent="0.3">
      <c r="A709" s="4" t="s">
        <v>1478</v>
      </c>
      <c r="B709" s="5" t="str">
        <f>TEXT(Patient_Data!$E709,"mmmm")</f>
        <v>July</v>
      </c>
      <c r="C709" s="6" t="str">
        <f t="shared" si="4"/>
        <v>Jul</v>
      </c>
      <c r="D709" s="6">
        <f>MONTH(Patient_Data!$E709)</f>
        <v>7</v>
      </c>
      <c r="E709" s="7">
        <v>46212</v>
      </c>
      <c r="F709" s="55" t="str">
        <f>TEXT(Patient_Data[[#This Row],[Admission_Date]],"YYYY")</f>
        <v>2026</v>
      </c>
      <c r="G709" s="8" t="s">
        <v>1479</v>
      </c>
      <c r="H709" s="8" t="s">
        <v>132</v>
      </c>
      <c r="I709" s="4" t="s">
        <v>29</v>
      </c>
      <c r="J709" s="4">
        <v>36</v>
      </c>
      <c r="K709" s="4" t="s">
        <v>54</v>
      </c>
      <c r="L709" s="8">
        <v>3</v>
      </c>
      <c r="M709" s="9" t="s">
        <v>72</v>
      </c>
      <c r="N709" s="9" t="str">
        <f t="shared" si="5"/>
        <v>Surgery</v>
      </c>
      <c r="O709" s="10">
        <v>17778.55</v>
      </c>
      <c r="P709" s="10">
        <v>11439.87</v>
      </c>
      <c r="Q709" s="11">
        <v>7.7</v>
      </c>
      <c r="R709" s="13" t="str">
        <f>IF(Patient_Data!$L709&lt;2,"Low Risk",IF(Patient_Data!$L709&lt;4,"Moderate Risk","High Risk"))</f>
        <v>Moderate Risk</v>
      </c>
      <c r="S709" s="12" t="str">
        <f>IF(Patient_Data[[#This Row],[Age]]&lt;=18,"Pediatric",IF(Patient_Data[[#This Row],[Age]]&lt;=64,"Adult","Geriatric"))</f>
        <v>Adult</v>
      </c>
    </row>
    <row r="710" spans="1:19" ht="15.75" customHeight="1" x14ac:dyDescent="0.3">
      <c r="A710" s="4" t="s">
        <v>1480</v>
      </c>
      <c r="B710" s="5" t="str">
        <f>TEXT(Patient_Data!$E710,"mmmm")</f>
        <v>April</v>
      </c>
      <c r="C710" s="6" t="str">
        <f t="shared" si="4"/>
        <v>Apr</v>
      </c>
      <c r="D710" s="6">
        <f>MONTH(Patient_Data!$E710)</f>
        <v>4</v>
      </c>
      <c r="E710" s="7">
        <v>45400</v>
      </c>
      <c r="F710" s="55" t="str">
        <f>TEXT(Patient_Data[[#This Row],[Admission_Date]],"YYYY")</f>
        <v>2024</v>
      </c>
      <c r="G710" s="8" t="s">
        <v>1481</v>
      </c>
      <c r="H710" s="8" t="s">
        <v>49</v>
      </c>
      <c r="I710" s="4" t="s">
        <v>29</v>
      </c>
      <c r="J710" s="4">
        <v>75</v>
      </c>
      <c r="K710" s="4" t="s">
        <v>30</v>
      </c>
      <c r="L710" s="8">
        <v>3</v>
      </c>
      <c r="M710" s="9" t="s">
        <v>39</v>
      </c>
      <c r="N710" s="9" t="str">
        <f t="shared" si="5"/>
        <v>GM</v>
      </c>
      <c r="O710" s="10">
        <v>1953.06</v>
      </c>
      <c r="P710" s="10">
        <v>1346.15</v>
      </c>
      <c r="Q710" s="11">
        <v>4.7</v>
      </c>
      <c r="R710" s="13" t="str">
        <f>IF(Patient_Data!$L710&lt;2,"Low Risk",IF(Patient_Data!$L710&lt;4,"Moderate Risk","High Risk"))</f>
        <v>Moderate Risk</v>
      </c>
      <c r="S710" s="12" t="str">
        <f>IF(Patient_Data[[#This Row],[Age]]&lt;=18,"Pediatric",IF(Patient_Data[[#This Row],[Age]]&lt;=64,"Adult","Geriatric"))</f>
        <v>Geriatric</v>
      </c>
    </row>
    <row r="711" spans="1:19" ht="15.75" customHeight="1" x14ac:dyDescent="0.3">
      <c r="A711" s="4" t="s">
        <v>1482</v>
      </c>
      <c r="B711" s="5" t="str">
        <f>TEXT(Patient_Data!$E711,"mmmm")</f>
        <v>July</v>
      </c>
      <c r="C711" s="6" t="str">
        <f t="shared" si="4"/>
        <v>Jul</v>
      </c>
      <c r="D711" s="6">
        <f>MONTH(Patient_Data!$E711)</f>
        <v>7</v>
      </c>
      <c r="E711" s="7">
        <v>46211</v>
      </c>
      <c r="F711" s="55" t="str">
        <f>TEXT(Patient_Data[[#This Row],[Admission_Date]],"YYYY")</f>
        <v>2026</v>
      </c>
      <c r="G711" s="8" t="s">
        <v>1483</v>
      </c>
      <c r="H711" s="8" t="s">
        <v>82</v>
      </c>
      <c r="I711" s="4" t="s">
        <v>29</v>
      </c>
      <c r="J711" s="4">
        <v>90</v>
      </c>
      <c r="K711" s="4" t="s">
        <v>54</v>
      </c>
      <c r="L711" s="8">
        <v>3</v>
      </c>
      <c r="M711" s="9" t="s">
        <v>50</v>
      </c>
      <c r="N711" s="9" t="str">
        <f t="shared" si="5"/>
        <v>ICU</v>
      </c>
      <c r="O711" s="10">
        <v>9593.51</v>
      </c>
      <c r="P711" s="10">
        <v>6825.86</v>
      </c>
      <c r="Q711" s="11">
        <v>13.8</v>
      </c>
      <c r="R711" s="13" t="str">
        <f>IF(Patient_Data!$L711&lt;2,"Low Risk",IF(Patient_Data!$L711&lt;4,"Moderate Risk","High Risk"))</f>
        <v>Moderate Risk</v>
      </c>
      <c r="S711" s="12" t="str">
        <f>IF(Patient_Data[[#This Row],[Age]]&lt;=18,"Pediatric",IF(Patient_Data[[#This Row],[Age]]&lt;=64,"Adult","Geriatric"))</f>
        <v>Geriatric</v>
      </c>
    </row>
    <row r="712" spans="1:19" ht="15.75" customHeight="1" x14ac:dyDescent="0.3">
      <c r="A712" s="4" t="s">
        <v>1484</v>
      </c>
      <c r="B712" s="5" t="str">
        <f>TEXT(Patient_Data!$E712,"mmmm")</f>
        <v>August</v>
      </c>
      <c r="C712" s="6" t="str">
        <f t="shared" si="4"/>
        <v>Aug</v>
      </c>
      <c r="D712" s="6">
        <f>MONTH(Patient_Data!$E712)</f>
        <v>8</v>
      </c>
      <c r="E712" s="7">
        <v>45882</v>
      </c>
      <c r="F712" s="55" t="str">
        <f>TEXT(Patient_Data[[#This Row],[Admission_Date]],"YYYY")</f>
        <v>2025</v>
      </c>
      <c r="G712" s="8" t="s">
        <v>1485</v>
      </c>
      <c r="H712" s="8" t="s">
        <v>42</v>
      </c>
      <c r="I712" s="4" t="s">
        <v>29</v>
      </c>
      <c r="J712" s="4">
        <v>53</v>
      </c>
      <c r="K712" s="4" t="s">
        <v>30</v>
      </c>
      <c r="L712" s="8">
        <v>1</v>
      </c>
      <c r="M712" s="9" t="s">
        <v>83</v>
      </c>
      <c r="N712" s="9" t="str">
        <f t="shared" si="5"/>
        <v>ER</v>
      </c>
      <c r="O712" s="10">
        <v>6130.64</v>
      </c>
      <c r="P712" s="10">
        <v>4633.7700000000004</v>
      </c>
      <c r="Q712" s="11">
        <v>19.8</v>
      </c>
      <c r="R712" s="13" t="str">
        <f>IF(Patient_Data!$L712&lt;2,"Low Risk",IF(Patient_Data!$L712&lt;4,"Moderate Risk","High Risk"))</f>
        <v>Low Risk</v>
      </c>
      <c r="S712" s="12" t="str">
        <f>IF(Patient_Data[[#This Row],[Age]]&lt;=18,"Pediatric",IF(Patient_Data[[#This Row],[Age]]&lt;=64,"Adult","Geriatric"))</f>
        <v>Adult</v>
      </c>
    </row>
    <row r="713" spans="1:19" ht="15.75" customHeight="1" x14ac:dyDescent="0.3">
      <c r="A713" s="4" t="s">
        <v>1486</v>
      </c>
      <c r="B713" s="5" t="str">
        <f>TEXT(Patient_Data!$E713,"mmmm")</f>
        <v>June</v>
      </c>
      <c r="C713" s="6" t="str">
        <f t="shared" si="4"/>
        <v>Jun</v>
      </c>
      <c r="D713" s="6">
        <f>MONTH(Patient_Data!$E713)</f>
        <v>6</v>
      </c>
      <c r="E713" s="7">
        <v>45469</v>
      </c>
      <c r="F713" s="55" t="str">
        <f>TEXT(Patient_Data[[#This Row],[Admission_Date]],"YYYY")</f>
        <v>2024</v>
      </c>
      <c r="G713" s="8" t="s">
        <v>1487</v>
      </c>
      <c r="H713" s="8" t="s">
        <v>132</v>
      </c>
      <c r="I713" s="4" t="s">
        <v>35</v>
      </c>
      <c r="J713" s="4">
        <v>83</v>
      </c>
      <c r="K713" s="4" t="s">
        <v>30</v>
      </c>
      <c r="L713" s="8">
        <v>1</v>
      </c>
      <c r="M713" s="9" t="s">
        <v>46</v>
      </c>
      <c r="N713" s="9" t="str">
        <f t="shared" si="5"/>
        <v>Ortho</v>
      </c>
      <c r="O713" s="10">
        <v>7909.77</v>
      </c>
      <c r="P713" s="10">
        <v>6105.03</v>
      </c>
      <c r="Q713" s="11">
        <v>11.7</v>
      </c>
      <c r="R713" s="13" t="str">
        <f>IF(Patient_Data!$L713&lt;2,"Low Risk",IF(Patient_Data!$L713&lt;4,"Moderate Risk","High Risk"))</f>
        <v>Low Risk</v>
      </c>
      <c r="S713" s="12" t="str">
        <f>IF(Patient_Data[[#This Row],[Age]]&lt;=18,"Pediatric",IF(Patient_Data[[#This Row],[Age]]&lt;=64,"Adult","Geriatric"))</f>
        <v>Geriatric</v>
      </c>
    </row>
    <row r="714" spans="1:19" ht="15.75" customHeight="1" x14ac:dyDescent="0.3">
      <c r="A714" s="4" t="s">
        <v>1488</v>
      </c>
      <c r="B714" s="5" t="str">
        <f>TEXT(Patient_Data!$E714,"mmmm")</f>
        <v>December</v>
      </c>
      <c r="C714" s="6" t="str">
        <f t="shared" si="4"/>
        <v>Dec</v>
      </c>
      <c r="D714" s="6">
        <f>MONTH(Patient_Data!$E714)</f>
        <v>12</v>
      </c>
      <c r="E714" s="7">
        <v>45650</v>
      </c>
      <c r="F714" s="55" t="str">
        <f>TEXT(Patient_Data[[#This Row],[Admission_Date]],"YYYY")</f>
        <v>2024</v>
      </c>
      <c r="G714" s="8" t="s">
        <v>1489</v>
      </c>
      <c r="H714" s="8" t="s">
        <v>132</v>
      </c>
      <c r="I714" s="4" t="s">
        <v>35</v>
      </c>
      <c r="J714" s="4">
        <v>69</v>
      </c>
      <c r="K714" s="4" t="s">
        <v>30</v>
      </c>
      <c r="L714" s="8">
        <v>1</v>
      </c>
      <c r="M714" s="9" t="s">
        <v>31</v>
      </c>
      <c r="N714" s="9" t="str">
        <f t="shared" si="5"/>
        <v>Neuro</v>
      </c>
      <c r="O714" s="10">
        <v>7645.96</v>
      </c>
      <c r="P714" s="10">
        <v>4527.46</v>
      </c>
      <c r="Q714" s="11">
        <v>11.6</v>
      </c>
      <c r="R714" s="13" t="str">
        <f>IF(Patient_Data!$L714&lt;2,"Low Risk",IF(Patient_Data!$L714&lt;4,"Moderate Risk","High Risk"))</f>
        <v>Low Risk</v>
      </c>
      <c r="S714" s="12" t="str">
        <f>IF(Patient_Data[[#This Row],[Age]]&lt;=18,"Pediatric",IF(Patient_Data[[#This Row],[Age]]&lt;=64,"Adult","Geriatric"))</f>
        <v>Geriatric</v>
      </c>
    </row>
    <row r="715" spans="1:19" ht="15.75" customHeight="1" x14ac:dyDescent="0.3">
      <c r="A715" s="4" t="s">
        <v>1490</v>
      </c>
      <c r="B715" s="5" t="str">
        <f>TEXT(Patient_Data!$E715,"mmmm")</f>
        <v>March</v>
      </c>
      <c r="C715" s="6" t="str">
        <f t="shared" si="4"/>
        <v>Mar</v>
      </c>
      <c r="D715" s="6">
        <f>MONTH(Patient_Data!$E715)</f>
        <v>3</v>
      </c>
      <c r="E715" s="7">
        <v>45377</v>
      </c>
      <c r="F715" s="55" t="str">
        <f>TEXT(Patient_Data[[#This Row],[Admission_Date]],"YYYY")</f>
        <v>2024</v>
      </c>
      <c r="G715" s="8" t="s">
        <v>1491</v>
      </c>
      <c r="H715" s="8" t="s">
        <v>28</v>
      </c>
      <c r="I715" s="4" t="s">
        <v>29</v>
      </c>
      <c r="J715" s="4">
        <v>17</v>
      </c>
      <c r="K715" s="4" t="s">
        <v>54</v>
      </c>
      <c r="L715" s="8">
        <v>1</v>
      </c>
      <c r="M715" s="9" t="s">
        <v>79</v>
      </c>
      <c r="N715" s="9" t="str">
        <f t="shared" si="5"/>
        <v>PD</v>
      </c>
      <c r="O715" s="10">
        <v>1283.1400000000001</v>
      </c>
      <c r="P715" s="10">
        <v>802.72</v>
      </c>
      <c r="Q715" s="11">
        <v>2.5</v>
      </c>
      <c r="R715" s="13" t="str">
        <f>IF(Patient_Data!$L715&lt;2,"Low Risk",IF(Patient_Data!$L715&lt;4,"Moderate Risk","High Risk"))</f>
        <v>Low Risk</v>
      </c>
      <c r="S715" s="12" t="str">
        <f>IF(Patient_Data[[#This Row],[Age]]&lt;=18,"Pediatric",IF(Patient_Data[[#This Row],[Age]]&lt;=64,"Adult","Geriatric"))</f>
        <v>Pediatric</v>
      </c>
    </row>
    <row r="716" spans="1:19" ht="15.75" customHeight="1" x14ac:dyDescent="0.3">
      <c r="A716" s="4" t="s">
        <v>1492</v>
      </c>
      <c r="B716" s="5" t="str">
        <f>TEXT(Patient_Data!$E716,"mmmm")</f>
        <v>January</v>
      </c>
      <c r="C716" s="6" t="str">
        <f t="shared" si="4"/>
        <v>Jan</v>
      </c>
      <c r="D716" s="6">
        <f>MONTH(Patient_Data!$E716)</f>
        <v>1</v>
      </c>
      <c r="E716" s="7">
        <v>45321</v>
      </c>
      <c r="F716" s="55" t="str">
        <f>TEXT(Patient_Data[[#This Row],[Admission_Date]],"YYYY")</f>
        <v>2024</v>
      </c>
      <c r="G716" s="8" t="s">
        <v>1493</v>
      </c>
      <c r="H716" s="8" t="s">
        <v>28</v>
      </c>
      <c r="I716" s="4" t="s">
        <v>29</v>
      </c>
      <c r="J716" s="4">
        <v>4</v>
      </c>
      <c r="K716" s="4" t="s">
        <v>54</v>
      </c>
      <c r="L716" s="8">
        <v>3</v>
      </c>
      <c r="M716" s="9" t="s">
        <v>79</v>
      </c>
      <c r="N716" s="9" t="str">
        <f t="shared" si="5"/>
        <v>PD</v>
      </c>
      <c r="O716" s="10">
        <v>1996.38</v>
      </c>
      <c r="P716" s="10">
        <v>1279.28</v>
      </c>
      <c r="Q716" s="11">
        <v>0.2</v>
      </c>
      <c r="R716" s="13" t="str">
        <f>IF(Patient_Data!$L716&lt;2,"Low Risk",IF(Patient_Data!$L716&lt;4,"Moderate Risk","High Risk"))</f>
        <v>Moderate Risk</v>
      </c>
      <c r="S716" s="12" t="str">
        <f>IF(Patient_Data[[#This Row],[Age]]&lt;=18,"Pediatric",IF(Patient_Data[[#This Row],[Age]]&lt;=64,"Adult","Geriatric"))</f>
        <v>Pediatric</v>
      </c>
    </row>
    <row r="717" spans="1:19" ht="15.75" customHeight="1" x14ac:dyDescent="0.3">
      <c r="A717" s="4" t="s">
        <v>1494</v>
      </c>
      <c r="B717" s="5" t="str">
        <f>TEXT(Patient_Data!$E717,"mmmm")</f>
        <v>June</v>
      </c>
      <c r="C717" s="6" t="str">
        <f t="shared" si="4"/>
        <v>Jun</v>
      </c>
      <c r="D717" s="6">
        <f>MONTH(Patient_Data!$E717)</f>
        <v>6</v>
      </c>
      <c r="E717" s="7">
        <v>46178</v>
      </c>
      <c r="F717" s="55" t="str">
        <f>TEXT(Patient_Data[[#This Row],[Admission_Date]],"YYYY")</f>
        <v>2026</v>
      </c>
      <c r="G717" s="8" t="s">
        <v>1495</v>
      </c>
      <c r="H717" s="8" t="s">
        <v>28</v>
      </c>
      <c r="I717" s="4" t="s">
        <v>29</v>
      </c>
      <c r="J717" s="4">
        <v>78</v>
      </c>
      <c r="K717" s="4" t="s">
        <v>54</v>
      </c>
      <c r="L717" s="8">
        <v>1</v>
      </c>
      <c r="M717" s="9" t="s">
        <v>46</v>
      </c>
      <c r="N717" s="9" t="str">
        <f t="shared" si="5"/>
        <v>Ortho</v>
      </c>
      <c r="O717" s="10">
        <v>4672.66</v>
      </c>
      <c r="P717" s="10">
        <v>3224.28</v>
      </c>
      <c r="Q717" s="11">
        <v>11.7</v>
      </c>
      <c r="R717" s="13" t="str">
        <f>IF(Patient_Data!$L717&lt;2,"Low Risk",IF(Patient_Data!$L717&lt;4,"Moderate Risk","High Risk"))</f>
        <v>Low Risk</v>
      </c>
      <c r="S717" s="12" t="str">
        <f>IF(Patient_Data[[#This Row],[Age]]&lt;=18,"Pediatric",IF(Patient_Data[[#This Row],[Age]]&lt;=64,"Adult","Geriatric"))</f>
        <v>Geriatric</v>
      </c>
    </row>
    <row r="718" spans="1:19" ht="15.75" customHeight="1" x14ac:dyDescent="0.3">
      <c r="A718" s="4" t="s">
        <v>1496</v>
      </c>
      <c r="B718" s="5" t="str">
        <f>TEXT(Patient_Data!$E718,"mmmm")</f>
        <v>March</v>
      </c>
      <c r="C718" s="6" t="str">
        <f t="shared" si="4"/>
        <v>Mar</v>
      </c>
      <c r="D718" s="6">
        <f>MONTH(Patient_Data!$E718)</f>
        <v>3</v>
      </c>
      <c r="E718" s="7">
        <v>46086</v>
      </c>
      <c r="F718" s="55" t="str">
        <f>TEXT(Patient_Data[[#This Row],[Admission_Date]],"YYYY")</f>
        <v>2026</v>
      </c>
      <c r="G718" s="8" t="s">
        <v>1497</v>
      </c>
      <c r="H718" s="8" t="s">
        <v>28</v>
      </c>
      <c r="I718" s="4" t="s">
        <v>35</v>
      </c>
      <c r="J718" s="4">
        <v>53</v>
      </c>
      <c r="K718" s="4" t="s">
        <v>54</v>
      </c>
      <c r="L718" s="8">
        <v>5</v>
      </c>
      <c r="M718" s="9" t="s">
        <v>72</v>
      </c>
      <c r="N718" s="9" t="str">
        <f t="shared" si="5"/>
        <v>Surgery</v>
      </c>
      <c r="O718" s="10">
        <v>16048.03</v>
      </c>
      <c r="P718" s="10">
        <v>11264.02</v>
      </c>
      <c r="Q718" s="11">
        <v>3.8</v>
      </c>
      <c r="R718" s="13" t="str">
        <f>IF(Patient_Data!$L718&lt;2,"Low Risk",IF(Patient_Data!$L718&lt;4,"Moderate Risk","High Risk"))</f>
        <v>High Risk</v>
      </c>
      <c r="S718" s="12" t="str">
        <f>IF(Patient_Data[[#This Row],[Age]]&lt;=18,"Pediatric",IF(Patient_Data[[#This Row],[Age]]&lt;=64,"Adult","Geriatric"))</f>
        <v>Adult</v>
      </c>
    </row>
    <row r="719" spans="1:19" ht="15.75" customHeight="1" x14ac:dyDescent="0.3">
      <c r="A719" s="4" t="s">
        <v>1498</v>
      </c>
      <c r="B719" s="5" t="str">
        <f>TEXT(Patient_Data!$E719,"mmmm")</f>
        <v>June</v>
      </c>
      <c r="C719" s="6" t="str">
        <f t="shared" si="4"/>
        <v>Jun</v>
      </c>
      <c r="D719" s="6">
        <f>MONTH(Patient_Data!$E719)</f>
        <v>6</v>
      </c>
      <c r="E719" s="7">
        <v>45828</v>
      </c>
      <c r="F719" s="55" t="str">
        <f>TEXT(Patient_Data[[#This Row],[Admission_Date]],"YYYY")</f>
        <v>2025</v>
      </c>
      <c r="G719" s="8" t="s">
        <v>1499</v>
      </c>
      <c r="H719" s="8" t="s">
        <v>82</v>
      </c>
      <c r="I719" s="4" t="s">
        <v>35</v>
      </c>
      <c r="J719" s="4">
        <v>1</v>
      </c>
      <c r="K719" s="4" t="s">
        <v>30</v>
      </c>
      <c r="L719" s="8">
        <v>2</v>
      </c>
      <c r="M719" s="9" t="s">
        <v>79</v>
      </c>
      <c r="N719" s="9" t="str">
        <f t="shared" si="5"/>
        <v>PD</v>
      </c>
      <c r="O719" s="10">
        <v>2099.41</v>
      </c>
      <c r="P719" s="10">
        <v>1561.37</v>
      </c>
      <c r="Q719" s="11">
        <v>3.6</v>
      </c>
      <c r="R719" s="13" t="str">
        <f>IF(Patient_Data!$L719&lt;2,"Low Risk",IF(Patient_Data!$L719&lt;4,"Moderate Risk","High Risk"))</f>
        <v>Moderate Risk</v>
      </c>
      <c r="S719" s="12" t="str">
        <f>IF(Patient_Data[[#This Row],[Age]]&lt;=18,"Pediatric",IF(Patient_Data[[#This Row],[Age]]&lt;=64,"Adult","Geriatric"))</f>
        <v>Pediatric</v>
      </c>
    </row>
    <row r="720" spans="1:19" ht="15.75" customHeight="1" x14ac:dyDescent="0.3">
      <c r="A720" s="4" t="s">
        <v>1500</v>
      </c>
      <c r="B720" s="5" t="str">
        <f>TEXT(Patient_Data!$E720,"mmmm")</f>
        <v>June</v>
      </c>
      <c r="C720" s="6" t="str">
        <f t="shared" si="4"/>
        <v>Jun</v>
      </c>
      <c r="D720" s="6">
        <f>MONTH(Patient_Data!$E720)</f>
        <v>6</v>
      </c>
      <c r="E720" s="7">
        <v>45814</v>
      </c>
      <c r="F720" s="55" t="str">
        <f>TEXT(Patient_Data[[#This Row],[Admission_Date]],"YYYY")</f>
        <v>2025</v>
      </c>
      <c r="G720" s="8" t="s">
        <v>1501</v>
      </c>
      <c r="H720" s="8" t="s">
        <v>53</v>
      </c>
      <c r="I720" s="4" t="s">
        <v>35</v>
      </c>
      <c r="J720" s="4">
        <v>22</v>
      </c>
      <c r="K720" s="4" t="s">
        <v>45</v>
      </c>
      <c r="L720" s="8">
        <v>4</v>
      </c>
      <c r="M720" s="9" t="s">
        <v>31</v>
      </c>
      <c r="N720" s="9" t="str">
        <f t="shared" si="5"/>
        <v>Neuro</v>
      </c>
      <c r="O720" s="10">
        <v>11729.05</v>
      </c>
      <c r="P720" s="10">
        <v>9000.48</v>
      </c>
      <c r="Q720" s="11">
        <v>10.8</v>
      </c>
      <c r="R720" s="13" t="str">
        <f>IF(Patient_Data!$L720&lt;2,"Low Risk",IF(Patient_Data!$L720&lt;4,"Moderate Risk","High Risk"))</f>
        <v>High Risk</v>
      </c>
      <c r="S720" s="12" t="str">
        <f>IF(Patient_Data[[#This Row],[Age]]&lt;=18,"Pediatric",IF(Patient_Data[[#This Row],[Age]]&lt;=64,"Adult","Geriatric"))</f>
        <v>Adult</v>
      </c>
    </row>
    <row r="721" spans="1:19" ht="15.75" customHeight="1" x14ac:dyDescent="0.3">
      <c r="A721" s="4" t="s">
        <v>1502</v>
      </c>
      <c r="B721" s="5" t="str">
        <f>TEXT(Patient_Data!$E721,"mmmm")</f>
        <v>July</v>
      </c>
      <c r="C721" s="6" t="str">
        <f t="shared" si="4"/>
        <v>Jul</v>
      </c>
      <c r="D721" s="6">
        <f>MONTH(Patient_Data!$E721)</f>
        <v>7</v>
      </c>
      <c r="E721" s="7">
        <v>45476</v>
      </c>
      <c r="F721" s="55" t="str">
        <f>TEXT(Patient_Data[[#This Row],[Admission_Date]],"YYYY")</f>
        <v>2024</v>
      </c>
      <c r="G721" s="8" t="s">
        <v>1503</v>
      </c>
      <c r="H721" s="8" t="s">
        <v>28</v>
      </c>
      <c r="I721" s="4" t="s">
        <v>35</v>
      </c>
      <c r="J721" s="4">
        <v>75</v>
      </c>
      <c r="K721" s="4" t="s">
        <v>54</v>
      </c>
      <c r="L721" s="8">
        <v>2</v>
      </c>
      <c r="M721" s="9" t="s">
        <v>36</v>
      </c>
      <c r="N721" s="9" t="str">
        <f t="shared" si="5"/>
        <v>Cardio</v>
      </c>
      <c r="O721" s="10">
        <v>6992.46</v>
      </c>
      <c r="P721" s="10">
        <v>4100.43</v>
      </c>
      <c r="Q721" s="11">
        <v>5.6</v>
      </c>
      <c r="R721" s="13" t="str">
        <f>IF(Patient_Data!$L721&lt;2,"Low Risk",IF(Patient_Data!$L721&lt;4,"Moderate Risk","High Risk"))</f>
        <v>Moderate Risk</v>
      </c>
      <c r="S721" s="12" t="str">
        <f>IF(Patient_Data[[#This Row],[Age]]&lt;=18,"Pediatric",IF(Patient_Data[[#This Row],[Age]]&lt;=64,"Adult","Geriatric"))</f>
        <v>Geriatric</v>
      </c>
    </row>
    <row r="722" spans="1:19" ht="15.75" customHeight="1" x14ac:dyDescent="0.3">
      <c r="A722" s="4" t="s">
        <v>1504</v>
      </c>
      <c r="B722" s="5" t="str">
        <f>TEXT(Patient_Data!$E722,"mmmm")</f>
        <v>February</v>
      </c>
      <c r="C722" s="6" t="str">
        <f t="shared" si="4"/>
        <v>Feb</v>
      </c>
      <c r="D722" s="6">
        <f>MONTH(Patient_Data!$E722)</f>
        <v>2</v>
      </c>
      <c r="E722" s="7">
        <v>46067</v>
      </c>
      <c r="F722" s="55" t="str">
        <f>TEXT(Patient_Data[[#This Row],[Admission_Date]],"YYYY")</f>
        <v>2026</v>
      </c>
      <c r="G722" s="8" t="s">
        <v>1505</v>
      </c>
      <c r="H722" s="8" t="s">
        <v>34</v>
      </c>
      <c r="I722" s="4" t="s">
        <v>29</v>
      </c>
      <c r="J722" s="4">
        <v>49</v>
      </c>
      <c r="K722" s="4" t="s">
        <v>30</v>
      </c>
      <c r="L722" s="8">
        <v>1</v>
      </c>
      <c r="M722" s="9" t="s">
        <v>83</v>
      </c>
      <c r="N722" s="9" t="str">
        <f t="shared" si="5"/>
        <v>ER</v>
      </c>
      <c r="O722" s="10">
        <v>8375.4500000000007</v>
      </c>
      <c r="P722" s="10">
        <v>5196.22</v>
      </c>
      <c r="Q722" s="11">
        <v>10.9</v>
      </c>
      <c r="R722" s="13" t="str">
        <f>IF(Patient_Data!$L722&lt;2,"Low Risk",IF(Patient_Data!$L722&lt;4,"Moderate Risk","High Risk"))</f>
        <v>Low Risk</v>
      </c>
      <c r="S722" s="12" t="str">
        <f>IF(Patient_Data[[#This Row],[Age]]&lt;=18,"Pediatric",IF(Patient_Data[[#This Row],[Age]]&lt;=64,"Adult","Geriatric"))</f>
        <v>Adult</v>
      </c>
    </row>
    <row r="723" spans="1:19" ht="15.75" customHeight="1" x14ac:dyDescent="0.3">
      <c r="A723" s="4" t="s">
        <v>1506</v>
      </c>
      <c r="B723" s="5" t="str">
        <f>TEXT(Patient_Data!$E723,"mmmm")</f>
        <v>February</v>
      </c>
      <c r="C723" s="6" t="str">
        <f t="shared" si="4"/>
        <v>Feb</v>
      </c>
      <c r="D723" s="6">
        <f>MONTH(Patient_Data!$E723)</f>
        <v>2</v>
      </c>
      <c r="E723" s="7">
        <v>46072</v>
      </c>
      <c r="F723" s="55" t="str">
        <f>TEXT(Patient_Data[[#This Row],[Admission_Date]],"YYYY")</f>
        <v>2026</v>
      </c>
      <c r="G723" s="8" t="s">
        <v>1507</v>
      </c>
      <c r="H723" s="8" t="s">
        <v>34</v>
      </c>
      <c r="I723" s="4" t="s">
        <v>29</v>
      </c>
      <c r="J723" s="4">
        <v>2</v>
      </c>
      <c r="K723" s="4" t="s">
        <v>30</v>
      </c>
      <c r="L723" s="8">
        <v>2</v>
      </c>
      <c r="M723" s="9" t="s">
        <v>79</v>
      </c>
      <c r="N723" s="9" t="str">
        <f t="shared" si="5"/>
        <v>PD</v>
      </c>
      <c r="O723" s="10">
        <v>2238.92</v>
      </c>
      <c r="P723" s="10">
        <v>1456.91</v>
      </c>
      <c r="Q723" s="11">
        <v>3</v>
      </c>
      <c r="R723" s="13" t="str">
        <f>IF(Patient_Data!$L723&lt;2,"Low Risk",IF(Patient_Data!$L723&lt;4,"Moderate Risk","High Risk"))</f>
        <v>Moderate Risk</v>
      </c>
      <c r="S723" s="12" t="str">
        <f>IF(Patient_Data[[#This Row],[Age]]&lt;=18,"Pediatric",IF(Patient_Data[[#This Row],[Age]]&lt;=64,"Adult","Geriatric"))</f>
        <v>Pediatric</v>
      </c>
    </row>
    <row r="724" spans="1:19" ht="15.75" customHeight="1" x14ac:dyDescent="0.3">
      <c r="A724" s="4" t="s">
        <v>1508</v>
      </c>
      <c r="B724" s="5" t="str">
        <f>TEXT(Patient_Data!$E724,"mmmm")</f>
        <v>December</v>
      </c>
      <c r="C724" s="6" t="str">
        <f t="shared" si="4"/>
        <v>Dec</v>
      </c>
      <c r="D724" s="6">
        <f>MONTH(Patient_Data!$E724)</f>
        <v>12</v>
      </c>
      <c r="E724" s="7">
        <v>45282</v>
      </c>
      <c r="F724" s="55" t="str">
        <f>TEXT(Patient_Data[[#This Row],[Admission_Date]],"YYYY")</f>
        <v>2023</v>
      </c>
      <c r="G724" s="8" t="s">
        <v>1509</v>
      </c>
      <c r="H724" s="8" t="s">
        <v>28</v>
      </c>
      <c r="I724" s="4" t="s">
        <v>35</v>
      </c>
      <c r="J724" s="4">
        <v>48</v>
      </c>
      <c r="K724" s="4" t="s">
        <v>45</v>
      </c>
      <c r="L724" s="8">
        <v>3</v>
      </c>
      <c r="M724" s="9" t="s">
        <v>72</v>
      </c>
      <c r="N724" s="9" t="str">
        <f t="shared" si="5"/>
        <v>Surgery</v>
      </c>
      <c r="O724" s="10">
        <v>20210.55</v>
      </c>
      <c r="P724" s="10">
        <v>13571.47</v>
      </c>
      <c r="Q724" s="11">
        <v>3.8</v>
      </c>
      <c r="R724" s="13" t="str">
        <f>IF(Patient_Data!$L724&lt;2,"Low Risk",IF(Patient_Data!$L724&lt;4,"Moderate Risk","High Risk"))</f>
        <v>Moderate Risk</v>
      </c>
      <c r="S724" s="12" t="str">
        <f>IF(Patient_Data[[#This Row],[Age]]&lt;=18,"Pediatric",IF(Patient_Data[[#This Row],[Age]]&lt;=64,"Adult","Geriatric"))</f>
        <v>Adult</v>
      </c>
    </row>
    <row r="725" spans="1:19" ht="15.75" customHeight="1" x14ac:dyDescent="0.3">
      <c r="A725" s="4" t="s">
        <v>1510</v>
      </c>
      <c r="B725" s="5" t="str">
        <f>TEXT(Patient_Data!$E725,"mmmm")</f>
        <v>August</v>
      </c>
      <c r="C725" s="6" t="str">
        <f t="shared" si="4"/>
        <v>Aug</v>
      </c>
      <c r="D725" s="6">
        <f>MONTH(Patient_Data!$E725)</f>
        <v>8</v>
      </c>
      <c r="E725" s="7">
        <v>45887</v>
      </c>
      <c r="F725" s="55" t="str">
        <f>TEXT(Patient_Data[[#This Row],[Admission_Date]],"YYYY")</f>
        <v>2025</v>
      </c>
      <c r="G725" s="8" t="s">
        <v>1511</v>
      </c>
      <c r="H725" s="8" t="s">
        <v>42</v>
      </c>
      <c r="I725" s="4" t="s">
        <v>35</v>
      </c>
      <c r="J725" s="4">
        <v>76</v>
      </c>
      <c r="K725" s="4" t="s">
        <v>30</v>
      </c>
      <c r="L725" s="8">
        <v>2</v>
      </c>
      <c r="M725" s="9" t="s">
        <v>31</v>
      </c>
      <c r="N725" s="9" t="str">
        <f t="shared" si="5"/>
        <v>Neuro</v>
      </c>
      <c r="O725" s="10">
        <v>10601.08</v>
      </c>
      <c r="P725" s="10">
        <v>7515.96</v>
      </c>
      <c r="Q725" s="11">
        <v>11.9</v>
      </c>
      <c r="R725" s="13" t="str">
        <f>IF(Patient_Data!$L725&lt;2,"Low Risk",IF(Patient_Data!$L725&lt;4,"Moderate Risk","High Risk"))</f>
        <v>Moderate Risk</v>
      </c>
      <c r="S725" s="12" t="str">
        <f>IF(Patient_Data[[#This Row],[Age]]&lt;=18,"Pediatric",IF(Patient_Data[[#This Row],[Age]]&lt;=64,"Adult","Geriatric"))</f>
        <v>Geriatric</v>
      </c>
    </row>
    <row r="726" spans="1:19" ht="15.75" customHeight="1" x14ac:dyDescent="0.3">
      <c r="A726" s="4" t="s">
        <v>1512</v>
      </c>
      <c r="B726" s="5" t="str">
        <f>TEXT(Patient_Data!$E726,"mmmm")</f>
        <v>July</v>
      </c>
      <c r="C726" s="6" t="str">
        <f t="shared" si="4"/>
        <v>Jul</v>
      </c>
      <c r="D726" s="6">
        <f>MONTH(Patient_Data!$E726)</f>
        <v>7</v>
      </c>
      <c r="E726" s="7">
        <v>46206</v>
      </c>
      <c r="F726" s="55" t="str">
        <f>TEXT(Patient_Data[[#This Row],[Admission_Date]],"YYYY")</f>
        <v>2026</v>
      </c>
      <c r="G726" s="8" t="s">
        <v>1513</v>
      </c>
      <c r="H726" s="8" t="s">
        <v>53</v>
      </c>
      <c r="I726" s="4" t="s">
        <v>35</v>
      </c>
      <c r="J726" s="4">
        <v>68</v>
      </c>
      <c r="K726" s="4" t="s">
        <v>30</v>
      </c>
      <c r="L726" s="8">
        <v>3</v>
      </c>
      <c r="M726" s="9" t="s">
        <v>83</v>
      </c>
      <c r="N726" s="9" t="str">
        <f t="shared" si="5"/>
        <v>ER</v>
      </c>
      <c r="O726" s="10">
        <v>5787.38</v>
      </c>
      <c r="P726" s="10">
        <v>4370.3900000000003</v>
      </c>
      <c r="Q726" s="11">
        <v>18.2</v>
      </c>
      <c r="R726" s="13" t="str">
        <f>IF(Patient_Data!$L726&lt;2,"Low Risk",IF(Patient_Data!$L726&lt;4,"Moderate Risk","High Risk"))</f>
        <v>Moderate Risk</v>
      </c>
      <c r="S726" s="12" t="str">
        <f>IF(Patient_Data[[#This Row],[Age]]&lt;=18,"Pediatric",IF(Patient_Data[[#This Row],[Age]]&lt;=64,"Adult","Geriatric"))</f>
        <v>Geriatric</v>
      </c>
    </row>
    <row r="727" spans="1:19" ht="15.75" customHeight="1" x14ac:dyDescent="0.3">
      <c r="A727" s="4" t="s">
        <v>1514</v>
      </c>
      <c r="B727" s="5" t="str">
        <f>TEXT(Patient_Data!$E727,"mmmm")</f>
        <v>March</v>
      </c>
      <c r="C727" s="6" t="str">
        <f t="shared" si="4"/>
        <v>Mar</v>
      </c>
      <c r="D727" s="6">
        <f>MONTH(Patient_Data!$E727)</f>
        <v>3</v>
      </c>
      <c r="E727" s="7">
        <v>46092</v>
      </c>
      <c r="F727" s="55" t="str">
        <f>TEXT(Patient_Data[[#This Row],[Admission_Date]],"YYYY")</f>
        <v>2026</v>
      </c>
      <c r="G727" s="8" t="s">
        <v>1515</v>
      </c>
      <c r="H727" s="8" t="s">
        <v>42</v>
      </c>
      <c r="I727" s="4" t="s">
        <v>29</v>
      </c>
      <c r="J727" s="4">
        <v>70</v>
      </c>
      <c r="K727" s="4" t="s">
        <v>54</v>
      </c>
      <c r="L727" s="8">
        <v>5</v>
      </c>
      <c r="M727" s="9" t="s">
        <v>46</v>
      </c>
      <c r="N727" s="9" t="str">
        <f t="shared" si="5"/>
        <v>Ortho</v>
      </c>
      <c r="O727" s="10">
        <v>8128.11</v>
      </c>
      <c r="P727" s="10">
        <v>6253.36</v>
      </c>
      <c r="Q727" s="11">
        <v>9.5</v>
      </c>
      <c r="R727" s="13" t="str">
        <f>IF(Patient_Data!$L727&lt;2,"Low Risk",IF(Patient_Data!$L727&lt;4,"Moderate Risk","High Risk"))</f>
        <v>High Risk</v>
      </c>
      <c r="S727" s="12" t="str">
        <f>IF(Patient_Data[[#This Row],[Age]]&lt;=18,"Pediatric",IF(Patient_Data[[#This Row],[Age]]&lt;=64,"Adult","Geriatric"))</f>
        <v>Geriatric</v>
      </c>
    </row>
    <row r="728" spans="1:19" ht="15.75" customHeight="1" x14ac:dyDescent="0.3">
      <c r="A728" s="4" t="s">
        <v>1516</v>
      </c>
      <c r="B728" s="5" t="str">
        <f>TEXT(Patient_Data!$E728,"mmmm")</f>
        <v>November</v>
      </c>
      <c r="C728" s="6" t="str">
        <f t="shared" si="4"/>
        <v>Nov</v>
      </c>
      <c r="D728" s="6">
        <f>MONTH(Patient_Data!$E728)</f>
        <v>11</v>
      </c>
      <c r="E728" s="7">
        <v>45244</v>
      </c>
      <c r="F728" s="55" t="str">
        <f>TEXT(Patient_Data[[#This Row],[Admission_Date]],"YYYY")</f>
        <v>2023</v>
      </c>
      <c r="G728" s="8" t="s">
        <v>1517</v>
      </c>
      <c r="H728" s="8" t="s">
        <v>42</v>
      </c>
      <c r="I728" s="4" t="s">
        <v>35</v>
      </c>
      <c r="J728" s="4">
        <v>73</v>
      </c>
      <c r="K728" s="4" t="s">
        <v>45</v>
      </c>
      <c r="L728" s="8">
        <v>5</v>
      </c>
      <c r="M728" s="9" t="s">
        <v>50</v>
      </c>
      <c r="N728" s="9" t="str">
        <f t="shared" si="5"/>
        <v>ICU</v>
      </c>
      <c r="O728" s="10">
        <v>23580.44</v>
      </c>
      <c r="P728" s="10">
        <v>13788.66</v>
      </c>
      <c r="Q728" s="11">
        <v>14</v>
      </c>
      <c r="R728" s="13" t="str">
        <f>IF(Patient_Data!$L728&lt;2,"Low Risk",IF(Patient_Data!$L728&lt;4,"Moderate Risk","High Risk"))</f>
        <v>High Risk</v>
      </c>
      <c r="S728" s="12" t="str">
        <f>IF(Patient_Data[[#This Row],[Age]]&lt;=18,"Pediatric",IF(Patient_Data[[#This Row],[Age]]&lt;=64,"Adult","Geriatric"))</f>
        <v>Geriatric</v>
      </c>
    </row>
    <row r="729" spans="1:19" ht="15.75" customHeight="1" x14ac:dyDescent="0.3">
      <c r="A729" s="4" t="s">
        <v>1518</v>
      </c>
      <c r="B729" s="5" t="str">
        <f>TEXT(Patient_Data!$E729,"mmmm")</f>
        <v>April</v>
      </c>
      <c r="C729" s="6" t="str">
        <f t="shared" si="4"/>
        <v>Apr</v>
      </c>
      <c r="D729" s="6">
        <f>MONTH(Patient_Data!$E729)</f>
        <v>4</v>
      </c>
      <c r="E729" s="7">
        <v>45754</v>
      </c>
      <c r="F729" s="55" t="str">
        <f>TEXT(Patient_Data[[#This Row],[Admission_Date]],"YYYY")</f>
        <v>2025</v>
      </c>
      <c r="G729" s="8" t="s">
        <v>1519</v>
      </c>
      <c r="H729" s="8" t="s">
        <v>34</v>
      </c>
      <c r="I729" s="4" t="s">
        <v>35</v>
      </c>
      <c r="J729" s="4">
        <v>5</v>
      </c>
      <c r="K729" s="4" t="s">
        <v>30</v>
      </c>
      <c r="L729" s="8">
        <v>1</v>
      </c>
      <c r="M729" s="9" t="s">
        <v>79</v>
      </c>
      <c r="N729" s="9" t="str">
        <f t="shared" si="5"/>
        <v>PD</v>
      </c>
      <c r="O729" s="10">
        <v>2327.6999999999998</v>
      </c>
      <c r="P729" s="10">
        <v>1439.9</v>
      </c>
      <c r="Q729" s="11">
        <v>2.5</v>
      </c>
      <c r="R729" s="13" t="str">
        <f>IF(Patient_Data!$L729&lt;2,"Low Risk",IF(Patient_Data!$L729&lt;4,"Moderate Risk","High Risk"))</f>
        <v>Low Risk</v>
      </c>
      <c r="S729" s="12" t="str">
        <f>IF(Patient_Data[[#This Row],[Age]]&lt;=18,"Pediatric",IF(Patient_Data[[#This Row],[Age]]&lt;=64,"Adult","Geriatric"))</f>
        <v>Pediatric</v>
      </c>
    </row>
    <row r="730" spans="1:19" ht="15.75" customHeight="1" x14ac:dyDescent="0.3">
      <c r="A730" s="4" t="s">
        <v>1520</v>
      </c>
      <c r="B730" s="5" t="str">
        <f>TEXT(Patient_Data!$E730,"mmmm")</f>
        <v>February</v>
      </c>
      <c r="C730" s="6" t="str">
        <f t="shared" si="4"/>
        <v>Feb</v>
      </c>
      <c r="D730" s="6">
        <f>MONTH(Patient_Data!$E730)</f>
        <v>2</v>
      </c>
      <c r="E730" s="7">
        <v>45324</v>
      </c>
      <c r="F730" s="55" t="str">
        <f>TEXT(Patient_Data[[#This Row],[Admission_Date]],"YYYY")</f>
        <v>2024</v>
      </c>
      <c r="G730" s="8" t="s">
        <v>1521</v>
      </c>
      <c r="H730" s="8" t="s">
        <v>53</v>
      </c>
      <c r="I730" s="4" t="s">
        <v>29</v>
      </c>
      <c r="J730" s="4">
        <v>31</v>
      </c>
      <c r="K730" s="4" t="s">
        <v>54</v>
      </c>
      <c r="L730" s="8">
        <v>1</v>
      </c>
      <c r="M730" s="9" t="s">
        <v>83</v>
      </c>
      <c r="N730" s="9" t="str">
        <f t="shared" si="5"/>
        <v>ER</v>
      </c>
      <c r="O730" s="10">
        <v>4639.29</v>
      </c>
      <c r="P730" s="10">
        <v>3051.55</v>
      </c>
      <c r="Q730" s="11">
        <v>10.3</v>
      </c>
      <c r="R730" s="13" t="str">
        <f>IF(Patient_Data!$L730&lt;2,"Low Risk",IF(Patient_Data!$L730&lt;4,"Moderate Risk","High Risk"))</f>
        <v>Low Risk</v>
      </c>
      <c r="S730" s="12" t="str">
        <f>IF(Patient_Data[[#This Row],[Age]]&lt;=18,"Pediatric",IF(Patient_Data[[#This Row],[Age]]&lt;=64,"Adult","Geriatric"))</f>
        <v>Adult</v>
      </c>
    </row>
    <row r="731" spans="1:19" ht="15.75" customHeight="1" x14ac:dyDescent="0.3">
      <c r="A731" s="4" t="s">
        <v>1522</v>
      </c>
      <c r="B731" s="5" t="str">
        <f>TEXT(Patient_Data!$E731,"mmmm")</f>
        <v>February</v>
      </c>
      <c r="C731" s="6" t="str">
        <f t="shared" si="4"/>
        <v>Feb</v>
      </c>
      <c r="D731" s="6">
        <f>MONTH(Patient_Data!$E731)</f>
        <v>2</v>
      </c>
      <c r="E731" s="7">
        <v>45351</v>
      </c>
      <c r="F731" s="55" t="str">
        <f>TEXT(Patient_Data[[#This Row],[Admission_Date]],"YYYY")</f>
        <v>2024</v>
      </c>
      <c r="G731" s="8" t="s">
        <v>1523</v>
      </c>
      <c r="H731" s="8" t="s">
        <v>28</v>
      </c>
      <c r="I731" s="4" t="s">
        <v>35</v>
      </c>
      <c r="J731" s="4">
        <v>9</v>
      </c>
      <c r="K731" s="4" t="s">
        <v>30</v>
      </c>
      <c r="L731" s="8">
        <v>2</v>
      </c>
      <c r="M731" s="9" t="s">
        <v>79</v>
      </c>
      <c r="N731" s="9" t="str">
        <f t="shared" si="5"/>
        <v>PD</v>
      </c>
      <c r="O731" s="10">
        <v>1303.6400000000001</v>
      </c>
      <c r="P731" s="10">
        <v>904.64</v>
      </c>
      <c r="Q731" s="11">
        <v>3.9</v>
      </c>
      <c r="R731" s="13" t="str">
        <f>IF(Patient_Data!$L731&lt;2,"Low Risk",IF(Patient_Data!$L731&lt;4,"Moderate Risk","High Risk"))</f>
        <v>Moderate Risk</v>
      </c>
      <c r="S731" s="12" t="str">
        <f>IF(Patient_Data[[#This Row],[Age]]&lt;=18,"Pediatric",IF(Patient_Data[[#This Row],[Age]]&lt;=64,"Adult","Geriatric"))</f>
        <v>Pediatric</v>
      </c>
    </row>
    <row r="732" spans="1:19" ht="15.75" customHeight="1" x14ac:dyDescent="0.3">
      <c r="A732" s="4" t="s">
        <v>1524</v>
      </c>
      <c r="B732" s="5" t="str">
        <f>TEXT(Patient_Data!$E732,"mmmm")</f>
        <v>July</v>
      </c>
      <c r="C732" s="6" t="str">
        <f t="shared" si="4"/>
        <v>Jul</v>
      </c>
      <c r="D732" s="6">
        <f>MONTH(Patient_Data!$E732)</f>
        <v>7</v>
      </c>
      <c r="E732" s="7">
        <v>46205</v>
      </c>
      <c r="F732" s="55" t="str">
        <f>TEXT(Patient_Data[[#This Row],[Admission_Date]],"YYYY")</f>
        <v>2026</v>
      </c>
      <c r="G732" s="8" t="s">
        <v>1525</v>
      </c>
      <c r="H732" s="8" t="s">
        <v>75</v>
      </c>
      <c r="I732" s="4" t="s">
        <v>35</v>
      </c>
      <c r="J732" s="4">
        <v>65</v>
      </c>
      <c r="K732" s="4" t="s">
        <v>30</v>
      </c>
      <c r="L732" s="8">
        <v>1</v>
      </c>
      <c r="M732" s="9" t="s">
        <v>39</v>
      </c>
      <c r="N732" s="9" t="str">
        <f t="shared" si="5"/>
        <v>GM</v>
      </c>
      <c r="O732" s="10">
        <v>2319.69</v>
      </c>
      <c r="P732" s="10">
        <v>1659.78</v>
      </c>
      <c r="Q732" s="11">
        <v>4.5</v>
      </c>
      <c r="R732" s="13" t="str">
        <f>IF(Patient_Data!$L732&lt;2,"Low Risk",IF(Patient_Data!$L732&lt;4,"Moderate Risk","High Risk"))</f>
        <v>Low Risk</v>
      </c>
      <c r="S732" s="12" t="str">
        <f>IF(Patient_Data[[#This Row],[Age]]&lt;=18,"Pediatric",IF(Patient_Data[[#This Row],[Age]]&lt;=64,"Adult","Geriatric"))</f>
        <v>Geriatric</v>
      </c>
    </row>
    <row r="733" spans="1:19" ht="15.75" customHeight="1" x14ac:dyDescent="0.3">
      <c r="A733" s="4" t="s">
        <v>1526</v>
      </c>
      <c r="B733" s="5" t="str">
        <f>TEXT(Patient_Data!$E733,"mmmm")</f>
        <v>October</v>
      </c>
      <c r="C733" s="6" t="str">
        <f t="shared" si="4"/>
        <v>Oct</v>
      </c>
      <c r="D733" s="6">
        <f>MONTH(Patient_Data!$E733)</f>
        <v>10</v>
      </c>
      <c r="E733" s="7">
        <v>45954</v>
      </c>
      <c r="F733" s="55" t="str">
        <f>TEXT(Patient_Data[[#This Row],[Admission_Date]],"YYYY")</f>
        <v>2025</v>
      </c>
      <c r="G733" s="8" t="s">
        <v>1527</v>
      </c>
      <c r="H733" s="8" t="s">
        <v>53</v>
      </c>
      <c r="I733" s="4" t="s">
        <v>29</v>
      </c>
      <c r="J733" s="4">
        <v>85</v>
      </c>
      <c r="K733" s="4" t="s">
        <v>54</v>
      </c>
      <c r="L733" s="8">
        <v>3</v>
      </c>
      <c r="M733" s="9" t="s">
        <v>36</v>
      </c>
      <c r="N733" s="9" t="str">
        <f t="shared" si="5"/>
        <v>Cardio</v>
      </c>
      <c r="O733" s="10">
        <v>11894.95</v>
      </c>
      <c r="P733" s="10">
        <v>8716.91</v>
      </c>
      <c r="Q733" s="11">
        <v>4.2</v>
      </c>
      <c r="R733" s="13" t="str">
        <f>IF(Patient_Data!$L733&lt;2,"Low Risk",IF(Patient_Data!$L733&lt;4,"Moderate Risk","High Risk"))</f>
        <v>Moderate Risk</v>
      </c>
      <c r="S733" s="12" t="str">
        <f>IF(Patient_Data[[#This Row],[Age]]&lt;=18,"Pediatric",IF(Patient_Data[[#This Row],[Age]]&lt;=64,"Adult","Geriatric"))</f>
        <v>Geriatric</v>
      </c>
    </row>
    <row r="734" spans="1:19" ht="15.75" customHeight="1" x14ac:dyDescent="0.3">
      <c r="A734" s="4" t="s">
        <v>1528</v>
      </c>
      <c r="B734" s="5" t="str">
        <f>TEXT(Patient_Data!$E734,"mmmm")</f>
        <v>April</v>
      </c>
      <c r="C734" s="6" t="str">
        <f t="shared" si="4"/>
        <v>Apr</v>
      </c>
      <c r="D734" s="6">
        <f>MONTH(Patient_Data!$E734)</f>
        <v>4</v>
      </c>
      <c r="E734" s="7">
        <v>46114</v>
      </c>
      <c r="F734" s="55" t="str">
        <f>TEXT(Patient_Data[[#This Row],[Admission_Date]],"YYYY")</f>
        <v>2026</v>
      </c>
      <c r="G734" s="8" t="s">
        <v>1529</v>
      </c>
      <c r="H734" s="8" t="s">
        <v>82</v>
      </c>
      <c r="I734" s="4" t="s">
        <v>35</v>
      </c>
      <c r="J734" s="4">
        <v>45</v>
      </c>
      <c r="K734" s="4" t="s">
        <v>30</v>
      </c>
      <c r="L734" s="8">
        <v>1</v>
      </c>
      <c r="M734" s="9" t="s">
        <v>39</v>
      </c>
      <c r="N734" s="9" t="str">
        <f t="shared" si="5"/>
        <v>GM</v>
      </c>
      <c r="O734" s="10">
        <v>2477.56</v>
      </c>
      <c r="P734" s="10">
        <v>1926.15</v>
      </c>
      <c r="Q734" s="11">
        <v>5.4</v>
      </c>
      <c r="R734" s="13" t="str">
        <f>IF(Patient_Data!$L734&lt;2,"Low Risk",IF(Patient_Data!$L734&lt;4,"Moderate Risk","High Risk"))</f>
        <v>Low Risk</v>
      </c>
      <c r="S734" s="12" t="str">
        <f>IF(Patient_Data[[#This Row],[Age]]&lt;=18,"Pediatric",IF(Patient_Data[[#This Row],[Age]]&lt;=64,"Adult","Geriatric"))</f>
        <v>Adult</v>
      </c>
    </row>
    <row r="735" spans="1:19" ht="15.75" customHeight="1" x14ac:dyDescent="0.3">
      <c r="A735" s="4" t="s">
        <v>1530</v>
      </c>
      <c r="B735" s="5" t="str">
        <f>TEXT(Patient_Data!$E735,"mmmm")</f>
        <v>November</v>
      </c>
      <c r="C735" s="6" t="str">
        <f t="shared" si="4"/>
        <v>Nov</v>
      </c>
      <c r="D735" s="6">
        <f>MONTH(Patient_Data!$E735)</f>
        <v>11</v>
      </c>
      <c r="E735" s="7">
        <v>45251</v>
      </c>
      <c r="F735" s="55" t="str">
        <f>TEXT(Patient_Data[[#This Row],[Admission_Date]],"YYYY")</f>
        <v>2023</v>
      </c>
      <c r="G735" s="8" t="s">
        <v>1531</v>
      </c>
      <c r="H735" s="8" t="s">
        <v>132</v>
      </c>
      <c r="I735" s="4" t="s">
        <v>35</v>
      </c>
      <c r="J735" s="4">
        <v>71</v>
      </c>
      <c r="K735" s="4" t="s">
        <v>30</v>
      </c>
      <c r="L735" s="8">
        <v>2</v>
      </c>
      <c r="M735" s="9" t="s">
        <v>39</v>
      </c>
      <c r="N735" s="9" t="str">
        <f t="shared" si="5"/>
        <v>GM</v>
      </c>
      <c r="O735" s="10">
        <v>3981.66</v>
      </c>
      <c r="P735" s="10">
        <v>2348.56</v>
      </c>
      <c r="Q735" s="11">
        <v>4.9000000000000004</v>
      </c>
      <c r="R735" s="13" t="str">
        <f>IF(Patient_Data!$L735&lt;2,"Low Risk",IF(Patient_Data!$L735&lt;4,"Moderate Risk","High Risk"))</f>
        <v>Moderate Risk</v>
      </c>
      <c r="S735" s="12" t="str">
        <f>IF(Patient_Data[[#This Row],[Age]]&lt;=18,"Pediatric",IF(Patient_Data[[#This Row],[Age]]&lt;=64,"Adult","Geriatric"))</f>
        <v>Geriatric</v>
      </c>
    </row>
    <row r="736" spans="1:19" ht="15.75" customHeight="1" x14ac:dyDescent="0.3">
      <c r="A736" s="4" t="s">
        <v>1532</v>
      </c>
      <c r="B736" s="5" t="str">
        <f>TEXT(Patient_Data!$E736,"mmmm")</f>
        <v>September</v>
      </c>
      <c r="C736" s="6" t="str">
        <f t="shared" si="4"/>
        <v>Sep</v>
      </c>
      <c r="D736" s="6">
        <f>MONTH(Patient_Data!$E736)</f>
        <v>9</v>
      </c>
      <c r="E736" s="7">
        <v>45552</v>
      </c>
      <c r="F736" s="55" t="str">
        <f>TEXT(Patient_Data[[#This Row],[Admission_Date]],"YYYY")</f>
        <v>2024</v>
      </c>
      <c r="G736" s="8" t="s">
        <v>1326</v>
      </c>
      <c r="H736" s="8" t="s">
        <v>28</v>
      </c>
      <c r="I736" s="4" t="s">
        <v>29</v>
      </c>
      <c r="J736" s="4">
        <v>71</v>
      </c>
      <c r="K736" s="4" t="s">
        <v>45</v>
      </c>
      <c r="L736" s="8">
        <v>3</v>
      </c>
      <c r="M736" s="9" t="s">
        <v>36</v>
      </c>
      <c r="N736" s="9" t="str">
        <f t="shared" si="5"/>
        <v>Cardio</v>
      </c>
      <c r="O736" s="10">
        <v>15535.47</v>
      </c>
      <c r="P736" s="10">
        <v>9503.84</v>
      </c>
      <c r="Q736" s="11">
        <v>3.4</v>
      </c>
      <c r="R736" s="13" t="str">
        <f>IF(Patient_Data!$L736&lt;2,"Low Risk",IF(Patient_Data!$L736&lt;4,"Moderate Risk","High Risk"))</f>
        <v>Moderate Risk</v>
      </c>
      <c r="S736" s="12" t="str">
        <f>IF(Patient_Data[[#This Row],[Age]]&lt;=18,"Pediatric",IF(Patient_Data[[#This Row],[Age]]&lt;=64,"Adult","Geriatric"))</f>
        <v>Geriatric</v>
      </c>
    </row>
    <row r="737" spans="1:19" ht="15.75" customHeight="1" x14ac:dyDescent="0.3">
      <c r="A737" s="4" t="s">
        <v>1533</v>
      </c>
      <c r="B737" s="5" t="str">
        <f>TEXT(Patient_Data!$E737,"mmmm")</f>
        <v>June</v>
      </c>
      <c r="C737" s="6" t="str">
        <f t="shared" si="4"/>
        <v>Jun</v>
      </c>
      <c r="D737" s="6">
        <f>MONTH(Patient_Data!$E737)</f>
        <v>6</v>
      </c>
      <c r="E737" s="7">
        <v>45825</v>
      </c>
      <c r="F737" s="55" t="str">
        <f>TEXT(Patient_Data[[#This Row],[Admission_Date]],"YYYY")</f>
        <v>2025</v>
      </c>
      <c r="G737" s="8" t="s">
        <v>1534</v>
      </c>
      <c r="H737" s="8" t="s">
        <v>42</v>
      </c>
      <c r="I737" s="4" t="s">
        <v>35</v>
      </c>
      <c r="J737" s="4">
        <v>70</v>
      </c>
      <c r="K737" s="4" t="s">
        <v>30</v>
      </c>
      <c r="L737" s="8">
        <v>2</v>
      </c>
      <c r="M737" s="9" t="s">
        <v>36</v>
      </c>
      <c r="N737" s="9" t="str">
        <f t="shared" si="5"/>
        <v>Cardio</v>
      </c>
      <c r="O737" s="10">
        <v>10592.64</v>
      </c>
      <c r="P737" s="10">
        <v>6820.09</v>
      </c>
      <c r="Q737" s="11">
        <v>5.0999999999999996</v>
      </c>
      <c r="R737" s="13" t="str">
        <f>IF(Patient_Data!$L737&lt;2,"Low Risk",IF(Patient_Data!$L737&lt;4,"Moderate Risk","High Risk"))</f>
        <v>Moderate Risk</v>
      </c>
      <c r="S737" s="12" t="str">
        <f>IF(Patient_Data[[#This Row],[Age]]&lt;=18,"Pediatric",IF(Patient_Data[[#This Row],[Age]]&lt;=64,"Adult","Geriatric"))</f>
        <v>Geriatric</v>
      </c>
    </row>
    <row r="738" spans="1:19" ht="15.75" customHeight="1" x14ac:dyDescent="0.3">
      <c r="A738" s="4" t="s">
        <v>1535</v>
      </c>
      <c r="B738" s="5" t="str">
        <f>TEXT(Patient_Data!$E738,"mmmm")</f>
        <v>April</v>
      </c>
      <c r="C738" s="6" t="str">
        <f t="shared" si="4"/>
        <v>Apr</v>
      </c>
      <c r="D738" s="6">
        <f>MONTH(Patient_Data!$E738)</f>
        <v>4</v>
      </c>
      <c r="E738" s="7">
        <v>46141</v>
      </c>
      <c r="F738" s="55" t="str">
        <f>TEXT(Patient_Data[[#This Row],[Admission_Date]],"YYYY")</f>
        <v>2026</v>
      </c>
      <c r="G738" s="8" t="s">
        <v>186</v>
      </c>
      <c r="H738" s="8" t="s">
        <v>34</v>
      </c>
      <c r="I738" s="4" t="s">
        <v>35</v>
      </c>
      <c r="J738" s="4">
        <v>58</v>
      </c>
      <c r="K738" s="4" t="s">
        <v>30</v>
      </c>
      <c r="L738" s="8">
        <v>1</v>
      </c>
      <c r="M738" s="9" t="s">
        <v>31</v>
      </c>
      <c r="N738" s="9" t="str">
        <f t="shared" si="5"/>
        <v>Neuro</v>
      </c>
      <c r="O738" s="10">
        <v>4674.18</v>
      </c>
      <c r="P738" s="10">
        <v>3177.3</v>
      </c>
      <c r="Q738" s="11">
        <v>5.7</v>
      </c>
      <c r="R738" s="13" t="str">
        <f>IF(Patient_Data!$L738&lt;2,"Low Risk",IF(Patient_Data!$L738&lt;4,"Moderate Risk","High Risk"))</f>
        <v>Low Risk</v>
      </c>
      <c r="S738" s="12" t="str">
        <f>IF(Patient_Data[[#This Row],[Age]]&lt;=18,"Pediatric",IF(Patient_Data[[#This Row],[Age]]&lt;=64,"Adult","Geriatric"))</f>
        <v>Adult</v>
      </c>
    </row>
    <row r="739" spans="1:19" ht="15.75" customHeight="1" x14ac:dyDescent="0.3">
      <c r="A739" s="4" t="s">
        <v>1536</v>
      </c>
      <c r="B739" s="5" t="str">
        <f>TEXT(Patient_Data!$E739,"mmmm")</f>
        <v>January</v>
      </c>
      <c r="C739" s="6" t="str">
        <f t="shared" si="4"/>
        <v>Jan</v>
      </c>
      <c r="D739" s="6">
        <f>MONTH(Patient_Data!$E739)</f>
        <v>1</v>
      </c>
      <c r="E739" s="7">
        <v>45293</v>
      </c>
      <c r="F739" s="55" t="str">
        <f>TEXT(Patient_Data[[#This Row],[Admission_Date]],"YYYY")</f>
        <v>2024</v>
      </c>
      <c r="G739" s="8" t="s">
        <v>1537</v>
      </c>
      <c r="H739" s="8" t="s">
        <v>53</v>
      </c>
      <c r="I739" s="4" t="s">
        <v>29</v>
      </c>
      <c r="J739" s="4">
        <v>92</v>
      </c>
      <c r="K739" s="4" t="s">
        <v>54</v>
      </c>
      <c r="L739" s="8">
        <v>3</v>
      </c>
      <c r="M739" s="9" t="s">
        <v>46</v>
      </c>
      <c r="N739" s="9" t="str">
        <f t="shared" si="5"/>
        <v>Ortho</v>
      </c>
      <c r="O739" s="10">
        <v>10652.77</v>
      </c>
      <c r="P739" s="10">
        <v>7492.14</v>
      </c>
      <c r="Q739" s="11">
        <v>4.4000000000000004</v>
      </c>
      <c r="R739" s="13" t="str">
        <f>IF(Patient_Data!$L739&lt;2,"Low Risk",IF(Patient_Data!$L739&lt;4,"Moderate Risk","High Risk"))</f>
        <v>Moderate Risk</v>
      </c>
      <c r="S739" s="12" t="str">
        <f>IF(Patient_Data[[#This Row],[Age]]&lt;=18,"Pediatric",IF(Patient_Data[[#This Row],[Age]]&lt;=64,"Adult","Geriatric"))</f>
        <v>Geriatric</v>
      </c>
    </row>
    <row r="740" spans="1:19" ht="15.75" customHeight="1" x14ac:dyDescent="0.3">
      <c r="A740" s="4" t="s">
        <v>1538</v>
      </c>
      <c r="B740" s="5" t="str">
        <f>TEXT(Patient_Data!$E740,"mmmm")</f>
        <v>March</v>
      </c>
      <c r="C740" s="6" t="str">
        <f t="shared" si="4"/>
        <v>Mar</v>
      </c>
      <c r="D740" s="6">
        <f>MONTH(Patient_Data!$E740)</f>
        <v>3</v>
      </c>
      <c r="E740" s="7">
        <v>46089</v>
      </c>
      <c r="F740" s="55" t="str">
        <f>TEXT(Patient_Data[[#This Row],[Admission_Date]],"YYYY")</f>
        <v>2026</v>
      </c>
      <c r="G740" s="8" t="s">
        <v>1539</v>
      </c>
      <c r="H740" s="8" t="s">
        <v>42</v>
      </c>
      <c r="I740" s="4" t="s">
        <v>35</v>
      </c>
      <c r="J740" s="4">
        <v>75</v>
      </c>
      <c r="K740" s="4" t="s">
        <v>54</v>
      </c>
      <c r="L740" s="8">
        <v>5</v>
      </c>
      <c r="M740" s="9" t="s">
        <v>50</v>
      </c>
      <c r="N740" s="9" t="str">
        <f t="shared" si="5"/>
        <v>ICU</v>
      </c>
      <c r="O740" s="10">
        <v>22607.78</v>
      </c>
      <c r="P740" s="10">
        <v>16628.48</v>
      </c>
      <c r="Q740" s="11">
        <v>15.6</v>
      </c>
      <c r="R740" s="13" t="str">
        <f>IF(Patient_Data!$L740&lt;2,"Low Risk",IF(Patient_Data!$L740&lt;4,"Moderate Risk","High Risk"))</f>
        <v>High Risk</v>
      </c>
      <c r="S740" s="12" t="str">
        <f>IF(Patient_Data[[#This Row],[Age]]&lt;=18,"Pediatric",IF(Patient_Data[[#This Row],[Age]]&lt;=64,"Adult","Geriatric"))</f>
        <v>Geriatric</v>
      </c>
    </row>
    <row r="741" spans="1:19" ht="15.75" customHeight="1" x14ac:dyDescent="0.3">
      <c r="A741" s="4" t="s">
        <v>1540</v>
      </c>
      <c r="B741" s="5" t="str">
        <f>TEXT(Patient_Data!$E741,"mmmm")</f>
        <v>August</v>
      </c>
      <c r="C741" s="6" t="str">
        <f t="shared" si="4"/>
        <v>Aug</v>
      </c>
      <c r="D741" s="6">
        <f>MONTH(Patient_Data!$E741)</f>
        <v>8</v>
      </c>
      <c r="E741" s="7">
        <v>45870</v>
      </c>
      <c r="F741" s="55" t="str">
        <f>TEXT(Patient_Data[[#This Row],[Admission_Date]],"YYYY")</f>
        <v>2025</v>
      </c>
      <c r="G741" s="8" t="s">
        <v>1541</v>
      </c>
      <c r="H741" s="8" t="s">
        <v>49</v>
      </c>
      <c r="I741" s="4" t="s">
        <v>35</v>
      </c>
      <c r="J741" s="4">
        <v>11</v>
      </c>
      <c r="K741" s="4" t="s">
        <v>30</v>
      </c>
      <c r="L741" s="8">
        <v>1</v>
      </c>
      <c r="M741" s="9" t="s">
        <v>79</v>
      </c>
      <c r="N741" s="9" t="str">
        <f t="shared" si="5"/>
        <v>PD</v>
      </c>
      <c r="O741" s="10">
        <v>730.02</v>
      </c>
      <c r="P741" s="10">
        <v>563.62</v>
      </c>
      <c r="Q741" s="11">
        <v>1.1000000000000001</v>
      </c>
      <c r="R741" s="13" t="str">
        <f>IF(Patient_Data!$L741&lt;2,"Low Risk",IF(Patient_Data!$L741&lt;4,"Moderate Risk","High Risk"))</f>
        <v>Low Risk</v>
      </c>
      <c r="S741" s="12" t="str">
        <f>IF(Patient_Data[[#This Row],[Age]]&lt;=18,"Pediatric",IF(Patient_Data[[#This Row],[Age]]&lt;=64,"Adult","Geriatric"))</f>
        <v>Pediatric</v>
      </c>
    </row>
    <row r="742" spans="1:19" ht="15.75" customHeight="1" x14ac:dyDescent="0.3">
      <c r="A742" s="4" t="s">
        <v>1542</v>
      </c>
      <c r="B742" s="5" t="str">
        <f>TEXT(Patient_Data!$E742,"mmmm")</f>
        <v>August</v>
      </c>
      <c r="C742" s="6" t="str">
        <f t="shared" si="4"/>
        <v>Aug</v>
      </c>
      <c r="D742" s="6">
        <f>MONTH(Patient_Data!$E742)</f>
        <v>8</v>
      </c>
      <c r="E742" s="7">
        <v>45520</v>
      </c>
      <c r="F742" s="55" t="str">
        <f>TEXT(Patient_Data[[#This Row],[Admission_Date]],"YYYY")</f>
        <v>2024</v>
      </c>
      <c r="G742" s="8" t="s">
        <v>1543</v>
      </c>
      <c r="H742" s="8" t="s">
        <v>34</v>
      </c>
      <c r="I742" s="4" t="s">
        <v>35</v>
      </c>
      <c r="J742" s="4">
        <v>28</v>
      </c>
      <c r="K742" s="4" t="s">
        <v>30</v>
      </c>
      <c r="L742" s="8">
        <v>2</v>
      </c>
      <c r="M742" s="9" t="s">
        <v>39</v>
      </c>
      <c r="N742" s="9" t="str">
        <f t="shared" si="5"/>
        <v>GM</v>
      </c>
      <c r="O742" s="10">
        <v>3922.78</v>
      </c>
      <c r="P742" s="10">
        <v>2331.21</v>
      </c>
      <c r="Q742" s="11">
        <v>7</v>
      </c>
      <c r="R742" s="13" t="str">
        <f>IF(Patient_Data!$L742&lt;2,"Low Risk",IF(Patient_Data!$L742&lt;4,"Moderate Risk","High Risk"))</f>
        <v>Moderate Risk</v>
      </c>
      <c r="S742" s="12" t="str">
        <f>IF(Patient_Data[[#This Row],[Age]]&lt;=18,"Pediatric",IF(Patient_Data[[#This Row],[Age]]&lt;=64,"Adult","Geriatric"))</f>
        <v>Adult</v>
      </c>
    </row>
    <row r="743" spans="1:19" ht="15.75" customHeight="1" x14ac:dyDescent="0.3">
      <c r="A743" s="4" t="s">
        <v>1544</v>
      </c>
      <c r="B743" s="5" t="str">
        <f>TEXT(Patient_Data!$E743,"mmmm")</f>
        <v>November</v>
      </c>
      <c r="C743" s="6" t="str">
        <f t="shared" si="4"/>
        <v>Nov</v>
      </c>
      <c r="D743" s="6">
        <f>MONTH(Patient_Data!$E743)</f>
        <v>11</v>
      </c>
      <c r="E743" s="7">
        <v>45247</v>
      </c>
      <c r="F743" s="55" t="str">
        <f>TEXT(Patient_Data[[#This Row],[Admission_Date]],"YYYY")</f>
        <v>2023</v>
      </c>
      <c r="G743" s="8" t="s">
        <v>1545</v>
      </c>
      <c r="H743" s="8" t="s">
        <v>28</v>
      </c>
      <c r="I743" s="4" t="s">
        <v>29</v>
      </c>
      <c r="J743" s="4">
        <v>17</v>
      </c>
      <c r="K743" s="4" t="s">
        <v>30</v>
      </c>
      <c r="L743" s="8">
        <v>2</v>
      </c>
      <c r="M743" s="9" t="s">
        <v>79</v>
      </c>
      <c r="N743" s="9" t="str">
        <f t="shared" si="5"/>
        <v>PD</v>
      </c>
      <c r="O743" s="10">
        <v>1430.69</v>
      </c>
      <c r="P743" s="10">
        <v>894.32</v>
      </c>
      <c r="Q743" s="11">
        <v>2.7</v>
      </c>
      <c r="R743" s="13" t="str">
        <f>IF(Patient_Data!$L743&lt;2,"Low Risk",IF(Patient_Data!$L743&lt;4,"Moderate Risk","High Risk"))</f>
        <v>Moderate Risk</v>
      </c>
      <c r="S743" s="12" t="str">
        <f>IF(Patient_Data[[#This Row],[Age]]&lt;=18,"Pediatric",IF(Patient_Data[[#This Row],[Age]]&lt;=64,"Adult","Geriatric"))</f>
        <v>Pediatric</v>
      </c>
    </row>
    <row r="744" spans="1:19" ht="15.75" customHeight="1" x14ac:dyDescent="0.3">
      <c r="A744" s="4" t="s">
        <v>1546</v>
      </c>
      <c r="B744" s="5" t="str">
        <f>TEXT(Patient_Data!$E744,"mmmm")</f>
        <v>January</v>
      </c>
      <c r="C744" s="6" t="str">
        <f t="shared" si="4"/>
        <v>Jan</v>
      </c>
      <c r="D744" s="6">
        <f>MONTH(Patient_Data!$E744)</f>
        <v>1</v>
      </c>
      <c r="E744" s="7">
        <v>45674</v>
      </c>
      <c r="F744" s="55" t="str">
        <f>TEXT(Patient_Data[[#This Row],[Admission_Date]],"YYYY")</f>
        <v>2025</v>
      </c>
      <c r="G744" s="8" t="s">
        <v>1547</v>
      </c>
      <c r="H744" s="8" t="s">
        <v>132</v>
      </c>
      <c r="I744" s="4" t="s">
        <v>29</v>
      </c>
      <c r="J744" s="4">
        <v>34</v>
      </c>
      <c r="K744" s="4" t="s">
        <v>30</v>
      </c>
      <c r="L744" s="8">
        <v>3</v>
      </c>
      <c r="M744" s="9" t="s">
        <v>72</v>
      </c>
      <c r="N744" s="9" t="str">
        <f t="shared" si="5"/>
        <v>Surgery</v>
      </c>
      <c r="O744" s="10">
        <v>11342.92</v>
      </c>
      <c r="P744" s="10">
        <v>7307.47</v>
      </c>
      <c r="Q744" s="11">
        <v>6</v>
      </c>
      <c r="R744" s="13" t="str">
        <f>IF(Patient_Data!$L744&lt;2,"Low Risk",IF(Patient_Data!$L744&lt;4,"Moderate Risk","High Risk"))</f>
        <v>Moderate Risk</v>
      </c>
      <c r="S744" s="12" t="str">
        <f>IF(Patient_Data[[#This Row],[Age]]&lt;=18,"Pediatric",IF(Patient_Data[[#This Row],[Age]]&lt;=64,"Adult","Geriatric"))</f>
        <v>Adult</v>
      </c>
    </row>
    <row r="745" spans="1:19" ht="15.75" customHeight="1" x14ac:dyDescent="0.3">
      <c r="A745" s="4" t="s">
        <v>1548</v>
      </c>
      <c r="B745" s="5" t="str">
        <f>TEXT(Patient_Data!$E745,"mmmm")</f>
        <v>February</v>
      </c>
      <c r="C745" s="6" t="str">
        <f t="shared" si="4"/>
        <v>Feb</v>
      </c>
      <c r="D745" s="6">
        <f>MONTH(Patient_Data!$E745)</f>
        <v>2</v>
      </c>
      <c r="E745" s="7">
        <v>46063</v>
      </c>
      <c r="F745" s="55" t="str">
        <f>TEXT(Patient_Data[[#This Row],[Admission_Date]],"YYYY")</f>
        <v>2026</v>
      </c>
      <c r="G745" s="8" t="s">
        <v>1549</v>
      </c>
      <c r="H745" s="8" t="s">
        <v>28</v>
      </c>
      <c r="I745" s="4" t="s">
        <v>29</v>
      </c>
      <c r="J745" s="4">
        <v>77</v>
      </c>
      <c r="K745" s="4" t="s">
        <v>45</v>
      </c>
      <c r="L745" s="8">
        <v>3</v>
      </c>
      <c r="M745" s="9" t="s">
        <v>31</v>
      </c>
      <c r="N745" s="9" t="str">
        <f t="shared" si="5"/>
        <v>Neuro</v>
      </c>
      <c r="O745" s="10">
        <v>8222.15</v>
      </c>
      <c r="P745" s="10">
        <v>5552.04</v>
      </c>
      <c r="Q745" s="11">
        <v>5.4</v>
      </c>
      <c r="R745" s="13" t="str">
        <f>IF(Patient_Data!$L745&lt;2,"Low Risk",IF(Patient_Data!$L745&lt;4,"Moderate Risk","High Risk"))</f>
        <v>Moderate Risk</v>
      </c>
      <c r="S745" s="12" t="str">
        <f>IF(Patient_Data[[#This Row],[Age]]&lt;=18,"Pediatric",IF(Patient_Data[[#This Row],[Age]]&lt;=64,"Adult","Geriatric"))</f>
        <v>Geriatric</v>
      </c>
    </row>
    <row r="746" spans="1:19" ht="15.75" customHeight="1" x14ac:dyDescent="0.3">
      <c r="A746" s="4" t="s">
        <v>1550</v>
      </c>
      <c r="B746" s="5" t="str">
        <f>TEXT(Patient_Data!$E746,"mmmm")</f>
        <v>February</v>
      </c>
      <c r="C746" s="6" t="str">
        <f t="shared" si="4"/>
        <v>Feb</v>
      </c>
      <c r="D746" s="6">
        <f>MONTH(Patient_Data!$E746)</f>
        <v>2</v>
      </c>
      <c r="E746" s="7">
        <v>46066</v>
      </c>
      <c r="F746" s="55" t="str">
        <f>TEXT(Patient_Data[[#This Row],[Admission_Date]],"YYYY")</f>
        <v>2026</v>
      </c>
      <c r="G746" s="8" t="s">
        <v>1551</v>
      </c>
      <c r="H746" s="8" t="s">
        <v>34</v>
      </c>
      <c r="I746" s="4" t="s">
        <v>29</v>
      </c>
      <c r="J746" s="4">
        <v>92</v>
      </c>
      <c r="K746" s="4" t="s">
        <v>54</v>
      </c>
      <c r="L746" s="8">
        <v>4</v>
      </c>
      <c r="M746" s="9" t="s">
        <v>46</v>
      </c>
      <c r="N746" s="9" t="str">
        <f t="shared" si="5"/>
        <v>Ortho</v>
      </c>
      <c r="O746" s="10">
        <v>8759.09</v>
      </c>
      <c r="P746" s="10">
        <v>6197.76</v>
      </c>
      <c r="Q746" s="11">
        <v>8.3000000000000007</v>
      </c>
      <c r="R746" s="13" t="str">
        <f>IF(Patient_Data!$L746&lt;2,"Low Risk",IF(Patient_Data!$L746&lt;4,"Moderate Risk","High Risk"))</f>
        <v>High Risk</v>
      </c>
      <c r="S746" s="12" t="str">
        <f>IF(Patient_Data[[#This Row],[Age]]&lt;=18,"Pediatric",IF(Patient_Data[[#This Row],[Age]]&lt;=64,"Adult","Geriatric"))</f>
        <v>Geriatric</v>
      </c>
    </row>
    <row r="747" spans="1:19" ht="15.75" customHeight="1" x14ac:dyDescent="0.3">
      <c r="A747" s="4" t="s">
        <v>1552</v>
      </c>
      <c r="B747" s="5" t="str">
        <f>TEXT(Patient_Data!$E747,"mmmm")</f>
        <v>July</v>
      </c>
      <c r="C747" s="6" t="str">
        <f t="shared" si="4"/>
        <v>Jul</v>
      </c>
      <c r="D747" s="6">
        <f>MONTH(Patient_Data!$E747)</f>
        <v>7</v>
      </c>
      <c r="E747" s="7">
        <v>45492</v>
      </c>
      <c r="F747" s="55" t="str">
        <f>TEXT(Patient_Data[[#This Row],[Admission_Date]],"YYYY")</f>
        <v>2024</v>
      </c>
      <c r="G747" s="8" t="s">
        <v>1553</v>
      </c>
      <c r="H747" s="8" t="s">
        <v>132</v>
      </c>
      <c r="I747" s="4" t="s">
        <v>35</v>
      </c>
      <c r="J747" s="4">
        <v>60</v>
      </c>
      <c r="K747" s="4" t="s">
        <v>54</v>
      </c>
      <c r="L747" s="8">
        <v>4</v>
      </c>
      <c r="M747" s="9" t="s">
        <v>72</v>
      </c>
      <c r="N747" s="9" t="str">
        <f t="shared" si="5"/>
        <v>Surgery</v>
      </c>
      <c r="O747" s="10">
        <v>21274.66</v>
      </c>
      <c r="P747" s="10">
        <v>15575.3</v>
      </c>
      <c r="Q747" s="11">
        <v>5.6</v>
      </c>
      <c r="R747" s="13" t="str">
        <f>IF(Patient_Data!$L747&lt;2,"Low Risk",IF(Patient_Data!$L747&lt;4,"Moderate Risk","High Risk"))</f>
        <v>High Risk</v>
      </c>
      <c r="S747" s="12" t="str">
        <f>IF(Patient_Data[[#This Row],[Age]]&lt;=18,"Pediatric",IF(Patient_Data[[#This Row],[Age]]&lt;=64,"Adult","Geriatric"))</f>
        <v>Adult</v>
      </c>
    </row>
    <row r="748" spans="1:19" ht="15.75" customHeight="1" x14ac:dyDescent="0.3">
      <c r="A748" s="4" t="s">
        <v>1554</v>
      </c>
      <c r="B748" s="5" t="str">
        <f>TEXT(Patient_Data!$E748,"mmmm")</f>
        <v>September</v>
      </c>
      <c r="C748" s="6" t="str">
        <f t="shared" si="4"/>
        <v>Sep</v>
      </c>
      <c r="D748" s="6">
        <f>MONTH(Patient_Data!$E748)</f>
        <v>9</v>
      </c>
      <c r="E748" s="7">
        <v>45912</v>
      </c>
      <c r="F748" s="55" t="str">
        <f>TEXT(Patient_Data[[#This Row],[Admission_Date]],"YYYY")</f>
        <v>2025</v>
      </c>
      <c r="G748" s="8" t="s">
        <v>1555</v>
      </c>
      <c r="H748" s="8" t="s">
        <v>53</v>
      </c>
      <c r="I748" s="4" t="s">
        <v>35</v>
      </c>
      <c r="J748" s="4">
        <v>23</v>
      </c>
      <c r="K748" s="4" t="s">
        <v>30</v>
      </c>
      <c r="L748" s="8">
        <v>3</v>
      </c>
      <c r="M748" s="9" t="s">
        <v>31</v>
      </c>
      <c r="N748" s="9" t="str">
        <f t="shared" si="5"/>
        <v>Neuro</v>
      </c>
      <c r="O748" s="10">
        <v>13977.26</v>
      </c>
      <c r="P748" s="10">
        <v>10671.52</v>
      </c>
      <c r="Q748" s="11">
        <v>6.1</v>
      </c>
      <c r="R748" s="13" t="str">
        <f>IF(Patient_Data!$L748&lt;2,"Low Risk",IF(Patient_Data!$L748&lt;4,"Moderate Risk","High Risk"))</f>
        <v>Moderate Risk</v>
      </c>
      <c r="S748" s="12" t="str">
        <f>IF(Patient_Data[[#This Row],[Age]]&lt;=18,"Pediatric",IF(Patient_Data[[#This Row],[Age]]&lt;=64,"Adult","Geriatric"))</f>
        <v>Adult</v>
      </c>
    </row>
    <row r="749" spans="1:19" ht="15.75" customHeight="1" x14ac:dyDescent="0.3">
      <c r="A749" s="4" t="s">
        <v>1556</v>
      </c>
      <c r="B749" s="5" t="str">
        <f>TEXT(Patient_Data!$E749,"mmmm")</f>
        <v>September</v>
      </c>
      <c r="C749" s="6" t="str">
        <f t="shared" si="4"/>
        <v>Sep</v>
      </c>
      <c r="D749" s="6">
        <f>MONTH(Patient_Data!$E749)</f>
        <v>9</v>
      </c>
      <c r="E749" s="7">
        <v>45930</v>
      </c>
      <c r="F749" s="55" t="str">
        <f>TEXT(Patient_Data[[#This Row],[Admission_Date]],"YYYY")</f>
        <v>2025</v>
      </c>
      <c r="G749" s="8" t="s">
        <v>1557</v>
      </c>
      <c r="H749" s="8" t="s">
        <v>82</v>
      </c>
      <c r="I749" s="4" t="s">
        <v>35</v>
      </c>
      <c r="J749" s="4">
        <v>55</v>
      </c>
      <c r="K749" s="4" t="s">
        <v>45</v>
      </c>
      <c r="L749" s="8">
        <v>4</v>
      </c>
      <c r="M749" s="9" t="s">
        <v>72</v>
      </c>
      <c r="N749" s="9" t="str">
        <f t="shared" si="5"/>
        <v>Surgery</v>
      </c>
      <c r="O749" s="10">
        <v>19085.07</v>
      </c>
      <c r="P749" s="10">
        <v>11122.94</v>
      </c>
      <c r="Q749" s="11">
        <v>6.7</v>
      </c>
      <c r="R749" s="13" t="str">
        <f>IF(Patient_Data!$L749&lt;2,"Low Risk",IF(Patient_Data!$L749&lt;4,"Moderate Risk","High Risk"))</f>
        <v>High Risk</v>
      </c>
      <c r="S749" s="12" t="str">
        <f>IF(Patient_Data[[#This Row],[Age]]&lt;=18,"Pediatric",IF(Patient_Data[[#This Row],[Age]]&lt;=64,"Adult","Geriatric"))</f>
        <v>Adult</v>
      </c>
    </row>
    <row r="750" spans="1:19" ht="15.75" customHeight="1" x14ac:dyDescent="0.3">
      <c r="A750" s="4" t="s">
        <v>1558</v>
      </c>
      <c r="B750" s="5" t="str">
        <f>TEXT(Patient_Data!$E750,"mmmm")</f>
        <v>July</v>
      </c>
      <c r="C750" s="6" t="str">
        <f t="shared" si="4"/>
        <v>Jul</v>
      </c>
      <c r="D750" s="6">
        <f>MONTH(Patient_Data!$E750)</f>
        <v>7</v>
      </c>
      <c r="E750" s="7">
        <v>45859</v>
      </c>
      <c r="F750" s="55" t="str">
        <f>TEXT(Patient_Data[[#This Row],[Admission_Date]],"YYYY")</f>
        <v>2025</v>
      </c>
      <c r="G750" s="8" t="s">
        <v>1559</v>
      </c>
      <c r="H750" s="8" t="s">
        <v>132</v>
      </c>
      <c r="I750" s="4" t="s">
        <v>35</v>
      </c>
      <c r="J750" s="4">
        <v>6</v>
      </c>
      <c r="K750" s="4" t="s">
        <v>30</v>
      </c>
      <c r="L750" s="8">
        <v>2</v>
      </c>
      <c r="M750" s="9" t="s">
        <v>79</v>
      </c>
      <c r="N750" s="9" t="str">
        <f t="shared" si="5"/>
        <v>PD</v>
      </c>
      <c r="O750" s="10">
        <v>1037.97</v>
      </c>
      <c r="P750" s="10">
        <v>676.36</v>
      </c>
      <c r="Q750" s="11">
        <v>5.4</v>
      </c>
      <c r="R750" s="13" t="str">
        <f>IF(Patient_Data!$L750&lt;2,"Low Risk",IF(Patient_Data!$L750&lt;4,"Moderate Risk","High Risk"))</f>
        <v>Moderate Risk</v>
      </c>
      <c r="S750" s="12" t="str">
        <f>IF(Patient_Data[[#This Row],[Age]]&lt;=18,"Pediatric",IF(Patient_Data[[#This Row],[Age]]&lt;=64,"Adult","Geriatric"))</f>
        <v>Pediatric</v>
      </c>
    </row>
    <row r="751" spans="1:19" ht="15.75" customHeight="1" x14ac:dyDescent="0.3">
      <c r="A751" s="4" t="s">
        <v>1560</v>
      </c>
      <c r="B751" s="5" t="str">
        <f>TEXT(Patient_Data!$E751,"mmmm")</f>
        <v>December</v>
      </c>
      <c r="C751" s="6" t="str">
        <f t="shared" si="4"/>
        <v>Dec</v>
      </c>
      <c r="D751" s="6">
        <f>MONTH(Patient_Data!$E751)</f>
        <v>12</v>
      </c>
      <c r="E751" s="7">
        <v>45274</v>
      </c>
      <c r="F751" s="55" t="str">
        <f>TEXT(Patient_Data[[#This Row],[Admission_Date]],"YYYY")</f>
        <v>2023</v>
      </c>
      <c r="G751" s="8" t="s">
        <v>1561</v>
      </c>
      <c r="H751" s="8" t="s">
        <v>49</v>
      </c>
      <c r="I751" s="4" t="s">
        <v>29</v>
      </c>
      <c r="J751" s="4">
        <v>33</v>
      </c>
      <c r="K751" s="4" t="s">
        <v>30</v>
      </c>
      <c r="L751" s="8">
        <v>3</v>
      </c>
      <c r="M751" s="9" t="s">
        <v>72</v>
      </c>
      <c r="N751" s="9" t="str">
        <f t="shared" si="5"/>
        <v>Surgery</v>
      </c>
      <c r="O751" s="10">
        <v>9857.4699999999993</v>
      </c>
      <c r="P751" s="10">
        <v>6396.78</v>
      </c>
      <c r="Q751" s="11">
        <v>11</v>
      </c>
      <c r="R751" s="13" t="str">
        <f>IF(Patient_Data!$L751&lt;2,"Low Risk",IF(Patient_Data!$L751&lt;4,"Moderate Risk","High Risk"))</f>
        <v>Moderate Risk</v>
      </c>
      <c r="S751" s="12" t="str">
        <f>IF(Patient_Data[[#This Row],[Age]]&lt;=18,"Pediatric",IF(Patient_Data[[#This Row],[Age]]&lt;=64,"Adult","Geriatric"))</f>
        <v>Adult</v>
      </c>
    </row>
    <row r="752" spans="1:19" ht="15.75" customHeight="1" x14ac:dyDescent="0.3">
      <c r="A752" s="4" t="s">
        <v>1562</v>
      </c>
      <c r="B752" s="5" t="str">
        <f>TEXT(Patient_Data!$E752,"mmmm")</f>
        <v>July</v>
      </c>
      <c r="C752" s="6" t="str">
        <f t="shared" si="4"/>
        <v>Jul</v>
      </c>
      <c r="D752" s="6">
        <f>MONTH(Patient_Data!$E752)</f>
        <v>7</v>
      </c>
      <c r="E752" s="7">
        <v>45852</v>
      </c>
      <c r="F752" s="55" t="str">
        <f>TEXT(Patient_Data[[#This Row],[Admission_Date]],"YYYY")</f>
        <v>2025</v>
      </c>
      <c r="G752" s="8" t="s">
        <v>842</v>
      </c>
      <c r="H752" s="8" t="s">
        <v>98</v>
      </c>
      <c r="I752" s="4" t="s">
        <v>35</v>
      </c>
      <c r="J752" s="4">
        <v>0</v>
      </c>
      <c r="K752" s="4" t="s">
        <v>30</v>
      </c>
      <c r="L752" s="8">
        <v>1</v>
      </c>
      <c r="M752" s="9" t="s">
        <v>79</v>
      </c>
      <c r="N752" s="9" t="str">
        <f t="shared" si="5"/>
        <v>PD</v>
      </c>
      <c r="O752" s="10">
        <v>720.26</v>
      </c>
      <c r="P752" s="10">
        <v>494.57</v>
      </c>
      <c r="Q752" s="11">
        <v>1.5</v>
      </c>
      <c r="R752" s="13" t="str">
        <f>IF(Patient_Data!$L752&lt;2,"Low Risk",IF(Patient_Data!$L752&lt;4,"Moderate Risk","High Risk"))</f>
        <v>Low Risk</v>
      </c>
      <c r="S752" s="12" t="str">
        <f>IF(Patient_Data[[#This Row],[Age]]&lt;=18,"Pediatric",IF(Patient_Data[[#This Row],[Age]]&lt;=64,"Adult","Geriatric"))</f>
        <v>Pediatric</v>
      </c>
    </row>
    <row r="753" spans="1:19" ht="15.75" customHeight="1" x14ac:dyDescent="0.3">
      <c r="A753" s="4" t="s">
        <v>1563</v>
      </c>
      <c r="B753" s="5" t="str">
        <f>TEXT(Patient_Data!$E753,"mmmm")</f>
        <v>January</v>
      </c>
      <c r="C753" s="6" t="str">
        <f t="shared" si="4"/>
        <v>Jan</v>
      </c>
      <c r="D753" s="6">
        <f>MONTH(Patient_Data!$E753)</f>
        <v>1</v>
      </c>
      <c r="E753" s="7">
        <v>45301</v>
      </c>
      <c r="F753" s="55" t="str">
        <f>TEXT(Patient_Data[[#This Row],[Admission_Date]],"YYYY")</f>
        <v>2024</v>
      </c>
      <c r="G753" s="8" t="s">
        <v>1564</v>
      </c>
      <c r="H753" s="8" t="s">
        <v>42</v>
      </c>
      <c r="I753" s="4" t="s">
        <v>35</v>
      </c>
      <c r="J753" s="4">
        <v>94</v>
      </c>
      <c r="K753" s="4" t="s">
        <v>30</v>
      </c>
      <c r="L753" s="8">
        <v>2</v>
      </c>
      <c r="M753" s="9" t="s">
        <v>46</v>
      </c>
      <c r="N753" s="9" t="str">
        <f t="shared" si="5"/>
        <v>Ortho</v>
      </c>
      <c r="O753" s="10">
        <v>7032.21</v>
      </c>
      <c r="P753" s="10">
        <v>4995.3500000000004</v>
      </c>
      <c r="Q753" s="11">
        <v>9.1</v>
      </c>
      <c r="R753" s="13" t="str">
        <f>IF(Patient_Data!$L753&lt;2,"Low Risk",IF(Patient_Data!$L753&lt;4,"Moderate Risk","High Risk"))</f>
        <v>Moderate Risk</v>
      </c>
      <c r="S753" s="12" t="str">
        <f>IF(Patient_Data[[#This Row],[Age]]&lt;=18,"Pediatric",IF(Patient_Data[[#This Row],[Age]]&lt;=64,"Adult","Geriatric"))</f>
        <v>Geriatric</v>
      </c>
    </row>
    <row r="754" spans="1:19" ht="15.75" customHeight="1" x14ac:dyDescent="0.3">
      <c r="A754" s="4" t="s">
        <v>1565</v>
      </c>
      <c r="B754" s="5" t="str">
        <f>TEXT(Patient_Data!$E754,"mmmm")</f>
        <v>July</v>
      </c>
      <c r="C754" s="6" t="str">
        <f t="shared" si="4"/>
        <v>Jul</v>
      </c>
      <c r="D754" s="6">
        <f>MONTH(Patient_Data!$E754)</f>
        <v>7</v>
      </c>
      <c r="E754" s="7">
        <v>45842</v>
      </c>
      <c r="F754" s="55" t="str">
        <f>TEXT(Patient_Data[[#This Row],[Admission_Date]],"YYYY")</f>
        <v>2025</v>
      </c>
      <c r="G754" s="8" t="s">
        <v>1566</v>
      </c>
      <c r="H754" s="8" t="s">
        <v>53</v>
      </c>
      <c r="I754" s="4" t="s">
        <v>29</v>
      </c>
      <c r="J754" s="4">
        <v>33</v>
      </c>
      <c r="K754" s="4" t="s">
        <v>30</v>
      </c>
      <c r="L754" s="8">
        <v>3</v>
      </c>
      <c r="M754" s="9" t="s">
        <v>39</v>
      </c>
      <c r="N754" s="9" t="str">
        <f t="shared" si="5"/>
        <v>GM</v>
      </c>
      <c r="O754" s="10">
        <v>4886.54</v>
      </c>
      <c r="P754" s="10">
        <v>3618.37</v>
      </c>
      <c r="Q754" s="11">
        <v>6.4</v>
      </c>
      <c r="R754" s="13" t="str">
        <f>IF(Patient_Data!$L754&lt;2,"Low Risk",IF(Patient_Data!$L754&lt;4,"Moderate Risk","High Risk"))</f>
        <v>Moderate Risk</v>
      </c>
      <c r="S754" s="12" t="str">
        <f>IF(Patient_Data[[#This Row],[Age]]&lt;=18,"Pediatric",IF(Patient_Data[[#This Row],[Age]]&lt;=64,"Adult","Geriatric"))</f>
        <v>Adult</v>
      </c>
    </row>
    <row r="755" spans="1:19" ht="15.75" customHeight="1" x14ac:dyDescent="0.3">
      <c r="A755" s="4" t="s">
        <v>1567</v>
      </c>
      <c r="B755" s="5" t="str">
        <f>TEXT(Patient_Data!$E755,"mmmm")</f>
        <v>October</v>
      </c>
      <c r="C755" s="6" t="str">
        <f t="shared" si="4"/>
        <v>Oct</v>
      </c>
      <c r="D755" s="6">
        <f>MONTH(Patient_Data!$E755)</f>
        <v>10</v>
      </c>
      <c r="E755" s="7">
        <v>45958</v>
      </c>
      <c r="F755" s="55" t="str">
        <f>TEXT(Patient_Data[[#This Row],[Admission_Date]],"YYYY")</f>
        <v>2025</v>
      </c>
      <c r="G755" s="8" t="s">
        <v>1568</v>
      </c>
      <c r="H755" s="8" t="s">
        <v>75</v>
      </c>
      <c r="I755" s="4" t="s">
        <v>35</v>
      </c>
      <c r="J755" s="4">
        <v>1</v>
      </c>
      <c r="K755" s="4" t="s">
        <v>54</v>
      </c>
      <c r="L755" s="8">
        <v>1</v>
      </c>
      <c r="M755" s="9" t="s">
        <v>79</v>
      </c>
      <c r="N755" s="9" t="str">
        <f t="shared" si="5"/>
        <v>PD</v>
      </c>
      <c r="O755" s="10">
        <v>2338.63</v>
      </c>
      <c r="P755" s="10">
        <v>1802.16</v>
      </c>
      <c r="Q755" s="11">
        <v>3.1</v>
      </c>
      <c r="R755" s="13" t="str">
        <f>IF(Patient_Data!$L755&lt;2,"Low Risk",IF(Patient_Data!$L755&lt;4,"Moderate Risk","High Risk"))</f>
        <v>Low Risk</v>
      </c>
      <c r="S755" s="12" t="str">
        <f>IF(Patient_Data[[#This Row],[Age]]&lt;=18,"Pediatric",IF(Patient_Data[[#This Row],[Age]]&lt;=64,"Adult","Geriatric"))</f>
        <v>Pediatric</v>
      </c>
    </row>
    <row r="756" spans="1:19" ht="15.75" customHeight="1" x14ac:dyDescent="0.3">
      <c r="A756" s="4" t="s">
        <v>1569</v>
      </c>
      <c r="B756" s="5" t="str">
        <f>TEXT(Patient_Data!$E756,"mmmm")</f>
        <v>April</v>
      </c>
      <c r="C756" s="6" t="str">
        <f t="shared" si="4"/>
        <v>Apr</v>
      </c>
      <c r="D756" s="6">
        <f>MONTH(Patient_Data!$E756)</f>
        <v>4</v>
      </c>
      <c r="E756" s="7">
        <v>45748</v>
      </c>
      <c r="F756" s="55" t="str">
        <f>TEXT(Patient_Data[[#This Row],[Admission_Date]],"YYYY")</f>
        <v>2025</v>
      </c>
      <c r="G756" s="8" t="s">
        <v>1570</v>
      </c>
      <c r="H756" s="8" t="s">
        <v>98</v>
      </c>
      <c r="I756" s="4" t="s">
        <v>29</v>
      </c>
      <c r="J756" s="4">
        <v>40</v>
      </c>
      <c r="K756" s="4" t="s">
        <v>30</v>
      </c>
      <c r="L756" s="8">
        <v>3</v>
      </c>
      <c r="M756" s="9" t="s">
        <v>36</v>
      </c>
      <c r="N756" s="9" t="str">
        <f t="shared" si="5"/>
        <v>Cardio</v>
      </c>
      <c r="O756" s="10">
        <v>15087.61</v>
      </c>
      <c r="P756" s="10">
        <v>8795.61</v>
      </c>
      <c r="Q756" s="11">
        <v>5.6</v>
      </c>
      <c r="R756" s="13" t="str">
        <f>IF(Patient_Data!$L756&lt;2,"Low Risk",IF(Patient_Data!$L756&lt;4,"Moderate Risk","High Risk"))</f>
        <v>Moderate Risk</v>
      </c>
      <c r="S756" s="12" t="str">
        <f>IF(Patient_Data[[#This Row],[Age]]&lt;=18,"Pediatric",IF(Patient_Data[[#This Row],[Age]]&lt;=64,"Adult","Geriatric"))</f>
        <v>Adult</v>
      </c>
    </row>
    <row r="757" spans="1:19" ht="15.75" customHeight="1" x14ac:dyDescent="0.3">
      <c r="A757" s="4" t="s">
        <v>1571</v>
      </c>
      <c r="B757" s="5" t="str">
        <f>TEXT(Patient_Data!$E757,"mmmm")</f>
        <v>July</v>
      </c>
      <c r="C757" s="6" t="str">
        <f t="shared" si="4"/>
        <v>Jul</v>
      </c>
      <c r="D757" s="6">
        <f>MONTH(Patient_Data!$E757)</f>
        <v>7</v>
      </c>
      <c r="E757" s="7">
        <v>45474</v>
      </c>
      <c r="F757" s="55" t="str">
        <f>TEXT(Patient_Data[[#This Row],[Admission_Date]],"YYYY")</f>
        <v>2024</v>
      </c>
      <c r="G757" s="8" t="s">
        <v>1572</v>
      </c>
      <c r="H757" s="8" t="s">
        <v>28</v>
      </c>
      <c r="I757" s="4" t="s">
        <v>29</v>
      </c>
      <c r="J757" s="4">
        <v>68</v>
      </c>
      <c r="K757" s="4" t="s">
        <v>54</v>
      </c>
      <c r="L757" s="8">
        <v>5</v>
      </c>
      <c r="M757" s="9" t="s">
        <v>50</v>
      </c>
      <c r="N757" s="9" t="str">
        <f t="shared" si="5"/>
        <v>ICU</v>
      </c>
      <c r="O757" s="10">
        <v>19598.59</v>
      </c>
      <c r="P757" s="10">
        <v>12019.94</v>
      </c>
      <c r="Q757" s="11">
        <v>8.1</v>
      </c>
      <c r="R757" s="13" t="str">
        <f>IF(Patient_Data!$L757&lt;2,"Low Risk",IF(Patient_Data!$L757&lt;4,"Moderate Risk","High Risk"))</f>
        <v>High Risk</v>
      </c>
      <c r="S757" s="12" t="str">
        <f>IF(Patient_Data[[#This Row],[Age]]&lt;=18,"Pediatric",IF(Patient_Data[[#This Row],[Age]]&lt;=64,"Adult","Geriatric"))</f>
        <v>Geriatric</v>
      </c>
    </row>
    <row r="758" spans="1:19" ht="15.75" customHeight="1" x14ac:dyDescent="0.3">
      <c r="A758" s="4" t="s">
        <v>1573</v>
      </c>
      <c r="B758" s="5" t="str">
        <f>TEXT(Patient_Data!$E758,"mmmm")</f>
        <v>July</v>
      </c>
      <c r="C758" s="6" t="str">
        <f t="shared" si="4"/>
        <v>Jul</v>
      </c>
      <c r="D758" s="6">
        <f>MONTH(Patient_Data!$E758)</f>
        <v>7</v>
      </c>
      <c r="E758" s="7">
        <v>45849</v>
      </c>
      <c r="F758" s="55" t="str">
        <f>TEXT(Patient_Data[[#This Row],[Admission_Date]],"YYYY")</f>
        <v>2025</v>
      </c>
      <c r="G758" s="8" t="s">
        <v>1574</v>
      </c>
      <c r="H758" s="8" t="s">
        <v>98</v>
      </c>
      <c r="I758" s="4" t="s">
        <v>29</v>
      </c>
      <c r="J758" s="4">
        <v>61</v>
      </c>
      <c r="K758" s="4" t="s">
        <v>30</v>
      </c>
      <c r="L758" s="8">
        <v>1</v>
      </c>
      <c r="M758" s="9" t="s">
        <v>39</v>
      </c>
      <c r="N758" s="9" t="str">
        <f t="shared" si="5"/>
        <v>GM</v>
      </c>
      <c r="O758" s="10">
        <v>4113.05</v>
      </c>
      <c r="P758" s="10">
        <v>2702.75</v>
      </c>
      <c r="Q758" s="11">
        <v>8.8000000000000007</v>
      </c>
      <c r="R758" s="13" t="str">
        <f>IF(Patient_Data!$L758&lt;2,"Low Risk",IF(Patient_Data!$L758&lt;4,"Moderate Risk","High Risk"))</f>
        <v>Low Risk</v>
      </c>
      <c r="S758" s="12" t="str">
        <f>IF(Patient_Data[[#This Row],[Age]]&lt;=18,"Pediatric",IF(Patient_Data[[#This Row],[Age]]&lt;=64,"Adult","Geriatric"))</f>
        <v>Adult</v>
      </c>
    </row>
    <row r="759" spans="1:19" ht="15.75" customHeight="1" x14ac:dyDescent="0.3">
      <c r="A759" s="4" t="s">
        <v>1575</v>
      </c>
      <c r="B759" s="5" t="str">
        <f>TEXT(Patient_Data!$E759,"mmmm")</f>
        <v>June</v>
      </c>
      <c r="C759" s="6" t="str">
        <f t="shared" si="4"/>
        <v>Jun</v>
      </c>
      <c r="D759" s="6">
        <f>MONTH(Patient_Data!$E759)</f>
        <v>6</v>
      </c>
      <c r="E759" s="7">
        <v>45456</v>
      </c>
      <c r="F759" s="55" t="str">
        <f>TEXT(Patient_Data[[#This Row],[Admission_Date]],"YYYY")</f>
        <v>2024</v>
      </c>
      <c r="G759" s="8" t="s">
        <v>481</v>
      </c>
      <c r="H759" s="8" t="s">
        <v>49</v>
      </c>
      <c r="I759" s="4" t="s">
        <v>35</v>
      </c>
      <c r="J759" s="4">
        <v>17</v>
      </c>
      <c r="K759" s="4" t="s">
        <v>30</v>
      </c>
      <c r="L759" s="8">
        <v>1</v>
      </c>
      <c r="M759" s="9" t="s">
        <v>79</v>
      </c>
      <c r="N759" s="9" t="str">
        <f t="shared" si="5"/>
        <v>PD</v>
      </c>
      <c r="O759" s="10">
        <v>2195.23</v>
      </c>
      <c r="P759" s="10">
        <v>1475.6</v>
      </c>
      <c r="Q759" s="11">
        <v>0.6</v>
      </c>
      <c r="R759" s="13" t="str">
        <f>IF(Patient_Data!$L759&lt;2,"Low Risk",IF(Patient_Data!$L759&lt;4,"Moderate Risk","High Risk"))</f>
        <v>Low Risk</v>
      </c>
      <c r="S759" s="12" t="str">
        <f>IF(Patient_Data[[#This Row],[Age]]&lt;=18,"Pediatric",IF(Patient_Data[[#This Row],[Age]]&lt;=64,"Adult","Geriatric"))</f>
        <v>Pediatric</v>
      </c>
    </row>
    <row r="760" spans="1:19" ht="15.75" customHeight="1" x14ac:dyDescent="0.3">
      <c r="A760" s="4" t="s">
        <v>1576</v>
      </c>
      <c r="B760" s="5" t="str">
        <f>TEXT(Patient_Data!$E760,"mmmm")</f>
        <v>August</v>
      </c>
      <c r="C760" s="6" t="str">
        <f t="shared" si="4"/>
        <v>Aug</v>
      </c>
      <c r="D760" s="6">
        <f>MONTH(Patient_Data!$E760)</f>
        <v>8</v>
      </c>
      <c r="E760" s="7">
        <v>45883</v>
      </c>
      <c r="F760" s="55" t="str">
        <f>TEXT(Patient_Data[[#This Row],[Admission_Date]],"YYYY")</f>
        <v>2025</v>
      </c>
      <c r="G760" s="8" t="s">
        <v>1577</v>
      </c>
      <c r="H760" s="8" t="s">
        <v>53</v>
      </c>
      <c r="I760" s="4" t="s">
        <v>29</v>
      </c>
      <c r="J760" s="4">
        <v>47</v>
      </c>
      <c r="K760" s="4" t="s">
        <v>54</v>
      </c>
      <c r="L760" s="8">
        <v>1</v>
      </c>
      <c r="M760" s="9" t="s">
        <v>36</v>
      </c>
      <c r="N760" s="9" t="str">
        <f t="shared" si="5"/>
        <v>Cardio</v>
      </c>
      <c r="O760" s="10">
        <v>10481.530000000001</v>
      </c>
      <c r="P760" s="10">
        <v>7389.87</v>
      </c>
      <c r="Q760" s="11">
        <v>6.6</v>
      </c>
      <c r="R760" s="13" t="str">
        <f>IF(Patient_Data!$L760&lt;2,"Low Risk",IF(Patient_Data!$L760&lt;4,"Moderate Risk","High Risk"))</f>
        <v>Low Risk</v>
      </c>
      <c r="S760" s="12" t="str">
        <f>IF(Patient_Data[[#This Row],[Age]]&lt;=18,"Pediatric",IF(Patient_Data[[#This Row],[Age]]&lt;=64,"Adult","Geriatric"))</f>
        <v>Adult</v>
      </c>
    </row>
    <row r="761" spans="1:19" ht="15.75" customHeight="1" x14ac:dyDescent="0.3">
      <c r="A761" s="4" t="s">
        <v>1578</v>
      </c>
      <c r="B761" s="5" t="str">
        <f>TEXT(Patient_Data!$E761,"mmmm")</f>
        <v>November</v>
      </c>
      <c r="C761" s="6" t="str">
        <f t="shared" si="4"/>
        <v>Nov</v>
      </c>
      <c r="D761" s="6">
        <f>MONTH(Patient_Data!$E761)</f>
        <v>11</v>
      </c>
      <c r="E761" s="7">
        <v>45969</v>
      </c>
      <c r="F761" s="55" t="str">
        <f>TEXT(Patient_Data[[#This Row],[Admission_Date]],"YYYY")</f>
        <v>2025</v>
      </c>
      <c r="G761" s="8" t="s">
        <v>1579</v>
      </c>
      <c r="H761" s="8" t="s">
        <v>98</v>
      </c>
      <c r="I761" s="4" t="s">
        <v>29</v>
      </c>
      <c r="J761" s="4">
        <v>89</v>
      </c>
      <c r="K761" s="4" t="s">
        <v>30</v>
      </c>
      <c r="L761" s="8">
        <v>4</v>
      </c>
      <c r="M761" s="9" t="s">
        <v>50</v>
      </c>
      <c r="N761" s="9" t="str">
        <f t="shared" si="5"/>
        <v>ICU</v>
      </c>
      <c r="O761" s="10">
        <v>11225.32</v>
      </c>
      <c r="P761" s="10">
        <v>8316.08</v>
      </c>
      <c r="Q761" s="11">
        <v>15.2</v>
      </c>
      <c r="R761" s="13" t="str">
        <f>IF(Patient_Data!$L761&lt;2,"Low Risk",IF(Patient_Data!$L761&lt;4,"Moderate Risk","High Risk"))</f>
        <v>High Risk</v>
      </c>
      <c r="S761" s="12" t="str">
        <f>IF(Patient_Data[[#This Row],[Age]]&lt;=18,"Pediatric",IF(Patient_Data[[#This Row],[Age]]&lt;=64,"Adult","Geriatric"))</f>
        <v>Geriatric</v>
      </c>
    </row>
    <row r="762" spans="1:19" ht="15.75" customHeight="1" x14ac:dyDescent="0.3">
      <c r="A762" s="4" t="s">
        <v>1580</v>
      </c>
      <c r="B762" s="5" t="str">
        <f>TEXT(Patient_Data!$E762,"mmmm")</f>
        <v>October</v>
      </c>
      <c r="C762" s="6" t="str">
        <f t="shared" si="4"/>
        <v>Oct</v>
      </c>
      <c r="D762" s="6">
        <f>MONTH(Patient_Data!$E762)</f>
        <v>10</v>
      </c>
      <c r="E762" s="7">
        <v>45938</v>
      </c>
      <c r="F762" s="55" t="str">
        <f>TEXT(Patient_Data[[#This Row],[Admission_Date]],"YYYY")</f>
        <v>2025</v>
      </c>
      <c r="G762" s="8" t="s">
        <v>1581</v>
      </c>
      <c r="H762" s="8" t="s">
        <v>82</v>
      </c>
      <c r="I762" s="4" t="s">
        <v>29</v>
      </c>
      <c r="J762" s="4">
        <v>91</v>
      </c>
      <c r="K762" s="4" t="s">
        <v>54</v>
      </c>
      <c r="L762" s="8">
        <v>4</v>
      </c>
      <c r="M762" s="9" t="s">
        <v>46</v>
      </c>
      <c r="N762" s="9" t="str">
        <f t="shared" si="5"/>
        <v>Ortho</v>
      </c>
      <c r="O762" s="10">
        <v>12231.43</v>
      </c>
      <c r="P762" s="10">
        <v>9313.49</v>
      </c>
      <c r="Q762" s="11">
        <v>2.2000000000000002</v>
      </c>
      <c r="R762" s="13" t="str">
        <f>IF(Patient_Data!$L762&lt;2,"Low Risk",IF(Patient_Data!$L762&lt;4,"Moderate Risk","High Risk"))</f>
        <v>High Risk</v>
      </c>
      <c r="S762" s="12" t="str">
        <f>IF(Patient_Data[[#This Row],[Age]]&lt;=18,"Pediatric",IF(Patient_Data[[#This Row],[Age]]&lt;=64,"Adult","Geriatric"))</f>
        <v>Geriatric</v>
      </c>
    </row>
    <row r="763" spans="1:19" ht="15.75" customHeight="1" x14ac:dyDescent="0.3">
      <c r="A763" s="4" t="s">
        <v>1582</v>
      </c>
      <c r="B763" s="5" t="str">
        <f>TEXT(Patient_Data!$E763,"mmmm")</f>
        <v>July</v>
      </c>
      <c r="C763" s="6" t="str">
        <f t="shared" si="4"/>
        <v>Jul</v>
      </c>
      <c r="D763" s="6">
        <f>MONTH(Patient_Data!$E763)</f>
        <v>7</v>
      </c>
      <c r="E763" s="7">
        <v>45839</v>
      </c>
      <c r="F763" s="55" t="str">
        <f>TEXT(Patient_Data[[#This Row],[Admission_Date]],"YYYY")</f>
        <v>2025</v>
      </c>
      <c r="G763" s="8" t="s">
        <v>1583</v>
      </c>
      <c r="H763" s="8" t="s">
        <v>34</v>
      </c>
      <c r="I763" s="4" t="s">
        <v>35</v>
      </c>
      <c r="J763" s="4">
        <v>13</v>
      </c>
      <c r="K763" s="4" t="s">
        <v>30</v>
      </c>
      <c r="L763" s="8">
        <v>2</v>
      </c>
      <c r="M763" s="9" t="s">
        <v>79</v>
      </c>
      <c r="N763" s="9" t="str">
        <f t="shared" si="5"/>
        <v>PD</v>
      </c>
      <c r="O763" s="10">
        <v>1401.42</v>
      </c>
      <c r="P763" s="10">
        <v>843.22</v>
      </c>
      <c r="Q763" s="11">
        <v>3.8</v>
      </c>
      <c r="R763" s="13" t="str">
        <f>IF(Patient_Data!$L763&lt;2,"Low Risk",IF(Patient_Data!$L763&lt;4,"Moderate Risk","High Risk"))</f>
        <v>Moderate Risk</v>
      </c>
      <c r="S763" s="12" t="str">
        <f>IF(Patient_Data[[#This Row],[Age]]&lt;=18,"Pediatric",IF(Patient_Data[[#This Row],[Age]]&lt;=64,"Adult","Geriatric"))</f>
        <v>Pediatric</v>
      </c>
    </row>
    <row r="764" spans="1:19" ht="15.75" customHeight="1" x14ac:dyDescent="0.3">
      <c r="A764" s="4" t="s">
        <v>1584</v>
      </c>
      <c r="B764" s="5" t="str">
        <f>TEXT(Patient_Data!$E764,"mmmm")</f>
        <v>May</v>
      </c>
      <c r="C764" s="6" t="str">
        <f t="shared" si="4"/>
        <v>May</v>
      </c>
      <c r="D764" s="6">
        <f>MONTH(Patient_Data!$E764)</f>
        <v>5</v>
      </c>
      <c r="E764" s="7">
        <v>45428</v>
      </c>
      <c r="F764" s="55" t="str">
        <f>TEXT(Patient_Data[[#This Row],[Admission_Date]],"YYYY")</f>
        <v>2024</v>
      </c>
      <c r="G764" s="8" t="s">
        <v>1585</v>
      </c>
      <c r="H764" s="8" t="s">
        <v>82</v>
      </c>
      <c r="I764" s="4" t="s">
        <v>35</v>
      </c>
      <c r="J764" s="4">
        <v>29</v>
      </c>
      <c r="K764" s="4" t="s">
        <v>30</v>
      </c>
      <c r="L764" s="8">
        <v>3</v>
      </c>
      <c r="M764" s="9" t="s">
        <v>36</v>
      </c>
      <c r="N764" s="9" t="str">
        <f t="shared" si="5"/>
        <v>Cardio</v>
      </c>
      <c r="O764" s="10">
        <v>14807.26</v>
      </c>
      <c r="P764" s="10">
        <v>9106.0300000000007</v>
      </c>
      <c r="Q764" s="11">
        <v>9.1999999999999993</v>
      </c>
      <c r="R764" s="13" t="str">
        <f>IF(Patient_Data!$L764&lt;2,"Low Risk",IF(Patient_Data!$L764&lt;4,"Moderate Risk","High Risk"))</f>
        <v>Moderate Risk</v>
      </c>
      <c r="S764" s="12" t="str">
        <f>IF(Patient_Data[[#This Row],[Age]]&lt;=18,"Pediatric",IF(Patient_Data[[#This Row],[Age]]&lt;=64,"Adult","Geriatric"))</f>
        <v>Adult</v>
      </c>
    </row>
    <row r="765" spans="1:19" ht="15.75" customHeight="1" x14ac:dyDescent="0.3">
      <c r="A765" s="4" t="s">
        <v>1586</v>
      </c>
      <c r="B765" s="5" t="str">
        <f>TEXT(Patient_Data!$E765,"mmmm")</f>
        <v>March</v>
      </c>
      <c r="C765" s="6" t="str">
        <f t="shared" si="4"/>
        <v>Mar</v>
      </c>
      <c r="D765" s="6">
        <f>MONTH(Patient_Data!$E765)</f>
        <v>3</v>
      </c>
      <c r="E765" s="7">
        <v>45358</v>
      </c>
      <c r="F765" s="55" t="str">
        <f>TEXT(Patient_Data[[#This Row],[Admission_Date]],"YYYY")</f>
        <v>2024</v>
      </c>
      <c r="G765" s="8" t="s">
        <v>1587</v>
      </c>
      <c r="H765" s="8" t="s">
        <v>53</v>
      </c>
      <c r="I765" s="4" t="s">
        <v>29</v>
      </c>
      <c r="J765" s="4">
        <v>28</v>
      </c>
      <c r="K765" s="4" t="s">
        <v>54</v>
      </c>
      <c r="L765" s="8">
        <v>5</v>
      </c>
      <c r="M765" s="9" t="s">
        <v>72</v>
      </c>
      <c r="N765" s="9" t="str">
        <f t="shared" si="5"/>
        <v>Surgery</v>
      </c>
      <c r="O765" s="10">
        <v>18860.13</v>
      </c>
      <c r="P765" s="10">
        <v>12102.48</v>
      </c>
      <c r="Q765" s="11">
        <v>4</v>
      </c>
      <c r="R765" s="13" t="str">
        <f>IF(Patient_Data!$L765&lt;2,"Low Risk",IF(Patient_Data!$L765&lt;4,"Moderate Risk","High Risk"))</f>
        <v>High Risk</v>
      </c>
      <c r="S765" s="12" t="str">
        <f>IF(Patient_Data[[#This Row],[Age]]&lt;=18,"Pediatric",IF(Patient_Data[[#This Row],[Age]]&lt;=64,"Adult","Geriatric"))</f>
        <v>Adult</v>
      </c>
    </row>
    <row r="766" spans="1:19" ht="15.75" customHeight="1" x14ac:dyDescent="0.3">
      <c r="A766" s="4" t="s">
        <v>1588</v>
      </c>
      <c r="B766" s="5" t="str">
        <f>TEXT(Patient_Data!$E766,"mmmm")</f>
        <v>January</v>
      </c>
      <c r="C766" s="6" t="str">
        <f t="shared" si="4"/>
        <v>Jan</v>
      </c>
      <c r="D766" s="6">
        <f>MONTH(Patient_Data!$E766)</f>
        <v>1</v>
      </c>
      <c r="E766" s="7">
        <v>46034</v>
      </c>
      <c r="F766" s="55" t="str">
        <f>TEXT(Patient_Data[[#This Row],[Admission_Date]],"YYYY")</f>
        <v>2026</v>
      </c>
      <c r="G766" s="8" t="s">
        <v>1589</v>
      </c>
      <c r="H766" s="8" t="s">
        <v>49</v>
      </c>
      <c r="I766" s="4" t="s">
        <v>29</v>
      </c>
      <c r="J766" s="4">
        <v>84</v>
      </c>
      <c r="K766" s="4" t="s">
        <v>54</v>
      </c>
      <c r="L766" s="8">
        <v>2</v>
      </c>
      <c r="M766" s="9" t="s">
        <v>39</v>
      </c>
      <c r="N766" s="9" t="str">
        <f t="shared" si="5"/>
        <v>GM</v>
      </c>
      <c r="O766" s="10">
        <v>1510.08</v>
      </c>
      <c r="P766" s="10">
        <v>1084.55</v>
      </c>
      <c r="Q766" s="11">
        <v>9.1</v>
      </c>
      <c r="R766" s="13" t="str">
        <f>IF(Patient_Data!$L766&lt;2,"Low Risk",IF(Patient_Data!$L766&lt;4,"Moderate Risk","High Risk"))</f>
        <v>Moderate Risk</v>
      </c>
      <c r="S766" s="12" t="str">
        <f>IF(Patient_Data[[#This Row],[Age]]&lt;=18,"Pediatric",IF(Patient_Data[[#This Row],[Age]]&lt;=64,"Adult","Geriatric"))</f>
        <v>Geriatric</v>
      </c>
    </row>
    <row r="767" spans="1:19" ht="15.75" customHeight="1" x14ac:dyDescent="0.3">
      <c r="A767" s="4" t="s">
        <v>1590</v>
      </c>
      <c r="B767" s="5" t="str">
        <f>TEXT(Patient_Data!$E767,"mmmm")</f>
        <v>September</v>
      </c>
      <c r="C767" s="6" t="str">
        <f t="shared" ref="C767:C1021" si="6">LEFT(B767,3)</f>
        <v>Sep</v>
      </c>
      <c r="D767" s="6">
        <f>MONTH(Patient_Data!$E767)</f>
        <v>9</v>
      </c>
      <c r="E767" s="7">
        <v>45909</v>
      </c>
      <c r="F767" s="55" t="str">
        <f>TEXT(Patient_Data[[#This Row],[Admission_Date]],"YYYY")</f>
        <v>2025</v>
      </c>
      <c r="G767" s="8" t="s">
        <v>1591</v>
      </c>
      <c r="H767" s="8" t="s">
        <v>42</v>
      </c>
      <c r="I767" s="4" t="s">
        <v>29</v>
      </c>
      <c r="J767" s="4">
        <v>54</v>
      </c>
      <c r="K767" s="4" t="s">
        <v>54</v>
      </c>
      <c r="L767" s="8">
        <v>3</v>
      </c>
      <c r="M767" s="9" t="s">
        <v>72</v>
      </c>
      <c r="N767" s="9" t="str">
        <f t="shared" ref="N767:N1021" si="7">IF(M767="Cardiology","Cardio",IF(M767="Intensive Care Unit","ICU",IF(M767="Neurology","Neuro",IF(M767="Emergency Room","ER",IF(M767="Pediatrics","PD",IF(M767="Surgery","Surgery",IF(M767="General Medicine","GM",IF(M767="Orthopedics","Ortho",""))))))))</f>
        <v>Surgery</v>
      </c>
      <c r="O767" s="10">
        <v>16553.080000000002</v>
      </c>
      <c r="P767" s="10">
        <v>11674.36</v>
      </c>
      <c r="Q767" s="11">
        <v>10.9</v>
      </c>
      <c r="R767" s="13" t="str">
        <f>IF(Patient_Data!$L767&lt;2,"Low Risk",IF(Patient_Data!$L767&lt;4,"Moderate Risk","High Risk"))</f>
        <v>Moderate Risk</v>
      </c>
      <c r="S767" s="12" t="str">
        <f>IF(Patient_Data[[#This Row],[Age]]&lt;=18,"Pediatric",IF(Patient_Data[[#This Row],[Age]]&lt;=64,"Adult","Geriatric"))</f>
        <v>Adult</v>
      </c>
    </row>
    <row r="768" spans="1:19" ht="15.75" customHeight="1" x14ac:dyDescent="0.3">
      <c r="A768" s="4" t="s">
        <v>1592</v>
      </c>
      <c r="B768" s="5" t="str">
        <f>TEXT(Patient_Data!$E768,"mmmm")</f>
        <v>May</v>
      </c>
      <c r="C768" s="6" t="str">
        <f t="shared" si="6"/>
        <v>May</v>
      </c>
      <c r="D768" s="6">
        <f>MONTH(Patient_Data!$E768)</f>
        <v>5</v>
      </c>
      <c r="E768" s="7">
        <v>45799</v>
      </c>
      <c r="F768" s="55" t="str">
        <f>TEXT(Patient_Data[[#This Row],[Admission_Date]],"YYYY")</f>
        <v>2025</v>
      </c>
      <c r="G768" s="8" t="s">
        <v>1593</v>
      </c>
      <c r="H768" s="8" t="s">
        <v>28</v>
      </c>
      <c r="I768" s="4" t="s">
        <v>29</v>
      </c>
      <c r="J768" s="4">
        <v>83</v>
      </c>
      <c r="K768" s="4" t="s">
        <v>30</v>
      </c>
      <c r="L768" s="8">
        <v>1</v>
      </c>
      <c r="M768" s="9" t="s">
        <v>36</v>
      </c>
      <c r="N768" s="9" t="str">
        <f t="shared" si="7"/>
        <v>Cardio</v>
      </c>
      <c r="O768" s="10">
        <v>9964.49</v>
      </c>
      <c r="P768" s="10">
        <v>7313.28</v>
      </c>
      <c r="Q768" s="11">
        <v>4.9000000000000004</v>
      </c>
      <c r="R768" s="13" t="str">
        <f>IF(Patient_Data!$L768&lt;2,"Low Risk",IF(Patient_Data!$L768&lt;4,"Moderate Risk","High Risk"))</f>
        <v>Low Risk</v>
      </c>
      <c r="S768" s="12" t="str">
        <f>IF(Patient_Data[[#This Row],[Age]]&lt;=18,"Pediatric",IF(Patient_Data[[#This Row],[Age]]&lt;=64,"Adult","Geriatric"))</f>
        <v>Geriatric</v>
      </c>
    </row>
    <row r="769" spans="1:19" ht="15.75" customHeight="1" x14ac:dyDescent="0.3">
      <c r="A769" s="4" t="s">
        <v>1594</v>
      </c>
      <c r="B769" s="5" t="str">
        <f>TEXT(Patient_Data!$E769,"mmmm")</f>
        <v>July</v>
      </c>
      <c r="C769" s="6" t="str">
        <f t="shared" si="6"/>
        <v>Jul</v>
      </c>
      <c r="D769" s="6">
        <f>MONTH(Patient_Data!$E769)</f>
        <v>7</v>
      </c>
      <c r="E769" s="7">
        <v>45866</v>
      </c>
      <c r="F769" s="55" t="str">
        <f>TEXT(Patient_Data[[#This Row],[Admission_Date]],"YYYY")</f>
        <v>2025</v>
      </c>
      <c r="G769" s="8" t="s">
        <v>1595</v>
      </c>
      <c r="H769" s="8" t="s">
        <v>28</v>
      </c>
      <c r="I769" s="4" t="s">
        <v>29</v>
      </c>
      <c r="J769" s="4">
        <v>6</v>
      </c>
      <c r="K769" s="4" t="s">
        <v>45</v>
      </c>
      <c r="L769" s="8">
        <v>4</v>
      </c>
      <c r="M769" s="9" t="s">
        <v>79</v>
      </c>
      <c r="N769" s="9" t="str">
        <f t="shared" si="7"/>
        <v>PD</v>
      </c>
      <c r="O769" s="10">
        <v>2784.36</v>
      </c>
      <c r="P769" s="10">
        <v>2121.71</v>
      </c>
      <c r="Q769" s="11">
        <v>0.7</v>
      </c>
      <c r="R769" s="13" t="str">
        <f>IF(Patient_Data!$L769&lt;2,"Low Risk",IF(Patient_Data!$L769&lt;4,"Moderate Risk","High Risk"))</f>
        <v>High Risk</v>
      </c>
      <c r="S769" s="12" t="str">
        <f>IF(Patient_Data[[#This Row],[Age]]&lt;=18,"Pediatric",IF(Patient_Data[[#This Row],[Age]]&lt;=64,"Adult","Geriatric"))</f>
        <v>Pediatric</v>
      </c>
    </row>
    <row r="770" spans="1:19" ht="15.75" customHeight="1" x14ac:dyDescent="0.3">
      <c r="A770" s="4" t="s">
        <v>1596</v>
      </c>
      <c r="B770" s="5" t="str">
        <f>TEXT(Patient_Data!$E770,"mmmm")</f>
        <v>May</v>
      </c>
      <c r="C770" s="6" t="str">
        <f t="shared" si="6"/>
        <v>May</v>
      </c>
      <c r="D770" s="6">
        <f>MONTH(Patient_Data!$E770)</f>
        <v>5</v>
      </c>
      <c r="E770" s="7">
        <v>46162</v>
      </c>
      <c r="F770" s="55" t="str">
        <f>TEXT(Patient_Data[[#This Row],[Admission_Date]],"YYYY")</f>
        <v>2026</v>
      </c>
      <c r="G770" s="8" t="s">
        <v>1169</v>
      </c>
      <c r="H770" s="8" t="s">
        <v>82</v>
      </c>
      <c r="I770" s="4" t="s">
        <v>29</v>
      </c>
      <c r="J770" s="4">
        <v>5</v>
      </c>
      <c r="K770" s="4" t="s">
        <v>30</v>
      </c>
      <c r="L770" s="8">
        <v>1</v>
      </c>
      <c r="M770" s="9" t="s">
        <v>79</v>
      </c>
      <c r="N770" s="9" t="str">
        <f t="shared" si="7"/>
        <v>PD</v>
      </c>
      <c r="O770" s="10">
        <v>714.8</v>
      </c>
      <c r="P770" s="10">
        <v>459.38</v>
      </c>
      <c r="Q770" s="11">
        <v>5.6</v>
      </c>
      <c r="R770" s="13" t="str">
        <f>IF(Patient_Data!$L770&lt;2,"Low Risk",IF(Patient_Data!$L770&lt;4,"Moderate Risk","High Risk"))</f>
        <v>Low Risk</v>
      </c>
      <c r="S770" s="12" t="str">
        <f>IF(Patient_Data[[#This Row],[Age]]&lt;=18,"Pediatric",IF(Patient_Data[[#This Row],[Age]]&lt;=64,"Adult","Geriatric"))</f>
        <v>Pediatric</v>
      </c>
    </row>
    <row r="771" spans="1:19" ht="15.75" customHeight="1" x14ac:dyDescent="0.3">
      <c r="A771" s="4" t="s">
        <v>1597</v>
      </c>
      <c r="B771" s="5" t="str">
        <f>TEXT(Patient_Data!$E771,"mmmm")</f>
        <v>September</v>
      </c>
      <c r="C771" s="6" t="str">
        <f t="shared" si="6"/>
        <v>Sep</v>
      </c>
      <c r="D771" s="6">
        <f>MONTH(Patient_Data!$E771)</f>
        <v>9</v>
      </c>
      <c r="E771" s="7">
        <v>45560</v>
      </c>
      <c r="F771" s="55" t="str">
        <f>TEXT(Patient_Data[[#This Row],[Admission_Date]],"YYYY")</f>
        <v>2024</v>
      </c>
      <c r="G771" s="8" t="s">
        <v>1598</v>
      </c>
      <c r="H771" s="8" t="s">
        <v>28</v>
      </c>
      <c r="I771" s="4" t="s">
        <v>29</v>
      </c>
      <c r="J771" s="4">
        <v>52</v>
      </c>
      <c r="K771" s="4" t="s">
        <v>54</v>
      </c>
      <c r="L771" s="8">
        <v>3</v>
      </c>
      <c r="M771" s="9" t="s">
        <v>46</v>
      </c>
      <c r="N771" s="9" t="str">
        <f t="shared" si="7"/>
        <v>Ortho</v>
      </c>
      <c r="O771" s="10">
        <v>6102.3</v>
      </c>
      <c r="P771" s="10">
        <v>3744.8</v>
      </c>
      <c r="Q771" s="11">
        <v>2.8</v>
      </c>
      <c r="R771" s="13" t="str">
        <f>IF(Patient_Data!$L771&lt;2,"Low Risk",IF(Patient_Data!$L771&lt;4,"Moderate Risk","High Risk"))</f>
        <v>Moderate Risk</v>
      </c>
      <c r="S771" s="12" t="str">
        <f>IF(Patient_Data[[#This Row],[Age]]&lt;=18,"Pediatric",IF(Patient_Data[[#This Row],[Age]]&lt;=64,"Adult","Geriatric"))</f>
        <v>Adult</v>
      </c>
    </row>
    <row r="772" spans="1:19" ht="15.75" customHeight="1" x14ac:dyDescent="0.3">
      <c r="A772" s="4" t="s">
        <v>1599</v>
      </c>
      <c r="B772" s="5" t="str">
        <f>TEXT(Patient_Data!$E772,"mmmm")</f>
        <v>December</v>
      </c>
      <c r="C772" s="6" t="str">
        <f t="shared" si="6"/>
        <v>Dec</v>
      </c>
      <c r="D772" s="6">
        <f>MONTH(Patient_Data!$E772)</f>
        <v>12</v>
      </c>
      <c r="E772" s="7">
        <v>45630</v>
      </c>
      <c r="F772" s="55" t="str">
        <f>TEXT(Patient_Data[[#This Row],[Admission_Date]],"YYYY")</f>
        <v>2024</v>
      </c>
      <c r="G772" s="8" t="s">
        <v>1600</v>
      </c>
      <c r="H772" s="8" t="s">
        <v>53</v>
      </c>
      <c r="I772" s="4" t="s">
        <v>35</v>
      </c>
      <c r="J772" s="4">
        <v>54</v>
      </c>
      <c r="K772" s="4" t="s">
        <v>45</v>
      </c>
      <c r="L772" s="8">
        <v>4</v>
      </c>
      <c r="M772" s="9" t="s">
        <v>72</v>
      </c>
      <c r="N772" s="9" t="str">
        <f t="shared" si="7"/>
        <v>Surgery</v>
      </c>
      <c r="O772" s="10">
        <v>11704.96</v>
      </c>
      <c r="P772" s="10">
        <v>7575.97</v>
      </c>
      <c r="Q772" s="11">
        <v>10.6</v>
      </c>
      <c r="R772" s="13" t="str">
        <f>IF(Patient_Data!$L772&lt;2,"Low Risk",IF(Patient_Data!$L772&lt;4,"Moderate Risk","High Risk"))</f>
        <v>High Risk</v>
      </c>
      <c r="S772" s="12" t="str">
        <f>IF(Patient_Data[[#This Row],[Age]]&lt;=18,"Pediatric",IF(Patient_Data[[#This Row],[Age]]&lt;=64,"Adult","Geriatric"))</f>
        <v>Adult</v>
      </c>
    </row>
    <row r="773" spans="1:19" ht="15.75" customHeight="1" x14ac:dyDescent="0.3">
      <c r="A773" s="4" t="s">
        <v>1601</v>
      </c>
      <c r="B773" s="5" t="str">
        <f>TEXT(Patient_Data!$E773,"mmmm")</f>
        <v>June</v>
      </c>
      <c r="C773" s="6" t="str">
        <f t="shared" si="6"/>
        <v>Jun</v>
      </c>
      <c r="D773" s="6">
        <f>MONTH(Patient_Data!$E773)</f>
        <v>6</v>
      </c>
      <c r="E773" s="7">
        <v>45448</v>
      </c>
      <c r="F773" s="55" t="str">
        <f>TEXT(Patient_Data[[#This Row],[Admission_Date]],"YYYY")</f>
        <v>2024</v>
      </c>
      <c r="G773" s="8" t="s">
        <v>1602</v>
      </c>
      <c r="H773" s="8" t="s">
        <v>53</v>
      </c>
      <c r="I773" s="4" t="s">
        <v>29</v>
      </c>
      <c r="J773" s="4">
        <v>9</v>
      </c>
      <c r="K773" s="4" t="s">
        <v>45</v>
      </c>
      <c r="L773" s="8">
        <v>5</v>
      </c>
      <c r="M773" s="9" t="s">
        <v>79</v>
      </c>
      <c r="N773" s="9" t="str">
        <f t="shared" si="7"/>
        <v>PD</v>
      </c>
      <c r="O773" s="10">
        <v>1421.62</v>
      </c>
      <c r="P773" s="10">
        <v>954.89</v>
      </c>
      <c r="Q773" s="11">
        <v>0.3</v>
      </c>
      <c r="R773" s="13" t="str">
        <f>IF(Patient_Data!$L773&lt;2,"Low Risk",IF(Patient_Data!$L773&lt;4,"Moderate Risk","High Risk"))</f>
        <v>High Risk</v>
      </c>
      <c r="S773" s="12" t="str">
        <f>IF(Patient_Data[[#This Row],[Age]]&lt;=18,"Pediatric",IF(Patient_Data[[#This Row],[Age]]&lt;=64,"Adult","Geriatric"))</f>
        <v>Pediatric</v>
      </c>
    </row>
    <row r="774" spans="1:19" ht="15.75" customHeight="1" x14ac:dyDescent="0.3">
      <c r="A774" s="4" t="s">
        <v>1603</v>
      </c>
      <c r="B774" s="5" t="str">
        <f>TEXT(Patient_Data!$E774,"mmmm")</f>
        <v>July</v>
      </c>
      <c r="C774" s="6" t="str">
        <f t="shared" si="6"/>
        <v>Jul</v>
      </c>
      <c r="D774" s="6">
        <f>MONTH(Patient_Data!$E774)</f>
        <v>7</v>
      </c>
      <c r="E774" s="7">
        <v>45484</v>
      </c>
      <c r="F774" s="55" t="str">
        <f>TEXT(Patient_Data[[#This Row],[Admission_Date]],"YYYY")</f>
        <v>2024</v>
      </c>
      <c r="G774" s="8" t="s">
        <v>1604</v>
      </c>
      <c r="H774" s="8" t="s">
        <v>28</v>
      </c>
      <c r="I774" s="4" t="s">
        <v>29</v>
      </c>
      <c r="J774" s="4">
        <v>53</v>
      </c>
      <c r="K774" s="4" t="s">
        <v>45</v>
      </c>
      <c r="L774" s="8">
        <v>2</v>
      </c>
      <c r="M774" s="9" t="s">
        <v>46</v>
      </c>
      <c r="N774" s="9" t="str">
        <f t="shared" si="7"/>
        <v>Ortho</v>
      </c>
      <c r="O774" s="10">
        <v>7181.13</v>
      </c>
      <c r="P774" s="10">
        <v>5089.99</v>
      </c>
      <c r="Q774" s="11">
        <v>7.9</v>
      </c>
      <c r="R774" s="13" t="str">
        <f>IF(Patient_Data!$L774&lt;2,"Low Risk",IF(Patient_Data!$L774&lt;4,"Moderate Risk","High Risk"))</f>
        <v>Moderate Risk</v>
      </c>
      <c r="S774" s="12" t="str">
        <f>IF(Patient_Data[[#This Row],[Age]]&lt;=18,"Pediatric",IF(Patient_Data[[#This Row],[Age]]&lt;=64,"Adult","Geriatric"))</f>
        <v>Adult</v>
      </c>
    </row>
    <row r="775" spans="1:19" ht="15.75" customHeight="1" x14ac:dyDescent="0.3">
      <c r="A775" s="4" t="s">
        <v>1605</v>
      </c>
      <c r="B775" s="5" t="str">
        <f>TEXT(Patient_Data!$E775,"mmmm")</f>
        <v>November</v>
      </c>
      <c r="C775" s="6" t="str">
        <f t="shared" si="6"/>
        <v>Nov</v>
      </c>
      <c r="D775" s="6">
        <f>MONTH(Patient_Data!$E775)</f>
        <v>11</v>
      </c>
      <c r="E775" s="7">
        <v>45244</v>
      </c>
      <c r="F775" s="55" t="str">
        <f>TEXT(Patient_Data[[#This Row],[Admission_Date]],"YYYY")</f>
        <v>2023</v>
      </c>
      <c r="G775" s="8" t="s">
        <v>1606</v>
      </c>
      <c r="H775" s="8" t="s">
        <v>28</v>
      </c>
      <c r="I775" s="4" t="s">
        <v>29</v>
      </c>
      <c r="J775" s="4">
        <v>46</v>
      </c>
      <c r="K775" s="4" t="s">
        <v>45</v>
      </c>
      <c r="L775" s="8">
        <v>2</v>
      </c>
      <c r="M775" s="9" t="s">
        <v>39</v>
      </c>
      <c r="N775" s="9" t="str">
        <f t="shared" si="7"/>
        <v>GM</v>
      </c>
      <c r="O775" s="10">
        <v>1712.45</v>
      </c>
      <c r="P775" s="10">
        <v>1304.49</v>
      </c>
      <c r="Q775" s="11">
        <v>6.8</v>
      </c>
      <c r="R775" s="13" t="str">
        <f>IF(Patient_Data!$L775&lt;2,"Low Risk",IF(Patient_Data!$L775&lt;4,"Moderate Risk","High Risk"))</f>
        <v>Moderate Risk</v>
      </c>
      <c r="S775" s="12" t="str">
        <f>IF(Patient_Data[[#This Row],[Age]]&lt;=18,"Pediatric",IF(Patient_Data[[#This Row],[Age]]&lt;=64,"Adult","Geriatric"))</f>
        <v>Adult</v>
      </c>
    </row>
    <row r="776" spans="1:19" ht="15.75" customHeight="1" x14ac:dyDescent="0.3">
      <c r="A776" s="4" t="s">
        <v>1607</v>
      </c>
      <c r="B776" s="5" t="str">
        <f>TEXT(Patient_Data!$E776,"mmmm")</f>
        <v>July</v>
      </c>
      <c r="C776" s="6" t="str">
        <f t="shared" si="6"/>
        <v>Jul</v>
      </c>
      <c r="D776" s="6">
        <f>MONTH(Patient_Data!$E776)</f>
        <v>7</v>
      </c>
      <c r="E776" s="7">
        <v>45856</v>
      </c>
      <c r="F776" s="55" t="str">
        <f>TEXT(Patient_Data[[#This Row],[Admission_Date]],"YYYY")</f>
        <v>2025</v>
      </c>
      <c r="G776" s="8" t="s">
        <v>1608</v>
      </c>
      <c r="H776" s="8" t="s">
        <v>98</v>
      </c>
      <c r="I776" s="4" t="s">
        <v>29</v>
      </c>
      <c r="J776" s="4">
        <v>40</v>
      </c>
      <c r="K776" s="4" t="s">
        <v>30</v>
      </c>
      <c r="L776" s="8">
        <v>1</v>
      </c>
      <c r="M776" s="9" t="s">
        <v>31</v>
      </c>
      <c r="N776" s="9" t="str">
        <f t="shared" si="7"/>
        <v>Neuro</v>
      </c>
      <c r="O776" s="10">
        <v>8839.1299999999992</v>
      </c>
      <c r="P776" s="10">
        <v>6748.94</v>
      </c>
      <c r="Q776" s="11">
        <v>3.9</v>
      </c>
      <c r="R776" s="13" t="str">
        <f>IF(Patient_Data!$L776&lt;2,"Low Risk",IF(Patient_Data!$L776&lt;4,"Moderate Risk","High Risk"))</f>
        <v>Low Risk</v>
      </c>
      <c r="S776" s="12" t="str">
        <f>IF(Patient_Data[[#This Row],[Age]]&lt;=18,"Pediatric",IF(Patient_Data[[#This Row],[Age]]&lt;=64,"Adult","Geriatric"))</f>
        <v>Adult</v>
      </c>
    </row>
    <row r="777" spans="1:19" ht="15.75" customHeight="1" x14ac:dyDescent="0.3">
      <c r="A777" s="4" t="s">
        <v>1609</v>
      </c>
      <c r="B777" s="5" t="str">
        <f>TEXT(Patient_Data!$E777,"mmmm")</f>
        <v>May</v>
      </c>
      <c r="C777" s="6" t="str">
        <f t="shared" si="6"/>
        <v>May</v>
      </c>
      <c r="D777" s="6">
        <f>MONTH(Patient_Data!$E777)</f>
        <v>5</v>
      </c>
      <c r="E777" s="7">
        <v>45435</v>
      </c>
      <c r="F777" s="55" t="str">
        <f>TEXT(Patient_Data[[#This Row],[Admission_Date]],"YYYY")</f>
        <v>2024</v>
      </c>
      <c r="G777" s="8" t="s">
        <v>1610</v>
      </c>
      <c r="H777" s="8" t="s">
        <v>34</v>
      </c>
      <c r="I777" s="4" t="s">
        <v>35</v>
      </c>
      <c r="J777" s="4">
        <v>24</v>
      </c>
      <c r="K777" s="4" t="s">
        <v>30</v>
      </c>
      <c r="L777" s="8">
        <v>2</v>
      </c>
      <c r="M777" s="9" t="s">
        <v>31</v>
      </c>
      <c r="N777" s="9" t="str">
        <f t="shared" si="7"/>
        <v>Neuro</v>
      </c>
      <c r="O777" s="10">
        <v>11693.01</v>
      </c>
      <c r="P777" s="10">
        <v>6841.15</v>
      </c>
      <c r="Q777" s="11">
        <v>7.4</v>
      </c>
      <c r="R777" s="13" t="str">
        <f>IF(Patient_Data!$L777&lt;2,"Low Risk",IF(Patient_Data!$L777&lt;4,"Moderate Risk","High Risk"))</f>
        <v>Moderate Risk</v>
      </c>
      <c r="S777" s="12" t="str">
        <f>IF(Patient_Data[[#This Row],[Age]]&lt;=18,"Pediatric",IF(Patient_Data[[#This Row],[Age]]&lt;=64,"Adult","Geriatric"))</f>
        <v>Adult</v>
      </c>
    </row>
    <row r="778" spans="1:19" ht="15.75" customHeight="1" x14ac:dyDescent="0.3">
      <c r="A778" s="4" t="s">
        <v>1611</v>
      </c>
      <c r="B778" s="5" t="str">
        <f>TEXT(Patient_Data!$E778,"mmmm")</f>
        <v>October</v>
      </c>
      <c r="C778" s="6" t="str">
        <f t="shared" si="6"/>
        <v>Oct</v>
      </c>
      <c r="D778" s="6">
        <f>MONTH(Patient_Data!$E778)</f>
        <v>10</v>
      </c>
      <c r="E778" s="7">
        <v>45938</v>
      </c>
      <c r="F778" s="55" t="str">
        <f>TEXT(Patient_Data[[#This Row],[Admission_Date]],"YYYY")</f>
        <v>2025</v>
      </c>
      <c r="G778" s="8" t="s">
        <v>1612</v>
      </c>
      <c r="H778" s="8" t="s">
        <v>82</v>
      </c>
      <c r="I778" s="4" t="s">
        <v>35</v>
      </c>
      <c r="J778" s="4">
        <v>62</v>
      </c>
      <c r="K778" s="4" t="s">
        <v>45</v>
      </c>
      <c r="L778" s="8">
        <v>4</v>
      </c>
      <c r="M778" s="9" t="s">
        <v>72</v>
      </c>
      <c r="N778" s="9" t="str">
        <f t="shared" si="7"/>
        <v>Surgery</v>
      </c>
      <c r="O778" s="10">
        <v>14218.34</v>
      </c>
      <c r="P778" s="10">
        <v>8750.7900000000009</v>
      </c>
      <c r="Q778" s="11">
        <v>9.6999999999999993</v>
      </c>
      <c r="R778" s="13" t="str">
        <f>IF(Patient_Data!$L778&lt;2,"Low Risk",IF(Patient_Data!$L778&lt;4,"Moderate Risk","High Risk"))</f>
        <v>High Risk</v>
      </c>
      <c r="S778" s="12" t="str">
        <f>IF(Patient_Data[[#This Row],[Age]]&lt;=18,"Pediatric",IF(Patient_Data[[#This Row],[Age]]&lt;=64,"Adult","Geriatric"))</f>
        <v>Adult</v>
      </c>
    </row>
    <row r="779" spans="1:19" ht="15.75" customHeight="1" x14ac:dyDescent="0.3">
      <c r="A779" s="4" t="s">
        <v>1613</v>
      </c>
      <c r="B779" s="5" t="str">
        <f>TEXT(Patient_Data!$E779,"mmmm")</f>
        <v>July</v>
      </c>
      <c r="C779" s="6" t="str">
        <f t="shared" si="6"/>
        <v>Jul</v>
      </c>
      <c r="D779" s="6">
        <f>MONTH(Patient_Data!$E779)</f>
        <v>7</v>
      </c>
      <c r="E779" s="7">
        <v>45482</v>
      </c>
      <c r="F779" s="55" t="str">
        <f>TEXT(Patient_Data[[#This Row],[Admission_Date]],"YYYY")</f>
        <v>2024</v>
      </c>
      <c r="G779" s="8" t="s">
        <v>1614</v>
      </c>
      <c r="H779" s="8" t="s">
        <v>28</v>
      </c>
      <c r="I779" s="4" t="s">
        <v>29</v>
      </c>
      <c r="J779" s="4">
        <v>79</v>
      </c>
      <c r="K779" s="4" t="s">
        <v>54</v>
      </c>
      <c r="L779" s="8">
        <v>5</v>
      </c>
      <c r="M779" s="9" t="s">
        <v>36</v>
      </c>
      <c r="N779" s="9" t="str">
        <f t="shared" si="7"/>
        <v>Cardio</v>
      </c>
      <c r="O779" s="10">
        <v>15375.57</v>
      </c>
      <c r="P779" s="10">
        <v>9891.56</v>
      </c>
      <c r="Q779" s="11">
        <v>6.4</v>
      </c>
      <c r="R779" s="13" t="str">
        <f>IF(Patient_Data!$L779&lt;2,"Low Risk",IF(Patient_Data!$L779&lt;4,"Moderate Risk","High Risk"))</f>
        <v>High Risk</v>
      </c>
      <c r="S779" s="12" t="str">
        <f>IF(Patient_Data[[#This Row],[Age]]&lt;=18,"Pediatric",IF(Patient_Data[[#This Row],[Age]]&lt;=64,"Adult","Geriatric"))</f>
        <v>Geriatric</v>
      </c>
    </row>
    <row r="780" spans="1:19" ht="15.75" customHeight="1" x14ac:dyDescent="0.3">
      <c r="A780" s="4" t="s">
        <v>1615</v>
      </c>
      <c r="B780" s="5" t="str">
        <f>TEXT(Patient_Data!$E780,"mmmm")</f>
        <v>July</v>
      </c>
      <c r="C780" s="6" t="str">
        <f t="shared" si="6"/>
        <v>Jul</v>
      </c>
      <c r="D780" s="6">
        <f>MONTH(Patient_Data!$E780)</f>
        <v>7</v>
      </c>
      <c r="E780" s="7">
        <v>45499</v>
      </c>
      <c r="F780" s="55" t="str">
        <f>TEXT(Patient_Data[[#This Row],[Admission_Date]],"YYYY")</f>
        <v>2024</v>
      </c>
      <c r="G780" s="8" t="s">
        <v>1616</v>
      </c>
      <c r="H780" s="8" t="s">
        <v>82</v>
      </c>
      <c r="I780" s="4" t="s">
        <v>29</v>
      </c>
      <c r="J780" s="4">
        <v>40</v>
      </c>
      <c r="K780" s="4" t="s">
        <v>45</v>
      </c>
      <c r="L780" s="8">
        <v>1</v>
      </c>
      <c r="M780" s="9" t="s">
        <v>39</v>
      </c>
      <c r="N780" s="9" t="str">
        <f t="shared" si="7"/>
        <v>GM</v>
      </c>
      <c r="O780" s="10">
        <v>4470.51</v>
      </c>
      <c r="P780" s="10">
        <v>3032.04</v>
      </c>
      <c r="Q780" s="11">
        <v>4.5999999999999996</v>
      </c>
      <c r="R780" s="13" t="str">
        <f>IF(Patient_Data!$L780&lt;2,"Low Risk",IF(Patient_Data!$L780&lt;4,"Moderate Risk","High Risk"))</f>
        <v>Low Risk</v>
      </c>
      <c r="S780" s="12" t="str">
        <f>IF(Patient_Data[[#This Row],[Age]]&lt;=18,"Pediatric",IF(Patient_Data[[#This Row],[Age]]&lt;=64,"Adult","Geriatric"))</f>
        <v>Adult</v>
      </c>
    </row>
    <row r="781" spans="1:19" ht="15.75" customHeight="1" x14ac:dyDescent="0.3">
      <c r="A781" s="4" t="s">
        <v>1617</v>
      </c>
      <c r="B781" s="5" t="str">
        <f>TEXT(Patient_Data!$E781,"mmmm")</f>
        <v>September</v>
      </c>
      <c r="C781" s="6" t="str">
        <f t="shared" si="6"/>
        <v>Sep</v>
      </c>
      <c r="D781" s="6">
        <f>MONTH(Patient_Data!$E781)</f>
        <v>9</v>
      </c>
      <c r="E781" s="7">
        <v>45537</v>
      </c>
      <c r="F781" s="55" t="str">
        <f>TEXT(Patient_Data[[#This Row],[Admission_Date]],"YYYY")</f>
        <v>2024</v>
      </c>
      <c r="G781" s="8" t="s">
        <v>1618</v>
      </c>
      <c r="H781" s="8" t="s">
        <v>53</v>
      </c>
      <c r="I781" s="4" t="s">
        <v>29</v>
      </c>
      <c r="J781" s="4">
        <v>28</v>
      </c>
      <c r="K781" s="4" t="s">
        <v>45</v>
      </c>
      <c r="L781" s="8">
        <v>3</v>
      </c>
      <c r="M781" s="9" t="s">
        <v>31</v>
      </c>
      <c r="N781" s="9" t="str">
        <f t="shared" si="7"/>
        <v>Neuro</v>
      </c>
      <c r="O781" s="10">
        <v>10132.549999999999</v>
      </c>
      <c r="P781" s="10">
        <v>7118.38</v>
      </c>
      <c r="Q781" s="11">
        <v>3.2</v>
      </c>
      <c r="R781" s="13" t="str">
        <f>IF(Patient_Data!$L781&lt;2,"Low Risk",IF(Patient_Data!$L781&lt;4,"Moderate Risk","High Risk"))</f>
        <v>Moderate Risk</v>
      </c>
      <c r="S781" s="12" t="str">
        <f>IF(Patient_Data[[#This Row],[Age]]&lt;=18,"Pediatric",IF(Patient_Data[[#This Row],[Age]]&lt;=64,"Adult","Geriatric"))</f>
        <v>Adult</v>
      </c>
    </row>
    <row r="782" spans="1:19" ht="15.75" customHeight="1" x14ac:dyDescent="0.3">
      <c r="A782" s="4" t="s">
        <v>1619</v>
      </c>
      <c r="B782" s="5" t="str">
        <f>TEXT(Patient_Data!$E782,"mmmm")</f>
        <v>August</v>
      </c>
      <c r="C782" s="6" t="str">
        <f t="shared" si="6"/>
        <v>Aug</v>
      </c>
      <c r="D782" s="6">
        <f>MONTH(Patient_Data!$E782)</f>
        <v>8</v>
      </c>
      <c r="E782" s="7">
        <v>45506</v>
      </c>
      <c r="F782" s="55" t="str">
        <f>TEXT(Patient_Data[[#This Row],[Admission_Date]],"YYYY")</f>
        <v>2024</v>
      </c>
      <c r="G782" s="8" t="s">
        <v>1620</v>
      </c>
      <c r="H782" s="8" t="s">
        <v>53</v>
      </c>
      <c r="I782" s="4" t="s">
        <v>35</v>
      </c>
      <c r="J782" s="4">
        <v>46</v>
      </c>
      <c r="K782" s="4" t="s">
        <v>30</v>
      </c>
      <c r="L782" s="8">
        <v>2</v>
      </c>
      <c r="M782" s="9" t="s">
        <v>36</v>
      </c>
      <c r="N782" s="9" t="str">
        <f t="shared" si="7"/>
        <v>Cardio</v>
      </c>
      <c r="O782" s="10">
        <v>10083.81</v>
      </c>
      <c r="P782" s="10">
        <v>7447.58</v>
      </c>
      <c r="Q782" s="11">
        <v>10.8</v>
      </c>
      <c r="R782" s="13" t="str">
        <f>IF(Patient_Data!$L782&lt;2,"Low Risk",IF(Patient_Data!$L782&lt;4,"Moderate Risk","High Risk"))</f>
        <v>Moderate Risk</v>
      </c>
      <c r="S782" s="12" t="str">
        <f>IF(Patient_Data[[#This Row],[Age]]&lt;=18,"Pediatric",IF(Patient_Data[[#This Row],[Age]]&lt;=64,"Adult","Geriatric"))</f>
        <v>Adult</v>
      </c>
    </row>
    <row r="783" spans="1:19" ht="15.75" customHeight="1" x14ac:dyDescent="0.3">
      <c r="A783" s="4" t="s">
        <v>1621</v>
      </c>
      <c r="B783" s="5" t="str">
        <f>TEXT(Patient_Data!$E783,"mmmm")</f>
        <v>February</v>
      </c>
      <c r="C783" s="6" t="str">
        <f t="shared" si="6"/>
        <v>Feb</v>
      </c>
      <c r="D783" s="6">
        <f>MONTH(Patient_Data!$E783)</f>
        <v>2</v>
      </c>
      <c r="E783" s="7">
        <v>46063</v>
      </c>
      <c r="F783" s="55" t="str">
        <f>TEXT(Patient_Data[[#This Row],[Admission_Date]],"YYYY")</f>
        <v>2026</v>
      </c>
      <c r="G783" s="8" t="s">
        <v>1622</v>
      </c>
      <c r="H783" s="8" t="s">
        <v>53</v>
      </c>
      <c r="I783" s="4" t="s">
        <v>29</v>
      </c>
      <c r="J783" s="4">
        <v>14</v>
      </c>
      <c r="K783" s="4" t="s">
        <v>30</v>
      </c>
      <c r="L783" s="8">
        <v>2</v>
      </c>
      <c r="M783" s="9" t="s">
        <v>79</v>
      </c>
      <c r="N783" s="9" t="str">
        <f t="shared" si="7"/>
        <v>PD</v>
      </c>
      <c r="O783" s="10">
        <v>904</v>
      </c>
      <c r="P783" s="10">
        <v>717.44</v>
      </c>
      <c r="Q783" s="11">
        <v>3.8</v>
      </c>
      <c r="R783" s="13" t="str">
        <f>IF(Patient_Data!$L783&lt;2,"Low Risk",IF(Patient_Data!$L783&lt;4,"Moderate Risk","High Risk"))</f>
        <v>Moderate Risk</v>
      </c>
      <c r="S783" s="12" t="str">
        <f>IF(Patient_Data[[#This Row],[Age]]&lt;=18,"Pediatric",IF(Patient_Data[[#This Row],[Age]]&lt;=64,"Adult","Geriatric"))</f>
        <v>Pediatric</v>
      </c>
    </row>
    <row r="784" spans="1:19" ht="15.75" customHeight="1" x14ac:dyDescent="0.3">
      <c r="A784" s="4" t="s">
        <v>1623</v>
      </c>
      <c r="B784" s="5" t="str">
        <f>TEXT(Patient_Data!$E784,"mmmm")</f>
        <v>December</v>
      </c>
      <c r="C784" s="6" t="str">
        <f t="shared" si="6"/>
        <v>Dec</v>
      </c>
      <c r="D784" s="6">
        <f>MONTH(Patient_Data!$E784)</f>
        <v>12</v>
      </c>
      <c r="E784" s="7">
        <v>45653</v>
      </c>
      <c r="F784" s="55" t="str">
        <f>TEXT(Patient_Data[[#This Row],[Admission_Date]],"YYYY")</f>
        <v>2024</v>
      </c>
      <c r="G784" s="8" t="s">
        <v>1624</v>
      </c>
      <c r="H784" s="8" t="s">
        <v>49</v>
      </c>
      <c r="I784" s="4" t="s">
        <v>35</v>
      </c>
      <c r="J784" s="4">
        <v>44</v>
      </c>
      <c r="K784" s="4" t="s">
        <v>30</v>
      </c>
      <c r="L784" s="8">
        <v>2</v>
      </c>
      <c r="M784" s="9" t="s">
        <v>36</v>
      </c>
      <c r="N784" s="9" t="str">
        <f t="shared" si="7"/>
        <v>Cardio</v>
      </c>
      <c r="O784" s="10">
        <v>8017.69</v>
      </c>
      <c r="P784" s="10">
        <v>4745.46</v>
      </c>
      <c r="Q784" s="11">
        <v>11.9</v>
      </c>
      <c r="R784" s="13" t="str">
        <f>IF(Patient_Data!$L784&lt;2,"Low Risk",IF(Patient_Data!$L784&lt;4,"Moderate Risk","High Risk"))</f>
        <v>Moderate Risk</v>
      </c>
      <c r="S784" s="12" t="str">
        <f>IF(Patient_Data[[#This Row],[Age]]&lt;=18,"Pediatric",IF(Patient_Data[[#This Row],[Age]]&lt;=64,"Adult","Geriatric"))</f>
        <v>Adult</v>
      </c>
    </row>
    <row r="785" spans="1:19" ht="15.75" customHeight="1" x14ac:dyDescent="0.3">
      <c r="A785" s="4" t="s">
        <v>1625</v>
      </c>
      <c r="B785" s="5" t="str">
        <f>TEXT(Patient_Data!$E785,"mmmm")</f>
        <v>February</v>
      </c>
      <c r="C785" s="6" t="str">
        <f t="shared" si="6"/>
        <v>Feb</v>
      </c>
      <c r="D785" s="6">
        <f>MONTH(Patient_Data!$E785)</f>
        <v>2</v>
      </c>
      <c r="E785" s="7">
        <v>46076</v>
      </c>
      <c r="F785" s="55" t="str">
        <f>TEXT(Patient_Data[[#This Row],[Admission_Date]],"YYYY")</f>
        <v>2026</v>
      </c>
      <c r="G785" s="8" t="s">
        <v>1626</v>
      </c>
      <c r="H785" s="8" t="s">
        <v>49</v>
      </c>
      <c r="I785" s="4" t="s">
        <v>29</v>
      </c>
      <c r="J785" s="4">
        <v>93</v>
      </c>
      <c r="K785" s="4" t="s">
        <v>45</v>
      </c>
      <c r="L785" s="8">
        <v>5</v>
      </c>
      <c r="M785" s="9" t="s">
        <v>50</v>
      </c>
      <c r="N785" s="9" t="str">
        <f t="shared" si="7"/>
        <v>ICU</v>
      </c>
      <c r="O785" s="10">
        <v>17666.73</v>
      </c>
      <c r="P785" s="10">
        <v>10897.51</v>
      </c>
      <c r="Q785" s="11">
        <v>15.1</v>
      </c>
      <c r="R785" s="13" t="str">
        <f>IF(Patient_Data!$L785&lt;2,"Low Risk",IF(Patient_Data!$L785&lt;4,"Moderate Risk","High Risk"))</f>
        <v>High Risk</v>
      </c>
      <c r="S785" s="12" t="str">
        <f>IF(Patient_Data[[#This Row],[Age]]&lt;=18,"Pediatric",IF(Patient_Data[[#This Row],[Age]]&lt;=64,"Adult","Geriatric"))</f>
        <v>Geriatric</v>
      </c>
    </row>
    <row r="786" spans="1:19" ht="15.75" customHeight="1" x14ac:dyDescent="0.3">
      <c r="A786" s="4" t="s">
        <v>1273</v>
      </c>
      <c r="B786" s="5" t="str">
        <f>TEXT(Patient_Data!$E786,"mmmm")</f>
        <v>April</v>
      </c>
      <c r="C786" s="6" t="str">
        <f t="shared" si="6"/>
        <v>Apr</v>
      </c>
      <c r="D786" s="6">
        <f>MONTH(Patient_Data!$E786)</f>
        <v>4</v>
      </c>
      <c r="E786" s="7">
        <v>45750</v>
      </c>
      <c r="F786" s="55" t="str">
        <f>TEXT(Patient_Data[[#This Row],[Admission_Date]],"YYYY")</f>
        <v>2025</v>
      </c>
      <c r="G786" s="8" t="s">
        <v>1274</v>
      </c>
      <c r="H786" s="8" t="s">
        <v>82</v>
      </c>
      <c r="I786" s="4" t="s">
        <v>29</v>
      </c>
      <c r="J786" s="4">
        <v>36</v>
      </c>
      <c r="K786" s="4" t="s">
        <v>54</v>
      </c>
      <c r="L786" s="8">
        <v>1</v>
      </c>
      <c r="M786" s="9" t="s">
        <v>83</v>
      </c>
      <c r="N786" s="9" t="str">
        <f t="shared" si="7"/>
        <v>ER</v>
      </c>
      <c r="O786" s="10">
        <v>6238.81</v>
      </c>
      <c r="P786" s="10">
        <v>4132.04</v>
      </c>
      <c r="Q786" s="11">
        <v>17.399999999999999</v>
      </c>
      <c r="R786" s="13" t="str">
        <f>IF(Patient_Data!$L786&lt;2,"Low Risk",IF(Patient_Data!$L786&lt;4,"Moderate Risk","High Risk"))</f>
        <v>Low Risk</v>
      </c>
      <c r="S786" s="12" t="str">
        <f>IF(Patient_Data[[#This Row],[Age]]&lt;=18,"Pediatric",IF(Patient_Data[[#This Row],[Age]]&lt;=64,"Adult","Geriatric"))</f>
        <v>Adult</v>
      </c>
    </row>
    <row r="787" spans="1:19" ht="15.75" customHeight="1" x14ac:dyDescent="0.3">
      <c r="A787" s="4" t="s">
        <v>1627</v>
      </c>
      <c r="B787" s="5" t="str">
        <f>TEXT(Patient_Data!$E787,"mmmm")</f>
        <v>March</v>
      </c>
      <c r="C787" s="6" t="str">
        <f t="shared" si="6"/>
        <v>Mar</v>
      </c>
      <c r="D787" s="6">
        <f>MONTH(Patient_Data!$E787)</f>
        <v>3</v>
      </c>
      <c r="E787" s="7">
        <v>46086</v>
      </c>
      <c r="F787" s="55" t="str">
        <f>TEXT(Patient_Data[[#This Row],[Admission_Date]],"YYYY")</f>
        <v>2026</v>
      </c>
      <c r="G787" s="8" t="s">
        <v>1628</v>
      </c>
      <c r="H787" s="8" t="s">
        <v>42</v>
      </c>
      <c r="I787" s="4" t="s">
        <v>29</v>
      </c>
      <c r="J787" s="4">
        <v>25</v>
      </c>
      <c r="K787" s="4" t="s">
        <v>45</v>
      </c>
      <c r="L787" s="8">
        <v>3</v>
      </c>
      <c r="M787" s="9" t="s">
        <v>72</v>
      </c>
      <c r="N787" s="9" t="str">
        <f t="shared" si="7"/>
        <v>Surgery</v>
      </c>
      <c r="O787" s="10">
        <v>18743.439999999999</v>
      </c>
      <c r="P787" s="10">
        <v>12639.7</v>
      </c>
      <c r="Q787" s="11">
        <v>10.199999999999999</v>
      </c>
      <c r="R787" s="13" t="str">
        <f>IF(Patient_Data!$L787&lt;2,"Low Risk",IF(Patient_Data!$L787&lt;4,"Moderate Risk","High Risk"))</f>
        <v>Moderate Risk</v>
      </c>
      <c r="S787" s="12" t="str">
        <f>IF(Patient_Data[[#This Row],[Age]]&lt;=18,"Pediatric",IF(Patient_Data[[#This Row],[Age]]&lt;=64,"Adult","Geriatric"))</f>
        <v>Adult</v>
      </c>
    </row>
    <row r="788" spans="1:19" ht="15.75" customHeight="1" x14ac:dyDescent="0.3">
      <c r="A788" s="4" t="s">
        <v>1629</v>
      </c>
      <c r="B788" s="5" t="str">
        <f>TEXT(Patient_Data!$E788,"mmmm")</f>
        <v>December</v>
      </c>
      <c r="C788" s="6" t="str">
        <f t="shared" si="6"/>
        <v>Dec</v>
      </c>
      <c r="D788" s="6">
        <f>MONTH(Patient_Data!$E788)</f>
        <v>12</v>
      </c>
      <c r="E788" s="7">
        <v>45646</v>
      </c>
      <c r="F788" s="55" t="str">
        <f>TEXT(Patient_Data[[#This Row],[Admission_Date]],"YYYY")</f>
        <v>2024</v>
      </c>
      <c r="G788" s="8" t="s">
        <v>1630</v>
      </c>
      <c r="H788" s="8" t="s">
        <v>82</v>
      </c>
      <c r="I788" s="4" t="s">
        <v>29</v>
      </c>
      <c r="J788" s="4">
        <v>49</v>
      </c>
      <c r="K788" s="4" t="s">
        <v>30</v>
      </c>
      <c r="L788" s="8">
        <v>1</v>
      </c>
      <c r="M788" s="9" t="s">
        <v>31</v>
      </c>
      <c r="N788" s="9" t="str">
        <f t="shared" si="7"/>
        <v>Neuro</v>
      </c>
      <c r="O788" s="10">
        <v>8810.2199999999993</v>
      </c>
      <c r="P788" s="10">
        <v>6218.35</v>
      </c>
      <c r="Q788" s="11">
        <v>6.4</v>
      </c>
      <c r="R788" s="13" t="str">
        <f>IF(Patient_Data!$L788&lt;2,"Low Risk",IF(Patient_Data!$L788&lt;4,"Moderate Risk","High Risk"))</f>
        <v>Low Risk</v>
      </c>
      <c r="S788" s="12" t="str">
        <f>IF(Patient_Data[[#This Row],[Age]]&lt;=18,"Pediatric",IF(Patient_Data[[#This Row],[Age]]&lt;=64,"Adult","Geriatric"))</f>
        <v>Adult</v>
      </c>
    </row>
    <row r="789" spans="1:19" ht="15.75" customHeight="1" x14ac:dyDescent="0.3">
      <c r="A789" s="4" t="s">
        <v>1631</v>
      </c>
      <c r="B789" s="5" t="str">
        <f>TEXT(Patient_Data!$E789,"mmmm")</f>
        <v>December</v>
      </c>
      <c r="C789" s="6" t="str">
        <f t="shared" si="6"/>
        <v>Dec</v>
      </c>
      <c r="D789" s="6">
        <f>MONTH(Patient_Data!$E789)</f>
        <v>12</v>
      </c>
      <c r="E789" s="7">
        <v>45656</v>
      </c>
      <c r="F789" s="55" t="str">
        <f>TEXT(Patient_Data[[#This Row],[Admission_Date]],"YYYY")</f>
        <v>2024</v>
      </c>
      <c r="G789" s="8" t="s">
        <v>1632</v>
      </c>
      <c r="H789" s="8" t="s">
        <v>82</v>
      </c>
      <c r="I789" s="4" t="s">
        <v>29</v>
      </c>
      <c r="J789" s="4">
        <v>95</v>
      </c>
      <c r="K789" s="4" t="s">
        <v>54</v>
      </c>
      <c r="L789" s="8">
        <v>2</v>
      </c>
      <c r="M789" s="9" t="s">
        <v>46</v>
      </c>
      <c r="N789" s="9" t="str">
        <f t="shared" si="7"/>
        <v>Ortho</v>
      </c>
      <c r="O789" s="10">
        <v>5964.47</v>
      </c>
      <c r="P789" s="10">
        <v>4395.66</v>
      </c>
      <c r="Q789" s="11">
        <v>5.2</v>
      </c>
      <c r="R789" s="13" t="str">
        <f>IF(Patient_Data!$L789&lt;2,"Low Risk",IF(Patient_Data!$L789&lt;4,"Moderate Risk","High Risk"))</f>
        <v>Moderate Risk</v>
      </c>
      <c r="S789" s="12" t="str">
        <f>IF(Patient_Data[[#This Row],[Age]]&lt;=18,"Pediatric",IF(Patient_Data[[#This Row],[Age]]&lt;=64,"Adult","Geriatric"))</f>
        <v>Geriatric</v>
      </c>
    </row>
    <row r="790" spans="1:19" ht="15.75" customHeight="1" x14ac:dyDescent="0.3">
      <c r="A790" s="4" t="s">
        <v>1633</v>
      </c>
      <c r="B790" s="5" t="str">
        <f>TEXT(Patient_Data!$E790,"mmmm")</f>
        <v>May</v>
      </c>
      <c r="C790" s="6" t="str">
        <f t="shared" si="6"/>
        <v>May</v>
      </c>
      <c r="D790" s="6">
        <f>MONTH(Patient_Data!$E790)</f>
        <v>5</v>
      </c>
      <c r="E790" s="7">
        <v>45800</v>
      </c>
      <c r="F790" s="55" t="str">
        <f>TEXT(Patient_Data[[#This Row],[Admission_Date]],"YYYY")</f>
        <v>2025</v>
      </c>
      <c r="G790" s="8" t="s">
        <v>1634</v>
      </c>
      <c r="H790" s="8" t="s">
        <v>82</v>
      </c>
      <c r="I790" s="4" t="s">
        <v>29</v>
      </c>
      <c r="J790" s="4">
        <v>85</v>
      </c>
      <c r="K790" s="4" t="s">
        <v>30</v>
      </c>
      <c r="L790" s="8">
        <v>2</v>
      </c>
      <c r="M790" s="9" t="s">
        <v>46</v>
      </c>
      <c r="N790" s="9" t="str">
        <f t="shared" si="7"/>
        <v>Ortho</v>
      </c>
      <c r="O790" s="10">
        <v>8784.14</v>
      </c>
      <c r="P790" s="10">
        <v>6707.95</v>
      </c>
      <c r="Q790" s="11">
        <v>4</v>
      </c>
      <c r="R790" s="13" t="str">
        <f>IF(Patient_Data!$L790&lt;2,"Low Risk",IF(Patient_Data!$L790&lt;4,"Moderate Risk","High Risk"))</f>
        <v>Moderate Risk</v>
      </c>
      <c r="S790" s="12" t="str">
        <f>IF(Patient_Data[[#This Row],[Age]]&lt;=18,"Pediatric",IF(Patient_Data[[#This Row],[Age]]&lt;=64,"Adult","Geriatric"))</f>
        <v>Geriatric</v>
      </c>
    </row>
    <row r="791" spans="1:19" ht="15.75" customHeight="1" x14ac:dyDescent="0.3">
      <c r="A791" s="4" t="s">
        <v>1635</v>
      </c>
      <c r="B791" s="5" t="str">
        <f>TEXT(Patient_Data!$E791,"mmmm")</f>
        <v>April</v>
      </c>
      <c r="C791" s="6" t="str">
        <f t="shared" si="6"/>
        <v>Apr</v>
      </c>
      <c r="D791" s="6">
        <f>MONTH(Patient_Data!$E791)</f>
        <v>4</v>
      </c>
      <c r="E791" s="7">
        <v>46127</v>
      </c>
      <c r="F791" s="55" t="str">
        <f>TEXT(Patient_Data[[#This Row],[Admission_Date]],"YYYY")</f>
        <v>2026</v>
      </c>
      <c r="G791" s="8" t="s">
        <v>1636</v>
      </c>
      <c r="H791" s="8" t="s">
        <v>49</v>
      </c>
      <c r="I791" s="4" t="s">
        <v>35</v>
      </c>
      <c r="J791" s="4">
        <v>78</v>
      </c>
      <c r="K791" s="4" t="s">
        <v>30</v>
      </c>
      <c r="L791" s="8">
        <v>3</v>
      </c>
      <c r="M791" s="9" t="s">
        <v>36</v>
      </c>
      <c r="N791" s="9" t="str">
        <f t="shared" si="7"/>
        <v>Cardio</v>
      </c>
      <c r="O791" s="10">
        <v>10485.280000000001</v>
      </c>
      <c r="P791" s="10">
        <v>6139.06</v>
      </c>
      <c r="Q791" s="11">
        <v>7.2</v>
      </c>
      <c r="R791" s="13" t="str">
        <f>IF(Patient_Data!$L791&lt;2,"Low Risk",IF(Patient_Data!$L791&lt;4,"Moderate Risk","High Risk"))</f>
        <v>Moderate Risk</v>
      </c>
      <c r="S791" s="12" t="str">
        <f>IF(Patient_Data[[#This Row],[Age]]&lt;=18,"Pediatric",IF(Patient_Data[[#This Row],[Age]]&lt;=64,"Adult","Geriatric"))</f>
        <v>Geriatric</v>
      </c>
    </row>
    <row r="792" spans="1:19" ht="15.75" customHeight="1" x14ac:dyDescent="0.3">
      <c r="A792" s="4" t="s">
        <v>1637</v>
      </c>
      <c r="B792" s="5" t="str">
        <f>TEXT(Patient_Data!$E792,"mmmm")</f>
        <v>February</v>
      </c>
      <c r="C792" s="6" t="str">
        <f t="shared" si="6"/>
        <v>Feb</v>
      </c>
      <c r="D792" s="6">
        <f>MONTH(Patient_Data!$E792)</f>
        <v>2</v>
      </c>
      <c r="E792" s="7">
        <v>46069</v>
      </c>
      <c r="F792" s="55" t="str">
        <f>TEXT(Patient_Data[[#This Row],[Admission_Date]],"YYYY")</f>
        <v>2026</v>
      </c>
      <c r="G792" s="8" t="s">
        <v>1638</v>
      </c>
      <c r="H792" s="8" t="s">
        <v>28</v>
      </c>
      <c r="I792" s="4" t="s">
        <v>35</v>
      </c>
      <c r="J792" s="4">
        <v>41</v>
      </c>
      <c r="K792" s="4" t="s">
        <v>30</v>
      </c>
      <c r="L792" s="8">
        <v>2</v>
      </c>
      <c r="M792" s="9" t="s">
        <v>83</v>
      </c>
      <c r="N792" s="9" t="str">
        <f t="shared" si="7"/>
        <v>ER</v>
      </c>
      <c r="O792" s="10">
        <v>4168.3100000000004</v>
      </c>
      <c r="P792" s="10">
        <v>2648.27</v>
      </c>
      <c r="Q792" s="11">
        <v>13.2</v>
      </c>
      <c r="R792" s="13" t="str">
        <f>IF(Patient_Data!$L792&lt;2,"Low Risk",IF(Patient_Data!$L792&lt;4,"Moderate Risk","High Risk"))</f>
        <v>Moderate Risk</v>
      </c>
      <c r="S792" s="12" t="str">
        <f>IF(Patient_Data[[#This Row],[Age]]&lt;=18,"Pediatric",IF(Patient_Data[[#This Row],[Age]]&lt;=64,"Adult","Geriatric"))</f>
        <v>Adult</v>
      </c>
    </row>
    <row r="793" spans="1:19" ht="15.75" customHeight="1" x14ac:dyDescent="0.3">
      <c r="A793" s="4" t="s">
        <v>1639</v>
      </c>
      <c r="B793" s="5" t="str">
        <f>TEXT(Patient_Data!$E793,"mmmm")</f>
        <v>March</v>
      </c>
      <c r="C793" s="6" t="str">
        <f t="shared" si="6"/>
        <v>Mar</v>
      </c>
      <c r="D793" s="6">
        <f>MONTH(Patient_Data!$E793)</f>
        <v>3</v>
      </c>
      <c r="E793" s="7">
        <v>46112</v>
      </c>
      <c r="F793" s="55" t="str">
        <f>TEXT(Patient_Data[[#This Row],[Admission_Date]],"YYYY")</f>
        <v>2026</v>
      </c>
      <c r="G793" s="8" t="s">
        <v>1640</v>
      </c>
      <c r="H793" s="8" t="s">
        <v>28</v>
      </c>
      <c r="I793" s="4" t="s">
        <v>35</v>
      </c>
      <c r="J793" s="4">
        <v>36</v>
      </c>
      <c r="K793" s="4" t="s">
        <v>30</v>
      </c>
      <c r="L793" s="8">
        <v>1</v>
      </c>
      <c r="M793" s="9" t="s">
        <v>39</v>
      </c>
      <c r="N793" s="9" t="str">
        <f t="shared" si="7"/>
        <v>GM</v>
      </c>
      <c r="O793" s="10">
        <v>2613.71</v>
      </c>
      <c r="P793" s="10">
        <v>1740.77</v>
      </c>
      <c r="Q793" s="11">
        <v>8.5</v>
      </c>
      <c r="R793" s="13" t="str">
        <f>IF(Patient_Data!$L793&lt;2,"Low Risk",IF(Patient_Data!$L793&lt;4,"Moderate Risk","High Risk"))</f>
        <v>Low Risk</v>
      </c>
      <c r="S793" s="12" t="str">
        <f>IF(Patient_Data[[#This Row],[Age]]&lt;=18,"Pediatric",IF(Patient_Data[[#This Row],[Age]]&lt;=64,"Adult","Geriatric"))</f>
        <v>Adult</v>
      </c>
    </row>
    <row r="794" spans="1:19" ht="15.75" customHeight="1" x14ac:dyDescent="0.3">
      <c r="A794" s="4" t="s">
        <v>1641</v>
      </c>
      <c r="B794" s="5" t="str">
        <f>TEXT(Patient_Data!$E794,"mmmm")</f>
        <v>March</v>
      </c>
      <c r="C794" s="6" t="str">
        <f t="shared" si="6"/>
        <v>Mar</v>
      </c>
      <c r="D794" s="6">
        <f>MONTH(Patient_Data!$E794)</f>
        <v>3</v>
      </c>
      <c r="E794" s="7">
        <v>45744</v>
      </c>
      <c r="F794" s="55" t="str">
        <f>TEXT(Patient_Data[[#This Row],[Admission_Date]],"YYYY")</f>
        <v>2025</v>
      </c>
      <c r="G794" s="8" t="s">
        <v>1642</v>
      </c>
      <c r="H794" s="8" t="s">
        <v>49</v>
      </c>
      <c r="I794" s="4" t="s">
        <v>35</v>
      </c>
      <c r="J794" s="4">
        <v>31</v>
      </c>
      <c r="K794" s="4" t="s">
        <v>30</v>
      </c>
      <c r="L794" s="8">
        <v>2</v>
      </c>
      <c r="M794" s="9" t="s">
        <v>31</v>
      </c>
      <c r="N794" s="9" t="str">
        <f t="shared" si="7"/>
        <v>Neuro</v>
      </c>
      <c r="O794" s="10">
        <v>9857.16</v>
      </c>
      <c r="P794" s="10">
        <v>6659.5</v>
      </c>
      <c r="Q794" s="11">
        <v>6.9</v>
      </c>
      <c r="R794" s="13" t="str">
        <f>IF(Patient_Data!$L794&lt;2,"Low Risk",IF(Patient_Data!$L794&lt;4,"Moderate Risk","High Risk"))</f>
        <v>Moderate Risk</v>
      </c>
      <c r="S794" s="12" t="str">
        <f>IF(Patient_Data[[#This Row],[Age]]&lt;=18,"Pediatric",IF(Patient_Data[[#This Row],[Age]]&lt;=64,"Adult","Geriatric"))</f>
        <v>Adult</v>
      </c>
    </row>
    <row r="795" spans="1:19" ht="15.75" customHeight="1" x14ac:dyDescent="0.3">
      <c r="A795" s="4" t="s">
        <v>1643</v>
      </c>
      <c r="B795" s="5" t="str">
        <f>TEXT(Patient_Data!$E795,"mmmm")</f>
        <v>January</v>
      </c>
      <c r="C795" s="6" t="str">
        <f t="shared" si="6"/>
        <v>Jan</v>
      </c>
      <c r="D795" s="6">
        <f>MONTH(Patient_Data!$E795)</f>
        <v>1</v>
      </c>
      <c r="E795" s="7">
        <v>46024</v>
      </c>
      <c r="F795" s="55" t="str">
        <f>TEXT(Patient_Data[[#This Row],[Admission_Date]],"YYYY")</f>
        <v>2026</v>
      </c>
      <c r="G795" s="8" t="s">
        <v>1644</v>
      </c>
      <c r="H795" s="8" t="s">
        <v>28</v>
      </c>
      <c r="I795" s="4" t="s">
        <v>35</v>
      </c>
      <c r="J795" s="4">
        <v>28</v>
      </c>
      <c r="K795" s="4" t="s">
        <v>30</v>
      </c>
      <c r="L795" s="8">
        <v>1</v>
      </c>
      <c r="M795" s="9" t="s">
        <v>31</v>
      </c>
      <c r="N795" s="9" t="str">
        <f t="shared" si="7"/>
        <v>Neuro</v>
      </c>
      <c r="O795" s="10">
        <v>4377.79</v>
      </c>
      <c r="P795" s="10">
        <v>3094.05</v>
      </c>
      <c r="Q795" s="11">
        <v>3.7</v>
      </c>
      <c r="R795" s="13" t="str">
        <f>IF(Patient_Data!$L795&lt;2,"Low Risk",IF(Patient_Data!$L795&lt;4,"Moderate Risk","High Risk"))</f>
        <v>Low Risk</v>
      </c>
      <c r="S795" s="12" t="str">
        <f>IF(Patient_Data[[#This Row],[Age]]&lt;=18,"Pediatric",IF(Patient_Data[[#This Row],[Age]]&lt;=64,"Adult","Geriatric"))</f>
        <v>Adult</v>
      </c>
    </row>
    <row r="796" spans="1:19" ht="15.75" customHeight="1" x14ac:dyDescent="0.3">
      <c r="A796" s="4" t="s">
        <v>1645</v>
      </c>
      <c r="B796" s="5" t="str">
        <f>TEXT(Patient_Data!$E796,"mmmm")</f>
        <v>July</v>
      </c>
      <c r="C796" s="6" t="str">
        <f t="shared" si="6"/>
        <v>Jul</v>
      </c>
      <c r="D796" s="6">
        <f>MONTH(Patient_Data!$E796)</f>
        <v>7</v>
      </c>
      <c r="E796" s="7">
        <v>45498</v>
      </c>
      <c r="F796" s="55" t="str">
        <f>TEXT(Patient_Data[[#This Row],[Admission_Date]],"YYYY")</f>
        <v>2024</v>
      </c>
      <c r="G796" s="8" t="s">
        <v>1646</v>
      </c>
      <c r="H796" s="8" t="s">
        <v>132</v>
      </c>
      <c r="I796" s="4" t="s">
        <v>29</v>
      </c>
      <c r="J796" s="4">
        <v>12</v>
      </c>
      <c r="K796" s="4" t="s">
        <v>54</v>
      </c>
      <c r="L796" s="8">
        <v>3</v>
      </c>
      <c r="M796" s="9" t="s">
        <v>79</v>
      </c>
      <c r="N796" s="9" t="str">
        <f t="shared" si="7"/>
        <v>PD</v>
      </c>
      <c r="O796" s="10">
        <v>1925.22</v>
      </c>
      <c r="P796" s="10">
        <v>1423.81</v>
      </c>
      <c r="Q796" s="11">
        <v>2.2999999999999998</v>
      </c>
      <c r="R796" s="13" t="str">
        <f>IF(Patient_Data!$L796&lt;2,"Low Risk",IF(Patient_Data!$L796&lt;4,"Moderate Risk","High Risk"))</f>
        <v>Moderate Risk</v>
      </c>
      <c r="S796" s="12" t="str">
        <f>IF(Patient_Data[[#This Row],[Age]]&lt;=18,"Pediatric",IF(Patient_Data[[#This Row],[Age]]&lt;=64,"Adult","Geriatric"))</f>
        <v>Pediatric</v>
      </c>
    </row>
    <row r="797" spans="1:19" ht="15.75" customHeight="1" x14ac:dyDescent="0.3">
      <c r="A797" s="4" t="s">
        <v>1647</v>
      </c>
      <c r="B797" s="5" t="str">
        <f>TEXT(Patient_Data!$E797,"mmmm")</f>
        <v>October</v>
      </c>
      <c r="C797" s="6" t="str">
        <f t="shared" si="6"/>
        <v>Oct</v>
      </c>
      <c r="D797" s="6">
        <f>MONTH(Patient_Data!$E797)</f>
        <v>10</v>
      </c>
      <c r="E797" s="7">
        <v>45575</v>
      </c>
      <c r="F797" s="55" t="str">
        <f>TEXT(Patient_Data[[#This Row],[Admission_Date]],"YYYY")</f>
        <v>2024</v>
      </c>
      <c r="G797" s="8" t="s">
        <v>1648</v>
      </c>
      <c r="H797" s="8" t="s">
        <v>34</v>
      </c>
      <c r="I797" s="4" t="s">
        <v>29</v>
      </c>
      <c r="J797" s="4">
        <v>78</v>
      </c>
      <c r="K797" s="4" t="s">
        <v>30</v>
      </c>
      <c r="L797" s="8">
        <v>2</v>
      </c>
      <c r="M797" s="9" t="s">
        <v>83</v>
      </c>
      <c r="N797" s="9" t="str">
        <f t="shared" si="7"/>
        <v>ER</v>
      </c>
      <c r="O797" s="10">
        <v>9879.65</v>
      </c>
      <c r="P797" s="10">
        <v>7695.73</v>
      </c>
      <c r="Q797" s="11">
        <v>23.4</v>
      </c>
      <c r="R797" s="13" t="str">
        <f>IF(Patient_Data!$L797&lt;2,"Low Risk",IF(Patient_Data!$L797&lt;4,"Moderate Risk","High Risk"))</f>
        <v>Moderate Risk</v>
      </c>
      <c r="S797" s="12" t="str">
        <f>IF(Patient_Data[[#This Row],[Age]]&lt;=18,"Pediatric",IF(Patient_Data[[#This Row],[Age]]&lt;=64,"Adult","Geriatric"))</f>
        <v>Geriatric</v>
      </c>
    </row>
    <row r="798" spans="1:19" ht="15.75" customHeight="1" x14ac:dyDescent="0.3">
      <c r="A798" s="4" t="s">
        <v>1649</v>
      </c>
      <c r="B798" s="5" t="str">
        <f>TEXT(Patient_Data!$E798,"mmmm")</f>
        <v>June</v>
      </c>
      <c r="C798" s="6" t="str">
        <f t="shared" si="6"/>
        <v>Jun</v>
      </c>
      <c r="D798" s="6">
        <f>MONTH(Patient_Data!$E798)</f>
        <v>6</v>
      </c>
      <c r="E798" s="7">
        <v>45450</v>
      </c>
      <c r="F798" s="55" t="str">
        <f>TEXT(Patient_Data[[#This Row],[Admission_Date]],"YYYY")</f>
        <v>2024</v>
      </c>
      <c r="G798" s="8" t="s">
        <v>1650</v>
      </c>
      <c r="H798" s="8" t="s">
        <v>49</v>
      </c>
      <c r="I798" s="4" t="s">
        <v>35</v>
      </c>
      <c r="J798" s="4">
        <v>77</v>
      </c>
      <c r="K798" s="4" t="s">
        <v>30</v>
      </c>
      <c r="L798" s="8">
        <v>3</v>
      </c>
      <c r="M798" s="9" t="s">
        <v>31</v>
      </c>
      <c r="N798" s="9" t="str">
        <f t="shared" si="7"/>
        <v>Neuro</v>
      </c>
      <c r="O798" s="10">
        <v>11005.44</v>
      </c>
      <c r="P798" s="10">
        <v>6403.96</v>
      </c>
      <c r="Q798" s="11">
        <v>2.6</v>
      </c>
      <c r="R798" s="13" t="str">
        <f>IF(Patient_Data!$L798&lt;2,"Low Risk",IF(Patient_Data!$L798&lt;4,"Moderate Risk","High Risk"))</f>
        <v>Moderate Risk</v>
      </c>
      <c r="S798" s="12" t="str">
        <f>IF(Patient_Data[[#This Row],[Age]]&lt;=18,"Pediatric",IF(Patient_Data[[#This Row],[Age]]&lt;=64,"Adult","Geriatric"))</f>
        <v>Geriatric</v>
      </c>
    </row>
    <row r="799" spans="1:19" ht="15.75" customHeight="1" x14ac:dyDescent="0.3">
      <c r="A799" s="4" t="s">
        <v>1651</v>
      </c>
      <c r="B799" s="5" t="str">
        <f>TEXT(Patient_Data!$E799,"mmmm")</f>
        <v>January</v>
      </c>
      <c r="C799" s="6" t="str">
        <f t="shared" si="6"/>
        <v>Jan</v>
      </c>
      <c r="D799" s="6">
        <f>MONTH(Patient_Data!$E799)</f>
        <v>1</v>
      </c>
      <c r="E799" s="7">
        <v>45679</v>
      </c>
      <c r="F799" s="55" t="str">
        <f>TEXT(Patient_Data[[#This Row],[Admission_Date]],"YYYY")</f>
        <v>2025</v>
      </c>
      <c r="G799" s="8" t="s">
        <v>1652</v>
      </c>
      <c r="H799" s="8" t="s">
        <v>98</v>
      </c>
      <c r="I799" s="4" t="s">
        <v>35</v>
      </c>
      <c r="J799" s="4">
        <v>68</v>
      </c>
      <c r="K799" s="4" t="s">
        <v>54</v>
      </c>
      <c r="L799" s="8">
        <v>4</v>
      </c>
      <c r="M799" s="9" t="s">
        <v>31</v>
      </c>
      <c r="N799" s="9" t="str">
        <f t="shared" si="7"/>
        <v>Neuro</v>
      </c>
      <c r="O799" s="10">
        <v>6881.44</v>
      </c>
      <c r="P799" s="10">
        <v>4263.28</v>
      </c>
      <c r="Q799" s="11">
        <v>8.1999999999999993</v>
      </c>
      <c r="R799" s="13" t="str">
        <f>IF(Patient_Data!$L799&lt;2,"Low Risk",IF(Patient_Data!$L799&lt;4,"Moderate Risk","High Risk"))</f>
        <v>High Risk</v>
      </c>
      <c r="S799" s="12" t="str">
        <f>IF(Patient_Data[[#This Row],[Age]]&lt;=18,"Pediatric",IF(Patient_Data[[#This Row],[Age]]&lt;=64,"Adult","Geriatric"))</f>
        <v>Geriatric</v>
      </c>
    </row>
    <row r="800" spans="1:19" ht="15.75" customHeight="1" x14ac:dyDescent="0.3">
      <c r="A800" s="4" t="s">
        <v>1653</v>
      </c>
      <c r="B800" s="5" t="str">
        <f>TEXT(Patient_Data!$E800,"mmmm")</f>
        <v>December</v>
      </c>
      <c r="C800" s="6" t="str">
        <f t="shared" si="6"/>
        <v>Dec</v>
      </c>
      <c r="D800" s="6">
        <f>MONTH(Patient_Data!$E800)</f>
        <v>12</v>
      </c>
      <c r="E800" s="7">
        <v>45273</v>
      </c>
      <c r="F800" s="55" t="str">
        <f>TEXT(Patient_Data[[#This Row],[Admission_Date]],"YYYY")</f>
        <v>2023</v>
      </c>
      <c r="G800" s="8" t="s">
        <v>1654</v>
      </c>
      <c r="H800" s="8" t="s">
        <v>49</v>
      </c>
      <c r="I800" s="4" t="s">
        <v>35</v>
      </c>
      <c r="J800" s="4">
        <v>46</v>
      </c>
      <c r="K800" s="4" t="s">
        <v>30</v>
      </c>
      <c r="L800" s="8">
        <v>1</v>
      </c>
      <c r="M800" s="9" t="s">
        <v>36</v>
      </c>
      <c r="N800" s="9" t="str">
        <f t="shared" si="7"/>
        <v>Cardio</v>
      </c>
      <c r="O800" s="10">
        <v>9077.08</v>
      </c>
      <c r="P800" s="10">
        <v>5834.93</v>
      </c>
      <c r="Q800" s="11">
        <v>3.2</v>
      </c>
      <c r="R800" s="13" t="str">
        <f>IF(Patient_Data!$L800&lt;2,"Low Risk",IF(Patient_Data!$L800&lt;4,"Moderate Risk","High Risk"))</f>
        <v>Low Risk</v>
      </c>
      <c r="S800" s="12" t="str">
        <f>IF(Patient_Data[[#This Row],[Age]]&lt;=18,"Pediatric",IF(Patient_Data[[#This Row],[Age]]&lt;=64,"Adult","Geriatric"))</f>
        <v>Adult</v>
      </c>
    </row>
    <row r="801" spans="1:19" ht="15.75" customHeight="1" x14ac:dyDescent="0.3">
      <c r="A801" s="4" t="s">
        <v>1655</v>
      </c>
      <c r="B801" s="5" t="str">
        <f>TEXT(Patient_Data!$E801,"mmmm")</f>
        <v>March</v>
      </c>
      <c r="C801" s="6" t="str">
        <f t="shared" si="6"/>
        <v>Mar</v>
      </c>
      <c r="D801" s="6">
        <f>MONTH(Patient_Data!$E801)</f>
        <v>3</v>
      </c>
      <c r="E801" s="7">
        <v>45377</v>
      </c>
      <c r="F801" s="55" t="str">
        <f>TEXT(Patient_Data[[#This Row],[Admission_Date]],"YYYY")</f>
        <v>2024</v>
      </c>
      <c r="G801" s="8" t="s">
        <v>1656</v>
      </c>
      <c r="H801" s="8" t="s">
        <v>132</v>
      </c>
      <c r="I801" s="4" t="s">
        <v>35</v>
      </c>
      <c r="J801" s="4">
        <v>0</v>
      </c>
      <c r="K801" s="4" t="s">
        <v>54</v>
      </c>
      <c r="L801" s="8">
        <v>1</v>
      </c>
      <c r="M801" s="9" t="s">
        <v>79</v>
      </c>
      <c r="N801" s="9" t="str">
        <f t="shared" si="7"/>
        <v>PD</v>
      </c>
      <c r="O801" s="10">
        <v>1328.24</v>
      </c>
      <c r="P801" s="10">
        <v>893.92</v>
      </c>
      <c r="Q801" s="11">
        <v>0.5</v>
      </c>
      <c r="R801" s="13" t="str">
        <f>IF(Patient_Data!$L801&lt;2,"Low Risk",IF(Patient_Data!$L801&lt;4,"Moderate Risk","High Risk"))</f>
        <v>Low Risk</v>
      </c>
      <c r="S801" s="12" t="str">
        <f>IF(Patient_Data[[#This Row],[Age]]&lt;=18,"Pediatric",IF(Patient_Data[[#This Row],[Age]]&lt;=64,"Adult","Geriatric"))</f>
        <v>Pediatric</v>
      </c>
    </row>
    <row r="802" spans="1:19" ht="15.75" customHeight="1" x14ac:dyDescent="0.3">
      <c r="A802" s="4" t="s">
        <v>1657</v>
      </c>
      <c r="B802" s="5" t="str">
        <f>TEXT(Patient_Data!$E802,"mmmm")</f>
        <v>July</v>
      </c>
      <c r="C802" s="6" t="str">
        <f t="shared" si="6"/>
        <v>Jul</v>
      </c>
      <c r="D802" s="6">
        <f>MONTH(Patient_Data!$E802)</f>
        <v>7</v>
      </c>
      <c r="E802" s="7">
        <v>46223</v>
      </c>
      <c r="F802" s="55" t="str">
        <f>TEXT(Patient_Data[[#This Row],[Admission_Date]],"YYYY")</f>
        <v>2026</v>
      </c>
      <c r="G802" s="8" t="s">
        <v>1658</v>
      </c>
      <c r="H802" s="8" t="s">
        <v>53</v>
      </c>
      <c r="I802" s="4" t="s">
        <v>29</v>
      </c>
      <c r="J802" s="4">
        <v>21</v>
      </c>
      <c r="K802" s="4" t="s">
        <v>30</v>
      </c>
      <c r="L802" s="8">
        <v>1</v>
      </c>
      <c r="M802" s="9" t="s">
        <v>31</v>
      </c>
      <c r="N802" s="9" t="str">
        <f t="shared" si="7"/>
        <v>Neuro</v>
      </c>
      <c r="O802" s="10">
        <v>7916.8</v>
      </c>
      <c r="P802" s="10">
        <v>5599.36</v>
      </c>
      <c r="Q802" s="11">
        <v>7.2</v>
      </c>
      <c r="R802" s="13" t="str">
        <f>IF(Patient_Data!$L802&lt;2,"Low Risk",IF(Patient_Data!$L802&lt;4,"Moderate Risk","High Risk"))</f>
        <v>Low Risk</v>
      </c>
      <c r="S802" s="12" t="str">
        <f>IF(Patient_Data[[#This Row],[Age]]&lt;=18,"Pediatric",IF(Patient_Data[[#This Row],[Age]]&lt;=64,"Adult","Geriatric"))</f>
        <v>Adult</v>
      </c>
    </row>
    <row r="803" spans="1:19" ht="15.75" customHeight="1" x14ac:dyDescent="0.3">
      <c r="A803" s="4" t="s">
        <v>1659</v>
      </c>
      <c r="B803" s="5" t="str">
        <f>TEXT(Patient_Data!$E803,"mmmm")</f>
        <v>May</v>
      </c>
      <c r="C803" s="6" t="str">
        <f t="shared" si="6"/>
        <v>May</v>
      </c>
      <c r="D803" s="6">
        <f>MONTH(Patient_Data!$E803)</f>
        <v>5</v>
      </c>
      <c r="E803" s="7">
        <v>45422</v>
      </c>
      <c r="F803" s="55" t="str">
        <f>TEXT(Patient_Data[[#This Row],[Admission_Date]],"YYYY")</f>
        <v>2024</v>
      </c>
      <c r="G803" s="8" t="s">
        <v>1660</v>
      </c>
      <c r="H803" s="8" t="s">
        <v>82</v>
      </c>
      <c r="I803" s="4" t="s">
        <v>35</v>
      </c>
      <c r="J803" s="4">
        <v>68</v>
      </c>
      <c r="K803" s="4" t="s">
        <v>54</v>
      </c>
      <c r="L803" s="8">
        <v>3</v>
      </c>
      <c r="M803" s="9" t="s">
        <v>50</v>
      </c>
      <c r="N803" s="9" t="str">
        <f t="shared" si="7"/>
        <v>ICU</v>
      </c>
      <c r="O803" s="10">
        <v>19797.240000000002</v>
      </c>
      <c r="P803" s="10">
        <v>14594.39</v>
      </c>
      <c r="Q803" s="11">
        <v>17.8</v>
      </c>
      <c r="R803" s="13" t="str">
        <f>IF(Patient_Data!$L803&lt;2,"Low Risk",IF(Patient_Data!$L803&lt;4,"Moderate Risk","High Risk"))</f>
        <v>Moderate Risk</v>
      </c>
      <c r="S803" s="12" t="str">
        <f>IF(Patient_Data[[#This Row],[Age]]&lt;=18,"Pediatric",IF(Patient_Data[[#This Row],[Age]]&lt;=64,"Adult","Geriatric"))</f>
        <v>Geriatric</v>
      </c>
    </row>
    <row r="804" spans="1:19" ht="15.75" customHeight="1" x14ac:dyDescent="0.3">
      <c r="A804" s="4" t="s">
        <v>1661</v>
      </c>
      <c r="B804" s="5" t="str">
        <f>TEXT(Patient_Data!$E804,"mmmm")</f>
        <v>April</v>
      </c>
      <c r="C804" s="6" t="str">
        <f t="shared" si="6"/>
        <v>Apr</v>
      </c>
      <c r="D804" s="6">
        <f>MONTH(Patient_Data!$E804)</f>
        <v>4</v>
      </c>
      <c r="E804" s="7">
        <v>45750</v>
      </c>
      <c r="F804" s="55" t="str">
        <f>TEXT(Patient_Data[[#This Row],[Admission_Date]],"YYYY")</f>
        <v>2025</v>
      </c>
      <c r="G804" s="8" t="s">
        <v>1662</v>
      </c>
      <c r="H804" s="8" t="s">
        <v>28</v>
      </c>
      <c r="I804" s="4" t="s">
        <v>29</v>
      </c>
      <c r="J804" s="4">
        <v>22</v>
      </c>
      <c r="K804" s="4" t="s">
        <v>54</v>
      </c>
      <c r="L804" s="8">
        <v>2</v>
      </c>
      <c r="M804" s="9" t="s">
        <v>83</v>
      </c>
      <c r="N804" s="9" t="str">
        <f t="shared" si="7"/>
        <v>ER</v>
      </c>
      <c r="O804" s="10">
        <v>9104.6200000000008</v>
      </c>
      <c r="P804" s="10">
        <v>7102.71</v>
      </c>
      <c r="Q804" s="11">
        <v>22.9</v>
      </c>
      <c r="R804" s="13" t="str">
        <f>IF(Patient_Data!$L804&lt;2,"Low Risk",IF(Patient_Data!$L804&lt;4,"Moderate Risk","High Risk"))</f>
        <v>Moderate Risk</v>
      </c>
      <c r="S804" s="12" t="str">
        <f>IF(Patient_Data[[#This Row],[Age]]&lt;=18,"Pediatric",IF(Patient_Data[[#This Row],[Age]]&lt;=64,"Adult","Geriatric"))</f>
        <v>Adult</v>
      </c>
    </row>
    <row r="805" spans="1:19" ht="15.75" customHeight="1" x14ac:dyDescent="0.3">
      <c r="A805" s="4" t="s">
        <v>1663</v>
      </c>
      <c r="B805" s="5" t="str">
        <f>TEXT(Patient_Data!$E805,"mmmm")</f>
        <v>February</v>
      </c>
      <c r="C805" s="6" t="str">
        <f t="shared" si="6"/>
        <v>Feb</v>
      </c>
      <c r="D805" s="6">
        <f>MONTH(Patient_Data!$E805)</f>
        <v>2</v>
      </c>
      <c r="E805" s="7">
        <v>45338</v>
      </c>
      <c r="F805" s="55" t="str">
        <f>TEXT(Patient_Data[[#This Row],[Admission_Date]],"YYYY")</f>
        <v>2024</v>
      </c>
      <c r="G805" s="8" t="s">
        <v>1664</v>
      </c>
      <c r="H805" s="8" t="s">
        <v>42</v>
      </c>
      <c r="I805" s="4" t="s">
        <v>29</v>
      </c>
      <c r="J805" s="4">
        <v>4</v>
      </c>
      <c r="K805" s="4" t="s">
        <v>30</v>
      </c>
      <c r="L805" s="8">
        <v>1</v>
      </c>
      <c r="M805" s="9" t="s">
        <v>79</v>
      </c>
      <c r="N805" s="9" t="str">
        <f t="shared" si="7"/>
        <v>PD</v>
      </c>
      <c r="O805" s="10">
        <v>2434.13</v>
      </c>
      <c r="P805" s="10">
        <v>1442.2</v>
      </c>
      <c r="Q805" s="11">
        <v>3.8</v>
      </c>
      <c r="R805" s="13" t="str">
        <f>IF(Patient_Data!$L805&lt;2,"Low Risk",IF(Patient_Data!$L805&lt;4,"Moderate Risk","High Risk"))</f>
        <v>Low Risk</v>
      </c>
      <c r="S805" s="12" t="str">
        <f>IF(Patient_Data[[#This Row],[Age]]&lt;=18,"Pediatric",IF(Patient_Data[[#This Row],[Age]]&lt;=64,"Adult","Geriatric"))</f>
        <v>Pediatric</v>
      </c>
    </row>
    <row r="806" spans="1:19" ht="15.75" customHeight="1" x14ac:dyDescent="0.3">
      <c r="A806" s="4" t="s">
        <v>1665</v>
      </c>
      <c r="B806" s="5" t="str">
        <f>TEXT(Patient_Data!$E806,"mmmm")</f>
        <v>July</v>
      </c>
      <c r="C806" s="6" t="str">
        <f t="shared" si="6"/>
        <v>Jul</v>
      </c>
      <c r="D806" s="6">
        <f>MONTH(Patient_Data!$E806)</f>
        <v>7</v>
      </c>
      <c r="E806" s="7">
        <v>45495</v>
      </c>
      <c r="F806" s="55" t="str">
        <f>TEXT(Patient_Data[[#This Row],[Admission_Date]],"YYYY")</f>
        <v>2024</v>
      </c>
      <c r="G806" s="8" t="s">
        <v>1666</v>
      </c>
      <c r="H806" s="8" t="s">
        <v>53</v>
      </c>
      <c r="I806" s="4" t="s">
        <v>35</v>
      </c>
      <c r="J806" s="4">
        <v>85</v>
      </c>
      <c r="K806" s="4" t="s">
        <v>30</v>
      </c>
      <c r="L806" s="8">
        <v>2</v>
      </c>
      <c r="M806" s="9" t="s">
        <v>46</v>
      </c>
      <c r="N806" s="9" t="str">
        <f t="shared" si="7"/>
        <v>Ortho</v>
      </c>
      <c r="O806" s="10">
        <v>6209.16</v>
      </c>
      <c r="P806" s="10">
        <v>3863.59</v>
      </c>
      <c r="Q806" s="11">
        <v>9.5</v>
      </c>
      <c r="R806" s="13" t="str">
        <f>IF(Patient_Data!$L806&lt;2,"Low Risk",IF(Patient_Data!$L806&lt;4,"Moderate Risk","High Risk"))</f>
        <v>Moderate Risk</v>
      </c>
      <c r="S806" s="12" t="str">
        <f>IF(Patient_Data[[#This Row],[Age]]&lt;=18,"Pediatric",IF(Patient_Data[[#This Row],[Age]]&lt;=64,"Adult","Geriatric"))</f>
        <v>Geriatric</v>
      </c>
    </row>
    <row r="807" spans="1:19" ht="15.75" customHeight="1" x14ac:dyDescent="0.3">
      <c r="A807" s="4" t="s">
        <v>1667</v>
      </c>
      <c r="B807" s="5" t="str">
        <f>TEXT(Patient_Data!$E807,"mmmm")</f>
        <v>July</v>
      </c>
      <c r="C807" s="6" t="str">
        <f t="shared" si="6"/>
        <v>Jul</v>
      </c>
      <c r="D807" s="6">
        <f>MONTH(Patient_Data!$E807)</f>
        <v>7</v>
      </c>
      <c r="E807" s="7">
        <v>46218</v>
      </c>
      <c r="F807" s="55" t="str">
        <f>TEXT(Patient_Data[[#This Row],[Admission_Date]],"YYYY")</f>
        <v>2026</v>
      </c>
      <c r="G807" s="8" t="s">
        <v>1668</v>
      </c>
      <c r="H807" s="8" t="s">
        <v>82</v>
      </c>
      <c r="I807" s="4" t="s">
        <v>35</v>
      </c>
      <c r="J807" s="4">
        <v>61</v>
      </c>
      <c r="K807" s="4" t="s">
        <v>54</v>
      </c>
      <c r="L807" s="8">
        <v>4</v>
      </c>
      <c r="M807" s="9" t="s">
        <v>50</v>
      </c>
      <c r="N807" s="9" t="str">
        <f t="shared" si="7"/>
        <v>ICU</v>
      </c>
      <c r="O807" s="10">
        <v>15898.22</v>
      </c>
      <c r="P807" s="10">
        <v>10274.06</v>
      </c>
      <c r="Q807" s="11">
        <v>12.4</v>
      </c>
      <c r="R807" s="13" t="str">
        <f>IF(Patient_Data!$L807&lt;2,"Low Risk",IF(Patient_Data!$L807&lt;4,"Moderate Risk","High Risk"))</f>
        <v>High Risk</v>
      </c>
      <c r="S807" s="12" t="str">
        <f>IF(Patient_Data[[#This Row],[Age]]&lt;=18,"Pediatric",IF(Patient_Data[[#This Row],[Age]]&lt;=64,"Adult","Geriatric"))</f>
        <v>Adult</v>
      </c>
    </row>
    <row r="808" spans="1:19" ht="15.75" customHeight="1" x14ac:dyDescent="0.3">
      <c r="A808" s="4" t="s">
        <v>1669</v>
      </c>
      <c r="B808" s="5" t="str">
        <f>TEXT(Patient_Data!$E808,"mmmm")</f>
        <v>June</v>
      </c>
      <c r="C808" s="6" t="str">
        <f t="shared" si="6"/>
        <v>Jun</v>
      </c>
      <c r="D808" s="6">
        <f>MONTH(Patient_Data!$E808)</f>
        <v>6</v>
      </c>
      <c r="E808" s="7">
        <v>45468</v>
      </c>
      <c r="F808" s="55" t="str">
        <f>TEXT(Patient_Data[[#This Row],[Admission_Date]],"YYYY")</f>
        <v>2024</v>
      </c>
      <c r="G808" s="8" t="s">
        <v>1670</v>
      </c>
      <c r="H808" s="8" t="s">
        <v>98</v>
      </c>
      <c r="I808" s="4" t="s">
        <v>29</v>
      </c>
      <c r="J808" s="4">
        <v>53</v>
      </c>
      <c r="K808" s="4" t="s">
        <v>30</v>
      </c>
      <c r="L808" s="8">
        <v>2</v>
      </c>
      <c r="M808" s="9" t="s">
        <v>31</v>
      </c>
      <c r="N808" s="9" t="str">
        <f t="shared" si="7"/>
        <v>Neuro</v>
      </c>
      <c r="O808" s="10">
        <v>12194.08</v>
      </c>
      <c r="P808" s="10">
        <v>8246.0300000000007</v>
      </c>
      <c r="Q808" s="11">
        <v>9.5</v>
      </c>
      <c r="R808" s="13" t="str">
        <f>IF(Patient_Data!$L808&lt;2,"Low Risk",IF(Patient_Data!$L808&lt;4,"Moderate Risk","High Risk"))</f>
        <v>Moderate Risk</v>
      </c>
      <c r="S808" s="12" t="str">
        <f>IF(Patient_Data[[#This Row],[Age]]&lt;=18,"Pediatric",IF(Patient_Data[[#This Row],[Age]]&lt;=64,"Adult","Geriatric"))</f>
        <v>Adult</v>
      </c>
    </row>
    <row r="809" spans="1:19" ht="15.75" customHeight="1" x14ac:dyDescent="0.3">
      <c r="A809" s="4" t="s">
        <v>1671</v>
      </c>
      <c r="B809" s="5" t="str">
        <f>TEXT(Patient_Data!$E809,"mmmm")</f>
        <v>February</v>
      </c>
      <c r="C809" s="6" t="str">
        <f t="shared" si="6"/>
        <v>Feb</v>
      </c>
      <c r="D809" s="6">
        <f>MONTH(Patient_Data!$E809)</f>
        <v>2</v>
      </c>
      <c r="E809" s="7">
        <v>46062</v>
      </c>
      <c r="F809" s="55" t="str">
        <f>TEXT(Patient_Data[[#This Row],[Admission_Date]],"YYYY")</f>
        <v>2026</v>
      </c>
      <c r="G809" s="8" t="s">
        <v>1672</v>
      </c>
      <c r="H809" s="8" t="s">
        <v>82</v>
      </c>
      <c r="I809" s="4" t="s">
        <v>29</v>
      </c>
      <c r="J809" s="4">
        <v>73</v>
      </c>
      <c r="K809" s="4" t="s">
        <v>30</v>
      </c>
      <c r="L809" s="8">
        <v>3</v>
      </c>
      <c r="M809" s="9" t="s">
        <v>31</v>
      </c>
      <c r="N809" s="9" t="str">
        <f t="shared" si="7"/>
        <v>Neuro</v>
      </c>
      <c r="O809" s="10">
        <v>10889.08</v>
      </c>
      <c r="P809" s="10">
        <v>7695.96</v>
      </c>
      <c r="Q809" s="11">
        <v>9.1999999999999993</v>
      </c>
      <c r="R809" s="13" t="str">
        <f>IF(Patient_Data!$L809&lt;2,"Low Risk",IF(Patient_Data!$L809&lt;4,"Moderate Risk","High Risk"))</f>
        <v>Moderate Risk</v>
      </c>
      <c r="S809" s="12" t="str">
        <f>IF(Patient_Data[[#This Row],[Age]]&lt;=18,"Pediatric",IF(Patient_Data[[#This Row],[Age]]&lt;=64,"Adult","Geriatric"))</f>
        <v>Geriatric</v>
      </c>
    </row>
    <row r="810" spans="1:19" ht="15.75" customHeight="1" x14ac:dyDescent="0.3">
      <c r="A810" s="4" t="s">
        <v>1673</v>
      </c>
      <c r="B810" s="5" t="str">
        <f>TEXT(Patient_Data!$E810,"mmmm")</f>
        <v>November</v>
      </c>
      <c r="C810" s="6" t="str">
        <f t="shared" si="6"/>
        <v>Nov</v>
      </c>
      <c r="D810" s="6">
        <f>MONTH(Patient_Data!$E810)</f>
        <v>11</v>
      </c>
      <c r="E810" s="7">
        <v>45621</v>
      </c>
      <c r="F810" s="55" t="str">
        <f>TEXT(Patient_Data[[#This Row],[Admission_Date]],"YYYY")</f>
        <v>2024</v>
      </c>
      <c r="G810" s="8" t="s">
        <v>1674</v>
      </c>
      <c r="H810" s="8" t="s">
        <v>34</v>
      </c>
      <c r="I810" s="4" t="s">
        <v>35</v>
      </c>
      <c r="J810" s="4">
        <v>27</v>
      </c>
      <c r="K810" s="4" t="s">
        <v>45</v>
      </c>
      <c r="L810" s="8">
        <v>5</v>
      </c>
      <c r="M810" s="9" t="s">
        <v>72</v>
      </c>
      <c r="N810" s="9" t="str">
        <f t="shared" si="7"/>
        <v>Surgery</v>
      </c>
      <c r="O810" s="10">
        <v>20046.38</v>
      </c>
      <c r="P810" s="10">
        <v>14689.06</v>
      </c>
      <c r="Q810" s="11">
        <v>6.9</v>
      </c>
      <c r="R810" s="13" t="str">
        <f>IF(Patient_Data!$L810&lt;2,"Low Risk",IF(Patient_Data!$L810&lt;4,"Moderate Risk","High Risk"))</f>
        <v>High Risk</v>
      </c>
      <c r="S810" s="12" t="str">
        <f>IF(Patient_Data[[#This Row],[Age]]&lt;=18,"Pediatric",IF(Patient_Data[[#This Row],[Age]]&lt;=64,"Adult","Geriatric"))</f>
        <v>Adult</v>
      </c>
    </row>
    <row r="811" spans="1:19" ht="15.75" customHeight="1" x14ac:dyDescent="0.3">
      <c r="A811" s="4" t="s">
        <v>1675</v>
      </c>
      <c r="B811" s="5" t="str">
        <f>TEXT(Patient_Data!$E811,"mmmm")</f>
        <v>March</v>
      </c>
      <c r="C811" s="6" t="str">
        <f t="shared" si="6"/>
        <v>Mar</v>
      </c>
      <c r="D811" s="6">
        <f>MONTH(Patient_Data!$E811)</f>
        <v>3</v>
      </c>
      <c r="E811" s="7">
        <v>46090</v>
      </c>
      <c r="F811" s="55" t="str">
        <f>TEXT(Patient_Data[[#This Row],[Admission_Date]],"YYYY")</f>
        <v>2026</v>
      </c>
      <c r="G811" s="8" t="s">
        <v>970</v>
      </c>
      <c r="H811" s="8" t="s">
        <v>132</v>
      </c>
      <c r="I811" s="4" t="s">
        <v>35</v>
      </c>
      <c r="J811" s="4">
        <v>54</v>
      </c>
      <c r="K811" s="4" t="s">
        <v>30</v>
      </c>
      <c r="L811" s="8">
        <v>1</v>
      </c>
      <c r="M811" s="9" t="s">
        <v>36</v>
      </c>
      <c r="N811" s="9" t="str">
        <f t="shared" si="7"/>
        <v>Cardio</v>
      </c>
      <c r="O811" s="10">
        <v>7403.13</v>
      </c>
      <c r="P811" s="10">
        <v>5692.78</v>
      </c>
      <c r="Q811" s="11">
        <v>8.3000000000000007</v>
      </c>
      <c r="R811" s="13" t="str">
        <f>IF(Patient_Data!$L811&lt;2,"Low Risk",IF(Patient_Data!$L811&lt;4,"Moderate Risk","High Risk"))</f>
        <v>Low Risk</v>
      </c>
      <c r="S811" s="12" t="str">
        <f>IF(Patient_Data[[#This Row],[Age]]&lt;=18,"Pediatric",IF(Patient_Data[[#This Row],[Age]]&lt;=64,"Adult","Geriatric"))</f>
        <v>Adult</v>
      </c>
    </row>
    <row r="812" spans="1:19" ht="15.75" customHeight="1" x14ac:dyDescent="0.3">
      <c r="A812" s="4" t="s">
        <v>1676</v>
      </c>
      <c r="B812" s="5" t="str">
        <f>TEXT(Patient_Data!$E812,"mmmm")</f>
        <v>August</v>
      </c>
      <c r="C812" s="6" t="str">
        <f t="shared" si="6"/>
        <v>Aug</v>
      </c>
      <c r="D812" s="6">
        <f>MONTH(Patient_Data!$E812)</f>
        <v>8</v>
      </c>
      <c r="E812" s="7">
        <v>45882</v>
      </c>
      <c r="F812" s="55" t="str">
        <f>TEXT(Patient_Data[[#This Row],[Admission_Date]],"YYYY")</f>
        <v>2025</v>
      </c>
      <c r="G812" s="8" t="s">
        <v>1677</v>
      </c>
      <c r="H812" s="8" t="s">
        <v>98</v>
      </c>
      <c r="I812" s="4" t="s">
        <v>29</v>
      </c>
      <c r="J812" s="4">
        <v>81</v>
      </c>
      <c r="K812" s="4" t="s">
        <v>30</v>
      </c>
      <c r="L812" s="8">
        <v>5</v>
      </c>
      <c r="M812" s="9" t="s">
        <v>83</v>
      </c>
      <c r="N812" s="9" t="str">
        <f t="shared" si="7"/>
        <v>ER</v>
      </c>
      <c r="O812" s="10">
        <v>7762.27</v>
      </c>
      <c r="P812" s="10">
        <v>4597.32</v>
      </c>
      <c r="Q812" s="11">
        <v>11.9</v>
      </c>
      <c r="R812" s="13" t="str">
        <f>IF(Patient_Data!$L812&lt;2,"Low Risk",IF(Patient_Data!$L812&lt;4,"Moderate Risk","High Risk"))</f>
        <v>High Risk</v>
      </c>
      <c r="S812" s="12" t="str">
        <f>IF(Patient_Data[[#This Row],[Age]]&lt;=18,"Pediatric",IF(Patient_Data[[#This Row],[Age]]&lt;=64,"Adult","Geriatric"))</f>
        <v>Geriatric</v>
      </c>
    </row>
    <row r="813" spans="1:19" ht="15.75" customHeight="1" x14ac:dyDescent="0.3">
      <c r="A813" s="4" t="s">
        <v>1678</v>
      </c>
      <c r="B813" s="5" t="str">
        <f>TEXT(Patient_Data!$E813,"mmmm")</f>
        <v>November</v>
      </c>
      <c r="C813" s="6" t="str">
        <f t="shared" si="6"/>
        <v>Nov</v>
      </c>
      <c r="D813" s="6">
        <f>MONTH(Patient_Data!$E813)</f>
        <v>11</v>
      </c>
      <c r="E813" s="7">
        <v>45978</v>
      </c>
      <c r="F813" s="55" t="str">
        <f>TEXT(Patient_Data[[#This Row],[Admission_Date]],"YYYY")</f>
        <v>2025</v>
      </c>
      <c r="G813" s="8" t="s">
        <v>1679</v>
      </c>
      <c r="H813" s="8" t="s">
        <v>82</v>
      </c>
      <c r="I813" s="4" t="s">
        <v>35</v>
      </c>
      <c r="J813" s="4">
        <v>58</v>
      </c>
      <c r="K813" s="4" t="s">
        <v>45</v>
      </c>
      <c r="L813" s="8">
        <v>4</v>
      </c>
      <c r="M813" s="9" t="s">
        <v>50</v>
      </c>
      <c r="N813" s="9" t="str">
        <f t="shared" si="7"/>
        <v>ICU</v>
      </c>
      <c r="O813" s="10">
        <v>15384.24</v>
      </c>
      <c r="P813" s="10">
        <v>9501.99</v>
      </c>
      <c r="Q813" s="11">
        <v>14.7</v>
      </c>
      <c r="R813" s="13" t="str">
        <f>IF(Patient_Data!$L813&lt;2,"Low Risk",IF(Patient_Data!$L813&lt;4,"Moderate Risk","High Risk"))</f>
        <v>High Risk</v>
      </c>
      <c r="S813" s="12" t="str">
        <f>IF(Patient_Data[[#This Row],[Age]]&lt;=18,"Pediatric",IF(Patient_Data[[#This Row],[Age]]&lt;=64,"Adult","Geriatric"))</f>
        <v>Adult</v>
      </c>
    </row>
    <row r="814" spans="1:19" ht="15.75" customHeight="1" x14ac:dyDescent="0.3">
      <c r="A814" s="4" t="s">
        <v>1680</v>
      </c>
      <c r="B814" s="5" t="str">
        <f>TEXT(Patient_Data!$E814,"mmmm")</f>
        <v>June</v>
      </c>
      <c r="C814" s="6" t="str">
        <f t="shared" si="6"/>
        <v>Jun</v>
      </c>
      <c r="D814" s="6">
        <f>MONTH(Patient_Data!$E814)</f>
        <v>6</v>
      </c>
      <c r="E814" s="7">
        <v>46195</v>
      </c>
      <c r="F814" s="55" t="str">
        <f>TEXT(Patient_Data[[#This Row],[Admission_Date]],"YYYY")</f>
        <v>2026</v>
      </c>
      <c r="G814" s="8" t="s">
        <v>1681</v>
      </c>
      <c r="H814" s="8" t="s">
        <v>53</v>
      </c>
      <c r="I814" s="4" t="s">
        <v>35</v>
      </c>
      <c r="J814" s="4">
        <v>72</v>
      </c>
      <c r="K814" s="4" t="s">
        <v>30</v>
      </c>
      <c r="L814" s="8">
        <v>3</v>
      </c>
      <c r="M814" s="9" t="s">
        <v>36</v>
      </c>
      <c r="N814" s="9" t="str">
        <f t="shared" si="7"/>
        <v>Cardio</v>
      </c>
      <c r="O814" s="10">
        <v>15374.21</v>
      </c>
      <c r="P814" s="10">
        <v>9904.2900000000009</v>
      </c>
      <c r="Q814" s="11">
        <v>8.1</v>
      </c>
      <c r="R814" s="13" t="str">
        <f>IF(Patient_Data!$L814&lt;2,"Low Risk",IF(Patient_Data!$L814&lt;4,"Moderate Risk","High Risk"))</f>
        <v>Moderate Risk</v>
      </c>
      <c r="S814" s="12" t="str">
        <f>IF(Patient_Data[[#This Row],[Age]]&lt;=18,"Pediatric",IF(Patient_Data[[#This Row],[Age]]&lt;=64,"Adult","Geriatric"))</f>
        <v>Geriatric</v>
      </c>
    </row>
    <row r="815" spans="1:19" ht="15.75" customHeight="1" x14ac:dyDescent="0.3">
      <c r="A815" s="4" t="s">
        <v>1682</v>
      </c>
      <c r="B815" s="5" t="str">
        <f>TEXT(Patient_Data!$E815,"mmmm")</f>
        <v>October</v>
      </c>
      <c r="C815" s="6" t="str">
        <f t="shared" si="6"/>
        <v>Oct</v>
      </c>
      <c r="D815" s="6">
        <f>MONTH(Patient_Data!$E815)</f>
        <v>10</v>
      </c>
      <c r="E815" s="7">
        <v>45932</v>
      </c>
      <c r="F815" s="55" t="str">
        <f>TEXT(Patient_Data[[#This Row],[Admission_Date]],"YYYY")</f>
        <v>2025</v>
      </c>
      <c r="G815" s="8" t="s">
        <v>1683</v>
      </c>
      <c r="H815" s="8" t="s">
        <v>82</v>
      </c>
      <c r="I815" s="4" t="s">
        <v>35</v>
      </c>
      <c r="J815" s="4">
        <v>82</v>
      </c>
      <c r="K815" s="4" t="s">
        <v>54</v>
      </c>
      <c r="L815" s="8">
        <v>5</v>
      </c>
      <c r="M815" s="9" t="s">
        <v>72</v>
      </c>
      <c r="N815" s="9" t="str">
        <f t="shared" si="7"/>
        <v>Surgery</v>
      </c>
      <c r="O815" s="10">
        <v>19225.47</v>
      </c>
      <c r="P815" s="10">
        <v>12963.46</v>
      </c>
      <c r="Q815" s="11">
        <v>10.3</v>
      </c>
      <c r="R815" s="13" t="str">
        <f>IF(Patient_Data!$L815&lt;2,"Low Risk",IF(Patient_Data!$L815&lt;4,"Moderate Risk","High Risk"))</f>
        <v>High Risk</v>
      </c>
      <c r="S815" s="12" t="str">
        <f>IF(Patient_Data[[#This Row],[Age]]&lt;=18,"Pediatric",IF(Patient_Data[[#This Row],[Age]]&lt;=64,"Adult","Geriatric"))</f>
        <v>Geriatric</v>
      </c>
    </row>
    <row r="816" spans="1:19" ht="15.75" customHeight="1" x14ac:dyDescent="0.3">
      <c r="A816" s="4" t="s">
        <v>1684</v>
      </c>
      <c r="B816" s="5" t="str">
        <f>TEXT(Patient_Data!$E816,"mmmm")</f>
        <v>December</v>
      </c>
      <c r="C816" s="6" t="str">
        <f t="shared" si="6"/>
        <v>Dec</v>
      </c>
      <c r="D816" s="6">
        <f>MONTH(Patient_Data!$E816)</f>
        <v>12</v>
      </c>
      <c r="E816" s="7">
        <v>45649</v>
      </c>
      <c r="F816" s="55" t="str">
        <f>TEXT(Patient_Data[[#This Row],[Admission_Date]],"YYYY")</f>
        <v>2024</v>
      </c>
      <c r="G816" s="8" t="s">
        <v>1685</v>
      </c>
      <c r="H816" s="8" t="s">
        <v>42</v>
      </c>
      <c r="I816" s="4" t="s">
        <v>29</v>
      </c>
      <c r="J816" s="4">
        <v>36</v>
      </c>
      <c r="K816" s="4" t="s">
        <v>54</v>
      </c>
      <c r="L816" s="8">
        <v>4</v>
      </c>
      <c r="M816" s="9" t="s">
        <v>72</v>
      </c>
      <c r="N816" s="9" t="str">
        <f t="shared" si="7"/>
        <v>Surgery</v>
      </c>
      <c r="O816" s="10">
        <v>21959.65</v>
      </c>
      <c r="P816" s="10">
        <v>15436.55</v>
      </c>
      <c r="Q816" s="11">
        <v>8.1</v>
      </c>
      <c r="R816" s="13" t="str">
        <f>IF(Patient_Data!$L816&lt;2,"Low Risk",IF(Patient_Data!$L816&lt;4,"Moderate Risk","High Risk"))</f>
        <v>High Risk</v>
      </c>
      <c r="S816" s="12" t="str">
        <f>IF(Patient_Data[[#This Row],[Age]]&lt;=18,"Pediatric",IF(Patient_Data[[#This Row],[Age]]&lt;=64,"Adult","Geriatric"))</f>
        <v>Adult</v>
      </c>
    </row>
    <row r="817" spans="1:19" ht="15.75" customHeight="1" x14ac:dyDescent="0.3">
      <c r="A817" s="4" t="s">
        <v>1686</v>
      </c>
      <c r="B817" s="5" t="str">
        <f>TEXT(Patient_Data!$E817,"mmmm")</f>
        <v>October</v>
      </c>
      <c r="C817" s="6" t="str">
        <f t="shared" si="6"/>
        <v>Oct</v>
      </c>
      <c r="D817" s="6">
        <f>MONTH(Patient_Data!$E817)</f>
        <v>10</v>
      </c>
      <c r="E817" s="7">
        <v>45957</v>
      </c>
      <c r="F817" s="55" t="str">
        <f>TEXT(Patient_Data[[#This Row],[Admission_Date]],"YYYY")</f>
        <v>2025</v>
      </c>
      <c r="G817" s="8" t="s">
        <v>1687</v>
      </c>
      <c r="H817" s="8" t="s">
        <v>82</v>
      </c>
      <c r="I817" s="4" t="s">
        <v>35</v>
      </c>
      <c r="J817" s="4">
        <v>52</v>
      </c>
      <c r="K817" s="4" t="s">
        <v>30</v>
      </c>
      <c r="L817" s="8">
        <v>2</v>
      </c>
      <c r="M817" s="9" t="s">
        <v>46</v>
      </c>
      <c r="N817" s="9" t="str">
        <f t="shared" si="7"/>
        <v>Ortho</v>
      </c>
      <c r="O817" s="10">
        <v>8851.94</v>
      </c>
      <c r="P817" s="10">
        <v>6529.92</v>
      </c>
      <c r="Q817" s="11">
        <v>8.5</v>
      </c>
      <c r="R817" s="13" t="str">
        <f>IF(Patient_Data!$L817&lt;2,"Low Risk",IF(Patient_Data!$L817&lt;4,"Moderate Risk","High Risk"))</f>
        <v>Moderate Risk</v>
      </c>
      <c r="S817" s="12" t="str">
        <f>IF(Patient_Data[[#This Row],[Age]]&lt;=18,"Pediatric",IF(Patient_Data[[#This Row],[Age]]&lt;=64,"Adult","Geriatric"))</f>
        <v>Adult</v>
      </c>
    </row>
    <row r="818" spans="1:19" ht="15.75" customHeight="1" x14ac:dyDescent="0.3">
      <c r="A818" s="4" t="s">
        <v>1688</v>
      </c>
      <c r="B818" s="5" t="str">
        <f>TEXT(Patient_Data!$E818,"mmmm")</f>
        <v>February</v>
      </c>
      <c r="C818" s="6" t="str">
        <f t="shared" si="6"/>
        <v>Feb</v>
      </c>
      <c r="D818" s="6">
        <f>MONTH(Patient_Data!$E818)</f>
        <v>2</v>
      </c>
      <c r="E818" s="7">
        <v>45334</v>
      </c>
      <c r="F818" s="55" t="str">
        <f>TEXT(Patient_Data[[#This Row],[Admission_Date]],"YYYY")</f>
        <v>2024</v>
      </c>
      <c r="G818" s="8" t="s">
        <v>1689</v>
      </c>
      <c r="H818" s="8" t="s">
        <v>28</v>
      </c>
      <c r="I818" s="4" t="s">
        <v>29</v>
      </c>
      <c r="J818" s="4">
        <v>54</v>
      </c>
      <c r="K818" s="4" t="s">
        <v>30</v>
      </c>
      <c r="L818" s="8">
        <v>1</v>
      </c>
      <c r="M818" s="9" t="s">
        <v>46</v>
      </c>
      <c r="N818" s="9" t="str">
        <f t="shared" si="7"/>
        <v>Ortho</v>
      </c>
      <c r="O818" s="10">
        <v>7505.53</v>
      </c>
      <c r="P818" s="10">
        <v>5745.8</v>
      </c>
      <c r="Q818" s="11">
        <v>5.2</v>
      </c>
      <c r="R818" s="13" t="str">
        <f>IF(Patient_Data!$L818&lt;2,"Low Risk",IF(Patient_Data!$L818&lt;4,"Moderate Risk","High Risk"))</f>
        <v>Low Risk</v>
      </c>
      <c r="S818" s="12" t="str">
        <f>IF(Patient_Data[[#This Row],[Age]]&lt;=18,"Pediatric",IF(Patient_Data[[#This Row],[Age]]&lt;=64,"Adult","Geriatric"))</f>
        <v>Adult</v>
      </c>
    </row>
    <row r="819" spans="1:19" ht="15.75" customHeight="1" x14ac:dyDescent="0.3">
      <c r="A819" s="4" t="s">
        <v>1690</v>
      </c>
      <c r="B819" s="5" t="str">
        <f>TEXT(Patient_Data!$E819,"mmmm")</f>
        <v>June</v>
      </c>
      <c r="C819" s="6" t="str">
        <f t="shared" si="6"/>
        <v>Jun</v>
      </c>
      <c r="D819" s="6">
        <f>MONTH(Patient_Data!$E819)</f>
        <v>6</v>
      </c>
      <c r="E819" s="7">
        <v>45819</v>
      </c>
      <c r="F819" s="55" t="str">
        <f>TEXT(Patient_Data[[#This Row],[Admission_Date]],"YYYY")</f>
        <v>2025</v>
      </c>
      <c r="G819" s="8" t="s">
        <v>1691</v>
      </c>
      <c r="H819" s="8" t="s">
        <v>82</v>
      </c>
      <c r="I819" s="4" t="s">
        <v>29</v>
      </c>
      <c r="J819" s="4">
        <v>42</v>
      </c>
      <c r="K819" s="4" t="s">
        <v>30</v>
      </c>
      <c r="L819" s="8">
        <v>2</v>
      </c>
      <c r="M819" s="9" t="s">
        <v>39</v>
      </c>
      <c r="N819" s="9" t="str">
        <f t="shared" si="7"/>
        <v>GM</v>
      </c>
      <c r="O819" s="10">
        <v>5213.25</v>
      </c>
      <c r="P819" s="10">
        <v>3089.28</v>
      </c>
      <c r="Q819" s="11">
        <v>8.1999999999999993</v>
      </c>
      <c r="R819" s="13" t="str">
        <f>IF(Patient_Data!$L819&lt;2,"Low Risk",IF(Patient_Data!$L819&lt;4,"Moderate Risk","High Risk"))</f>
        <v>Moderate Risk</v>
      </c>
      <c r="S819" s="12" t="str">
        <f>IF(Patient_Data[[#This Row],[Age]]&lt;=18,"Pediatric",IF(Patient_Data[[#This Row],[Age]]&lt;=64,"Adult","Geriatric"))</f>
        <v>Adult</v>
      </c>
    </row>
    <row r="820" spans="1:19" ht="15.75" customHeight="1" x14ac:dyDescent="0.3">
      <c r="A820" s="4" t="s">
        <v>1692</v>
      </c>
      <c r="B820" s="5" t="str">
        <f>TEXT(Patient_Data!$E820,"mmmm")</f>
        <v>March</v>
      </c>
      <c r="C820" s="6" t="str">
        <f t="shared" si="6"/>
        <v>Mar</v>
      </c>
      <c r="D820" s="6">
        <f>MONTH(Patient_Data!$E820)</f>
        <v>3</v>
      </c>
      <c r="E820" s="7">
        <v>45369</v>
      </c>
      <c r="F820" s="55" t="str">
        <f>TEXT(Patient_Data[[#This Row],[Admission_Date]],"YYYY")</f>
        <v>2024</v>
      </c>
      <c r="G820" s="8" t="s">
        <v>1693</v>
      </c>
      <c r="H820" s="8" t="s">
        <v>82</v>
      </c>
      <c r="I820" s="4" t="s">
        <v>29</v>
      </c>
      <c r="J820" s="4">
        <v>57</v>
      </c>
      <c r="K820" s="4" t="s">
        <v>30</v>
      </c>
      <c r="L820" s="8">
        <v>1</v>
      </c>
      <c r="M820" s="9" t="s">
        <v>83</v>
      </c>
      <c r="N820" s="9" t="str">
        <f t="shared" si="7"/>
        <v>ER</v>
      </c>
      <c r="O820" s="10">
        <v>6047.15</v>
      </c>
      <c r="P820" s="10">
        <v>3812.76</v>
      </c>
      <c r="Q820" s="11">
        <v>15.5</v>
      </c>
      <c r="R820" s="13" t="str">
        <f>IF(Patient_Data!$L820&lt;2,"Low Risk",IF(Patient_Data!$L820&lt;4,"Moderate Risk","High Risk"))</f>
        <v>Low Risk</v>
      </c>
      <c r="S820" s="12" t="str">
        <f>IF(Patient_Data[[#This Row],[Age]]&lt;=18,"Pediatric",IF(Patient_Data[[#This Row],[Age]]&lt;=64,"Adult","Geriatric"))</f>
        <v>Adult</v>
      </c>
    </row>
    <row r="821" spans="1:19" ht="15.75" customHeight="1" x14ac:dyDescent="0.3">
      <c r="A821" s="4" t="s">
        <v>1694</v>
      </c>
      <c r="B821" s="5" t="str">
        <f>TEXT(Patient_Data!$E821,"mmmm")</f>
        <v>July</v>
      </c>
      <c r="C821" s="6" t="str">
        <f t="shared" si="6"/>
        <v>Jul</v>
      </c>
      <c r="D821" s="6">
        <f>MONTH(Patient_Data!$E821)</f>
        <v>7</v>
      </c>
      <c r="E821" s="7">
        <v>45853</v>
      </c>
      <c r="F821" s="55" t="str">
        <f>TEXT(Patient_Data[[#This Row],[Admission_Date]],"YYYY")</f>
        <v>2025</v>
      </c>
      <c r="G821" s="8" t="s">
        <v>1695</v>
      </c>
      <c r="H821" s="8" t="s">
        <v>98</v>
      </c>
      <c r="I821" s="4" t="s">
        <v>35</v>
      </c>
      <c r="J821" s="4">
        <v>69</v>
      </c>
      <c r="K821" s="4" t="s">
        <v>30</v>
      </c>
      <c r="L821" s="8">
        <v>2</v>
      </c>
      <c r="M821" s="9" t="s">
        <v>39</v>
      </c>
      <c r="N821" s="9" t="str">
        <f t="shared" si="7"/>
        <v>GM</v>
      </c>
      <c r="O821" s="10">
        <v>4706.22</v>
      </c>
      <c r="P821" s="10">
        <v>3079.18</v>
      </c>
      <c r="Q821" s="11">
        <v>8.4</v>
      </c>
      <c r="R821" s="13" t="str">
        <f>IF(Patient_Data!$L821&lt;2,"Low Risk",IF(Patient_Data!$L821&lt;4,"Moderate Risk","High Risk"))</f>
        <v>Moderate Risk</v>
      </c>
      <c r="S821" s="12" t="str">
        <f>IF(Patient_Data[[#This Row],[Age]]&lt;=18,"Pediatric",IF(Patient_Data[[#This Row],[Age]]&lt;=64,"Adult","Geriatric"))</f>
        <v>Geriatric</v>
      </c>
    </row>
    <row r="822" spans="1:19" ht="15.75" customHeight="1" x14ac:dyDescent="0.3">
      <c r="A822" s="4" t="s">
        <v>1696</v>
      </c>
      <c r="B822" s="5" t="str">
        <f>TEXT(Patient_Data!$E822,"mmmm")</f>
        <v>June</v>
      </c>
      <c r="C822" s="6" t="str">
        <f t="shared" si="6"/>
        <v>Jun</v>
      </c>
      <c r="D822" s="6">
        <f>MONTH(Patient_Data!$E822)</f>
        <v>6</v>
      </c>
      <c r="E822" s="7">
        <v>45466</v>
      </c>
      <c r="F822" s="55" t="str">
        <f>TEXT(Patient_Data[[#This Row],[Admission_Date]],"YYYY")</f>
        <v>2024</v>
      </c>
      <c r="G822" s="8" t="s">
        <v>1697</v>
      </c>
      <c r="H822" s="8" t="s">
        <v>28</v>
      </c>
      <c r="I822" s="4" t="s">
        <v>29</v>
      </c>
      <c r="J822" s="4">
        <v>86</v>
      </c>
      <c r="K822" s="4" t="s">
        <v>45</v>
      </c>
      <c r="L822" s="8">
        <v>4</v>
      </c>
      <c r="M822" s="9" t="s">
        <v>50</v>
      </c>
      <c r="N822" s="9" t="str">
        <f t="shared" si="7"/>
        <v>ICU</v>
      </c>
      <c r="O822" s="10">
        <v>22228.89</v>
      </c>
      <c r="P822" s="10">
        <v>15002.16</v>
      </c>
      <c r="Q822" s="11">
        <v>13.6</v>
      </c>
      <c r="R822" s="13" t="str">
        <f>IF(Patient_Data!$L822&lt;2,"Low Risk",IF(Patient_Data!$L822&lt;4,"Moderate Risk","High Risk"))</f>
        <v>High Risk</v>
      </c>
      <c r="S822" s="12" t="str">
        <f>IF(Patient_Data[[#This Row],[Age]]&lt;=18,"Pediatric",IF(Patient_Data[[#This Row],[Age]]&lt;=64,"Adult","Geriatric"))</f>
        <v>Geriatric</v>
      </c>
    </row>
    <row r="823" spans="1:19" ht="15.75" customHeight="1" x14ac:dyDescent="0.3">
      <c r="A823" s="4" t="s">
        <v>1698</v>
      </c>
      <c r="B823" s="5" t="str">
        <f>TEXT(Patient_Data!$E823,"mmmm")</f>
        <v>April</v>
      </c>
      <c r="C823" s="6" t="str">
        <f t="shared" si="6"/>
        <v>Apr</v>
      </c>
      <c r="D823" s="6">
        <f>MONTH(Patient_Data!$E823)</f>
        <v>4</v>
      </c>
      <c r="E823" s="7">
        <v>45754</v>
      </c>
      <c r="F823" s="55" t="str">
        <f>TEXT(Patient_Data[[#This Row],[Admission_Date]],"YYYY")</f>
        <v>2025</v>
      </c>
      <c r="G823" s="8" t="s">
        <v>1699</v>
      </c>
      <c r="H823" s="8" t="s">
        <v>34</v>
      </c>
      <c r="I823" s="4" t="s">
        <v>35</v>
      </c>
      <c r="J823" s="4">
        <v>4</v>
      </c>
      <c r="K823" s="4" t="s">
        <v>30</v>
      </c>
      <c r="L823" s="8">
        <v>1</v>
      </c>
      <c r="M823" s="9" t="s">
        <v>79</v>
      </c>
      <c r="N823" s="9" t="str">
        <f t="shared" si="7"/>
        <v>PD</v>
      </c>
      <c r="O823" s="10">
        <v>1666.64</v>
      </c>
      <c r="P823" s="10">
        <v>1205.8499999999999</v>
      </c>
      <c r="Q823" s="11">
        <v>4.9000000000000004</v>
      </c>
      <c r="R823" s="13" t="str">
        <f>IF(Patient_Data!$L823&lt;2,"Low Risk",IF(Patient_Data!$L823&lt;4,"Moderate Risk","High Risk"))</f>
        <v>Low Risk</v>
      </c>
      <c r="S823" s="12" t="str">
        <f>IF(Patient_Data[[#This Row],[Age]]&lt;=18,"Pediatric",IF(Patient_Data[[#This Row],[Age]]&lt;=64,"Adult","Geriatric"))</f>
        <v>Pediatric</v>
      </c>
    </row>
    <row r="824" spans="1:19" ht="15.75" customHeight="1" x14ac:dyDescent="0.3">
      <c r="A824" s="4" t="s">
        <v>1700</v>
      </c>
      <c r="B824" s="5" t="str">
        <f>TEXT(Patient_Data!$E824,"mmmm")</f>
        <v>April</v>
      </c>
      <c r="C824" s="6" t="str">
        <f t="shared" si="6"/>
        <v>Apr</v>
      </c>
      <c r="D824" s="6">
        <f>MONTH(Patient_Data!$E824)</f>
        <v>4</v>
      </c>
      <c r="E824" s="7">
        <v>46134</v>
      </c>
      <c r="F824" s="55" t="str">
        <f>TEXT(Patient_Data[[#This Row],[Admission_Date]],"YYYY")</f>
        <v>2026</v>
      </c>
      <c r="G824" s="8" t="s">
        <v>1701</v>
      </c>
      <c r="H824" s="8" t="s">
        <v>132</v>
      </c>
      <c r="I824" s="4" t="s">
        <v>35</v>
      </c>
      <c r="J824" s="4">
        <v>6</v>
      </c>
      <c r="K824" s="4" t="s">
        <v>30</v>
      </c>
      <c r="L824" s="8">
        <v>1</v>
      </c>
      <c r="M824" s="9" t="s">
        <v>79</v>
      </c>
      <c r="N824" s="9" t="str">
        <f t="shared" si="7"/>
        <v>PD</v>
      </c>
      <c r="O824" s="10">
        <v>1406.11</v>
      </c>
      <c r="P824" s="10">
        <v>1064.8599999999999</v>
      </c>
      <c r="Q824" s="11">
        <v>4.8</v>
      </c>
      <c r="R824" s="13" t="str">
        <f>IF(Patient_Data!$L824&lt;2,"Low Risk",IF(Patient_Data!$L824&lt;4,"Moderate Risk","High Risk"))</f>
        <v>Low Risk</v>
      </c>
      <c r="S824" s="12" t="str">
        <f>IF(Patient_Data[[#This Row],[Age]]&lt;=18,"Pediatric",IF(Patient_Data[[#This Row],[Age]]&lt;=64,"Adult","Geriatric"))</f>
        <v>Pediatric</v>
      </c>
    </row>
    <row r="825" spans="1:19" ht="15.75" customHeight="1" x14ac:dyDescent="0.3">
      <c r="A825" s="4" t="s">
        <v>1702</v>
      </c>
      <c r="B825" s="5" t="str">
        <f>TEXT(Patient_Data!$E825,"mmmm")</f>
        <v>April</v>
      </c>
      <c r="C825" s="6" t="str">
        <f t="shared" si="6"/>
        <v>Apr</v>
      </c>
      <c r="D825" s="6">
        <f>MONTH(Patient_Data!$E825)</f>
        <v>4</v>
      </c>
      <c r="E825" s="7">
        <v>46127</v>
      </c>
      <c r="F825" s="55" t="str">
        <f>TEXT(Patient_Data[[#This Row],[Admission_Date]],"YYYY")</f>
        <v>2026</v>
      </c>
      <c r="G825" s="8" t="s">
        <v>1703</v>
      </c>
      <c r="H825" s="8" t="s">
        <v>28</v>
      </c>
      <c r="I825" s="4" t="s">
        <v>35</v>
      </c>
      <c r="J825" s="4">
        <v>77</v>
      </c>
      <c r="K825" s="4" t="s">
        <v>30</v>
      </c>
      <c r="L825" s="8">
        <v>2</v>
      </c>
      <c r="M825" s="9" t="s">
        <v>46</v>
      </c>
      <c r="N825" s="9" t="str">
        <f t="shared" si="7"/>
        <v>Ortho</v>
      </c>
      <c r="O825" s="10">
        <v>5642.28</v>
      </c>
      <c r="P825" s="10">
        <v>4324.13</v>
      </c>
      <c r="Q825" s="11">
        <v>4.5</v>
      </c>
      <c r="R825" s="13" t="str">
        <f>IF(Patient_Data!$L825&lt;2,"Low Risk",IF(Patient_Data!$L825&lt;4,"Moderate Risk","High Risk"))</f>
        <v>Moderate Risk</v>
      </c>
      <c r="S825" s="12" t="str">
        <f>IF(Patient_Data[[#This Row],[Age]]&lt;=18,"Pediatric",IF(Patient_Data[[#This Row],[Age]]&lt;=64,"Adult","Geriatric"))</f>
        <v>Geriatric</v>
      </c>
    </row>
    <row r="826" spans="1:19" ht="15.75" customHeight="1" x14ac:dyDescent="0.3">
      <c r="A826" s="4" t="s">
        <v>1704</v>
      </c>
      <c r="B826" s="5" t="str">
        <f>TEXT(Patient_Data!$E826,"mmmm")</f>
        <v>March</v>
      </c>
      <c r="C826" s="6" t="str">
        <f t="shared" si="6"/>
        <v>Mar</v>
      </c>
      <c r="D826" s="6">
        <f>MONTH(Patient_Data!$E826)</f>
        <v>3</v>
      </c>
      <c r="E826" s="7">
        <v>46085</v>
      </c>
      <c r="F826" s="55" t="str">
        <f>TEXT(Patient_Data[[#This Row],[Admission_Date]],"YYYY")</f>
        <v>2026</v>
      </c>
      <c r="G826" s="8" t="s">
        <v>1705</v>
      </c>
      <c r="H826" s="8" t="s">
        <v>28</v>
      </c>
      <c r="I826" s="4" t="s">
        <v>35</v>
      </c>
      <c r="J826" s="4">
        <v>11</v>
      </c>
      <c r="K826" s="4" t="s">
        <v>54</v>
      </c>
      <c r="L826" s="8">
        <v>5</v>
      </c>
      <c r="M826" s="9" t="s">
        <v>79</v>
      </c>
      <c r="N826" s="9" t="str">
        <f t="shared" si="7"/>
        <v>PD</v>
      </c>
      <c r="O826" s="10">
        <v>2150.29</v>
      </c>
      <c r="P826" s="10">
        <v>1260.77</v>
      </c>
      <c r="Q826" s="11">
        <v>1.7</v>
      </c>
      <c r="R826" s="13" t="str">
        <f>IF(Patient_Data!$L826&lt;2,"Low Risk",IF(Patient_Data!$L826&lt;4,"Moderate Risk","High Risk"))</f>
        <v>High Risk</v>
      </c>
      <c r="S826" s="12" t="str">
        <f>IF(Patient_Data[[#This Row],[Age]]&lt;=18,"Pediatric",IF(Patient_Data[[#This Row],[Age]]&lt;=64,"Adult","Geriatric"))</f>
        <v>Pediatric</v>
      </c>
    </row>
    <row r="827" spans="1:19" ht="15.75" customHeight="1" x14ac:dyDescent="0.3">
      <c r="A827" s="4" t="s">
        <v>1706</v>
      </c>
      <c r="B827" s="5" t="str">
        <f>TEXT(Patient_Data!$E827,"mmmm")</f>
        <v>September</v>
      </c>
      <c r="C827" s="6" t="str">
        <f t="shared" si="6"/>
        <v>Sep</v>
      </c>
      <c r="D827" s="6">
        <f>MONTH(Patient_Data!$E827)</f>
        <v>9</v>
      </c>
      <c r="E827" s="7">
        <v>45177</v>
      </c>
      <c r="F827" s="55" t="str">
        <f>TEXT(Patient_Data[[#This Row],[Admission_Date]],"YYYY")</f>
        <v>2023</v>
      </c>
      <c r="G827" s="8" t="s">
        <v>1707</v>
      </c>
      <c r="H827" s="8" t="s">
        <v>28</v>
      </c>
      <c r="I827" s="4" t="s">
        <v>35</v>
      </c>
      <c r="J827" s="4">
        <v>81</v>
      </c>
      <c r="K827" s="4" t="s">
        <v>54</v>
      </c>
      <c r="L827" s="8">
        <v>3</v>
      </c>
      <c r="M827" s="9" t="s">
        <v>31</v>
      </c>
      <c r="N827" s="9" t="str">
        <f t="shared" si="7"/>
        <v>Neuro</v>
      </c>
      <c r="O827" s="10">
        <v>12568.38</v>
      </c>
      <c r="P827" s="10">
        <v>7737.91</v>
      </c>
      <c r="Q827" s="11">
        <v>8.9</v>
      </c>
      <c r="R827" s="13" t="str">
        <f>IF(Patient_Data!$L827&lt;2,"Low Risk",IF(Patient_Data!$L827&lt;4,"Moderate Risk","High Risk"))</f>
        <v>Moderate Risk</v>
      </c>
      <c r="S827" s="12" t="str">
        <f>IF(Patient_Data[[#This Row],[Age]]&lt;=18,"Pediatric",IF(Patient_Data[[#This Row],[Age]]&lt;=64,"Adult","Geriatric"))</f>
        <v>Geriatric</v>
      </c>
    </row>
    <row r="828" spans="1:19" ht="15.75" customHeight="1" x14ac:dyDescent="0.3">
      <c r="A828" s="4" t="s">
        <v>1708</v>
      </c>
      <c r="B828" s="5" t="str">
        <f>TEXT(Patient_Data!$E828,"mmmm")</f>
        <v>February</v>
      </c>
      <c r="C828" s="6" t="str">
        <f t="shared" si="6"/>
        <v>Feb</v>
      </c>
      <c r="D828" s="6">
        <f>MONTH(Patient_Data!$E828)</f>
        <v>2</v>
      </c>
      <c r="E828" s="7">
        <v>45329</v>
      </c>
      <c r="F828" s="55" t="str">
        <f>TEXT(Patient_Data[[#This Row],[Admission_Date]],"YYYY")</f>
        <v>2024</v>
      </c>
      <c r="G828" s="8" t="s">
        <v>1709</v>
      </c>
      <c r="H828" s="8" t="s">
        <v>28</v>
      </c>
      <c r="I828" s="4" t="s">
        <v>29</v>
      </c>
      <c r="J828" s="4">
        <v>56</v>
      </c>
      <c r="K828" s="4" t="s">
        <v>54</v>
      </c>
      <c r="L828" s="8">
        <v>4</v>
      </c>
      <c r="M828" s="9" t="s">
        <v>36</v>
      </c>
      <c r="N828" s="9" t="str">
        <f t="shared" si="7"/>
        <v>Cardio</v>
      </c>
      <c r="O828" s="10">
        <v>15469.42</v>
      </c>
      <c r="P828" s="10">
        <v>9947.6299999999992</v>
      </c>
      <c r="Q828" s="11">
        <v>5.9</v>
      </c>
      <c r="R828" s="13" t="str">
        <f>IF(Patient_Data!$L828&lt;2,"Low Risk",IF(Patient_Data!$L828&lt;4,"Moderate Risk","High Risk"))</f>
        <v>High Risk</v>
      </c>
      <c r="S828" s="12" t="str">
        <f>IF(Patient_Data[[#This Row],[Age]]&lt;=18,"Pediatric",IF(Patient_Data[[#This Row],[Age]]&lt;=64,"Adult","Geriatric"))</f>
        <v>Adult</v>
      </c>
    </row>
    <row r="829" spans="1:19" ht="15.75" customHeight="1" x14ac:dyDescent="0.3">
      <c r="A829" s="4" t="s">
        <v>1710</v>
      </c>
      <c r="B829" s="5" t="str">
        <f>TEXT(Patient_Data!$E829,"mmmm")</f>
        <v>October</v>
      </c>
      <c r="C829" s="6" t="str">
        <f t="shared" si="6"/>
        <v>Oct</v>
      </c>
      <c r="D829" s="6">
        <f>MONTH(Patient_Data!$E829)</f>
        <v>10</v>
      </c>
      <c r="E829" s="7">
        <v>45205</v>
      </c>
      <c r="F829" s="55" t="str">
        <f>TEXT(Patient_Data[[#This Row],[Admission_Date]],"YYYY")</f>
        <v>2023</v>
      </c>
      <c r="G829" s="8" t="s">
        <v>1711</v>
      </c>
      <c r="H829" s="8" t="s">
        <v>28</v>
      </c>
      <c r="I829" s="4" t="s">
        <v>29</v>
      </c>
      <c r="J829" s="4">
        <v>35</v>
      </c>
      <c r="K829" s="4" t="s">
        <v>30</v>
      </c>
      <c r="L829" s="8">
        <v>1</v>
      </c>
      <c r="M829" s="9" t="s">
        <v>31</v>
      </c>
      <c r="N829" s="9" t="str">
        <f t="shared" si="7"/>
        <v>Neuro</v>
      </c>
      <c r="O829" s="10">
        <v>7375.97</v>
      </c>
      <c r="P829" s="10">
        <v>4980.3</v>
      </c>
      <c r="Q829" s="11">
        <v>4.8</v>
      </c>
      <c r="R829" s="13" t="str">
        <f>IF(Patient_Data!$L829&lt;2,"Low Risk",IF(Patient_Data!$L829&lt;4,"Moderate Risk","High Risk"))</f>
        <v>Low Risk</v>
      </c>
      <c r="S829" s="12" t="str">
        <f>IF(Patient_Data[[#This Row],[Age]]&lt;=18,"Pediatric",IF(Patient_Data[[#This Row],[Age]]&lt;=64,"Adult","Geriatric"))</f>
        <v>Adult</v>
      </c>
    </row>
    <row r="830" spans="1:19" ht="15.75" customHeight="1" x14ac:dyDescent="0.3">
      <c r="A830" s="4" t="s">
        <v>1712</v>
      </c>
      <c r="B830" s="5" t="str">
        <f>TEXT(Patient_Data!$E830,"mmmm")</f>
        <v>February</v>
      </c>
      <c r="C830" s="6" t="str">
        <f t="shared" si="6"/>
        <v>Feb</v>
      </c>
      <c r="D830" s="6">
        <f>MONTH(Patient_Data!$E830)</f>
        <v>2</v>
      </c>
      <c r="E830" s="7">
        <v>45691</v>
      </c>
      <c r="F830" s="55" t="str">
        <f>TEXT(Patient_Data[[#This Row],[Admission_Date]],"YYYY")</f>
        <v>2025</v>
      </c>
      <c r="G830" s="8" t="s">
        <v>1713</v>
      </c>
      <c r="H830" s="8" t="s">
        <v>98</v>
      </c>
      <c r="I830" s="4" t="s">
        <v>29</v>
      </c>
      <c r="J830" s="4">
        <v>89</v>
      </c>
      <c r="K830" s="4" t="s">
        <v>54</v>
      </c>
      <c r="L830" s="8">
        <v>5</v>
      </c>
      <c r="M830" s="9" t="s">
        <v>50</v>
      </c>
      <c r="N830" s="9" t="str">
        <f t="shared" si="7"/>
        <v>ICU</v>
      </c>
      <c r="O830" s="10">
        <v>21006.82</v>
      </c>
      <c r="P830" s="10">
        <v>14779.97</v>
      </c>
      <c r="Q830" s="11">
        <v>9.4</v>
      </c>
      <c r="R830" s="13" t="str">
        <f>IF(Patient_Data!$L830&lt;2,"Low Risk",IF(Patient_Data!$L830&lt;4,"Moderate Risk","High Risk"))</f>
        <v>High Risk</v>
      </c>
      <c r="S830" s="12" t="str">
        <f>IF(Patient_Data[[#This Row],[Age]]&lt;=18,"Pediatric",IF(Patient_Data[[#This Row],[Age]]&lt;=64,"Adult","Geriatric"))</f>
        <v>Geriatric</v>
      </c>
    </row>
    <row r="831" spans="1:19" ht="15.75" customHeight="1" x14ac:dyDescent="0.3">
      <c r="A831" s="4" t="s">
        <v>1714</v>
      </c>
      <c r="B831" s="5" t="str">
        <f>TEXT(Patient_Data!$E831,"mmmm")</f>
        <v>November</v>
      </c>
      <c r="C831" s="6" t="str">
        <f t="shared" si="6"/>
        <v>Nov</v>
      </c>
      <c r="D831" s="6">
        <f>MONTH(Patient_Data!$E831)</f>
        <v>11</v>
      </c>
      <c r="E831" s="7">
        <v>45608</v>
      </c>
      <c r="F831" s="55" t="str">
        <f>TEXT(Patient_Data[[#This Row],[Admission_Date]],"YYYY")</f>
        <v>2024</v>
      </c>
      <c r="G831" s="8" t="s">
        <v>1715</v>
      </c>
      <c r="H831" s="8" t="s">
        <v>28</v>
      </c>
      <c r="I831" s="4" t="s">
        <v>29</v>
      </c>
      <c r="J831" s="4">
        <v>76</v>
      </c>
      <c r="K831" s="4" t="s">
        <v>54</v>
      </c>
      <c r="L831" s="8">
        <v>4</v>
      </c>
      <c r="M831" s="9" t="s">
        <v>50</v>
      </c>
      <c r="N831" s="9" t="str">
        <f t="shared" si="7"/>
        <v>ICU</v>
      </c>
      <c r="O831" s="10">
        <v>22099.89</v>
      </c>
      <c r="P831" s="10">
        <v>16219.32</v>
      </c>
      <c r="Q831" s="11">
        <v>10.8</v>
      </c>
      <c r="R831" s="13" t="str">
        <f>IF(Patient_Data!$L831&lt;2,"Low Risk",IF(Patient_Data!$L831&lt;4,"Moderate Risk","High Risk"))</f>
        <v>High Risk</v>
      </c>
      <c r="S831" s="12" t="str">
        <f>IF(Patient_Data[[#This Row],[Age]]&lt;=18,"Pediatric",IF(Patient_Data[[#This Row],[Age]]&lt;=64,"Adult","Geriatric"))</f>
        <v>Geriatric</v>
      </c>
    </row>
    <row r="832" spans="1:19" ht="15.75" customHeight="1" x14ac:dyDescent="0.3">
      <c r="A832" s="4" t="s">
        <v>1716</v>
      </c>
      <c r="B832" s="5" t="str">
        <f>TEXT(Patient_Data!$E832,"mmmm")</f>
        <v>January</v>
      </c>
      <c r="C832" s="6" t="str">
        <f t="shared" si="6"/>
        <v>Jan</v>
      </c>
      <c r="D832" s="6">
        <f>MONTH(Patient_Data!$E832)</f>
        <v>1</v>
      </c>
      <c r="E832" s="7">
        <v>46033</v>
      </c>
      <c r="F832" s="55" t="str">
        <f>TEXT(Patient_Data[[#This Row],[Admission_Date]],"YYYY")</f>
        <v>2026</v>
      </c>
      <c r="G832" s="8" t="s">
        <v>1717</v>
      </c>
      <c r="H832" s="8" t="s">
        <v>28</v>
      </c>
      <c r="I832" s="4" t="s">
        <v>35</v>
      </c>
      <c r="J832" s="4">
        <v>36</v>
      </c>
      <c r="K832" s="4" t="s">
        <v>54</v>
      </c>
      <c r="L832" s="8">
        <v>1</v>
      </c>
      <c r="M832" s="9" t="s">
        <v>31</v>
      </c>
      <c r="N832" s="9" t="str">
        <f t="shared" si="7"/>
        <v>Neuro</v>
      </c>
      <c r="O832" s="10">
        <v>7078.4</v>
      </c>
      <c r="P832" s="10">
        <v>5422.78</v>
      </c>
      <c r="Q832" s="11">
        <v>5.4</v>
      </c>
      <c r="R832" s="13" t="str">
        <f>IF(Patient_Data!$L832&lt;2,"Low Risk",IF(Patient_Data!$L832&lt;4,"Moderate Risk","High Risk"))</f>
        <v>Low Risk</v>
      </c>
      <c r="S832" s="12" t="str">
        <f>IF(Patient_Data[[#This Row],[Age]]&lt;=18,"Pediatric",IF(Patient_Data[[#This Row],[Age]]&lt;=64,"Adult","Geriatric"))</f>
        <v>Adult</v>
      </c>
    </row>
    <row r="833" spans="1:19" ht="15.75" customHeight="1" x14ac:dyDescent="0.3">
      <c r="A833" s="4" t="s">
        <v>1718</v>
      </c>
      <c r="B833" s="5" t="str">
        <f>TEXT(Patient_Data!$E833,"mmmm")</f>
        <v>April</v>
      </c>
      <c r="C833" s="6" t="str">
        <f t="shared" si="6"/>
        <v>Apr</v>
      </c>
      <c r="D833" s="6">
        <f>MONTH(Patient_Data!$E833)</f>
        <v>4</v>
      </c>
      <c r="E833" s="7">
        <v>45757</v>
      </c>
      <c r="F833" s="55" t="str">
        <f>TEXT(Patient_Data[[#This Row],[Admission_Date]],"YYYY")</f>
        <v>2025</v>
      </c>
      <c r="G833" s="8" t="s">
        <v>1719</v>
      </c>
      <c r="H833" s="8" t="s">
        <v>34</v>
      </c>
      <c r="I833" s="4" t="s">
        <v>35</v>
      </c>
      <c r="J833" s="4">
        <v>85</v>
      </c>
      <c r="K833" s="4" t="s">
        <v>54</v>
      </c>
      <c r="L833" s="8">
        <v>1</v>
      </c>
      <c r="M833" s="9" t="s">
        <v>36</v>
      </c>
      <c r="N833" s="9" t="str">
        <f t="shared" si="7"/>
        <v>Cardio</v>
      </c>
      <c r="O833" s="10">
        <v>4792.1899999999996</v>
      </c>
      <c r="P833" s="10">
        <v>2841.07</v>
      </c>
      <c r="Q833" s="11">
        <v>7.7</v>
      </c>
      <c r="R833" s="13" t="str">
        <f>IF(Patient_Data!$L833&lt;2,"Low Risk",IF(Patient_Data!$L833&lt;4,"Moderate Risk","High Risk"))</f>
        <v>Low Risk</v>
      </c>
      <c r="S833" s="12" t="str">
        <f>IF(Patient_Data[[#This Row],[Age]]&lt;=18,"Pediatric",IF(Patient_Data[[#This Row],[Age]]&lt;=64,"Adult","Geriatric"))</f>
        <v>Geriatric</v>
      </c>
    </row>
    <row r="834" spans="1:19" ht="15.75" customHeight="1" x14ac:dyDescent="0.3">
      <c r="A834" s="4" t="s">
        <v>1720</v>
      </c>
      <c r="B834" s="5" t="str">
        <f>TEXT(Patient_Data!$E834,"mmmm")</f>
        <v>December</v>
      </c>
      <c r="C834" s="6" t="str">
        <f t="shared" si="6"/>
        <v>Dec</v>
      </c>
      <c r="D834" s="6">
        <f>MONTH(Patient_Data!$E834)</f>
        <v>12</v>
      </c>
      <c r="E834" s="7">
        <v>45653</v>
      </c>
      <c r="F834" s="55" t="str">
        <f>TEXT(Patient_Data[[#This Row],[Admission_Date]],"YYYY")</f>
        <v>2024</v>
      </c>
      <c r="G834" s="8" t="s">
        <v>1721</v>
      </c>
      <c r="H834" s="8" t="s">
        <v>42</v>
      </c>
      <c r="I834" s="4" t="s">
        <v>29</v>
      </c>
      <c r="J834" s="4">
        <v>31</v>
      </c>
      <c r="K834" s="4" t="s">
        <v>54</v>
      </c>
      <c r="L834" s="8">
        <v>4</v>
      </c>
      <c r="M834" s="9" t="s">
        <v>72</v>
      </c>
      <c r="N834" s="9" t="str">
        <f t="shared" si="7"/>
        <v>Surgery</v>
      </c>
      <c r="O834" s="10">
        <v>11874.89</v>
      </c>
      <c r="P834" s="10">
        <v>7282.88</v>
      </c>
      <c r="Q834" s="11">
        <v>4.9000000000000004</v>
      </c>
      <c r="R834" s="13" t="str">
        <f>IF(Patient_Data!$L834&lt;2,"Low Risk",IF(Patient_Data!$L834&lt;4,"Moderate Risk","High Risk"))</f>
        <v>High Risk</v>
      </c>
      <c r="S834" s="12" t="str">
        <f>IF(Patient_Data[[#This Row],[Age]]&lt;=18,"Pediatric",IF(Patient_Data[[#This Row],[Age]]&lt;=64,"Adult","Geriatric"))</f>
        <v>Adult</v>
      </c>
    </row>
    <row r="835" spans="1:19" ht="15.75" customHeight="1" x14ac:dyDescent="0.3">
      <c r="A835" s="4" t="s">
        <v>1722</v>
      </c>
      <c r="B835" s="5" t="str">
        <f>TEXT(Patient_Data!$E835,"mmmm")</f>
        <v>May</v>
      </c>
      <c r="C835" s="6" t="str">
        <f t="shared" si="6"/>
        <v>May</v>
      </c>
      <c r="D835" s="6">
        <f>MONTH(Patient_Data!$E835)</f>
        <v>5</v>
      </c>
      <c r="E835" s="7">
        <v>45783</v>
      </c>
      <c r="F835" s="55" t="str">
        <f>TEXT(Patient_Data[[#This Row],[Admission_Date]],"YYYY")</f>
        <v>2025</v>
      </c>
      <c r="G835" s="8" t="s">
        <v>1723</v>
      </c>
      <c r="H835" s="8" t="s">
        <v>98</v>
      </c>
      <c r="I835" s="4" t="s">
        <v>29</v>
      </c>
      <c r="J835" s="4">
        <v>53</v>
      </c>
      <c r="K835" s="4" t="s">
        <v>30</v>
      </c>
      <c r="L835" s="8">
        <v>2</v>
      </c>
      <c r="M835" s="9" t="s">
        <v>39</v>
      </c>
      <c r="N835" s="9" t="str">
        <f t="shared" si="7"/>
        <v>GM</v>
      </c>
      <c r="O835" s="10">
        <v>4505.5200000000004</v>
      </c>
      <c r="P835" s="10">
        <v>2919.53</v>
      </c>
      <c r="Q835" s="11">
        <v>4.5</v>
      </c>
      <c r="R835" s="13" t="str">
        <f>IF(Patient_Data!$L835&lt;2,"Low Risk",IF(Patient_Data!$L835&lt;4,"Moderate Risk","High Risk"))</f>
        <v>Moderate Risk</v>
      </c>
      <c r="S835" s="12" t="str">
        <f>IF(Patient_Data[[#This Row],[Age]]&lt;=18,"Pediatric",IF(Patient_Data[[#This Row],[Age]]&lt;=64,"Adult","Geriatric"))</f>
        <v>Adult</v>
      </c>
    </row>
    <row r="836" spans="1:19" ht="15.75" customHeight="1" x14ac:dyDescent="0.3">
      <c r="A836" s="4" t="s">
        <v>1724</v>
      </c>
      <c r="B836" s="5" t="str">
        <f>TEXT(Patient_Data!$E836,"mmmm")</f>
        <v>May</v>
      </c>
      <c r="C836" s="6" t="str">
        <f t="shared" si="6"/>
        <v>May</v>
      </c>
      <c r="D836" s="6">
        <f>MONTH(Patient_Data!$E836)</f>
        <v>5</v>
      </c>
      <c r="E836" s="7">
        <v>45416</v>
      </c>
      <c r="F836" s="55" t="str">
        <f>TEXT(Patient_Data[[#This Row],[Admission_Date]],"YYYY")</f>
        <v>2024</v>
      </c>
      <c r="G836" s="8" t="s">
        <v>1725</v>
      </c>
      <c r="H836" s="8" t="s">
        <v>132</v>
      </c>
      <c r="I836" s="4" t="s">
        <v>29</v>
      </c>
      <c r="J836" s="4">
        <v>90</v>
      </c>
      <c r="K836" s="4" t="s">
        <v>54</v>
      </c>
      <c r="L836" s="8">
        <v>4</v>
      </c>
      <c r="M836" s="9" t="s">
        <v>50</v>
      </c>
      <c r="N836" s="9" t="str">
        <f t="shared" si="7"/>
        <v>ICU</v>
      </c>
      <c r="O836" s="10">
        <v>13426.3</v>
      </c>
      <c r="P836" s="10">
        <v>9103.6200000000008</v>
      </c>
      <c r="Q836" s="11">
        <v>13.5</v>
      </c>
      <c r="R836" s="13" t="str">
        <f>IF(Patient_Data!$L836&lt;2,"Low Risk",IF(Patient_Data!$L836&lt;4,"Moderate Risk","High Risk"))</f>
        <v>High Risk</v>
      </c>
      <c r="S836" s="12" t="str">
        <f>IF(Patient_Data[[#This Row],[Age]]&lt;=18,"Pediatric",IF(Patient_Data[[#This Row],[Age]]&lt;=64,"Adult","Geriatric"))</f>
        <v>Geriatric</v>
      </c>
    </row>
    <row r="837" spans="1:19" ht="15.75" customHeight="1" x14ac:dyDescent="0.3">
      <c r="A837" s="4" t="s">
        <v>1726</v>
      </c>
      <c r="B837" s="5" t="str">
        <f>TEXT(Patient_Data!$E837,"mmmm")</f>
        <v>March</v>
      </c>
      <c r="C837" s="6" t="str">
        <f t="shared" si="6"/>
        <v>Mar</v>
      </c>
      <c r="D837" s="6">
        <f>MONTH(Patient_Data!$E837)</f>
        <v>3</v>
      </c>
      <c r="E837" s="7">
        <v>46103</v>
      </c>
      <c r="F837" s="55" t="str">
        <f>TEXT(Patient_Data[[#This Row],[Admission_Date]],"YYYY")</f>
        <v>2026</v>
      </c>
      <c r="G837" s="8" t="s">
        <v>1727</v>
      </c>
      <c r="H837" s="8" t="s">
        <v>98</v>
      </c>
      <c r="I837" s="4" t="s">
        <v>29</v>
      </c>
      <c r="J837" s="4">
        <v>26</v>
      </c>
      <c r="K837" s="4" t="s">
        <v>54</v>
      </c>
      <c r="L837" s="8">
        <v>1</v>
      </c>
      <c r="M837" s="9" t="s">
        <v>83</v>
      </c>
      <c r="N837" s="9" t="str">
        <f t="shared" si="7"/>
        <v>ER</v>
      </c>
      <c r="O837" s="10">
        <v>4057.33</v>
      </c>
      <c r="P837" s="10">
        <v>2965.73</v>
      </c>
      <c r="Q837" s="11">
        <v>15.7</v>
      </c>
      <c r="R837" s="13" t="str">
        <f>IF(Patient_Data!$L837&lt;2,"Low Risk",IF(Patient_Data!$L837&lt;4,"Moderate Risk","High Risk"))</f>
        <v>Low Risk</v>
      </c>
      <c r="S837" s="12" t="str">
        <f>IF(Patient_Data[[#This Row],[Age]]&lt;=18,"Pediatric",IF(Patient_Data[[#This Row],[Age]]&lt;=64,"Adult","Geriatric"))</f>
        <v>Adult</v>
      </c>
    </row>
    <row r="838" spans="1:19" ht="15.75" customHeight="1" x14ac:dyDescent="0.3">
      <c r="A838" s="4" t="s">
        <v>1728</v>
      </c>
      <c r="B838" s="5" t="str">
        <f>TEXT(Patient_Data!$E838,"mmmm")</f>
        <v>June</v>
      </c>
      <c r="C838" s="6" t="str">
        <f t="shared" si="6"/>
        <v>Jun</v>
      </c>
      <c r="D838" s="6">
        <f>MONTH(Patient_Data!$E838)</f>
        <v>6</v>
      </c>
      <c r="E838" s="7">
        <v>46190</v>
      </c>
      <c r="F838" s="55" t="str">
        <f>TEXT(Patient_Data[[#This Row],[Admission_Date]],"YYYY")</f>
        <v>2026</v>
      </c>
      <c r="G838" s="8" t="s">
        <v>1729</v>
      </c>
      <c r="H838" s="8" t="s">
        <v>82</v>
      </c>
      <c r="I838" s="4" t="s">
        <v>35</v>
      </c>
      <c r="J838" s="4">
        <v>3</v>
      </c>
      <c r="K838" s="4" t="s">
        <v>30</v>
      </c>
      <c r="L838" s="8">
        <v>1</v>
      </c>
      <c r="M838" s="9" t="s">
        <v>79</v>
      </c>
      <c r="N838" s="9" t="str">
        <f t="shared" si="7"/>
        <v>PD</v>
      </c>
      <c r="O838" s="10">
        <v>1953.75</v>
      </c>
      <c r="P838" s="10">
        <v>1430.24</v>
      </c>
      <c r="Q838" s="11">
        <v>0.5</v>
      </c>
      <c r="R838" s="13" t="str">
        <f>IF(Patient_Data!$L838&lt;2,"Low Risk",IF(Patient_Data!$L838&lt;4,"Moderate Risk","High Risk"))</f>
        <v>Low Risk</v>
      </c>
      <c r="S838" s="12" t="str">
        <f>IF(Patient_Data[[#This Row],[Age]]&lt;=18,"Pediatric",IF(Patient_Data[[#This Row],[Age]]&lt;=64,"Adult","Geriatric"))</f>
        <v>Pediatric</v>
      </c>
    </row>
    <row r="839" spans="1:19" ht="15.75" customHeight="1" x14ac:dyDescent="0.3">
      <c r="A839" s="4" t="s">
        <v>1730</v>
      </c>
      <c r="B839" s="5" t="str">
        <f>TEXT(Patient_Data!$E839,"mmmm")</f>
        <v>April</v>
      </c>
      <c r="C839" s="6" t="str">
        <f t="shared" si="6"/>
        <v>Apr</v>
      </c>
      <c r="D839" s="6">
        <f>MONTH(Patient_Data!$E839)</f>
        <v>4</v>
      </c>
      <c r="E839" s="7">
        <v>45763</v>
      </c>
      <c r="F839" s="55" t="str">
        <f>TEXT(Patient_Data[[#This Row],[Admission_Date]],"YYYY")</f>
        <v>2025</v>
      </c>
      <c r="G839" s="8" t="s">
        <v>1731</v>
      </c>
      <c r="H839" s="8" t="s">
        <v>28</v>
      </c>
      <c r="I839" s="4" t="s">
        <v>35</v>
      </c>
      <c r="J839" s="4">
        <v>8</v>
      </c>
      <c r="K839" s="4" t="s">
        <v>30</v>
      </c>
      <c r="L839" s="8">
        <v>3</v>
      </c>
      <c r="M839" s="9" t="s">
        <v>79</v>
      </c>
      <c r="N839" s="9" t="str">
        <f t="shared" si="7"/>
        <v>PD</v>
      </c>
      <c r="O839" s="10">
        <v>2759.6</v>
      </c>
      <c r="P839" s="10">
        <v>2111.6999999999998</v>
      </c>
      <c r="Q839" s="11">
        <v>1.8</v>
      </c>
      <c r="R839" s="13" t="str">
        <f>IF(Patient_Data!$L839&lt;2,"Low Risk",IF(Patient_Data!$L839&lt;4,"Moderate Risk","High Risk"))</f>
        <v>Moderate Risk</v>
      </c>
      <c r="S839" s="12" t="str">
        <f>IF(Patient_Data[[#This Row],[Age]]&lt;=18,"Pediatric",IF(Patient_Data[[#This Row],[Age]]&lt;=64,"Adult","Geriatric"))</f>
        <v>Pediatric</v>
      </c>
    </row>
    <row r="840" spans="1:19" ht="15.75" customHeight="1" x14ac:dyDescent="0.3">
      <c r="A840" s="4" t="s">
        <v>1732</v>
      </c>
      <c r="B840" s="5" t="str">
        <f>TEXT(Patient_Data!$E840,"mmmm")</f>
        <v>January</v>
      </c>
      <c r="C840" s="6" t="str">
        <f t="shared" si="6"/>
        <v>Jan</v>
      </c>
      <c r="D840" s="6">
        <f>MONTH(Patient_Data!$E840)</f>
        <v>1</v>
      </c>
      <c r="E840" s="7">
        <v>46046</v>
      </c>
      <c r="F840" s="55" t="str">
        <f>TEXT(Patient_Data[[#This Row],[Admission_Date]],"YYYY")</f>
        <v>2026</v>
      </c>
      <c r="G840" s="8" t="s">
        <v>1733</v>
      </c>
      <c r="H840" s="8" t="s">
        <v>82</v>
      </c>
      <c r="I840" s="4" t="s">
        <v>29</v>
      </c>
      <c r="J840" s="4">
        <v>59</v>
      </c>
      <c r="K840" s="4" t="s">
        <v>30</v>
      </c>
      <c r="L840" s="8">
        <v>1</v>
      </c>
      <c r="M840" s="9" t="s">
        <v>39</v>
      </c>
      <c r="N840" s="9" t="str">
        <f t="shared" si="7"/>
        <v>GM</v>
      </c>
      <c r="O840" s="10">
        <v>1413.85</v>
      </c>
      <c r="P840" s="10">
        <v>885.63</v>
      </c>
      <c r="Q840" s="11">
        <v>8.1999999999999993</v>
      </c>
      <c r="R840" s="13" t="str">
        <f>IF(Patient_Data!$L840&lt;2,"Low Risk",IF(Patient_Data!$L840&lt;4,"Moderate Risk","High Risk"))</f>
        <v>Low Risk</v>
      </c>
      <c r="S840" s="12" t="str">
        <f>IF(Patient_Data[[#This Row],[Age]]&lt;=18,"Pediatric",IF(Patient_Data[[#This Row],[Age]]&lt;=64,"Adult","Geriatric"))</f>
        <v>Adult</v>
      </c>
    </row>
    <row r="841" spans="1:19" ht="15.75" customHeight="1" x14ac:dyDescent="0.3">
      <c r="A841" s="4" t="s">
        <v>1734</v>
      </c>
      <c r="B841" s="5" t="str">
        <f>TEXT(Patient_Data!$E841,"mmmm")</f>
        <v>August</v>
      </c>
      <c r="C841" s="6" t="str">
        <f t="shared" si="6"/>
        <v>Aug</v>
      </c>
      <c r="D841" s="6">
        <f>MONTH(Patient_Data!$E841)</f>
        <v>8</v>
      </c>
      <c r="E841" s="7">
        <v>45889</v>
      </c>
      <c r="F841" s="55" t="str">
        <f>TEXT(Patient_Data[[#This Row],[Admission_Date]],"YYYY")</f>
        <v>2025</v>
      </c>
      <c r="G841" s="8" t="s">
        <v>1735</v>
      </c>
      <c r="H841" s="8" t="s">
        <v>82</v>
      </c>
      <c r="I841" s="4" t="s">
        <v>35</v>
      </c>
      <c r="J841" s="4">
        <v>62</v>
      </c>
      <c r="K841" s="4" t="s">
        <v>30</v>
      </c>
      <c r="L841" s="8">
        <v>1</v>
      </c>
      <c r="M841" s="9" t="s">
        <v>36</v>
      </c>
      <c r="N841" s="9" t="str">
        <f t="shared" si="7"/>
        <v>Cardio</v>
      </c>
      <c r="O841" s="10">
        <v>8611.76</v>
      </c>
      <c r="P841" s="10">
        <v>5301.17</v>
      </c>
      <c r="Q841" s="11">
        <v>6</v>
      </c>
      <c r="R841" s="13" t="str">
        <f>IF(Patient_Data!$L841&lt;2,"Low Risk",IF(Patient_Data!$L841&lt;4,"Moderate Risk","High Risk"))</f>
        <v>Low Risk</v>
      </c>
      <c r="S841" s="12" t="str">
        <f>IF(Patient_Data[[#This Row],[Age]]&lt;=18,"Pediatric",IF(Patient_Data[[#This Row],[Age]]&lt;=64,"Adult","Geriatric"))</f>
        <v>Adult</v>
      </c>
    </row>
    <row r="842" spans="1:19" ht="15.75" customHeight="1" x14ac:dyDescent="0.3">
      <c r="A842" s="4" t="s">
        <v>1736</v>
      </c>
      <c r="B842" s="5" t="str">
        <f>TEXT(Patient_Data!$E842,"mmmm")</f>
        <v>January</v>
      </c>
      <c r="C842" s="6" t="str">
        <f t="shared" si="6"/>
        <v>Jan</v>
      </c>
      <c r="D842" s="6">
        <f>MONTH(Patient_Data!$E842)</f>
        <v>1</v>
      </c>
      <c r="E842" s="7">
        <v>45659</v>
      </c>
      <c r="F842" s="55" t="str">
        <f>TEXT(Patient_Data[[#This Row],[Admission_Date]],"YYYY")</f>
        <v>2025</v>
      </c>
      <c r="G842" s="8" t="s">
        <v>1737</v>
      </c>
      <c r="H842" s="8" t="s">
        <v>28</v>
      </c>
      <c r="I842" s="4" t="s">
        <v>35</v>
      </c>
      <c r="J842" s="4">
        <v>51</v>
      </c>
      <c r="K842" s="4" t="s">
        <v>54</v>
      </c>
      <c r="L842" s="8">
        <v>3</v>
      </c>
      <c r="M842" s="9" t="s">
        <v>83</v>
      </c>
      <c r="N842" s="9" t="str">
        <f t="shared" si="7"/>
        <v>ER</v>
      </c>
      <c r="O842" s="10">
        <v>9005.75</v>
      </c>
      <c r="P842" s="10">
        <v>5864.48</v>
      </c>
      <c r="Q842" s="11">
        <v>12.6</v>
      </c>
      <c r="R842" s="13" t="str">
        <f>IF(Patient_Data!$L842&lt;2,"Low Risk",IF(Patient_Data!$L842&lt;4,"Moderate Risk","High Risk"))</f>
        <v>Moderate Risk</v>
      </c>
      <c r="S842" s="12" t="str">
        <f>IF(Patient_Data[[#This Row],[Age]]&lt;=18,"Pediatric",IF(Patient_Data[[#This Row],[Age]]&lt;=64,"Adult","Geriatric"))</f>
        <v>Adult</v>
      </c>
    </row>
    <row r="843" spans="1:19" ht="15.75" customHeight="1" x14ac:dyDescent="0.3">
      <c r="A843" s="4" t="s">
        <v>1738</v>
      </c>
      <c r="B843" s="5" t="str">
        <f>TEXT(Patient_Data!$E843,"mmmm")</f>
        <v>December</v>
      </c>
      <c r="C843" s="6" t="str">
        <f t="shared" si="6"/>
        <v>Dec</v>
      </c>
      <c r="D843" s="6">
        <f>MONTH(Patient_Data!$E843)</f>
        <v>12</v>
      </c>
      <c r="E843" s="7">
        <v>46020</v>
      </c>
      <c r="F843" s="55" t="str">
        <f>TEXT(Patient_Data[[#This Row],[Admission_Date]],"YYYY")</f>
        <v>2025</v>
      </c>
      <c r="G843" s="8" t="s">
        <v>1739</v>
      </c>
      <c r="H843" s="8" t="s">
        <v>34</v>
      </c>
      <c r="I843" s="4" t="s">
        <v>35</v>
      </c>
      <c r="J843" s="4">
        <v>75</v>
      </c>
      <c r="K843" s="4" t="s">
        <v>54</v>
      </c>
      <c r="L843" s="8">
        <v>4</v>
      </c>
      <c r="M843" s="9" t="s">
        <v>50</v>
      </c>
      <c r="N843" s="9" t="str">
        <f t="shared" si="7"/>
        <v>ICU</v>
      </c>
      <c r="O843" s="10">
        <v>13182.38</v>
      </c>
      <c r="P843" s="10">
        <v>8942.59</v>
      </c>
      <c r="Q843" s="11">
        <v>13.8</v>
      </c>
      <c r="R843" s="13" t="str">
        <f>IF(Patient_Data!$L843&lt;2,"Low Risk",IF(Patient_Data!$L843&lt;4,"Moderate Risk","High Risk"))</f>
        <v>High Risk</v>
      </c>
      <c r="S843" s="12" t="str">
        <f>IF(Patient_Data[[#This Row],[Age]]&lt;=18,"Pediatric",IF(Patient_Data[[#This Row],[Age]]&lt;=64,"Adult","Geriatric"))</f>
        <v>Geriatric</v>
      </c>
    </row>
    <row r="844" spans="1:19" ht="15.75" customHeight="1" x14ac:dyDescent="0.3">
      <c r="A844" s="4" t="s">
        <v>1740</v>
      </c>
      <c r="B844" s="5" t="str">
        <f>TEXT(Patient_Data!$E844,"mmmm")</f>
        <v>February</v>
      </c>
      <c r="C844" s="6" t="str">
        <f t="shared" si="6"/>
        <v>Feb</v>
      </c>
      <c r="D844" s="6">
        <f>MONTH(Patient_Data!$E844)</f>
        <v>2</v>
      </c>
      <c r="E844" s="7">
        <v>45342</v>
      </c>
      <c r="F844" s="55" t="str">
        <f>TEXT(Patient_Data[[#This Row],[Admission_Date]],"YYYY")</f>
        <v>2024</v>
      </c>
      <c r="G844" s="8" t="s">
        <v>1741</v>
      </c>
      <c r="H844" s="8" t="s">
        <v>34</v>
      </c>
      <c r="I844" s="4" t="s">
        <v>29</v>
      </c>
      <c r="J844" s="4">
        <v>89</v>
      </c>
      <c r="K844" s="4" t="s">
        <v>30</v>
      </c>
      <c r="L844" s="8">
        <v>1</v>
      </c>
      <c r="M844" s="9" t="s">
        <v>46</v>
      </c>
      <c r="N844" s="9" t="str">
        <f t="shared" si="7"/>
        <v>Ortho</v>
      </c>
      <c r="O844" s="10">
        <v>8639.2000000000007</v>
      </c>
      <c r="P844" s="10">
        <v>6105.84</v>
      </c>
      <c r="Q844" s="11">
        <v>7.3</v>
      </c>
      <c r="R844" s="13" t="str">
        <f>IF(Patient_Data!$L844&lt;2,"Low Risk",IF(Patient_Data!$L844&lt;4,"Moderate Risk","High Risk"))</f>
        <v>Low Risk</v>
      </c>
      <c r="S844" s="12" t="str">
        <f>IF(Patient_Data[[#This Row],[Age]]&lt;=18,"Pediatric",IF(Patient_Data[[#This Row],[Age]]&lt;=64,"Adult","Geriatric"))</f>
        <v>Geriatric</v>
      </c>
    </row>
    <row r="845" spans="1:19" ht="15.75" customHeight="1" x14ac:dyDescent="0.3">
      <c r="A845" s="4" t="s">
        <v>1742</v>
      </c>
      <c r="B845" s="5" t="str">
        <f>TEXT(Patient_Data!$E845,"mmmm")</f>
        <v>September</v>
      </c>
      <c r="C845" s="6" t="str">
        <f t="shared" si="6"/>
        <v>Sep</v>
      </c>
      <c r="D845" s="6">
        <f>MONTH(Patient_Data!$E845)</f>
        <v>9</v>
      </c>
      <c r="E845" s="7">
        <v>45905</v>
      </c>
      <c r="F845" s="55" t="str">
        <f>TEXT(Patient_Data[[#This Row],[Admission_Date]],"YYYY")</f>
        <v>2025</v>
      </c>
      <c r="G845" s="8" t="s">
        <v>1743</v>
      </c>
      <c r="H845" s="8" t="s">
        <v>98</v>
      </c>
      <c r="I845" s="4" t="s">
        <v>29</v>
      </c>
      <c r="J845" s="4">
        <v>58</v>
      </c>
      <c r="K845" s="4" t="s">
        <v>30</v>
      </c>
      <c r="L845" s="8">
        <v>1</v>
      </c>
      <c r="M845" s="9" t="s">
        <v>39</v>
      </c>
      <c r="N845" s="9" t="str">
        <f t="shared" si="7"/>
        <v>GM</v>
      </c>
      <c r="O845" s="10">
        <v>4408.0600000000004</v>
      </c>
      <c r="P845" s="10">
        <v>3281.88</v>
      </c>
      <c r="Q845" s="11">
        <v>8</v>
      </c>
      <c r="R845" s="13" t="str">
        <f>IF(Patient_Data!$L845&lt;2,"Low Risk",IF(Patient_Data!$L845&lt;4,"Moderate Risk","High Risk"))</f>
        <v>Low Risk</v>
      </c>
      <c r="S845" s="12" t="str">
        <f>IF(Patient_Data[[#This Row],[Age]]&lt;=18,"Pediatric",IF(Patient_Data[[#This Row],[Age]]&lt;=64,"Adult","Geriatric"))</f>
        <v>Adult</v>
      </c>
    </row>
    <row r="846" spans="1:19" ht="15.75" customHeight="1" x14ac:dyDescent="0.3">
      <c r="A846" s="4" t="s">
        <v>1744</v>
      </c>
      <c r="B846" s="5" t="str">
        <f>TEXT(Patient_Data!$E846,"mmmm")</f>
        <v>July</v>
      </c>
      <c r="C846" s="6" t="str">
        <f t="shared" si="6"/>
        <v>Jul</v>
      </c>
      <c r="D846" s="6">
        <f>MONTH(Patient_Data!$E846)</f>
        <v>7</v>
      </c>
      <c r="E846" s="7">
        <v>46206</v>
      </c>
      <c r="F846" s="55" t="str">
        <f>TEXT(Patient_Data[[#This Row],[Admission_Date]],"YYYY")</f>
        <v>2026</v>
      </c>
      <c r="G846" s="8" t="s">
        <v>186</v>
      </c>
      <c r="H846" s="8" t="s">
        <v>49</v>
      </c>
      <c r="I846" s="4" t="s">
        <v>29</v>
      </c>
      <c r="J846" s="4">
        <v>11</v>
      </c>
      <c r="K846" s="4" t="s">
        <v>54</v>
      </c>
      <c r="L846" s="8">
        <v>4</v>
      </c>
      <c r="M846" s="9" t="s">
        <v>79</v>
      </c>
      <c r="N846" s="9" t="str">
        <f t="shared" si="7"/>
        <v>PD</v>
      </c>
      <c r="O846" s="10">
        <v>1973.22</v>
      </c>
      <c r="P846" s="10">
        <v>1535.65</v>
      </c>
      <c r="Q846" s="11">
        <v>4.5</v>
      </c>
      <c r="R846" s="13" t="str">
        <f>IF(Patient_Data!$L846&lt;2,"Low Risk",IF(Patient_Data!$L846&lt;4,"Moderate Risk","High Risk"))</f>
        <v>High Risk</v>
      </c>
      <c r="S846" s="12" t="str">
        <f>IF(Patient_Data[[#This Row],[Age]]&lt;=18,"Pediatric",IF(Patient_Data[[#This Row],[Age]]&lt;=64,"Adult","Geriatric"))</f>
        <v>Pediatric</v>
      </c>
    </row>
    <row r="847" spans="1:19" ht="15.75" customHeight="1" x14ac:dyDescent="0.3">
      <c r="A847" s="4" t="s">
        <v>1745</v>
      </c>
      <c r="B847" s="5" t="str">
        <f>TEXT(Patient_Data!$E847,"mmmm")</f>
        <v>July</v>
      </c>
      <c r="C847" s="6" t="str">
        <f t="shared" si="6"/>
        <v>Jul</v>
      </c>
      <c r="D847" s="6">
        <f>MONTH(Patient_Data!$E847)</f>
        <v>7</v>
      </c>
      <c r="E847" s="7">
        <v>46206</v>
      </c>
      <c r="F847" s="55" t="str">
        <f>TEXT(Patient_Data[[#This Row],[Admission_Date]],"YYYY")</f>
        <v>2026</v>
      </c>
      <c r="G847" s="8" t="s">
        <v>1746</v>
      </c>
      <c r="H847" s="8" t="s">
        <v>82</v>
      </c>
      <c r="I847" s="4" t="s">
        <v>29</v>
      </c>
      <c r="J847" s="4">
        <v>18</v>
      </c>
      <c r="K847" s="4" t="s">
        <v>30</v>
      </c>
      <c r="L847" s="8">
        <v>1</v>
      </c>
      <c r="M847" s="9" t="s">
        <v>83</v>
      </c>
      <c r="N847" s="9" t="str">
        <f t="shared" si="7"/>
        <v>ER</v>
      </c>
      <c r="O847" s="10">
        <v>2914.56</v>
      </c>
      <c r="P847" s="10">
        <v>1845.64</v>
      </c>
      <c r="Q847" s="11">
        <v>19.399999999999999</v>
      </c>
      <c r="R847" s="13" t="str">
        <f>IF(Patient_Data!$L847&lt;2,"Low Risk",IF(Patient_Data!$L847&lt;4,"Moderate Risk","High Risk"))</f>
        <v>Low Risk</v>
      </c>
      <c r="S847" s="12" t="str">
        <f>IF(Patient_Data[[#This Row],[Age]]&lt;=18,"Pediatric",IF(Patient_Data[[#This Row],[Age]]&lt;=64,"Adult","Geriatric"))</f>
        <v>Pediatric</v>
      </c>
    </row>
    <row r="848" spans="1:19" ht="15.75" customHeight="1" x14ac:dyDescent="0.3">
      <c r="A848" s="4" t="s">
        <v>1747</v>
      </c>
      <c r="B848" s="5" t="str">
        <f>TEXT(Patient_Data!$E848,"mmmm")</f>
        <v>October</v>
      </c>
      <c r="C848" s="6" t="str">
        <f t="shared" si="6"/>
        <v>Oct</v>
      </c>
      <c r="D848" s="6">
        <f>MONTH(Patient_Data!$E848)</f>
        <v>10</v>
      </c>
      <c r="E848" s="7">
        <v>45208</v>
      </c>
      <c r="F848" s="55" t="str">
        <f>TEXT(Patient_Data[[#This Row],[Admission_Date]],"YYYY")</f>
        <v>2023</v>
      </c>
      <c r="G848" s="8" t="s">
        <v>1748</v>
      </c>
      <c r="H848" s="8" t="s">
        <v>28</v>
      </c>
      <c r="I848" s="4" t="s">
        <v>35</v>
      </c>
      <c r="J848" s="4">
        <v>46</v>
      </c>
      <c r="K848" s="4" t="s">
        <v>30</v>
      </c>
      <c r="L848" s="8">
        <v>2</v>
      </c>
      <c r="M848" s="9" t="s">
        <v>46</v>
      </c>
      <c r="N848" s="9" t="str">
        <f t="shared" si="7"/>
        <v>Ortho</v>
      </c>
      <c r="O848" s="10">
        <v>4868.3900000000003</v>
      </c>
      <c r="P848" s="10">
        <v>3016.92</v>
      </c>
      <c r="Q848" s="11">
        <v>5.9</v>
      </c>
      <c r="R848" s="13" t="str">
        <f>IF(Patient_Data!$L848&lt;2,"Low Risk",IF(Patient_Data!$L848&lt;4,"Moderate Risk","High Risk"))</f>
        <v>Moderate Risk</v>
      </c>
      <c r="S848" s="12" t="str">
        <f>IF(Patient_Data[[#This Row],[Age]]&lt;=18,"Pediatric",IF(Patient_Data[[#This Row],[Age]]&lt;=64,"Adult","Geriatric"))</f>
        <v>Adult</v>
      </c>
    </row>
    <row r="849" spans="1:19" ht="15.75" customHeight="1" x14ac:dyDescent="0.3">
      <c r="A849" s="4" t="s">
        <v>1749</v>
      </c>
      <c r="B849" s="5" t="str">
        <f>TEXT(Patient_Data!$E849,"mmmm")</f>
        <v>November</v>
      </c>
      <c r="C849" s="6" t="str">
        <f t="shared" si="6"/>
        <v>Nov</v>
      </c>
      <c r="D849" s="6">
        <f>MONTH(Patient_Data!$E849)</f>
        <v>11</v>
      </c>
      <c r="E849" s="7">
        <v>45966</v>
      </c>
      <c r="F849" s="55" t="str">
        <f>TEXT(Patient_Data[[#This Row],[Admission_Date]],"YYYY")</f>
        <v>2025</v>
      </c>
      <c r="G849" s="8" t="s">
        <v>1750</v>
      </c>
      <c r="H849" s="8" t="s">
        <v>53</v>
      </c>
      <c r="I849" s="4" t="s">
        <v>35</v>
      </c>
      <c r="J849" s="4">
        <v>69</v>
      </c>
      <c r="K849" s="4" t="s">
        <v>30</v>
      </c>
      <c r="L849" s="8">
        <v>3</v>
      </c>
      <c r="M849" s="9" t="s">
        <v>31</v>
      </c>
      <c r="N849" s="9" t="str">
        <f t="shared" si="7"/>
        <v>Neuro</v>
      </c>
      <c r="O849" s="10">
        <v>9151.39</v>
      </c>
      <c r="P849" s="10">
        <v>5940.09</v>
      </c>
      <c r="Q849" s="11">
        <v>10.4</v>
      </c>
      <c r="R849" s="13" t="str">
        <f>IF(Patient_Data!$L849&lt;2,"Low Risk",IF(Patient_Data!$L849&lt;4,"Moderate Risk","High Risk"))</f>
        <v>Moderate Risk</v>
      </c>
      <c r="S849" s="12" t="str">
        <f>IF(Patient_Data[[#This Row],[Age]]&lt;=18,"Pediatric",IF(Patient_Data[[#This Row],[Age]]&lt;=64,"Adult","Geriatric"))</f>
        <v>Geriatric</v>
      </c>
    </row>
    <row r="850" spans="1:19" ht="15.75" customHeight="1" x14ac:dyDescent="0.3">
      <c r="A850" s="4" t="s">
        <v>1751</v>
      </c>
      <c r="B850" s="5" t="str">
        <f>TEXT(Patient_Data!$E850,"mmmm")</f>
        <v>April</v>
      </c>
      <c r="C850" s="6" t="str">
        <f t="shared" si="6"/>
        <v>Apr</v>
      </c>
      <c r="D850" s="6">
        <f>MONTH(Patient_Data!$E850)</f>
        <v>4</v>
      </c>
      <c r="E850" s="7">
        <v>46129</v>
      </c>
      <c r="F850" s="55" t="str">
        <f>TEXT(Patient_Data[[#This Row],[Admission_Date]],"YYYY")</f>
        <v>2026</v>
      </c>
      <c r="G850" s="8" t="s">
        <v>1752</v>
      </c>
      <c r="H850" s="8" t="s">
        <v>34</v>
      </c>
      <c r="I850" s="4" t="s">
        <v>29</v>
      </c>
      <c r="J850" s="4">
        <v>84</v>
      </c>
      <c r="K850" s="4" t="s">
        <v>54</v>
      </c>
      <c r="L850" s="8">
        <v>4</v>
      </c>
      <c r="M850" s="9" t="s">
        <v>50</v>
      </c>
      <c r="N850" s="9" t="str">
        <f t="shared" si="7"/>
        <v>ICU</v>
      </c>
      <c r="O850" s="10">
        <v>11200.35</v>
      </c>
      <c r="P850" s="10">
        <v>7576.23</v>
      </c>
      <c r="Q850" s="11">
        <v>9</v>
      </c>
      <c r="R850" s="13" t="str">
        <f>IF(Patient_Data!$L850&lt;2,"Low Risk",IF(Patient_Data!$L850&lt;4,"Moderate Risk","High Risk"))</f>
        <v>High Risk</v>
      </c>
      <c r="S850" s="12" t="str">
        <f>IF(Patient_Data[[#This Row],[Age]]&lt;=18,"Pediatric",IF(Patient_Data[[#This Row],[Age]]&lt;=64,"Adult","Geriatric"))</f>
        <v>Geriatric</v>
      </c>
    </row>
    <row r="851" spans="1:19" ht="15.75" customHeight="1" x14ac:dyDescent="0.3">
      <c r="A851" s="4" t="s">
        <v>1753</v>
      </c>
      <c r="B851" s="5" t="str">
        <f>TEXT(Patient_Data!$E851,"mmmm")</f>
        <v>October</v>
      </c>
      <c r="C851" s="6" t="str">
        <f t="shared" si="6"/>
        <v>Oct</v>
      </c>
      <c r="D851" s="6">
        <f>MONTH(Patient_Data!$E851)</f>
        <v>10</v>
      </c>
      <c r="E851" s="7">
        <v>45931</v>
      </c>
      <c r="F851" s="55" t="str">
        <f>TEXT(Patient_Data[[#This Row],[Admission_Date]],"YYYY")</f>
        <v>2025</v>
      </c>
      <c r="G851" s="8" t="s">
        <v>1754</v>
      </c>
      <c r="H851" s="8" t="s">
        <v>42</v>
      </c>
      <c r="I851" s="4" t="s">
        <v>29</v>
      </c>
      <c r="J851" s="4">
        <v>70</v>
      </c>
      <c r="K851" s="4" t="s">
        <v>30</v>
      </c>
      <c r="L851" s="8">
        <v>3</v>
      </c>
      <c r="M851" s="9" t="s">
        <v>50</v>
      </c>
      <c r="N851" s="9" t="str">
        <f t="shared" si="7"/>
        <v>ICU</v>
      </c>
      <c r="O851" s="10">
        <v>18813.419999999998</v>
      </c>
      <c r="P851" s="10">
        <v>13275.79</v>
      </c>
      <c r="Q851" s="11">
        <v>13.3</v>
      </c>
      <c r="R851" s="13" t="str">
        <f>IF(Patient_Data!$L851&lt;2,"Low Risk",IF(Patient_Data!$L851&lt;4,"Moderate Risk","High Risk"))</f>
        <v>Moderate Risk</v>
      </c>
      <c r="S851" s="12" t="str">
        <f>IF(Patient_Data[[#This Row],[Age]]&lt;=18,"Pediatric",IF(Patient_Data[[#This Row],[Age]]&lt;=64,"Adult","Geriatric"))</f>
        <v>Geriatric</v>
      </c>
    </row>
    <row r="852" spans="1:19" ht="15.75" customHeight="1" x14ac:dyDescent="0.3">
      <c r="A852" s="4" t="s">
        <v>1755</v>
      </c>
      <c r="B852" s="5" t="str">
        <f>TEXT(Patient_Data!$E852,"mmmm")</f>
        <v>January</v>
      </c>
      <c r="C852" s="6" t="str">
        <f t="shared" si="6"/>
        <v>Jan</v>
      </c>
      <c r="D852" s="6">
        <f>MONTH(Patient_Data!$E852)</f>
        <v>1</v>
      </c>
      <c r="E852" s="7">
        <v>45686</v>
      </c>
      <c r="F852" s="55" t="str">
        <f>TEXT(Patient_Data[[#This Row],[Admission_Date]],"YYYY")</f>
        <v>2025</v>
      </c>
      <c r="G852" s="8" t="s">
        <v>275</v>
      </c>
      <c r="H852" s="8" t="s">
        <v>49</v>
      </c>
      <c r="I852" s="4" t="s">
        <v>35</v>
      </c>
      <c r="J852" s="4">
        <v>84</v>
      </c>
      <c r="K852" s="4" t="s">
        <v>30</v>
      </c>
      <c r="L852" s="8">
        <v>2</v>
      </c>
      <c r="M852" s="9" t="s">
        <v>46</v>
      </c>
      <c r="N852" s="9" t="str">
        <f t="shared" si="7"/>
        <v>Ortho</v>
      </c>
      <c r="O852" s="10">
        <v>9018.2900000000009</v>
      </c>
      <c r="P852" s="10">
        <v>6658.55</v>
      </c>
      <c r="Q852" s="11">
        <v>9.4</v>
      </c>
      <c r="R852" s="13" t="str">
        <f>IF(Patient_Data!$L852&lt;2,"Low Risk",IF(Patient_Data!$L852&lt;4,"Moderate Risk","High Risk"))</f>
        <v>Moderate Risk</v>
      </c>
      <c r="S852" s="12" t="str">
        <f>IF(Patient_Data[[#This Row],[Age]]&lt;=18,"Pediatric",IF(Patient_Data[[#This Row],[Age]]&lt;=64,"Adult","Geriatric"))</f>
        <v>Geriatric</v>
      </c>
    </row>
    <row r="853" spans="1:19" ht="15.75" customHeight="1" x14ac:dyDescent="0.3">
      <c r="A853" s="4" t="s">
        <v>1756</v>
      </c>
      <c r="B853" s="5" t="str">
        <f>TEXT(Patient_Data!$E853,"mmmm")</f>
        <v>March</v>
      </c>
      <c r="C853" s="6" t="str">
        <f t="shared" si="6"/>
        <v>Mar</v>
      </c>
      <c r="D853" s="6">
        <f>MONTH(Patient_Data!$E853)</f>
        <v>3</v>
      </c>
      <c r="E853" s="7">
        <v>45379</v>
      </c>
      <c r="F853" s="55" t="str">
        <f>TEXT(Patient_Data[[#This Row],[Admission_Date]],"YYYY")</f>
        <v>2024</v>
      </c>
      <c r="G853" s="8" t="s">
        <v>1757</v>
      </c>
      <c r="H853" s="8" t="s">
        <v>34</v>
      </c>
      <c r="I853" s="4" t="s">
        <v>35</v>
      </c>
      <c r="J853" s="4">
        <v>86</v>
      </c>
      <c r="K853" s="4" t="s">
        <v>45</v>
      </c>
      <c r="L853" s="8">
        <v>4</v>
      </c>
      <c r="M853" s="9" t="s">
        <v>50</v>
      </c>
      <c r="N853" s="9" t="str">
        <f t="shared" si="7"/>
        <v>ICU</v>
      </c>
      <c r="O853" s="10">
        <v>13939.37</v>
      </c>
      <c r="P853" s="10">
        <v>10681.12</v>
      </c>
      <c r="Q853" s="11">
        <v>10.9</v>
      </c>
      <c r="R853" s="13" t="str">
        <f>IF(Patient_Data!$L853&lt;2,"Low Risk",IF(Patient_Data!$L853&lt;4,"Moderate Risk","High Risk"))</f>
        <v>High Risk</v>
      </c>
      <c r="S853" s="12" t="str">
        <f>IF(Patient_Data[[#This Row],[Age]]&lt;=18,"Pediatric",IF(Patient_Data[[#This Row],[Age]]&lt;=64,"Adult","Geriatric"))</f>
        <v>Geriatric</v>
      </c>
    </row>
    <row r="854" spans="1:19" ht="15.75" customHeight="1" x14ac:dyDescent="0.3">
      <c r="A854" s="4" t="s">
        <v>1758</v>
      </c>
      <c r="B854" s="5" t="str">
        <f>TEXT(Patient_Data!$E854,"mmmm")</f>
        <v>July</v>
      </c>
      <c r="C854" s="6" t="str">
        <f t="shared" si="6"/>
        <v>Jul</v>
      </c>
      <c r="D854" s="6">
        <f>MONTH(Patient_Data!$E854)</f>
        <v>7</v>
      </c>
      <c r="E854" s="7">
        <v>45847</v>
      </c>
      <c r="F854" s="55" t="str">
        <f>TEXT(Patient_Data[[#This Row],[Admission_Date]],"YYYY")</f>
        <v>2025</v>
      </c>
      <c r="G854" s="8" t="s">
        <v>1759</v>
      </c>
      <c r="H854" s="8" t="s">
        <v>82</v>
      </c>
      <c r="I854" s="4" t="s">
        <v>29</v>
      </c>
      <c r="J854" s="4">
        <v>28</v>
      </c>
      <c r="K854" s="4" t="s">
        <v>30</v>
      </c>
      <c r="L854" s="8">
        <v>3</v>
      </c>
      <c r="M854" s="9" t="s">
        <v>39</v>
      </c>
      <c r="N854" s="9" t="str">
        <f t="shared" si="7"/>
        <v>GM</v>
      </c>
      <c r="O854" s="10">
        <v>2497.25</v>
      </c>
      <c r="P854" s="10">
        <v>1523.61</v>
      </c>
      <c r="Q854" s="11">
        <v>9.4</v>
      </c>
      <c r="R854" s="13" t="str">
        <f>IF(Patient_Data!$L854&lt;2,"Low Risk",IF(Patient_Data!$L854&lt;4,"Moderate Risk","High Risk"))</f>
        <v>Moderate Risk</v>
      </c>
      <c r="S854" s="12" t="str">
        <f>IF(Patient_Data[[#This Row],[Age]]&lt;=18,"Pediatric",IF(Patient_Data[[#This Row],[Age]]&lt;=64,"Adult","Geriatric"))</f>
        <v>Adult</v>
      </c>
    </row>
    <row r="855" spans="1:19" ht="15.75" customHeight="1" x14ac:dyDescent="0.3">
      <c r="A855" s="4" t="s">
        <v>1760</v>
      </c>
      <c r="B855" s="5" t="str">
        <f>TEXT(Patient_Data!$E855,"mmmm")</f>
        <v>May</v>
      </c>
      <c r="C855" s="6" t="str">
        <f t="shared" si="6"/>
        <v>May</v>
      </c>
      <c r="D855" s="6">
        <f>MONTH(Patient_Data!$E855)</f>
        <v>5</v>
      </c>
      <c r="E855" s="7">
        <v>45440</v>
      </c>
      <c r="F855" s="55" t="str">
        <f>TEXT(Patient_Data[[#This Row],[Admission_Date]],"YYYY")</f>
        <v>2024</v>
      </c>
      <c r="G855" s="8" t="s">
        <v>1761</v>
      </c>
      <c r="H855" s="8" t="s">
        <v>75</v>
      </c>
      <c r="I855" s="4" t="s">
        <v>35</v>
      </c>
      <c r="J855" s="4">
        <v>77</v>
      </c>
      <c r="K855" s="4" t="s">
        <v>30</v>
      </c>
      <c r="L855" s="8">
        <v>1</v>
      </c>
      <c r="M855" s="9" t="s">
        <v>31</v>
      </c>
      <c r="N855" s="9" t="str">
        <f t="shared" si="7"/>
        <v>Neuro</v>
      </c>
      <c r="O855" s="10">
        <v>5375.2</v>
      </c>
      <c r="P855" s="10">
        <v>3346.07</v>
      </c>
      <c r="Q855" s="11">
        <v>8.4</v>
      </c>
      <c r="R855" s="13" t="str">
        <f>IF(Patient_Data!$L855&lt;2,"Low Risk",IF(Patient_Data!$L855&lt;4,"Moderate Risk","High Risk"))</f>
        <v>Low Risk</v>
      </c>
      <c r="S855" s="12" t="str">
        <f>IF(Patient_Data[[#This Row],[Age]]&lt;=18,"Pediatric",IF(Patient_Data[[#This Row],[Age]]&lt;=64,"Adult","Geriatric"))</f>
        <v>Geriatric</v>
      </c>
    </row>
    <row r="856" spans="1:19" ht="15.75" customHeight="1" x14ac:dyDescent="0.3">
      <c r="A856" s="4" t="s">
        <v>1762</v>
      </c>
      <c r="B856" s="5" t="str">
        <f>TEXT(Patient_Data!$E856,"mmmm")</f>
        <v>November</v>
      </c>
      <c r="C856" s="6" t="str">
        <f t="shared" si="6"/>
        <v>Nov</v>
      </c>
      <c r="D856" s="6">
        <f>MONTH(Patient_Data!$E856)</f>
        <v>11</v>
      </c>
      <c r="E856" s="7">
        <v>45257</v>
      </c>
      <c r="F856" s="55" t="str">
        <f>TEXT(Patient_Data[[#This Row],[Admission_Date]],"YYYY")</f>
        <v>2023</v>
      </c>
      <c r="G856" s="8" t="s">
        <v>1763</v>
      </c>
      <c r="H856" s="8" t="s">
        <v>28</v>
      </c>
      <c r="I856" s="4" t="s">
        <v>29</v>
      </c>
      <c r="J856" s="4">
        <v>89</v>
      </c>
      <c r="K856" s="4" t="s">
        <v>45</v>
      </c>
      <c r="L856" s="8">
        <v>5</v>
      </c>
      <c r="M856" s="9" t="s">
        <v>50</v>
      </c>
      <c r="N856" s="9" t="str">
        <f t="shared" si="7"/>
        <v>ICU</v>
      </c>
      <c r="O856" s="10">
        <v>13534.43</v>
      </c>
      <c r="P856" s="10">
        <v>8744.44</v>
      </c>
      <c r="Q856" s="11">
        <v>10.3</v>
      </c>
      <c r="R856" s="13" t="str">
        <f>IF(Patient_Data!$L856&lt;2,"Low Risk",IF(Patient_Data!$L856&lt;4,"Moderate Risk","High Risk"))</f>
        <v>High Risk</v>
      </c>
      <c r="S856" s="12" t="str">
        <f>IF(Patient_Data[[#This Row],[Age]]&lt;=18,"Pediatric",IF(Patient_Data[[#This Row],[Age]]&lt;=64,"Adult","Geriatric"))</f>
        <v>Geriatric</v>
      </c>
    </row>
    <row r="857" spans="1:19" ht="15.75" customHeight="1" x14ac:dyDescent="0.3">
      <c r="A857" s="4" t="s">
        <v>1764</v>
      </c>
      <c r="B857" s="5" t="str">
        <f>TEXT(Patient_Data!$E857,"mmmm")</f>
        <v>August</v>
      </c>
      <c r="C857" s="6" t="str">
        <f t="shared" si="6"/>
        <v>Aug</v>
      </c>
      <c r="D857" s="6">
        <f>MONTH(Patient_Data!$E857)</f>
        <v>8</v>
      </c>
      <c r="E857" s="7">
        <v>45888</v>
      </c>
      <c r="F857" s="55" t="str">
        <f>TEXT(Patient_Data[[#This Row],[Admission_Date]],"YYYY")</f>
        <v>2025</v>
      </c>
      <c r="G857" s="8" t="s">
        <v>1765</v>
      </c>
      <c r="H857" s="8" t="s">
        <v>49</v>
      </c>
      <c r="I857" s="4" t="s">
        <v>29</v>
      </c>
      <c r="J857" s="4">
        <v>63</v>
      </c>
      <c r="K857" s="4" t="s">
        <v>30</v>
      </c>
      <c r="L857" s="8">
        <v>1</v>
      </c>
      <c r="M857" s="9" t="s">
        <v>31</v>
      </c>
      <c r="N857" s="9" t="str">
        <f t="shared" si="7"/>
        <v>Neuro</v>
      </c>
      <c r="O857" s="10">
        <v>5864.9</v>
      </c>
      <c r="P857" s="10">
        <v>3997.48</v>
      </c>
      <c r="Q857" s="11">
        <v>8.5</v>
      </c>
      <c r="R857" s="13" t="str">
        <f>IF(Patient_Data!$L857&lt;2,"Low Risk",IF(Patient_Data!$L857&lt;4,"Moderate Risk","High Risk"))</f>
        <v>Low Risk</v>
      </c>
      <c r="S857" s="12" t="str">
        <f>IF(Patient_Data[[#This Row],[Age]]&lt;=18,"Pediatric",IF(Patient_Data[[#This Row],[Age]]&lt;=64,"Adult","Geriatric"))</f>
        <v>Adult</v>
      </c>
    </row>
    <row r="858" spans="1:19" ht="15.75" customHeight="1" x14ac:dyDescent="0.3">
      <c r="A858" s="4" t="s">
        <v>1766</v>
      </c>
      <c r="B858" s="5" t="str">
        <f>TEXT(Patient_Data!$E858,"mmmm")</f>
        <v>July</v>
      </c>
      <c r="C858" s="6" t="str">
        <f t="shared" si="6"/>
        <v>Jul</v>
      </c>
      <c r="D858" s="6">
        <f>MONTH(Patient_Data!$E858)</f>
        <v>7</v>
      </c>
      <c r="E858" s="7">
        <v>45860</v>
      </c>
      <c r="F858" s="55" t="str">
        <f>TEXT(Patient_Data[[#This Row],[Admission_Date]],"YYYY")</f>
        <v>2025</v>
      </c>
      <c r="G858" s="8" t="s">
        <v>1767</v>
      </c>
      <c r="H858" s="8" t="s">
        <v>98</v>
      </c>
      <c r="I858" s="4" t="s">
        <v>29</v>
      </c>
      <c r="J858" s="4">
        <v>64</v>
      </c>
      <c r="K858" s="4" t="s">
        <v>30</v>
      </c>
      <c r="L858" s="8">
        <v>1</v>
      </c>
      <c r="M858" s="9" t="s">
        <v>83</v>
      </c>
      <c r="N858" s="9" t="str">
        <f t="shared" si="7"/>
        <v>ER</v>
      </c>
      <c r="O858" s="10">
        <v>6222.87</v>
      </c>
      <c r="P858" s="10">
        <v>4437.6099999999997</v>
      </c>
      <c r="Q858" s="11">
        <v>10.199999999999999</v>
      </c>
      <c r="R858" s="13" t="str">
        <f>IF(Patient_Data!$L858&lt;2,"Low Risk",IF(Patient_Data!$L858&lt;4,"Moderate Risk","High Risk"))</f>
        <v>Low Risk</v>
      </c>
      <c r="S858" s="12" t="str">
        <f>IF(Patient_Data[[#This Row],[Age]]&lt;=18,"Pediatric",IF(Patient_Data[[#This Row],[Age]]&lt;=64,"Adult","Geriatric"))</f>
        <v>Adult</v>
      </c>
    </row>
    <row r="859" spans="1:19" ht="15.75" customHeight="1" x14ac:dyDescent="0.3">
      <c r="A859" s="4" t="s">
        <v>1768</v>
      </c>
      <c r="B859" s="5" t="str">
        <f>TEXT(Patient_Data!$E859,"mmmm")</f>
        <v>August</v>
      </c>
      <c r="C859" s="6" t="str">
        <f t="shared" si="6"/>
        <v>Aug</v>
      </c>
      <c r="D859" s="6">
        <f>MONTH(Patient_Data!$E859)</f>
        <v>8</v>
      </c>
      <c r="E859" s="7">
        <v>45525</v>
      </c>
      <c r="F859" s="55" t="str">
        <f>TEXT(Patient_Data[[#This Row],[Admission_Date]],"YYYY")</f>
        <v>2024</v>
      </c>
      <c r="G859" s="8" t="s">
        <v>1769</v>
      </c>
      <c r="H859" s="8" t="s">
        <v>53</v>
      </c>
      <c r="I859" s="4" t="s">
        <v>35</v>
      </c>
      <c r="J859" s="4">
        <v>26</v>
      </c>
      <c r="K859" s="4" t="s">
        <v>54</v>
      </c>
      <c r="L859" s="8">
        <v>5</v>
      </c>
      <c r="M859" s="9" t="s">
        <v>72</v>
      </c>
      <c r="N859" s="9" t="str">
        <f t="shared" si="7"/>
        <v>Surgery</v>
      </c>
      <c r="O859" s="10">
        <v>17826.11</v>
      </c>
      <c r="P859" s="10">
        <v>13062.66</v>
      </c>
      <c r="Q859" s="11">
        <v>6.2</v>
      </c>
      <c r="R859" s="13" t="str">
        <f>IF(Patient_Data!$L859&lt;2,"Low Risk",IF(Patient_Data!$L859&lt;4,"Moderate Risk","High Risk"))</f>
        <v>High Risk</v>
      </c>
      <c r="S859" s="12" t="str">
        <f>IF(Patient_Data[[#This Row],[Age]]&lt;=18,"Pediatric",IF(Patient_Data[[#This Row],[Age]]&lt;=64,"Adult","Geriatric"))</f>
        <v>Adult</v>
      </c>
    </row>
    <row r="860" spans="1:19" ht="15.75" customHeight="1" x14ac:dyDescent="0.3">
      <c r="A860" s="4" t="s">
        <v>1770</v>
      </c>
      <c r="B860" s="5" t="str">
        <f>TEXT(Patient_Data!$E860,"mmmm")</f>
        <v>April</v>
      </c>
      <c r="C860" s="6" t="str">
        <f t="shared" si="6"/>
        <v>Apr</v>
      </c>
      <c r="D860" s="6">
        <f>MONTH(Patient_Data!$E860)</f>
        <v>4</v>
      </c>
      <c r="E860" s="7">
        <v>46118</v>
      </c>
      <c r="F860" s="55" t="str">
        <f>TEXT(Patient_Data[[#This Row],[Admission_Date]],"YYYY")</f>
        <v>2026</v>
      </c>
      <c r="G860" s="8" t="s">
        <v>1771</v>
      </c>
      <c r="H860" s="8" t="s">
        <v>75</v>
      </c>
      <c r="I860" s="4" t="s">
        <v>35</v>
      </c>
      <c r="J860" s="4">
        <v>62</v>
      </c>
      <c r="K860" s="4" t="s">
        <v>54</v>
      </c>
      <c r="L860" s="8">
        <v>3</v>
      </c>
      <c r="M860" s="9" t="s">
        <v>31</v>
      </c>
      <c r="N860" s="9" t="str">
        <f t="shared" si="7"/>
        <v>Neuro</v>
      </c>
      <c r="O860" s="10">
        <v>13154.82</v>
      </c>
      <c r="P860" s="10">
        <v>10064.06</v>
      </c>
      <c r="Q860" s="11">
        <v>8.3000000000000007</v>
      </c>
      <c r="R860" s="13" t="str">
        <f>IF(Patient_Data!$L860&lt;2,"Low Risk",IF(Patient_Data!$L860&lt;4,"Moderate Risk","High Risk"))</f>
        <v>Moderate Risk</v>
      </c>
      <c r="S860" s="12" t="str">
        <f>IF(Patient_Data[[#This Row],[Age]]&lt;=18,"Pediatric",IF(Patient_Data[[#This Row],[Age]]&lt;=64,"Adult","Geriatric"))</f>
        <v>Adult</v>
      </c>
    </row>
    <row r="861" spans="1:19" ht="15.75" customHeight="1" x14ac:dyDescent="0.3">
      <c r="A861" s="4" t="s">
        <v>1772</v>
      </c>
      <c r="B861" s="5" t="str">
        <f>TEXT(Patient_Data!$E861,"mmmm")</f>
        <v>May</v>
      </c>
      <c r="C861" s="6" t="str">
        <f t="shared" si="6"/>
        <v>May</v>
      </c>
      <c r="D861" s="6">
        <f>MONTH(Patient_Data!$E861)</f>
        <v>5</v>
      </c>
      <c r="E861" s="7">
        <v>46147</v>
      </c>
      <c r="F861" s="55" t="str">
        <f>TEXT(Patient_Data[[#This Row],[Admission_Date]],"YYYY")</f>
        <v>2026</v>
      </c>
      <c r="G861" s="8" t="s">
        <v>1773</v>
      </c>
      <c r="H861" s="8" t="s">
        <v>28</v>
      </c>
      <c r="I861" s="4" t="s">
        <v>35</v>
      </c>
      <c r="J861" s="4">
        <v>3</v>
      </c>
      <c r="K861" s="4" t="s">
        <v>30</v>
      </c>
      <c r="L861" s="8">
        <v>1</v>
      </c>
      <c r="M861" s="9" t="s">
        <v>79</v>
      </c>
      <c r="N861" s="9" t="str">
        <f t="shared" si="7"/>
        <v>PD</v>
      </c>
      <c r="O861" s="10">
        <v>1886.55</v>
      </c>
      <c r="P861" s="10">
        <v>1140.5999999999999</v>
      </c>
      <c r="Q861" s="11">
        <v>5.8</v>
      </c>
      <c r="R861" s="13" t="str">
        <f>IF(Patient_Data!$L861&lt;2,"Low Risk",IF(Patient_Data!$L861&lt;4,"Moderate Risk","High Risk"))</f>
        <v>Low Risk</v>
      </c>
      <c r="S861" s="12" t="str">
        <f>IF(Patient_Data[[#This Row],[Age]]&lt;=18,"Pediatric",IF(Patient_Data[[#This Row],[Age]]&lt;=64,"Adult","Geriatric"))</f>
        <v>Pediatric</v>
      </c>
    </row>
    <row r="862" spans="1:19" ht="15.75" customHeight="1" x14ac:dyDescent="0.3">
      <c r="A862" s="4" t="s">
        <v>1774</v>
      </c>
      <c r="B862" s="5" t="str">
        <f>TEXT(Patient_Data!$E862,"mmmm")</f>
        <v>September</v>
      </c>
      <c r="C862" s="6" t="str">
        <f t="shared" si="6"/>
        <v>Sep</v>
      </c>
      <c r="D862" s="6">
        <f>MONTH(Patient_Data!$E862)</f>
        <v>9</v>
      </c>
      <c r="E862" s="7">
        <v>45540</v>
      </c>
      <c r="F862" s="55" t="str">
        <f>TEXT(Patient_Data[[#This Row],[Admission_Date]],"YYYY")</f>
        <v>2024</v>
      </c>
      <c r="G862" s="8" t="s">
        <v>1775</v>
      </c>
      <c r="H862" s="8" t="s">
        <v>132</v>
      </c>
      <c r="I862" s="4" t="s">
        <v>35</v>
      </c>
      <c r="J862" s="4">
        <v>60</v>
      </c>
      <c r="K862" s="4" t="s">
        <v>54</v>
      </c>
      <c r="L862" s="8">
        <v>5</v>
      </c>
      <c r="M862" s="9" t="s">
        <v>72</v>
      </c>
      <c r="N862" s="9" t="str">
        <f t="shared" si="7"/>
        <v>Surgery</v>
      </c>
      <c r="O862" s="10">
        <v>16574.8</v>
      </c>
      <c r="P862" s="10">
        <v>10133.83</v>
      </c>
      <c r="Q862" s="11">
        <v>2.9</v>
      </c>
      <c r="R862" s="13" t="str">
        <f>IF(Patient_Data!$L862&lt;2,"Low Risk",IF(Patient_Data!$L862&lt;4,"Moderate Risk","High Risk"))</f>
        <v>High Risk</v>
      </c>
      <c r="S862" s="12" t="str">
        <f>IF(Patient_Data[[#This Row],[Age]]&lt;=18,"Pediatric",IF(Patient_Data[[#This Row],[Age]]&lt;=64,"Adult","Geriatric"))</f>
        <v>Adult</v>
      </c>
    </row>
    <row r="863" spans="1:19" ht="15.75" customHeight="1" x14ac:dyDescent="0.3">
      <c r="A863" s="4" t="s">
        <v>1776</v>
      </c>
      <c r="B863" s="5" t="str">
        <f>TEXT(Patient_Data!$E863,"mmmm")</f>
        <v>May</v>
      </c>
      <c r="C863" s="6" t="str">
        <f t="shared" si="6"/>
        <v>May</v>
      </c>
      <c r="D863" s="6">
        <f>MONTH(Patient_Data!$E863)</f>
        <v>5</v>
      </c>
      <c r="E863" s="7">
        <v>45443</v>
      </c>
      <c r="F863" s="55" t="str">
        <f>TEXT(Patient_Data[[#This Row],[Admission_Date]],"YYYY")</f>
        <v>2024</v>
      </c>
      <c r="G863" s="8" t="s">
        <v>1777</v>
      </c>
      <c r="H863" s="8" t="s">
        <v>42</v>
      </c>
      <c r="I863" s="4" t="s">
        <v>29</v>
      </c>
      <c r="J863" s="4">
        <v>61</v>
      </c>
      <c r="K863" s="4" t="s">
        <v>30</v>
      </c>
      <c r="L863" s="8">
        <v>2</v>
      </c>
      <c r="M863" s="9" t="s">
        <v>39</v>
      </c>
      <c r="N863" s="9" t="str">
        <f t="shared" si="7"/>
        <v>GM</v>
      </c>
      <c r="O863" s="10">
        <v>2828.45</v>
      </c>
      <c r="P863" s="10">
        <v>1857.41</v>
      </c>
      <c r="Q863" s="11">
        <v>5.9</v>
      </c>
      <c r="R863" s="13" t="str">
        <f>IF(Patient_Data!$L863&lt;2,"Low Risk",IF(Patient_Data!$L863&lt;4,"Moderate Risk","High Risk"))</f>
        <v>Moderate Risk</v>
      </c>
      <c r="S863" s="12" t="str">
        <f>IF(Patient_Data[[#This Row],[Age]]&lt;=18,"Pediatric",IF(Patient_Data[[#This Row],[Age]]&lt;=64,"Adult","Geriatric"))</f>
        <v>Adult</v>
      </c>
    </row>
    <row r="864" spans="1:19" ht="15.75" customHeight="1" x14ac:dyDescent="0.3">
      <c r="A864" s="4" t="s">
        <v>1778</v>
      </c>
      <c r="B864" s="5" t="str">
        <f>TEXT(Patient_Data!$E864,"mmmm")</f>
        <v>January</v>
      </c>
      <c r="C864" s="6" t="str">
        <f t="shared" si="6"/>
        <v>Jan</v>
      </c>
      <c r="D864" s="6">
        <f>MONTH(Patient_Data!$E864)</f>
        <v>1</v>
      </c>
      <c r="E864" s="7">
        <v>45296</v>
      </c>
      <c r="F864" s="55" t="str">
        <f>TEXT(Patient_Data[[#This Row],[Admission_Date]],"YYYY")</f>
        <v>2024</v>
      </c>
      <c r="G864" s="8" t="s">
        <v>1779</v>
      </c>
      <c r="H864" s="8" t="s">
        <v>28</v>
      </c>
      <c r="I864" s="4" t="s">
        <v>35</v>
      </c>
      <c r="J864" s="4">
        <v>51</v>
      </c>
      <c r="K864" s="4" t="s">
        <v>45</v>
      </c>
      <c r="L864" s="8">
        <v>1</v>
      </c>
      <c r="M864" s="9" t="s">
        <v>39</v>
      </c>
      <c r="N864" s="9" t="str">
        <f t="shared" si="7"/>
        <v>GM</v>
      </c>
      <c r="O864" s="10">
        <v>2098.02</v>
      </c>
      <c r="P864" s="10">
        <v>1445.67</v>
      </c>
      <c r="Q864" s="11">
        <v>5</v>
      </c>
      <c r="R864" s="13" t="str">
        <f>IF(Patient_Data!$L864&lt;2,"Low Risk",IF(Patient_Data!$L864&lt;4,"Moderate Risk","High Risk"))</f>
        <v>Low Risk</v>
      </c>
      <c r="S864" s="12" t="str">
        <f>IF(Patient_Data[[#This Row],[Age]]&lt;=18,"Pediatric",IF(Patient_Data[[#This Row],[Age]]&lt;=64,"Adult","Geriatric"))</f>
        <v>Adult</v>
      </c>
    </row>
    <row r="865" spans="1:19" ht="15.75" customHeight="1" x14ac:dyDescent="0.3">
      <c r="A865" s="4" t="s">
        <v>1780</v>
      </c>
      <c r="B865" s="5" t="str">
        <f>TEXT(Patient_Data!$E865,"mmmm")</f>
        <v>March</v>
      </c>
      <c r="C865" s="6" t="str">
        <f t="shared" si="6"/>
        <v>Mar</v>
      </c>
      <c r="D865" s="6">
        <f>MONTH(Patient_Data!$E865)</f>
        <v>3</v>
      </c>
      <c r="E865" s="7">
        <v>46104</v>
      </c>
      <c r="F865" s="55" t="str">
        <f>TEXT(Patient_Data[[#This Row],[Admission_Date]],"YYYY")</f>
        <v>2026</v>
      </c>
      <c r="G865" s="8" t="s">
        <v>1781</v>
      </c>
      <c r="H865" s="8" t="s">
        <v>42</v>
      </c>
      <c r="I865" s="4" t="s">
        <v>35</v>
      </c>
      <c r="J865" s="4">
        <v>86</v>
      </c>
      <c r="K865" s="4" t="s">
        <v>54</v>
      </c>
      <c r="L865" s="8">
        <v>5</v>
      </c>
      <c r="M865" s="9" t="s">
        <v>50</v>
      </c>
      <c r="N865" s="9" t="str">
        <f t="shared" si="7"/>
        <v>ICU</v>
      </c>
      <c r="O865" s="10">
        <v>15776.25</v>
      </c>
      <c r="P865" s="10">
        <v>11129.77</v>
      </c>
      <c r="Q865" s="11">
        <v>10.8</v>
      </c>
      <c r="R865" s="13" t="str">
        <f>IF(Patient_Data!$L865&lt;2,"Low Risk",IF(Patient_Data!$L865&lt;4,"Moderate Risk","High Risk"))</f>
        <v>High Risk</v>
      </c>
      <c r="S865" s="12" t="str">
        <f>IF(Patient_Data[[#This Row],[Age]]&lt;=18,"Pediatric",IF(Patient_Data[[#This Row],[Age]]&lt;=64,"Adult","Geriatric"))</f>
        <v>Geriatric</v>
      </c>
    </row>
    <row r="866" spans="1:19" ht="15.75" customHeight="1" x14ac:dyDescent="0.3">
      <c r="A866" s="4" t="s">
        <v>1782</v>
      </c>
      <c r="B866" s="5" t="str">
        <f>TEXT(Patient_Data!$E866,"mmmm")</f>
        <v>November</v>
      </c>
      <c r="C866" s="6" t="str">
        <f t="shared" si="6"/>
        <v>Nov</v>
      </c>
      <c r="D866" s="6">
        <f>MONTH(Patient_Data!$E866)</f>
        <v>11</v>
      </c>
      <c r="E866" s="7">
        <v>45252</v>
      </c>
      <c r="F866" s="55" t="str">
        <f>TEXT(Patient_Data[[#This Row],[Admission_Date]],"YYYY")</f>
        <v>2023</v>
      </c>
      <c r="G866" s="8" t="s">
        <v>1783</v>
      </c>
      <c r="H866" s="8" t="s">
        <v>42</v>
      </c>
      <c r="I866" s="4" t="s">
        <v>35</v>
      </c>
      <c r="J866" s="4">
        <v>78</v>
      </c>
      <c r="K866" s="4" t="s">
        <v>30</v>
      </c>
      <c r="L866" s="8">
        <v>1</v>
      </c>
      <c r="M866" s="9" t="s">
        <v>39</v>
      </c>
      <c r="N866" s="9" t="str">
        <f t="shared" si="7"/>
        <v>GM</v>
      </c>
      <c r="O866" s="10">
        <v>3964.23</v>
      </c>
      <c r="P866" s="10">
        <v>2952.29</v>
      </c>
      <c r="Q866" s="11">
        <v>7.3</v>
      </c>
      <c r="R866" s="13" t="str">
        <f>IF(Patient_Data!$L866&lt;2,"Low Risk",IF(Patient_Data!$L866&lt;4,"Moderate Risk","High Risk"))</f>
        <v>Low Risk</v>
      </c>
      <c r="S866" s="12" t="str">
        <f>IF(Patient_Data[[#This Row],[Age]]&lt;=18,"Pediatric",IF(Patient_Data[[#This Row],[Age]]&lt;=64,"Adult","Geriatric"))</f>
        <v>Geriatric</v>
      </c>
    </row>
    <row r="867" spans="1:19" ht="15.75" customHeight="1" x14ac:dyDescent="0.3">
      <c r="A867" s="4" t="s">
        <v>1784</v>
      </c>
      <c r="B867" s="5" t="str">
        <f>TEXT(Patient_Data!$E867,"mmmm")</f>
        <v>June</v>
      </c>
      <c r="C867" s="6" t="str">
        <f t="shared" si="6"/>
        <v>Jun</v>
      </c>
      <c r="D867" s="6">
        <f>MONTH(Patient_Data!$E867)</f>
        <v>6</v>
      </c>
      <c r="E867" s="7">
        <v>45813</v>
      </c>
      <c r="F867" s="55" t="str">
        <f>TEXT(Patient_Data[[#This Row],[Admission_Date]],"YYYY")</f>
        <v>2025</v>
      </c>
      <c r="G867" s="8" t="s">
        <v>1785</v>
      </c>
      <c r="H867" s="8" t="s">
        <v>82</v>
      </c>
      <c r="I867" s="4" t="s">
        <v>35</v>
      </c>
      <c r="J867" s="4">
        <v>27</v>
      </c>
      <c r="K867" s="4" t="s">
        <v>30</v>
      </c>
      <c r="L867" s="8">
        <v>1</v>
      </c>
      <c r="M867" s="9" t="s">
        <v>39</v>
      </c>
      <c r="N867" s="9" t="str">
        <f t="shared" si="7"/>
        <v>GM</v>
      </c>
      <c r="O867" s="10">
        <v>1274.1199999999999</v>
      </c>
      <c r="P867" s="10">
        <v>1021.93</v>
      </c>
      <c r="Q867" s="11">
        <v>6.7</v>
      </c>
      <c r="R867" s="13" t="str">
        <f>IF(Patient_Data!$L867&lt;2,"Low Risk",IF(Patient_Data!$L867&lt;4,"Moderate Risk","High Risk"))</f>
        <v>Low Risk</v>
      </c>
      <c r="S867" s="12" t="str">
        <f>IF(Patient_Data[[#This Row],[Age]]&lt;=18,"Pediatric",IF(Patient_Data[[#This Row],[Age]]&lt;=64,"Adult","Geriatric"))</f>
        <v>Adult</v>
      </c>
    </row>
    <row r="868" spans="1:19" ht="15.75" customHeight="1" x14ac:dyDescent="0.3">
      <c r="A868" s="4" t="s">
        <v>1786</v>
      </c>
      <c r="B868" s="5" t="str">
        <f>TEXT(Patient_Data!$E868,"mmmm")</f>
        <v>April</v>
      </c>
      <c r="C868" s="6" t="str">
        <f t="shared" si="6"/>
        <v>Apr</v>
      </c>
      <c r="D868" s="6">
        <f>MONTH(Patient_Data!$E868)</f>
        <v>4</v>
      </c>
      <c r="E868" s="7">
        <v>46136</v>
      </c>
      <c r="F868" s="55" t="str">
        <f>TEXT(Patient_Data[[#This Row],[Admission_Date]],"YYYY")</f>
        <v>2026</v>
      </c>
      <c r="G868" s="8" t="s">
        <v>1787</v>
      </c>
      <c r="H868" s="8" t="s">
        <v>82</v>
      </c>
      <c r="I868" s="4" t="s">
        <v>35</v>
      </c>
      <c r="J868" s="4">
        <v>80</v>
      </c>
      <c r="K868" s="4" t="s">
        <v>30</v>
      </c>
      <c r="L868" s="8">
        <v>3</v>
      </c>
      <c r="M868" s="9" t="s">
        <v>83</v>
      </c>
      <c r="N868" s="9" t="str">
        <f t="shared" si="7"/>
        <v>ER</v>
      </c>
      <c r="O868" s="10">
        <v>6627.12</v>
      </c>
      <c r="P868" s="10">
        <v>3843.73</v>
      </c>
      <c r="Q868" s="11"/>
      <c r="R868" s="13" t="str">
        <f>IF(Patient_Data!$L868&lt;2,"Low Risk",IF(Patient_Data!$L868&lt;4,"Moderate Risk","High Risk"))</f>
        <v>Moderate Risk</v>
      </c>
      <c r="S868" s="12" t="str">
        <f>IF(Patient_Data[[#This Row],[Age]]&lt;=18,"Pediatric",IF(Patient_Data[[#This Row],[Age]]&lt;=64,"Adult","Geriatric"))</f>
        <v>Geriatric</v>
      </c>
    </row>
    <row r="869" spans="1:19" ht="15.75" customHeight="1" x14ac:dyDescent="0.3">
      <c r="A869" s="4" t="s">
        <v>1788</v>
      </c>
      <c r="B869" s="5" t="str">
        <f>TEXT(Patient_Data!$E869,"mmmm")</f>
        <v>January</v>
      </c>
      <c r="C869" s="6" t="str">
        <f t="shared" si="6"/>
        <v>Jan</v>
      </c>
      <c r="D869" s="6">
        <f>MONTH(Patient_Data!$E869)</f>
        <v>1</v>
      </c>
      <c r="E869" s="7">
        <v>45685</v>
      </c>
      <c r="F869" s="55" t="str">
        <f>TEXT(Patient_Data[[#This Row],[Admission_Date]],"YYYY")</f>
        <v>2025</v>
      </c>
      <c r="G869" s="8" t="s">
        <v>1789</v>
      </c>
      <c r="H869" s="8" t="s">
        <v>82</v>
      </c>
      <c r="I869" s="4" t="s">
        <v>35</v>
      </c>
      <c r="J869" s="4">
        <v>26</v>
      </c>
      <c r="K869" s="4" t="s">
        <v>30</v>
      </c>
      <c r="L869" s="8">
        <v>2</v>
      </c>
      <c r="M869" s="9" t="s">
        <v>36</v>
      </c>
      <c r="N869" s="9" t="str">
        <f t="shared" si="7"/>
        <v>Cardio</v>
      </c>
      <c r="O869" s="10">
        <v>6492.51</v>
      </c>
      <c r="P869" s="10">
        <v>3979.63</v>
      </c>
      <c r="Q869" s="11">
        <v>2.4</v>
      </c>
      <c r="R869" s="13" t="str">
        <f>IF(Patient_Data!$L869&lt;2,"Low Risk",IF(Patient_Data!$L869&lt;4,"Moderate Risk","High Risk"))</f>
        <v>Moderate Risk</v>
      </c>
      <c r="S869" s="12" t="str">
        <f>IF(Patient_Data[[#This Row],[Age]]&lt;=18,"Pediatric",IF(Patient_Data[[#This Row],[Age]]&lt;=64,"Adult","Geriatric"))</f>
        <v>Adult</v>
      </c>
    </row>
    <row r="870" spans="1:19" ht="15.75" customHeight="1" x14ac:dyDescent="0.3">
      <c r="A870" s="4" t="s">
        <v>1790</v>
      </c>
      <c r="B870" s="5" t="str">
        <f>TEXT(Patient_Data!$E870,"mmmm")</f>
        <v>September</v>
      </c>
      <c r="C870" s="6" t="str">
        <f t="shared" si="6"/>
        <v>Sep</v>
      </c>
      <c r="D870" s="6">
        <f>MONTH(Patient_Data!$E870)</f>
        <v>9</v>
      </c>
      <c r="E870" s="7">
        <v>45558</v>
      </c>
      <c r="F870" s="55" t="str">
        <f>TEXT(Patient_Data[[#This Row],[Admission_Date]],"YYYY")</f>
        <v>2024</v>
      </c>
      <c r="G870" s="8" t="s">
        <v>1791</v>
      </c>
      <c r="H870" s="8" t="s">
        <v>28</v>
      </c>
      <c r="I870" s="4" t="s">
        <v>35</v>
      </c>
      <c r="J870" s="4">
        <v>8</v>
      </c>
      <c r="K870" s="4" t="s">
        <v>30</v>
      </c>
      <c r="L870" s="8">
        <v>1</v>
      </c>
      <c r="M870" s="9" t="s">
        <v>79</v>
      </c>
      <c r="N870" s="9" t="str">
        <f t="shared" si="7"/>
        <v>PD</v>
      </c>
      <c r="O870" s="10">
        <v>793.71</v>
      </c>
      <c r="P870" s="10">
        <v>512.77</v>
      </c>
      <c r="Q870" s="11">
        <v>0.6</v>
      </c>
      <c r="R870" s="13" t="str">
        <f>IF(Patient_Data!$L870&lt;2,"Low Risk",IF(Patient_Data!$L870&lt;4,"Moderate Risk","High Risk"))</f>
        <v>Low Risk</v>
      </c>
      <c r="S870" s="12" t="str">
        <f>IF(Patient_Data[[#This Row],[Age]]&lt;=18,"Pediatric",IF(Patient_Data[[#This Row],[Age]]&lt;=64,"Adult","Geriatric"))</f>
        <v>Pediatric</v>
      </c>
    </row>
    <row r="871" spans="1:19" ht="15.75" customHeight="1" x14ac:dyDescent="0.3">
      <c r="A871" s="4" t="s">
        <v>1792</v>
      </c>
      <c r="B871" s="5" t="str">
        <f>TEXT(Patient_Data!$E871,"mmmm")</f>
        <v>December</v>
      </c>
      <c r="C871" s="6" t="str">
        <f t="shared" si="6"/>
        <v>Dec</v>
      </c>
      <c r="D871" s="6">
        <f>MONTH(Patient_Data!$E871)</f>
        <v>12</v>
      </c>
      <c r="E871" s="7">
        <v>45264</v>
      </c>
      <c r="F871" s="55" t="str">
        <f>TEXT(Patient_Data[[#This Row],[Admission_Date]],"YYYY")</f>
        <v>2023</v>
      </c>
      <c r="G871" s="8" t="s">
        <v>1793</v>
      </c>
      <c r="H871" s="8" t="s">
        <v>42</v>
      </c>
      <c r="I871" s="4" t="s">
        <v>35</v>
      </c>
      <c r="J871" s="4">
        <v>18</v>
      </c>
      <c r="K871" s="4" t="s">
        <v>30</v>
      </c>
      <c r="L871" s="8">
        <v>1</v>
      </c>
      <c r="M871" s="9" t="s">
        <v>36</v>
      </c>
      <c r="N871" s="9" t="str">
        <f t="shared" si="7"/>
        <v>Cardio</v>
      </c>
      <c r="O871" s="10">
        <v>7054.04</v>
      </c>
      <c r="P871" s="10">
        <v>4811.01</v>
      </c>
      <c r="Q871" s="11">
        <v>10.6</v>
      </c>
      <c r="R871" s="13" t="str">
        <f>IF(Patient_Data!$L871&lt;2,"Low Risk",IF(Patient_Data!$L871&lt;4,"Moderate Risk","High Risk"))</f>
        <v>Low Risk</v>
      </c>
      <c r="S871" s="12" t="str">
        <f>IF(Patient_Data[[#This Row],[Age]]&lt;=18,"Pediatric",IF(Patient_Data[[#This Row],[Age]]&lt;=64,"Adult","Geriatric"))</f>
        <v>Pediatric</v>
      </c>
    </row>
    <row r="872" spans="1:19" ht="15.75" customHeight="1" x14ac:dyDescent="0.3">
      <c r="A872" s="4" t="s">
        <v>1794</v>
      </c>
      <c r="B872" s="5" t="str">
        <f>TEXT(Patient_Data!$E872,"mmmm")</f>
        <v>July</v>
      </c>
      <c r="C872" s="6" t="str">
        <f t="shared" si="6"/>
        <v>Jul</v>
      </c>
      <c r="D872" s="6">
        <f>MONTH(Patient_Data!$E872)</f>
        <v>7</v>
      </c>
      <c r="E872" s="7">
        <v>45846</v>
      </c>
      <c r="F872" s="55" t="str">
        <f>TEXT(Patient_Data[[#This Row],[Admission_Date]],"YYYY")</f>
        <v>2025</v>
      </c>
      <c r="G872" s="8" t="s">
        <v>1795</v>
      </c>
      <c r="H872" s="8" t="s">
        <v>28</v>
      </c>
      <c r="I872" s="4" t="s">
        <v>29</v>
      </c>
      <c r="J872" s="4">
        <v>69</v>
      </c>
      <c r="K872" s="4" t="s">
        <v>54</v>
      </c>
      <c r="L872" s="8">
        <v>4</v>
      </c>
      <c r="M872" s="9" t="s">
        <v>50</v>
      </c>
      <c r="N872" s="9" t="str">
        <f t="shared" si="7"/>
        <v>ICU</v>
      </c>
      <c r="O872" s="10">
        <v>16043.54</v>
      </c>
      <c r="P872" s="10">
        <v>11369.68</v>
      </c>
      <c r="Q872" s="11">
        <v>17.399999999999999</v>
      </c>
      <c r="R872" s="13" t="str">
        <f>IF(Patient_Data!$L872&lt;2,"Low Risk",IF(Patient_Data!$L872&lt;4,"Moderate Risk","High Risk"))</f>
        <v>High Risk</v>
      </c>
      <c r="S872" s="12" t="str">
        <f>IF(Patient_Data[[#This Row],[Age]]&lt;=18,"Pediatric",IF(Patient_Data[[#This Row],[Age]]&lt;=64,"Adult","Geriatric"))</f>
        <v>Geriatric</v>
      </c>
    </row>
    <row r="873" spans="1:19" ht="15.75" customHeight="1" x14ac:dyDescent="0.3">
      <c r="A873" s="4" t="s">
        <v>1796</v>
      </c>
      <c r="B873" s="5" t="str">
        <f>TEXT(Patient_Data!$E873,"mmmm")</f>
        <v>March</v>
      </c>
      <c r="C873" s="6" t="str">
        <f t="shared" si="6"/>
        <v>Mar</v>
      </c>
      <c r="D873" s="6">
        <f>MONTH(Patient_Data!$E873)</f>
        <v>3</v>
      </c>
      <c r="E873" s="7">
        <v>45726</v>
      </c>
      <c r="F873" s="55" t="str">
        <f>TEXT(Patient_Data[[#This Row],[Admission_Date]],"YYYY")</f>
        <v>2025</v>
      </c>
      <c r="G873" s="8" t="s">
        <v>1797</v>
      </c>
      <c r="H873" s="8" t="s">
        <v>49</v>
      </c>
      <c r="I873" s="4" t="s">
        <v>35</v>
      </c>
      <c r="J873" s="4">
        <v>13</v>
      </c>
      <c r="K873" s="4" t="s">
        <v>54</v>
      </c>
      <c r="L873" s="8">
        <v>4</v>
      </c>
      <c r="M873" s="9" t="s">
        <v>79</v>
      </c>
      <c r="N873" s="9" t="str">
        <f t="shared" si="7"/>
        <v>PD</v>
      </c>
      <c r="O873" s="10">
        <v>1026.6400000000001</v>
      </c>
      <c r="P873" s="10">
        <v>786.25</v>
      </c>
      <c r="Q873" s="11">
        <v>4.5999999999999996</v>
      </c>
      <c r="R873" s="13" t="str">
        <f>IF(Patient_Data!$L873&lt;2,"Low Risk",IF(Patient_Data!$L873&lt;4,"Moderate Risk","High Risk"))</f>
        <v>High Risk</v>
      </c>
      <c r="S873" s="12" t="str">
        <f>IF(Patient_Data[[#This Row],[Age]]&lt;=18,"Pediatric",IF(Patient_Data[[#This Row],[Age]]&lt;=64,"Adult","Geriatric"))</f>
        <v>Pediatric</v>
      </c>
    </row>
    <row r="874" spans="1:19" ht="15.75" customHeight="1" x14ac:dyDescent="0.3">
      <c r="A874" s="4" t="s">
        <v>1798</v>
      </c>
      <c r="B874" s="5" t="str">
        <f>TEXT(Patient_Data!$E874,"mmmm")</f>
        <v>May</v>
      </c>
      <c r="C874" s="6" t="str">
        <f t="shared" si="6"/>
        <v>May</v>
      </c>
      <c r="D874" s="6">
        <f>MONTH(Patient_Data!$E874)</f>
        <v>5</v>
      </c>
      <c r="E874" s="7">
        <v>45421</v>
      </c>
      <c r="F874" s="55" t="str">
        <f>TEXT(Patient_Data[[#This Row],[Admission_Date]],"YYYY")</f>
        <v>2024</v>
      </c>
      <c r="G874" s="8" t="s">
        <v>1537</v>
      </c>
      <c r="H874" s="8" t="s">
        <v>98</v>
      </c>
      <c r="I874" s="4" t="s">
        <v>29</v>
      </c>
      <c r="J874" s="4">
        <v>88</v>
      </c>
      <c r="K874" s="4" t="s">
        <v>30</v>
      </c>
      <c r="L874" s="8">
        <v>5</v>
      </c>
      <c r="M874" s="9" t="s">
        <v>72</v>
      </c>
      <c r="N874" s="9" t="str">
        <f t="shared" si="7"/>
        <v>Surgery</v>
      </c>
      <c r="O874" s="10">
        <v>19266.91</v>
      </c>
      <c r="P874" s="10">
        <v>14693.25</v>
      </c>
      <c r="Q874" s="11">
        <v>6.3</v>
      </c>
      <c r="R874" s="13" t="str">
        <f>IF(Patient_Data!$L874&lt;2,"Low Risk",IF(Patient_Data!$L874&lt;4,"Moderate Risk","High Risk"))</f>
        <v>High Risk</v>
      </c>
      <c r="S874" s="12" t="str">
        <f>IF(Patient_Data[[#This Row],[Age]]&lt;=18,"Pediatric",IF(Patient_Data[[#This Row],[Age]]&lt;=64,"Adult","Geriatric"))</f>
        <v>Geriatric</v>
      </c>
    </row>
    <row r="875" spans="1:19" ht="15.75" customHeight="1" x14ac:dyDescent="0.3">
      <c r="A875" s="4" t="s">
        <v>1799</v>
      </c>
      <c r="B875" s="5" t="str">
        <f>TEXT(Patient_Data!$E875,"mmmm")</f>
        <v>November</v>
      </c>
      <c r="C875" s="6" t="str">
        <f t="shared" si="6"/>
        <v>Nov</v>
      </c>
      <c r="D875" s="6">
        <f>MONTH(Patient_Data!$E875)</f>
        <v>11</v>
      </c>
      <c r="E875" s="7">
        <v>45986</v>
      </c>
      <c r="F875" s="55" t="str">
        <f>TEXT(Patient_Data[[#This Row],[Admission_Date]],"YYYY")</f>
        <v>2025</v>
      </c>
      <c r="G875" s="8" t="s">
        <v>1489</v>
      </c>
      <c r="H875" s="8" t="s">
        <v>28</v>
      </c>
      <c r="I875" s="4" t="s">
        <v>29</v>
      </c>
      <c r="J875" s="4">
        <v>14</v>
      </c>
      <c r="K875" s="4" t="s">
        <v>30</v>
      </c>
      <c r="L875" s="8">
        <v>1</v>
      </c>
      <c r="M875" s="9" t="s">
        <v>79</v>
      </c>
      <c r="N875" s="9" t="str">
        <f t="shared" si="7"/>
        <v>PD</v>
      </c>
      <c r="O875" s="10">
        <v>2118.39</v>
      </c>
      <c r="P875" s="10">
        <v>1258.27</v>
      </c>
      <c r="Q875" s="11">
        <v>3.7</v>
      </c>
      <c r="R875" s="13" t="str">
        <f>IF(Patient_Data!$L875&lt;2,"Low Risk",IF(Patient_Data!$L875&lt;4,"Moderate Risk","High Risk"))</f>
        <v>Low Risk</v>
      </c>
      <c r="S875" s="12" t="str">
        <f>IF(Patient_Data[[#This Row],[Age]]&lt;=18,"Pediatric",IF(Patient_Data[[#This Row],[Age]]&lt;=64,"Adult","Geriatric"))</f>
        <v>Pediatric</v>
      </c>
    </row>
    <row r="876" spans="1:19" ht="15.75" customHeight="1" x14ac:dyDescent="0.3">
      <c r="A876" s="4" t="s">
        <v>1800</v>
      </c>
      <c r="B876" s="5" t="str">
        <f>TEXT(Patient_Data!$E876,"mmmm")</f>
        <v>October</v>
      </c>
      <c r="C876" s="6" t="str">
        <f t="shared" si="6"/>
        <v>Oct</v>
      </c>
      <c r="D876" s="6">
        <f>MONTH(Patient_Data!$E876)</f>
        <v>10</v>
      </c>
      <c r="E876" s="7">
        <v>45958</v>
      </c>
      <c r="F876" s="55" t="str">
        <f>TEXT(Patient_Data[[#This Row],[Admission_Date]],"YYYY")</f>
        <v>2025</v>
      </c>
      <c r="G876" s="8" t="s">
        <v>1801</v>
      </c>
      <c r="H876" s="8" t="s">
        <v>34</v>
      </c>
      <c r="I876" s="4" t="s">
        <v>29</v>
      </c>
      <c r="J876" s="4">
        <v>19</v>
      </c>
      <c r="K876" s="4" t="s">
        <v>30</v>
      </c>
      <c r="L876" s="8">
        <v>1</v>
      </c>
      <c r="M876" s="9" t="s">
        <v>31</v>
      </c>
      <c r="N876" s="9" t="str">
        <f t="shared" si="7"/>
        <v>Neuro</v>
      </c>
      <c r="O876" s="10">
        <v>7453.9</v>
      </c>
      <c r="P876" s="10">
        <v>4586.88</v>
      </c>
      <c r="Q876" s="11">
        <v>5</v>
      </c>
      <c r="R876" s="13" t="str">
        <f>IF(Patient_Data!$L876&lt;2,"Low Risk",IF(Patient_Data!$L876&lt;4,"Moderate Risk","High Risk"))</f>
        <v>Low Risk</v>
      </c>
      <c r="S876" s="12" t="str">
        <f>IF(Patient_Data[[#This Row],[Age]]&lt;=18,"Pediatric",IF(Patient_Data[[#This Row],[Age]]&lt;=64,"Adult","Geriatric"))</f>
        <v>Adult</v>
      </c>
    </row>
    <row r="877" spans="1:19" ht="15.75" customHeight="1" x14ac:dyDescent="0.3">
      <c r="A877" s="4" t="s">
        <v>1802</v>
      </c>
      <c r="B877" s="5" t="str">
        <f>TEXT(Patient_Data!$E877,"mmmm")</f>
        <v>July</v>
      </c>
      <c r="C877" s="6" t="str">
        <f t="shared" si="6"/>
        <v>Jul</v>
      </c>
      <c r="D877" s="6">
        <f>MONTH(Patient_Data!$E877)</f>
        <v>7</v>
      </c>
      <c r="E877" s="7">
        <v>45861</v>
      </c>
      <c r="F877" s="55" t="str">
        <f>TEXT(Patient_Data[[#This Row],[Admission_Date]],"YYYY")</f>
        <v>2025</v>
      </c>
      <c r="G877" s="8" t="s">
        <v>1803</v>
      </c>
      <c r="H877" s="8" t="s">
        <v>49</v>
      </c>
      <c r="I877" s="4" t="s">
        <v>35</v>
      </c>
      <c r="J877" s="4">
        <v>68</v>
      </c>
      <c r="K877" s="4" t="s">
        <v>30</v>
      </c>
      <c r="L877" s="8">
        <v>1</v>
      </c>
      <c r="M877" s="9" t="s">
        <v>36</v>
      </c>
      <c r="N877" s="9" t="str">
        <f t="shared" si="7"/>
        <v>Cardio</v>
      </c>
      <c r="O877" s="10">
        <v>9443.31</v>
      </c>
      <c r="P877" s="10">
        <v>6086.92</v>
      </c>
      <c r="Q877" s="11">
        <v>5.4</v>
      </c>
      <c r="R877" s="13" t="str">
        <f>IF(Patient_Data!$L877&lt;2,"Low Risk",IF(Patient_Data!$L877&lt;4,"Moderate Risk","High Risk"))</f>
        <v>Low Risk</v>
      </c>
      <c r="S877" s="12" t="str">
        <f>IF(Patient_Data[[#This Row],[Age]]&lt;=18,"Pediatric",IF(Patient_Data[[#This Row],[Age]]&lt;=64,"Adult","Geriatric"))</f>
        <v>Geriatric</v>
      </c>
    </row>
    <row r="878" spans="1:19" ht="15.75" customHeight="1" x14ac:dyDescent="0.3">
      <c r="A878" s="4" t="s">
        <v>1804</v>
      </c>
      <c r="B878" s="5" t="str">
        <f>TEXT(Patient_Data!$E878,"mmmm")</f>
        <v>June</v>
      </c>
      <c r="C878" s="6" t="str">
        <f t="shared" si="6"/>
        <v>Jun</v>
      </c>
      <c r="D878" s="6">
        <f>MONTH(Patient_Data!$E878)</f>
        <v>6</v>
      </c>
      <c r="E878" s="7">
        <v>46185</v>
      </c>
      <c r="F878" s="55" t="str">
        <f>TEXT(Patient_Data[[#This Row],[Admission_Date]],"YYYY")</f>
        <v>2026</v>
      </c>
      <c r="G878" s="8" t="s">
        <v>1805</v>
      </c>
      <c r="H878" s="8" t="s">
        <v>98</v>
      </c>
      <c r="I878" s="4" t="s">
        <v>35</v>
      </c>
      <c r="J878" s="4">
        <v>83</v>
      </c>
      <c r="K878" s="4" t="s">
        <v>54</v>
      </c>
      <c r="L878" s="8">
        <v>5</v>
      </c>
      <c r="M878" s="9" t="s">
        <v>50</v>
      </c>
      <c r="N878" s="9" t="str">
        <f t="shared" si="7"/>
        <v>ICU</v>
      </c>
      <c r="O878" s="10">
        <v>22730.560000000001</v>
      </c>
      <c r="P878" s="10">
        <v>15298.28</v>
      </c>
      <c r="Q878" s="11">
        <v>8.6</v>
      </c>
      <c r="R878" s="13" t="str">
        <f>IF(Patient_Data!$L878&lt;2,"Low Risk",IF(Patient_Data!$L878&lt;4,"Moderate Risk","High Risk"))</f>
        <v>High Risk</v>
      </c>
      <c r="S878" s="12" t="str">
        <f>IF(Patient_Data[[#This Row],[Age]]&lt;=18,"Pediatric",IF(Patient_Data[[#This Row],[Age]]&lt;=64,"Adult","Geriatric"))</f>
        <v>Geriatric</v>
      </c>
    </row>
    <row r="879" spans="1:19" ht="15.75" customHeight="1" x14ac:dyDescent="0.3">
      <c r="A879" s="4" t="s">
        <v>1806</v>
      </c>
      <c r="B879" s="5" t="str">
        <f>TEXT(Patient_Data!$E879,"mmmm")</f>
        <v>September</v>
      </c>
      <c r="C879" s="6" t="str">
        <f t="shared" si="6"/>
        <v>Sep</v>
      </c>
      <c r="D879" s="6">
        <f>MONTH(Patient_Data!$E879)</f>
        <v>9</v>
      </c>
      <c r="E879" s="7">
        <v>45919</v>
      </c>
      <c r="F879" s="55" t="str">
        <f>TEXT(Patient_Data[[#This Row],[Admission_Date]],"YYYY")</f>
        <v>2025</v>
      </c>
      <c r="G879" s="8" t="s">
        <v>1807</v>
      </c>
      <c r="H879" s="8" t="s">
        <v>98</v>
      </c>
      <c r="I879" s="4" t="s">
        <v>29</v>
      </c>
      <c r="J879" s="4">
        <v>84</v>
      </c>
      <c r="K879" s="4" t="s">
        <v>30</v>
      </c>
      <c r="L879" s="8">
        <v>3</v>
      </c>
      <c r="M879" s="9" t="s">
        <v>31</v>
      </c>
      <c r="N879" s="9" t="str">
        <f t="shared" si="7"/>
        <v>Neuro</v>
      </c>
      <c r="O879" s="10">
        <v>9180.2900000000009</v>
      </c>
      <c r="P879" s="10">
        <v>6522.2</v>
      </c>
      <c r="Q879" s="11">
        <v>12</v>
      </c>
      <c r="R879" s="13" t="str">
        <f>IF(Patient_Data!$L879&lt;2,"Low Risk",IF(Patient_Data!$L879&lt;4,"Moderate Risk","High Risk"))</f>
        <v>Moderate Risk</v>
      </c>
      <c r="S879" s="12" t="str">
        <f>IF(Patient_Data[[#This Row],[Age]]&lt;=18,"Pediatric",IF(Patient_Data[[#This Row],[Age]]&lt;=64,"Adult","Geriatric"))</f>
        <v>Geriatric</v>
      </c>
    </row>
    <row r="880" spans="1:19" ht="15.75" customHeight="1" x14ac:dyDescent="0.3">
      <c r="A880" s="4" t="s">
        <v>1808</v>
      </c>
      <c r="B880" s="5" t="str">
        <f>TEXT(Patient_Data!$E880,"mmmm")</f>
        <v>February</v>
      </c>
      <c r="C880" s="6" t="str">
        <f t="shared" si="6"/>
        <v>Feb</v>
      </c>
      <c r="D880" s="6">
        <f>MONTH(Patient_Data!$E880)</f>
        <v>2</v>
      </c>
      <c r="E880" s="7">
        <v>45713</v>
      </c>
      <c r="F880" s="55" t="str">
        <f>TEXT(Patient_Data[[#This Row],[Admission_Date]],"YYYY")</f>
        <v>2025</v>
      </c>
      <c r="G880" s="8" t="s">
        <v>1809</v>
      </c>
      <c r="H880" s="8" t="s">
        <v>53</v>
      </c>
      <c r="I880" s="4" t="s">
        <v>29</v>
      </c>
      <c r="J880" s="4">
        <v>46</v>
      </c>
      <c r="K880" s="4" t="s">
        <v>54</v>
      </c>
      <c r="L880" s="8">
        <v>3</v>
      </c>
      <c r="M880" s="9" t="s">
        <v>83</v>
      </c>
      <c r="N880" s="9" t="str">
        <f t="shared" si="7"/>
        <v>ER</v>
      </c>
      <c r="O880" s="10">
        <v>9328.8799999999992</v>
      </c>
      <c r="P880" s="10">
        <v>6898.08</v>
      </c>
      <c r="Q880" s="11">
        <v>11</v>
      </c>
      <c r="R880" s="13" t="str">
        <f>IF(Patient_Data!$L880&lt;2,"Low Risk",IF(Patient_Data!$L880&lt;4,"Moderate Risk","High Risk"))</f>
        <v>Moderate Risk</v>
      </c>
      <c r="S880" s="12" t="str">
        <f>IF(Patient_Data[[#This Row],[Age]]&lt;=18,"Pediatric",IF(Patient_Data[[#This Row],[Age]]&lt;=64,"Adult","Geriatric"))</f>
        <v>Adult</v>
      </c>
    </row>
    <row r="881" spans="1:19" ht="15.75" customHeight="1" x14ac:dyDescent="0.3">
      <c r="A881" s="4" t="s">
        <v>1810</v>
      </c>
      <c r="B881" s="5" t="str">
        <f>TEXT(Patient_Data!$E881,"mmmm")</f>
        <v>February</v>
      </c>
      <c r="C881" s="6" t="str">
        <f t="shared" si="6"/>
        <v>Feb</v>
      </c>
      <c r="D881" s="6">
        <f>MONTH(Patient_Data!$E881)</f>
        <v>2</v>
      </c>
      <c r="E881" s="7">
        <v>45336</v>
      </c>
      <c r="F881" s="55" t="str">
        <f>TEXT(Patient_Data[[#This Row],[Admission_Date]],"YYYY")</f>
        <v>2024</v>
      </c>
      <c r="G881" s="8" t="s">
        <v>1811</v>
      </c>
      <c r="H881" s="8" t="s">
        <v>28</v>
      </c>
      <c r="I881" s="4" t="s">
        <v>35</v>
      </c>
      <c r="J881" s="4">
        <v>78</v>
      </c>
      <c r="K881" s="4" t="s">
        <v>54</v>
      </c>
      <c r="L881" s="8">
        <v>3</v>
      </c>
      <c r="M881" s="9" t="s">
        <v>83</v>
      </c>
      <c r="N881" s="9" t="str">
        <f t="shared" si="7"/>
        <v>ER</v>
      </c>
      <c r="O881" s="10">
        <v>4365.29</v>
      </c>
      <c r="P881" s="10">
        <v>3402.42</v>
      </c>
      <c r="Q881" s="11">
        <v>10.6</v>
      </c>
      <c r="R881" s="13" t="str">
        <f>IF(Patient_Data!$L881&lt;2,"Low Risk",IF(Patient_Data!$L881&lt;4,"Moderate Risk","High Risk"))</f>
        <v>Moderate Risk</v>
      </c>
      <c r="S881" s="12" t="str">
        <f>IF(Patient_Data[[#This Row],[Age]]&lt;=18,"Pediatric",IF(Patient_Data[[#This Row],[Age]]&lt;=64,"Adult","Geriatric"))</f>
        <v>Geriatric</v>
      </c>
    </row>
    <row r="882" spans="1:19" ht="15.75" customHeight="1" x14ac:dyDescent="0.3">
      <c r="A882" s="4" t="s">
        <v>1812</v>
      </c>
      <c r="B882" s="5" t="str">
        <f>TEXT(Patient_Data!$E882,"mmmm")</f>
        <v>January</v>
      </c>
      <c r="C882" s="6" t="str">
        <f t="shared" si="6"/>
        <v>Jan</v>
      </c>
      <c r="D882" s="6">
        <f>MONTH(Patient_Data!$E882)</f>
        <v>1</v>
      </c>
      <c r="E882" s="7">
        <v>46036</v>
      </c>
      <c r="F882" s="55" t="str">
        <f>TEXT(Patient_Data[[#This Row],[Admission_Date]],"YYYY")</f>
        <v>2026</v>
      </c>
      <c r="G882" s="8" t="s">
        <v>1813</v>
      </c>
      <c r="H882" s="8" t="s">
        <v>28</v>
      </c>
      <c r="I882" s="4" t="s">
        <v>29</v>
      </c>
      <c r="J882" s="4">
        <v>77</v>
      </c>
      <c r="K882" s="4" t="s">
        <v>30</v>
      </c>
      <c r="L882" s="8">
        <v>1</v>
      </c>
      <c r="M882" s="9" t="s">
        <v>83</v>
      </c>
      <c r="N882" s="9" t="str">
        <f t="shared" si="7"/>
        <v>ER</v>
      </c>
      <c r="O882" s="10">
        <v>3079.77</v>
      </c>
      <c r="P882" s="10">
        <v>1883.07</v>
      </c>
      <c r="Q882" s="11">
        <v>12.1</v>
      </c>
      <c r="R882" s="13" t="str">
        <f>IF(Patient_Data!$L882&lt;2,"Low Risk",IF(Patient_Data!$L882&lt;4,"Moderate Risk","High Risk"))</f>
        <v>Low Risk</v>
      </c>
      <c r="S882" s="12" t="str">
        <f>IF(Patient_Data[[#This Row],[Age]]&lt;=18,"Pediatric",IF(Patient_Data[[#This Row],[Age]]&lt;=64,"Adult","Geriatric"))</f>
        <v>Geriatric</v>
      </c>
    </row>
    <row r="883" spans="1:19" ht="15.75" customHeight="1" x14ac:dyDescent="0.3">
      <c r="A883" s="4" t="s">
        <v>1814</v>
      </c>
      <c r="B883" s="5" t="str">
        <f>TEXT(Patient_Data!$E883,"mmmm")</f>
        <v>February</v>
      </c>
      <c r="C883" s="6" t="str">
        <f t="shared" si="6"/>
        <v>Feb</v>
      </c>
      <c r="D883" s="6">
        <f>MONTH(Patient_Data!$E883)</f>
        <v>2</v>
      </c>
      <c r="E883" s="7">
        <v>45328</v>
      </c>
      <c r="F883" s="55" t="str">
        <f>TEXT(Patient_Data[[#This Row],[Admission_Date]],"YYYY")</f>
        <v>2024</v>
      </c>
      <c r="G883" s="8" t="s">
        <v>1815</v>
      </c>
      <c r="H883" s="8" t="s">
        <v>28</v>
      </c>
      <c r="I883" s="4" t="s">
        <v>29</v>
      </c>
      <c r="J883" s="4">
        <v>82</v>
      </c>
      <c r="K883" s="4" t="s">
        <v>54</v>
      </c>
      <c r="L883" s="8">
        <v>3</v>
      </c>
      <c r="M883" s="9" t="s">
        <v>50</v>
      </c>
      <c r="N883" s="9" t="str">
        <f t="shared" si="7"/>
        <v>ICU</v>
      </c>
      <c r="O883" s="10">
        <v>9225.86</v>
      </c>
      <c r="P883" s="10">
        <v>5750.97</v>
      </c>
      <c r="Q883" s="11">
        <v>15.4</v>
      </c>
      <c r="R883" s="13" t="str">
        <f>IF(Patient_Data!$L883&lt;2,"Low Risk",IF(Patient_Data!$L883&lt;4,"Moderate Risk","High Risk"))</f>
        <v>Moderate Risk</v>
      </c>
      <c r="S883" s="12" t="str">
        <f>IF(Patient_Data[[#This Row],[Age]]&lt;=18,"Pediatric",IF(Patient_Data[[#This Row],[Age]]&lt;=64,"Adult","Geriatric"))</f>
        <v>Geriatric</v>
      </c>
    </row>
    <row r="884" spans="1:19" ht="15.75" customHeight="1" x14ac:dyDescent="0.3">
      <c r="A884" s="4" t="s">
        <v>1816</v>
      </c>
      <c r="B884" s="5" t="str">
        <f>TEXT(Patient_Data!$E884,"mmmm")</f>
        <v>January</v>
      </c>
      <c r="C884" s="6" t="str">
        <f t="shared" si="6"/>
        <v>Jan</v>
      </c>
      <c r="D884" s="6">
        <f>MONTH(Patient_Data!$E884)</f>
        <v>1</v>
      </c>
      <c r="E884" s="7">
        <v>46048</v>
      </c>
      <c r="F884" s="55" t="str">
        <f>TEXT(Patient_Data[[#This Row],[Admission_Date]],"YYYY")</f>
        <v>2026</v>
      </c>
      <c r="G884" s="8" t="s">
        <v>1817</v>
      </c>
      <c r="H884" s="8" t="s">
        <v>49</v>
      </c>
      <c r="I884" s="4" t="s">
        <v>29</v>
      </c>
      <c r="J884" s="4">
        <v>43</v>
      </c>
      <c r="K884" s="4" t="s">
        <v>30</v>
      </c>
      <c r="L884" s="8">
        <v>1</v>
      </c>
      <c r="M884" s="9" t="s">
        <v>31</v>
      </c>
      <c r="N884" s="9" t="str">
        <f t="shared" si="7"/>
        <v>Neuro</v>
      </c>
      <c r="O884" s="10">
        <v>4717.63</v>
      </c>
      <c r="P884" s="10">
        <v>3019.28</v>
      </c>
      <c r="Q884" s="11"/>
      <c r="R884" s="13" t="str">
        <f>IF(Patient_Data!$L884&lt;2,"Low Risk",IF(Patient_Data!$L884&lt;4,"Moderate Risk","High Risk"))</f>
        <v>Low Risk</v>
      </c>
      <c r="S884" s="12" t="str">
        <f>IF(Patient_Data[[#This Row],[Age]]&lt;=18,"Pediatric",IF(Patient_Data[[#This Row],[Age]]&lt;=64,"Adult","Geriatric"))</f>
        <v>Adult</v>
      </c>
    </row>
    <row r="885" spans="1:19" ht="15.75" customHeight="1" x14ac:dyDescent="0.3">
      <c r="A885" s="4" t="s">
        <v>1818</v>
      </c>
      <c r="B885" s="5" t="str">
        <f>TEXT(Patient_Data!$E885,"mmmm")</f>
        <v>June</v>
      </c>
      <c r="C885" s="6" t="str">
        <f t="shared" si="6"/>
        <v>Jun</v>
      </c>
      <c r="D885" s="6">
        <f>MONTH(Patient_Data!$E885)</f>
        <v>6</v>
      </c>
      <c r="E885" s="7">
        <v>45824</v>
      </c>
      <c r="F885" s="55" t="str">
        <f>TEXT(Patient_Data[[#This Row],[Admission_Date]],"YYYY")</f>
        <v>2025</v>
      </c>
      <c r="G885" s="8" t="s">
        <v>1819</v>
      </c>
      <c r="H885" s="8" t="s">
        <v>82</v>
      </c>
      <c r="I885" s="4" t="s">
        <v>29</v>
      </c>
      <c r="J885" s="4">
        <v>54</v>
      </c>
      <c r="K885" s="4" t="s">
        <v>30</v>
      </c>
      <c r="L885" s="8">
        <v>2</v>
      </c>
      <c r="M885" s="9" t="s">
        <v>31</v>
      </c>
      <c r="N885" s="9" t="str">
        <f t="shared" si="7"/>
        <v>Neuro</v>
      </c>
      <c r="O885" s="10">
        <v>8305.94</v>
      </c>
      <c r="P885" s="10">
        <v>5640.98</v>
      </c>
      <c r="Q885" s="11">
        <v>9.5</v>
      </c>
      <c r="R885" s="13" t="str">
        <f>IF(Patient_Data!$L885&lt;2,"Low Risk",IF(Patient_Data!$L885&lt;4,"Moderate Risk","High Risk"))</f>
        <v>Moderate Risk</v>
      </c>
      <c r="S885" s="12" t="str">
        <f>IF(Patient_Data[[#This Row],[Age]]&lt;=18,"Pediatric",IF(Patient_Data[[#This Row],[Age]]&lt;=64,"Adult","Geriatric"))</f>
        <v>Adult</v>
      </c>
    </row>
    <row r="886" spans="1:19" ht="15.75" customHeight="1" x14ac:dyDescent="0.3">
      <c r="A886" s="4" t="s">
        <v>1820</v>
      </c>
      <c r="B886" s="5" t="str">
        <f>TEXT(Patient_Data!$E886,"mmmm")</f>
        <v>March</v>
      </c>
      <c r="C886" s="6" t="str">
        <f t="shared" si="6"/>
        <v>Mar</v>
      </c>
      <c r="D886" s="6">
        <f>MONTH(Patient_Data!$E886)</f>
        <v>3</v>
      </c>
      <c r="E886" s="7">
        <v>45377</v>
      </c>
      <c r="F886" s="55" t="str">
        <f>TEXT(Patient_Data[[#This Row],[Admission_Date]],"YYYY")</f>
        <v>2024</v>
      </c>
      <c r="G886" s="8" t="s">
        <v>1821</v>
      </c>
      <c r="H886" s="8" t="s">
        <v>53</v>
      </c>
      <c r="I886" s="4" t="s">
        <v>29</v>
      </c>
      <c r="J886" s="4">
        <v>4</v>
      </c>
      <c r="K886" s="4" t="s">
        <v>30</v>
      </c>
      <c r="L886" s="8">
        <v>2</v>
      </c>
      <c r="M886" s="9" t="s">
        <v>79</v>
      </c>
      <c r="N886" s="9" t="str">
        <f t="shared" si="7"/>
        <v>PD</v>
      </c>
      <c r="O886" s="10">
        <v>2672.9</v>
      </c>
      <c r="P886" s="10">
        <v>1875.03</v>
      </c>
      <c r="Q886" s="11">
        <v>0.5</v>
      </c>
      <c r="R886" s="13" t="str">
        <f>IF(Patient_Data!$L886&lt;2,"Low Risk",IF(Patient_Data!$L886&lt;4,"Moderate Risk","High Risk"))</f>
        <v>Moderate Risk</v>
      </c>
      <c r="S886" s="12" t="str">
        <f>IF(Patient_Data[[#This Row],[Age]]&lt;=18,"Pediatric",IF(Patient_Data[[#This Row],[Age]]&lt;=64,"Adult","Geriatric"))</f>
        <v>Pediatric</v>
      </c>
    </row>
    <row r="887" spans="1:19" ht="15.75" customHeight="1" x14ac:dyDescent="0.3">
      <c r="A887" s="4" t="s">
        <v>1822</v>
      </c>
      <c r="B887" s="5" t="str">
        <f>TEXT(Patient_Data!$E887,"mmmm")</f>
        <v>February</v>
      </c>
      <c r="C887" s="6" t="str">
        <f t="shared" si="6"/>
        <v>Feb</v>
      </c>
      <c r="D887" s="6">
        <f>MONTH(Patient_Data!$E887)</f>
        <v>2</v>
      </c>
      <c r="E887" s="7">
        <v>45330</v>
      </c>
      <c r="F887" s="55" t="str">
        <f>TEXT(Patient_Data[[#This Row],[Admission_Date]],"YYYY")</f>
        <v>2024</v>
      </c>
      <c r="G887" s="8" t="s">
        <v>1823</v>
      </c>
      <c r="H887" s="8" t="s">
        <v>98</v>
      </c>
      <c r="I887" s="4" t="s">
        <v>35</v>
      </c>
      <c r="J887" s="4">
        <v>61</v>
      </c>
      <c r="K887" s="4" t="s">
        <v>30</v>
      </c>
      <c r="L887" s="8">
        <v>1</v>
      </c>
      <c r="M887" s="9" t="s">
        <v>31</v>
      </c>
      <c r="N887" s="9" t="str">
        <f t="shared" si="7"/>
        <v>Neuro</v>
      </c>
      <c r="O887" s="10">
        <v>8186.24</v>
      </c>
      <c r="P887" s="10">
        <v>6047.16</v>
      </c>
      <c r="Q887" s="11">
        <v>8.9</v>
      </c>
      <c r="R887" s="13" t="str">
        <f>IF(Patient_Data!$L887&lt;2,"Low Risk",IF(Patient_Data!$L887&lt;4,"Moderate Risk","High Risk"))</f>
        <v>Low Risk</v>
      </c>
      <c r="S887" s="12" t="str">
        <f>IF(Patient_Data[[#This Row],[Age]]&lt;=18,"Pediatric",IF(Patient_Data[[#This Row],[Age]]&lt;=64,"Adult","Geriatric"))</f>
        <v>Adult</v>
      </c>
    </row>
    <row r="888" spans="1:19" ht="15.75" customHeight="1" x14ac:dyDescent="0.3">
      <c r="A888" s="4" t="s">
        <v>1824</v>
      </c>
      <c r="B888" s="5" t="str">
        <f>TEXT(Patient_Data!$E888,"mmmm")</f>
        <v>June</v>
      </c>
      <c r="C888" s="6" t="str">
        <f t="shared" si="6"/>
        <v>Jun</v>
      </c>
      <c r="D888" s="6">
        <f>MONTH(Patient_Data!$E888)</f>
        <v>6</v>
      </c>
      <c r="E888" s="7">
        <v>45838</v>
      </c>
      <c r="F888" s="55" t="str">
        <f>TEXT(Patient_Data[[#This Row],[Admission_Date]],"YYYY")</f>
        <v>2025</v>
      </c>
      <c r="G888" s="8" t="s">
        <v>1825</v>
      </c>
      <c r="H888" s="8" t="s">
        <v>49</v>
      </c>
      <c r="I888" s="4" t="s">
        <v>29</v>
      </c>
      <c r="J888" s="4">
        <v>69</v>
      </c>
      <c r="K888" s="4" t="s">
        <v>30</v>
      </c>
      <c r="L888" s="8">
        <v>1</v>
      </c>
      <c r="M888" s="9" t="s">
        <v>36</v>
      </c>
      <c r="N888" s="9" t="str">
        <f t="shared" si="7"/>
        <v>Cardio</v>
      </c>
      <c r="O888" s="10">
        <v>10462.66</v>
      </c>
      <c r="P888" s="10">
        <v>8034.02</v>
      </c>
      <c r="Q888" s="11">
        <v>10.3</v>
      </c>
      <c r="R888" s="13" t="str">
        <f>IF(Patient_Data!$L888&lt;2,"Low Risk",IF(Patient_Data!$L888&lt;4,"Moderate Risk","High Risk"))</f>
        <v>Low Risk</v>
      </c>
      <c r="S888" s="12" t="str">
        <f>IF(Patient_Data[[#This Row],[Age]]&lt;=18,"Pediatric",IF(Patient_Data[[#This Row],[Age]]&lt;=64,"Adult","Geriatric"))</f>
        <v>Geriatric</v>
      </c>
    </row>
    <row r="889" spans="1:19" ht="15.75" customHeight="1" x14ac:dyDescent="0.3">
      <c r="A889" s="4" t="s">
        <v>1826</v>
      </c>
      <c r="B889" s="5" t="str">
        <f>TEXT(Patient_Data!$E889,"mmmm")</f>
        <v>April</v>
      </c>
      <c r="C889" s="6" t="str">
        <f t="shared" si="6"/>
        <v>Apr</v>
      </c>
      <c r="D889" s="6">
        <f>MONTH(Patient_Data!$E889)</f>
        <v>4</v>
      </c>
      <c r="E889" s="7">
        <v>45772</v>
      </c>
      <c r="F889" s="55" t="str">
        <f>TEXT(Patient_Data[[#This Row],[Admission_Date]],"YYYY")</f>
        <v>2025</v>
      </c>
      <c r="G889" s="8" t="s">
        <v>1827</v>
      </c>
      <c r="H889" s="8" t="s">
        <v>53</v>
      </c>
      <c r="I889" s="4" t="s">
        <v>29</v>
      </c>
      <c r="J889" s="4">
        <v>2</v>
      </c>
      <c r="K889" s="4" t="s">
        <v>30</v>
      </c>
      <c r="L889" s="8">
        <v>1</v>
      </c>
      <c r="M889" s="9" t="s">
        <v>79</v>
      </c>
      <c r="N889" s="9" t="str">
        <f t="shared" si="7"/>
        <v>PD</v>
      </c>
      <c r="O889" s="10">
        <v>1833.04</v>
      </c>
      <c r="P889" s="10">
        <v>1090.3599999999999</v>
      </c>
      <c r="Q889" s="11">
        <v>3.4</v>
      </c>
      <c r="R889" s="13" t="str">
        <f>IF(Patient_Data!$L889&lt;2,"Low Risk",IF(Patient_Data!$L889&lt;4,"Moderate Risk","High Risk"))</f>
        <v>Low Risk</v>
      </c>
      <c r="S889" s="12" t="str">
        <f>IF(Patient_Data[[#This Row],[Age]]&lt;=18,"Pediatric",IF(Patient_Data[[#This Row],[Age]]&lt;=64,"Adult","Geriatric"))</f>
        <v>Pediatric</v>
      </c>
    </row>
    <row r="890" spans="1:19" ht="15.75" customHeight="1" x14ac:dyDescent="0.3">
      <c r="A890" s="4" t="s">
        <v>1828</v>
      </c>
      <c r="B890" s="5" t="str">
        <f>TEXT(Patient_Data!$E890,"mmmm")</f>
        <v>February</v>
      </c>
      <c r="C890" s="6" t="str">
        <f t="shared" si="6"/>
        <v>Feb</v>
      </c>
      <c r="D890" s="6">
        <f>MONTH(Patient_Data!$E890)</f>
        <v>2</v>
      </c>
      <c r="E890" s="7">
        <v>46076</v>
      </c>
      <c r="F890" s="55" t="str">
        <f>TEXT(Patient_Data[[#This Row],[Admission_Date]],"YYYY")</f>
        <v>2026</v>
      </c>
      <c r="G890" s="8" t="s">
        <v>1829</v>
      </c>
      <c r="H890" s="8" t="s">
        <v>42</v>
      </c>
      <c r="I890" s="4" t="s">
        <v>29</v>
      </c>
      <c r="J890" s="4">
        <v>9</v>
      </c>
      <c r="K890" s="4" t="s">
        <v>54</v>
      </c>
      <c r="L890" s="8">
        <v>3</v>
      </c>
      <c r="M890" s="9" t="s">
        <v>79</v>
      </c>
      <c r="N890" s="9" t="str">
        <f t="shared" si="7"/>
        <v>PD</v>
      </c>
      <c r="O890" s="10">
        <v>1269.44</v>
      </c>
      <c r="P890" s="10">
        <v>811.96</v>
      </c>
      <c r="Q890" s="11">
        <v>4.7</v>
      </c>
      <c r="R890" s="13" t="str">
        <f>IF(Patient_Data!$L890&lt;2,"Low Risk",IF(Patient_Data!$L890&lt;4,"Moderate Risk","High Risk"))</f>
        <v>Moderate Risk</v>
      </c>
      <c r="S890" s="12" t="str">
        <f>IF(Patient_Data[[#This Row],[Age]]&lt;=18,"Pediatric",IF(Patient_Data[[#This Row],[Age]]&lt;=64,"Adult","Geriatric"))</f>
        <v>Pediatric</v>
      </c>
    </row>
    <row r="891" spans="1:19" ht="15.75" customHeight="1" x14ac:dyDescent="0.3">
      <c r="A891" s="4" t="s">
        <v>1830</v>
      </c>
      <c r="B891" s="5" t="str">
        <f>TEXT(Patient_Data!$E891,"mmmm")</f>
        <v>August</v>
      </c>
      <c r="C891" s="6" t="str">
        <f t="shared" si="6"/>
        <v>Aug</v>
      </c>
      <c r="D891" s="6">
        <f>MONTH(Patient_Data!$E891)</f>
        <v>8</v>
      </c>
      <c r="E891" s="7">
        <v>45889</v>
      </c>
      <c r="F891" s="55" t="str">
        <f>TEXT(Patient_Data[[#This Row],[Admission_Date]],"YYYY")</f>
        <v>2025</v>
      </c>
      <c r="G891" s="8" t="s">
        <v>1831</v>
      </c>
      <c r="H891" s="8" t="s">
        <v>98</v>
      </c>
      <c r="I891" s="4" t="s">
        <v>35</v>
      </c>
      <c r="J891" s="4">
        <v>61</v>
      </c>
      <c r="K891" s="4" t="s">
        <v>45</v>
      </c>
      <c r="L891" s="8">
        <v>4</v>
      </c>
      <c r="M891" s="9" t="s">
        <v>50</v>
      </c>
      <c r="N891" s="9" t="str">
        <f t="shared" si="7"/>
        <v>ICU</v>
      </c>
      <c r="O891" s="10">
        <v>12085.14</v>
      </c>
      <c r="P891" s="10">
        <v>7836.89</v>
      </c>
      <c r="Q891" s="11">
        <v>12.8</v>
      </c>
      <c r="R891" s="13" t="str">
        <f>IF(Patient_Data!$L891&lt;2,"Low Risk",IF(Patient_Data!$L891&lt;4,"Moderate Risk","High Risk"))</f>
        <v>High Risk</v>
      </c>
      <c r="S891" s="12" t="str">
        <f>IF(Patient_Data[[#This Row],[Age]]&lt;=18,"Pediatric",IF(Patient_Data[[#This Row],[Age]]&lt;=64,"Adult","Geriatric"))</f>
        <v>Adult</v>
      </c>
    </row>
    <row r="892" spans="1:19" ht="15.75" customHeight="1" x14ac:dyDescent="0.3">
      <c r="A892" s="4" t="s">
        <v>1832</v>
      </c>
      <c r="B892" s="5" t="str">
        <f>TEXT(Patient_Data!$E892,"mmmm")</f>
        <v>February</v>
      </c>
      <c r="C892" s="6" t="str">
        <f t="shared" si="6"/>
        <v>Feb</v>
      </c>
      <c r="D892" s="6">
        <f>MONTH(Patient_Data!$E892)</f>
        <v>2</v>
      </c>
      <c r="E892" s="7">
        <v>46057</v>
      </c>
      <c r="F892" s="55" t="str">
        <f>TEXT(Patient_Data[[#This Row],[Admission_Date]],"YYYY")</f>
        <v>2026</v>
      </c>
      <c r="G892" s="8" t="s">
        <v>1833</v>
      </c>
      <c r="H892" s="8" t="s">
        <v>132</v>
      </c>
      <c r="I892" s="4" t="s">
        <v>35</v>
      </c>
      <c r="J892" s="4">
        <v>63</v>
      </c>
      <c r="K892" s="4" t="s">
        <v>30</v>
      </c>
      <c r="L892" s="8">
        <v>1</v>
      </c>
      <c r="M892" s="9" t="s">
        <v>83</v>
      </c>
      <c r="N892" s="9" t="str">
        <f t="shared" si="7"/>
        <v>ER</v>
      </c>
      <c r="O892" s="10">
        <v>5008.55</v>
      </c>
      <c r="P892" s="10">
        <v>3450.13</v>
      </c>
      <c r="Q892" s="11">
        <v>11.8</v>
      </c>
      <c r="R892" s="13" t="str">
        <f>IF(Patient_Data!$L892&lt;2,"Low Risk",IF(Patient_Data!$L892&lt;4,"Moderate Risk","High Risk"))</f>
        <v>Low Risk</v>
      </c>
      <c r="S892" s="12" t="str">
        <f>IF(Patient_Data[[#This Row],[Age]]&lt;=18,"Pediatric",IF(Patient_Data[[#This Row],[Age]]&lt;=64,"Adult","Geriatric"))</f>
        <v>Adult</v>
      </c>
    </row>
    <row r="893" spans="1:19" ht="15.75" customHeight="1" x14ac:dyDescent="0.3">
      <c r="A893" s="4" t="s">
        <v>1834</v>
      </c>
      <c r="B893" s="5" t="str">
        <f>TEXT(Patient_Data!$E893,"mmmm")</f>
        <v>March</v>
      </c>
      <c r="C893" s="6" t="str">
        <f t="shared" si="6"/>
        <v>Mar</v>
      </c>
      <c r="D893" s="6">
        <f>MONTH(Patient_Data!$E893)</f>
        <v>3</v>
      </c>
      <c r="E893" s="7">
        <v>45729</v>
      </c>
      <c r="F893" s="55" t="str">
        <f>TEXT(Patient_Data[[#This Row],[Admission_Date]],"YYYY")</f>
        <v>2025</v>
      </c>
      <c r="G893" s="8" t="s">
        <v>1835</v>
      </c>
      <c r="H893" s="8" t="s">
        <v>49</v>
      </c>
      <c r="I893" s="4" t="s">
        <v>35</v>
      </c>
      <c r="J893" s="4">
        <v>79</v>
      </c>
      <c r="K893" s="4" t="s">
        <v>30</v>
      </c>
      <c r="L893" s="8">
        <v>2</v>
      </c>
      <c r="M893" s="9" t="s">
        <v>31</v>
      </c>
      <c r="N893" s="9" t="str">
        <f t="shared" si="7"/>
        <v>Neuro</v>
      </c>
      <c r="O893" s="10">
        <v>8903.06</v>
      </c>
      <c r="P893" s="10">
        <v>6267.34</v>
      </c>
      <c r="Q893" s="11">
        <v>4.4000000000000004</v>
      </c>
      <c r="R893" s="13" t="str">
        <f>IF(Patient_Data!$L893&lt;2,"Low Risk",IF(Patient_Data!$L893&lt;4,"Moderate Risk","High Risk"))</f>
        <v>Moderate Risk</v>
      </c>
      <c r="S893" s="12" t="str">
        <f>IF(Patient_Data[[#This Row],[Age]]&lt;=18,"Pediatric",IF(Patient_Data[[#This Row],[Age]]&lt;=64,"Adult","Geriatric"))</f>
        <v>Geriatric</v>
      </c>
    </row>
    <row r="894" spans="1:19" ht="15.75" customHeight="1" x14ac:dyDescent="0.3">
      <c r="A894" s="4" t="s">
        <v>1836</v>
      </c>
      <c r="B894" s="5" t="str">
        <f>TEXT(Patient_Data!$E894,"mmmm")</f>
        <v>December</v>
      </c>
      <c r="C894" s="6" t="str">
        <f t="shared" si="6"/>
        <v>Dec</v>
      </c>
      <c r="D894" s="6">
        <f>MONTH(Patient_Data!$E894)</f>
        <v>12</v>
      </c>
      <c r="E894" s="7">
        <v>45284</v>
      </c>
      <c r="F894" s="55" t="str">
        <f>TEXT(Patient_Data[[#This Row],[Admission_Date]],"YYYY")</f>
        <v>2023</v>
      </c>
      <c r="G894" s="8" t="s">
        <v>1837</v>
      </c>
      <c r="H894" s="8" t="s">
        <v>28</v>
      </c>
      <c r="I894" s="4" t="s">
        <v>29</v>
      </c>
      <c r="J894" s="4">
        <v>75</v>
      </c>
      <c r="K894" s="4" t="s">
        <v>45</v>
      </c>
      <c r="L894" s="8">
        <v>2</v>
      </c>
      <c r="M894" s="9" t="s">
        <v>39</v>
      </c>
      <c r="N894" s="9" t="str">
        <f t="shared" si="7"/>
        <v>GM</v>
      </c>
      <c r="O894" s="10">
        <v>1633.84</v>
      </c>
      <c r="P894" s="10">
        <v>1243.9000000000001</v>
      </c>
      <c r="Q894" s="11">
        <v>6.4</v>
      </c>
      <c r="R894" s="13" t="str">
        <f>IF(Patient_Data!$L894&lt;2,"Low Risk",IF(Patient_Data!$L894&lt;4,"Moderate Risk","High Risk"))</f>
        <v>Moderate Risk</v>
      </c>
      <c r="S894" s="12" t="str">
        <f>IF(Patient_Data[[#This Row],[Age]]&lt;=18,"Pediatric",IF(Patient_Data[[#This Row],[Age]]&lt;=64,"Adult","Geriatric"))</f>
        <v>Geriatric</v>
      </c>
    </row>
    <row r="895" spans="1:19" ht="15.75" customHeight="1" x14ac:dyDescent="0.3">
      <c r="A895" s="4" t="s">
        <v>1838</v>
      </c>
      <c r="B895" s="5" t="str">
        <f>TEXT(Patient_Data!$E895,"mmmm")</f>
        <v>February</v>
      </c>
      <c r="C895" s="6" t="str">
        <f t="shared" si="6"/>
        <v>Feb</v>
      </c>
      <c r="D895" s="6">
        <f>MONTH(Patient_Data!$E895)</f>
        <v>2</v>
      </c>
      <c r="E895" s="7">
        <v>46064</v>
      </c>
      <c r="F895" s="55" t="str">
        <f>TEXT(Patient_Data[[#This Row],[Admission_Date]],"YYYY")</f>
        <v>2026</v>
      </c>
      <c r="G895" s="8" t="s">
        <v>1839</v>
      </c>
      <c r="H895" s="8" t="s">
        <v>34</v>
      </c>
      <c r="I895" s="4" t="s">
        <v>29</v>
      </c>
      <c r="J895" s="4">
        <v>39</v>
      </c>
      <c r="K895" s="4" t="s">
        <v>30</v>
      </c>
      <c r="L895" s="8">
        <v>3</v>
      </c>
      <c r="M895" s="9" t="s">
        <v>31</v>
      </c>
      <c r="N895" s="9" t="str">
        <f t="shared" si="7"/>
        <v>Neuro</v>
      </c>
      <c r="O895" s="10">
        <v>8531.69</v>
      </c>
      <c r="P895" s="10">
        <v>6535.28</v>
      </c>
      <c r="Q895" s="11">
        <v>6.4</v>
      </c>
      <c r="R895" s="13" t="str">
        <f>IF(Patient_Data!$L895&lt;2,"Low Risk",IF(Patient_Data!$L895&lt;4,"Moderate Risk","High Risk"))</f>
        <v>Moderate Risk</v>
      </c>
      <c r="S895" s="12" t="str">
        <f>IF(Patient_Data[[#This Row],[Age]]&lt;=18,"Pediatric",IF(Patient_Data[[#This Row],[Age]]&lt;=64,"Adult","Geriatric"))</f>
        <v>Adult</v>
      </c>
    </row>
    <row r="896" spans="1:19" ht="15.75" customHeight="1" x14ac:dyDescent="0.3">
      <c r="A896" s="4" t="s">
        <v>1840</v>
      </c>
      <c r="B896" s="5" t="str">
        <f>TEXT(Patient_Data!$E896,"mmmm")</f>
        <v>November</v>
      </c>
      <c r="C896" s="6" t="str">
        <f t="shared" si="6"/>
        <v>Nov</v>
      </c>
      <c r="D896" s="6">
        <f>MONTH(Patient_Data!$E896)</f>
        <v>11</v>
      </c>
      <c r="E896" s="7">
        <v>45238</v>
      </c>
      <c r="F896" s="55" t="str">
        <f>TEXT(Patient_Data[[#This Row],[Admission_Date]],"YYYY")</f>
        <v>2023</v>
      </c>
      <c r="G896" s="8" t="s">
        <v>1841</v>
      </c>
      <c r="H896" s="8" t="s">
        <v>82</v>
      </c>
      <c r="I896" s="4" t="s">
        <v>29</v>
      </c>
      <c r="J896" s="4">
        <v>56</v>
      </c>
      <c r="K896" s="4" t="s">
        <v>45</v>
      </c>
      <c r="L896" s="8">
        <v>4</v>
      </c>
      <c r="M896" s="9" t="s">
        <v>50</v>
      </c>
      <c r="N896" s="9" t="str">
        <f t="shared" si="7"/>
        <v>ICU</v>
      </c>
      <c r="O896" s="10">
        <v>17011.68</v>
      </c>
      <c r="P896" s="10">
        <v>10000.370000000001</v>
      </c>
      <c r="Q896" s="11">
        <v>16.7</v>
      </c>
      <c r="R896" s="13" t="str">
        <f>IF(Patient_Data!$L896&lt;2,"Low Risk",IF(Patient_Data!$L896&lt;4,"Moderate Risk","High Risk"))</f>
        <v>High Risk</v>
      </c>
      <c r="S896" s="12" t="str">
        <f>IF(Patient_Data[[#This Row],[Age]]&lt;=18,"Pediatric",IF(Patient_Data[[#This Row],[Age]]&lt;=64,"Adult","Geriatric"))</f>
        <v>Adult</v>
      </c>
    </row>
    <row r="897" spans="1:19" ht="15.75" customHeight="1" x14ac:dyDescent="0.3">
      <c r="A897" s="4" t="s">
        <v>1842</v>
      </c>
      <c r="B897" s="5" t="str">
        <f>TEXT(Patient_Data!$E897,"mmmm")</f>
        <v>May</v>
      </c>
      <c r="C897" s="6" t="str">
        <f t="shared" si="6"/>
        <v>May</v>
      </c>
      <c r="D897" s="6">
        <f>MONTH(Patient_Data!$E897)</f>
        <v>5</v>
      </c>
      <c r="E897" s="7">
        <v>45425</v>
      </c>
      <c r="F897" s="55" t="str">
        <f>TEXT(Patient_Data[[#This Row],[Admission_Date]],"YYYY")</f>
        <v>2024</v>
      </c>
      <c r="G897" s="8" t="s">
        <v>1843</v>
      </c>
      <c r="H897" s="8" t="s">
        <v>53</v>
      </c>
      <c r="I897" s="4" t="s">
        <v>35</v>
      </c>
      <c r="J897" s="4">
        <v>79</v>
      </c>
      <c r="K897" s="4" t="s">
        <v>30</v>
      </c>
      <c r="L897" s="8">
        <v>2</v>
      </c>
      <c r="M897" s="9" t="s">
        <v>83</v>
      </c>
      <c r="N897" s="9" t="str">
        <f t="shared" si="7"/>
        <v>ER</v>
      </c>
      <c r="O897" s="10">
        <v>8843.1</v>
      </c>
      <c r="P897" s="10">
        <v>5560.69</v>
      </c>
      <c r="Q897" s="11">
        <v>20.8</v>
      </c>
      <c r="R897" s="13" t="str">
        <f>IF(Patient_Data!$L897&lt;2,"Low Risk",IF(Patient_Data!$L897&lt;4,"Moderate Risk","High Risk"))</f>
        <v>Moderate Risk</v>
      </c>
      <c r="S897" s="12" t="str">
        <f>IF(Patient_Data[[#This Row],[Age]]&lt;=18,"Pediatric",IF(Patient_Data[[#This Row],[Age]]&lt;=64,"Adult","Geriatric"))</f>
        <v>Geriatric</v>
      </c>
    </row>
    <row r="898" spans="1:19" ht="15.75" customHeight="1" x14ac:dyDescent="0.3">
      <c r="A898" s="4" t="s">
        <v>1844</v>
      </c>
      <c r="B898" s="5" t="str">
        <f>TEXT(Patient_Data!$E898,"mmmm")</f>
        <v>September</v>
      </c>
      <c r="C898" s="6" t="str">
        <f t="shared" si="6"/>
        <v>Sep</v>
      </c>
      <c r="D898" s="6">
        <f>MONTH(Patient_Data!$E898)</f>
        <v>9</v>
      </c>
      <c r="E898" s="7">
        <v>45917</v>
      </c>
      <c r="F898" s="55" t="str">
        <f>TEXT(Patient_Data[[#This Row],[Admission_Date]],"YYYY")</f>
        <v>2025</v>
      </c>
      <c r="G898" s="8" t="s">
        <v>1845</v>
      </c>
      <c r="H898" s="8" t="s">
        <v>82</v>
      </c>
      <c r="I898" s="4" t="s">
        <v>35</v>
      </c>
      <c r="J898" s="4">
        <v>19</v>
      </c>
      <c r="K898" s="4" t="s">
        <v>30</v>
      </c>
      <c r="L898" s="8">
        <v>1</v>
      </c>
      <c r="M898" s="9" t="s">
        <v>31</v>
      </c>
      <c r="N898" s="9" t="str">
        <f t="shared" si="7"/>
        <v>Neuro</v>
      </c>
      <c r="O898" s="10">
        <v>4928.83</v>
      </c>
      <c r="P898" s="10">
        <v>3231.25</v>
      </c>
      <c r="Q898" s="11">
        <v>9.6</v>
      </c>
      <c r="R898" s="13" t="str">
        <f>IF(Patient_Data!$L898&lt;2,"Low Risk",IF(Patient_Data!$L898&lt;4,"Moderate Risk","High Risk"))</f>
        <v>Low Risk</v>
      </c>
      <c r="S898" s="12" t="str">
        <f>IF(Patient_Data[[#This Row],[Age]]&lt;=18,"Pediatric",IF(Patient_Data[[#This Row],[Age]]&lt;=64,"Adult","Geriatric"))</f>
        <v>Adult</v>
      </c>
    </row>
    <row r="899" spans="1:19" ht="15.75" customHeight="1" x14ac:dyDescent="0.3">
      <c r="A899" s="4" t="s">
        <v>1846</v>
      </c>
      <c r="B899" s="5" t="str">
        <f>TEXT(Patient_Data!$E899,"mmmm")</f>
        <v>September</v>
      </c>
      <c r="C899" s="6" t="str">
        <f t="shared" si="6"/>
        <v>Sep</v>
      </c>
      <c r="D899" s="6">
        <f>MONTH(Patient_Data!$E899)</f>
        <v>9</v>
      </c>
      <c r="E899" s="7">
        <v>45908</v>
      </c>
      <c r="F899" s="55" t="str">
        <f>TEXT(Patient_Data[[#This Row],[Admission_Date]],"YYYY")</f>
        <v>2025</v>
      </c>
      <c r="G899" s="8" t="s">
        <v>1847</v>
      </c>
      <c r="H899" s="8" t="s">
        <v>42</v>
      </c>
      <c r="I899" s="4" t="s">
        <v>29</v>
      </c>
      <c r="J899" s="4">
        <v>83</v>
      </c>
      <c r="K899" s="4" t="s">
        <v>30</v>
      </c>
      <c r="L899" s="8">
        <v>2</v>
      </c>
      <c r="M899" s="9" t="s">
        <v>46</v>
      </c>
      <c r="N899" s="9" t="str">
        <f t="shared" si="7"/>
        <v>Ortho</v>
      </c>
      <c r="O899" s="10">
        <v>5801.7</v>
      </c>
      <c r="P899" s="10">
        <v>3907.94</v>
      </c>
      <c r="Q899" s="11">
        <v>2.6</v>
      </c>
      <c r="R899" s="13" t="str">
        <f>IF(Patient_Data!$L899&lt;2,"Low Risk",IF(Patient_Data!$L899&lt;4,"Moderate Risk","High Risk"))</f>
        <v>Moderate Risk</v>
      </c>
      <c r="S899" s="12" t="str">
        <f>IF(Patient_Data[[#This Row],[Age]]&lt;=18,"Pediatric",IF(Patient_Data[[#This Row],[Age]]&lt;=64,"Adult","Geriatric"))</f>
        <v>Geriatric</v>
      </c>
    </row>
    <row r="900" spans="1:19" ht="15.75" customHeight="1" x14ac:dyDescent="0.3">
      <c r="A900" s="4" t="s">
        <v>1848</v>
      </c>
      <c r="B900" s="5" t="str">
        <f>TEXT(Patient_Data!$E900,"mmmm")</f>
        <v>October</v>
      </c>
      <c r="C900" s="6" t="str">
        <f t="shared" si="6"/>
        <v>Oct</v>
      </c>
      <c r="D900" s="6">
        <f>MONTH(Patient_Data!$E900)</f>
        <v>10</v>
      </c>
      <c r="E900" s="7">
        <v>45951</v>
      </c>
      <c r="F900" s="55" t="str">
        <f>TEXT(Patient_Data[[#This Row],[Admission_Date]],"YYYY")</f>
        <v>2025</v>
      </c>
      <c r="G900" s="8" t="s">
        <v>1849</v>
      </c>
      <c r="H900" s="8" t="s">
        <v>49</v>
      </c>
      <c r="I900" s="4" t="s">
        <v>29</v>
      </c>
      <c r="J900" s="4">
        <v>94</v>
      </c>
      <c r="K900" s="4" t="s">
        <v>30</v>
      </c>
      <c r="L900" s="8">
        <v>3</v>
      </c>
      <c r="M900" s="9" t="s">
        <v>50</v>
      </c>
      <c r="N900" s="9" t="str">
        <f t="shared" si="7"/>
        <v>ICU</v>
      </c>
      <c r="O900" s="10">
        <v>16616.75</v>
      </c>
      <c r="P900" s="10">
        <v>11766.12</v>
      </c>
      <c r="Q900" s="11">
        <v>16.8</v>
      </c>
      <c r="R900" s="13" t="str">
        <f>IF(Patient_Data!$L900&lt;2,"Low Risk",IF(Patient_Data!$L900&lt;4,"Moderate Risk","High Risk"))</f>
        <v>Moderate Risk</v>
      </c>
      <c r="S900" s="12" t="str">
        <f>IF(Patient_Data[[#This Row],[Age]]&lt;=18,"Pediatric",IF(Patient_Data[[#This Row],[Age]]&lt;=64,"Adult","Geriatric"))</f>
        <v>Geriatric</v>
      </c>
    </row>
    <row r="901" spans="1:19" ht="15.75" customHeight="1" x14ac:dyDescent="0.3">
      <c r="A901" s="4" t="s">
        <v>1850</v>
      </c>
      <c r="B901" s="5" t="str">
        <f>TEXT(Patient_Data!$E901,"mmmm")</f>
        <v>November</v>
      </c>
      <c r="C901" s="6" t="str">
        <f t="shared" si="6"/>
        <v>Nov</v>
      </c>
      <c r="D901" s="6">
        <f>MONTH(Patient_Data!$E901)</f>
        <v>11</v>
      </c>
      <c r="E901" s="7">
        <v>45233</v>
      </c>
      <c r="F901" s="55" t="str">
        <f>TEXT(Patient_Data[[#This Row],[Admission_Date]],"YYYY")</f>
        <v>2023</v>
      </c>
      <c r="G901" s="8" t="s">
        <v>1851</v>
      </c>
      <c r="H901" s="8" t="s">
        <v>75</v>
      </c>
      <c r="I901" s="4" t="s">
        <v>35</v>
      </c>
      <c r="J901" s="4">
        <v>67</v>
      </c>
      <c r="K901" s="4" t="s">
        <v>30</v>
      </c>
      <c r="L901" s="8">
        <v>3</v>
      </c>
      <c r="M901" s="9" t="s">
        <v>36</v>
      </c>
      <c r="N901" s="9" t="str">
        <f t="shared" si="7"/>
        <v>Cardio</v>
      </c>
      <c r="O901" s="10">
        <v>10585.55</v>
      </c>
      <c r="P901" s="10">
        <v>7773.05</v>
      </c>
      <c r="Q901" s="11">
        <v>5.7</v>
      </c>
      <c r="R901" s="13" t="str">
        <f>IF(Patient_Data!$L901&lt;2,"Low Risk",IF(Patient_Data!$L901&lt;4,"Moderate Risk","High Risk"))</f>
        <v>Moderate Risk</v>
      </c>
      <c r="S901" s="12" t="str">
        <f>IF(Patient_Data[[#This Row],[Age]]&lt;=18,"Pediatric",IF(Patient_Data[[#This Row],[Age]]&lt;=64,"Adult","Geriatric"))</f>
        <v>Geriatric</v>
      </c>
    </row>
    <row r="902" spans="1:19" ht="15.75" customHeight="1" x14ac:dyDescent="0.3">
      <c r="A902" s="4" t="s">
        <v>1852</v>
      </c>
      <c r="B902" s="5" t="str">
        <f>TEXT(Patient_Data!$E902,"mmmm")</f>
        <v>July</v>
      </c>
      <c r="C902" s="6" t="str">
        <f t="shared" si="6"/>
        <v>Jul</v>
      </c>
      <c r="D902" s="6">
        <f>MONTH(Patient_Data!$E902)</f>
        <v>7</v>
      </c>
      <c r="E902" s="7">
        <v>45481</v>
      </c>
      <c r="F902" s="55" t="str">
        <f>TEXT(Patient_Data[[#This Row],[Admission_Date]],"YYYY")</f>
        <v>2024</v>
      </c>
      <c r="G902" s="8" t="s">
        <v>1853</v>
      </c>
      <c r="H902" s="8" t="s">
        <v>42</v>
      </c>
      <c r="I902" s="4" t="s">
        <v>29</v>
      </c>
      <c r="J902" s="4">
        <v>65</v>
      </c>
      <c r="K902" s="4" t="s">
        <v>30</v>
      </c>
      <c r="L902" s="8">
        <v>2</v>
      </c>
      <c r="M902" s="9" t="s">
        <v>36</v>
      </c>
      <c r="N902" s="9" t="str">
        <f t="shared" si="7"/>
        <v>Cardio</v>
      </c>
      <c r="O902" s="10">
        <v>7963.99</v>
      </c>
      <c r="P902" s="10">
        <v>6105.43</v>
      </c>
      <c r="Q902" s="11">
        <v>6.6</v>
      </c>
      <c r="R902" s="13" t="str">
        <f>IF(Patient_Data!$L902&lt;2,"Low Risk",IF(Patient_Data!$L902&lt;4,"Moderate Risk","High Risk"))</f>
        <v>Moderate Risk</v>
      </c>
      <c r="S902" s="12" t="str">
        <f>IF(Patient_Data[[#This Row],[Age]]&lt;=18,"Pediatric",IF(Patient_Data[[#This Row],[Age]]&lt;=64,"Adult","Geriatric"))</f>
        <v>Geriatric</v>
      </c>
    </row>
    <row r="903" spans="1:19" ht="15.75" customHeight="1" x14ac:dyDescent="0.3">
      <c r="A903" s="4" t="s">
        <v>1854</v>
      </c>
      <c r="B903" s="5" t="str">
        <f>TEXT(Patient_Data!$E903,"mmmm")</f>
        <v>February</v>
      </c>
      <c r="C903" s="6" t="str">
        <f t="shared" si="6"/>
        <v>Feb</v>
      </c>
      <c r="D903" s="6">
        <f>MONTH(Patient_Data!$E903)</f>
        <v>2</v>
      </c>
      <c r="E903" s="7">
        <v>45324</v>
      </c>
      <c r="F903" s="55" t="str">
        <f>TEXT(Patient_Data[[#This Row],[Admission_Date]],"YYYY")</f>
        <v>2024</v>
      </c>
      <c r="G903" s="8" t="s">
        <v>1855</v>
      </c>
      <c r="H903" s="8" t="s">
        <v>98</v>
      </c>
      <c r="I903" s="4" t="s">
        <v>29</v>
      </c>
      <c r="J903" s="4">
        <v>92</v>
      </c>
      <c r="K903" s="4" t="s">
        <v>30</v>
      </c>
      <c r="L903" s="8">
        <v>1</v>
      </c>
      <c r="M903" s="9" t="s">
        <v>46</v>
      </c>
      <c r="N903" s="9" t="str">
        <f t="shared" si="7"/>
        <v>Ortho</v>
      </c>
      <c r="O903" s="10">
        <v>8041.91</v>
      </c>
      <c r="P903" s="10">
        <v>4752.3100000000004</v>
      </c>
      <c r="Q903" s="11">
        <v>11</v>
      </c>
      <c r="R903" s="13" t="str">
        <f>IF(Patient_Data!$L903&lt;2,"Low Risk",IF(Patient_Data!$L903&lt;4,"Moderate Risk","High Risk"))</f>
        <v>Low Risk</v>
      </c>
      <c r="S903" s="12" t="str">
        <f>IF(Patient_Data[[#This Row],[Age]]&lt;=18,"Pediatric",IF(Patient_Data[[#This Row],[Age]]&lt;=64,"Adult","Geriatric"))</f>
        <v>Geriatric</v>
      </c>
    </row>
    <row r="904" spans="1:19" ht="15.75" customHeight="1" x14ac:dyDescent="0.3">
      <c r="A904" s="4" t="s">
        <v>1856</v>
      </c>
      <c r="B904" s="5" t="str">
        <f>TEXT(Patient_Data!$E904,"mmmm")</f>
        <v>June</v>
      </c>
      <c r="C904" s="6" t="str">
        <f t="shared" si="6"/>
        <v>Jun</v>
      </c>
      <c r="D904" s="6">
        <f>MONTH(Patient_Data!$E904)</f>
        <v>6</v>
      </c>
      <c r="E904" s="7">
        <v>45448</v>
      </c>
      <c r="F904" s="55" t="str">
        <f>TEXT(Patient_Data[[#This Row],[Admission_Date]],"YYYY")</f>
        <v>2024</v>
      </c>
      <c r="G904" s="8" t="s">
        <v>1857</v>
      </c>
      <c r="H904" s="8" t="s">
        <v>75</v>
      </c>
      <c r="I904" s="4" t="s">
        <v>29</v>
      </c>
      <c r="J904" s="4">
        <v>4</v>
      </c>
      <c r="K904" s="4" t="s">
        <v>45</v>
      </c>
      <c r="L904" s="8">
        <v>3</v>
      </c>
      <c r="M904" s="9" t="s">
        <v>79</v>
      </c>
      <c r="N904" s="9" t="str">
        <f t="shared" si="7"/>
        <v>PD</v>
      </c>
      <c r="O904" s="10">
        <v>1154.6600000000001</v>
      </c>
      <c r="P904" s="10">
        <v>713.94</v>
      </c>
      <c r="Q904" s="11">
        <v>1.2</v>
      </c>
      <c r="R904" s="13" t="str">
        <f>IF(Patient_Data!$L904&lt;2,"Low Risk",IF(Patient_Data!$L904&lt;4,"Moderate Risk","High Risk"))</f>
        <v>Moderate Risk</v>
      </c>
      <c r="S904" s="12" t="str">
        <f>IF(Patient_Data[[#This Row],[Age]]&lt;=18,"Pediatric",IF(Patient_Data[[#This Row],[Age]]&lt;=64,"Adult","Geriatric"))</f>
        <v>Pediatric</v>
      </c>
    </row>
    <row r="905" spans="1:19" ht="15.75" customHeight="1" x14ac:dyDescent="0.3">
      <c r="A905" s="4" t="s">
        <v>1858</v>
      </c>
      <c r="B905" s="5" t="str">
        <f>TEXT(Patient_Data!$E905,"mmmm")</f>
        <v>September</v>
      </c>
      <c r="C905" s="6" t="str">
        <f t="shared" si="6"/>
        <v>Sep</v>
      </c>
      <c r="D905" s="6">
        <f>MONTH(Patient_Data!$E905)</f>
        <v>9</v>
      </c>
      <c r="E905" s="7">
        <v>45918</v>
      </c>
      <c r="F905" s="55" t="str">
        <f>TEXT(Patient_Data[[#This Row],[Admission_Date]],"YYYY")</f>
        <v>2025</v>
      </c>
      <c r="G905" s="8" t="s">
        <v>1859</v>
      </c>
      <c r="H905" s="8" t="s">
        <v>75</v>
      </c>
      <c r="I905" s="4" t="s">
        <v>29</v>
      </c>
      <c r="J905" s="4">
        <v>48</v>
      </c>
      <c r="K905" s="4" t="s">
        <v>30</v>
      </c>
      <c r="L905" s="8">
        <v>3</v>
      </c>
      <c r="M905" s="9" t="s">
        <v>31</v>
      </c>
      <c r="N905" s="9" t="str">
        <f t="shared" si="7"/>
        <v>Neuro</v>
      </c>
      <c r="O905" s="10">
        <v>11480.73</v>
      </c>
      <c r="P905" s="10">
        <v>7410.87</v>
      </c>
      <c r="Q905" s="11">
        <v>7.9</v>
      </c>
      <c r="R905" s="13" t="str">
        <f>IF(Patient_Data!$L905&lt;2,"Low Risk",IF(Patient_Data!$L905&lt;4,"Moderate Risk","High Risk"))</f>
        <v>Moderate Risk</v>
      </c>
      <c r="S905" s="12" t="str">
        <f>IF(Patient_Data[[#This Row],[Age]]&lt;=18,"Pediatric",IF(Patient_Data[[#This Row],[Age]]&lt;=64,"Adult","Geriatric"))</f>
        <v>Adult</v>
      </c>
    </row>
    <row r="906" spans="1:19" ht="15.75" customHeight="1" x14ac:dyDescent="0.3">
      <c r="A906" s="4" t="s">
        <v>1860</v>
      </c>
      <c r="B906" s="5" t="str">
        <f>TEXT(Patient_Data!$E906,"mmmm")</f>
        <v>November</v>
      </c>
      <c r="C906" s="6" t="str">
        <f t="shared" si="6"/>
        <v>Nov</v>
      </c>
      <c r="D906" s="6">
        <f>MONTH(Patient_Data!$E906)</f>
        <v>11</v>
      </c>
      <c r="E906" s="7">
        <v>45982</v>
      </c>
      <c r="F906" s="55" t="str">
        <f>TEXT(Patient_Data[[#This Row],[Admission_Date]],"YYYY")</f>
        <v>2025</v>
      </c>
      <c r="G906" s="8" t="s">
        <v>1861</v>
      </c>
      <c r="H906" s="8" t="s">
        <v>82</v>
      </c>
      <c r="I906" s="4" t="s">
        <v>35</v>
      </c>
      <c r="J906" s="4">
        <v>21</v>
      </c>
      <c r="K906" s="4" t="s">
        <v>54</v>
      </c>
      <c r="L906" s="8">
        <v>1</v>
      </c>
      <c r="M906" s="9" t="s">
        <v>83</v>
      </c>
      <c r="N906" s="9" t="str">
        <f t="shared" si="7"/>
        <v>ER</v>
      </c>
      <c r="O906" s="10">
        <v>2728.63</v>
      </c>
      <c r="P906" s="10">
        <v>1912.98</v>
      </c>
      <c r="Q906" s="11">
        <v>10.6</v>
      </c>
      <c r="R906" s="13" t="str">
        <f>IF(Patient_Data!$L906&lt;2,"Low Risk",IF(Patient_Data!$L906&lt;4,"Moderate Risk","High Risk"))</f>
        <v>Low Risk</v>
      </c>
      <c r="S906" s="12" t="str">
        <f>IF(Patient_Data[[#This Row],[Age]]&lt;=18,"Pediatric",IF(Patient_Data[[#This Row],[Age]]&lt;=64,"Adult","Geriatric"))</f>
        <v>Adult</v>
      </c>
    </row>
    <row r="907" spans="1:19" ht="15.75" customHeight="1" x14ac:dyDescent="0.3">
      <c r="A907" s="4" t="s">
        <v>1862</v>
      </c>
      <c r="B907" s="5" t="str">
        <f>TEXT(Patient_Data!$E907,"mmmm")</f>
        <v>June</v>
      </c>
      <c r="C907" s="6" t="str">
        <f t="shared" si="6"/>
        <v>Jun</v>
      </c>
      <c r="D907" s="6">
        <f>MONTH(Patient_Data!$E907)</f>
        <v>6</v>
      </c>
      <c r="E907" s="7">
        <v>45810</v>
      </c>
      <c r="F907" s="55" t="str">
        <f>TEXT(Patient_Data[[#This Row],[Admission_Date]],"YYYY")</f>
        <v>2025</v>
      </c>
      <c r="G907" s="8" t="s">
        <v>1863</v>
      </c>
      <c r="H907" s="8" t="s">
        <v>34</v>
      </c>
      <c r="I907" s="4" t="s">
        <v>35</v>
      </c>
      <c r="J907" s="4">
        <v>56</v>
      </c>
      <c r="K907" s="4" t="s">
        <v>30</v>
      </c>
      <c r="L907" s="8">
        <v>1</v>
      </c>
      <c r="M907" s="9" t="s">
        <v>36</v>
      </c>
      <c r="N907" s="9" t="str">
        <f t="shared" si="7"/>
        <v>Cardio</v>
      </c>
      <c r="O907" s="10">
        <v>5214.95</v>
      </c>
      <c r="P907" s="10">
        <v>3722.46</v>
      </c>
      <c r="Q907" s="11">
        <v>9</v>
      </c>
      <c r="R907" s="13" t="str">
        <f>IF(Patient_Data!$L907&lt;2,"Low Risk",IF(Patient_Data!$L907&lt;4,"Moderate Risk","High Risk"))</f>
        <v>Low Risk</v>
      </c>
      <c r="S907" s="12" t="str">
        <f>IF(Patient_Data[[#This Row],[Age]]&lt;=18,"Pediatric",IF(Patient_Data[[#This Row],[Age]]&lt;=64,"Adult","Geriatric"))</f>
        <v>Adult</v>
      </c>
    </row>
    <row r="908" spans="1:19" ht="15.75" customHeight="1" x14ac:dyDescent="0.3">
      <c r="A908" s="4" t="s">
        <v>1864</v>
      </c>
      <c r="B908" s="5" t="str">
        <f>TEXT(Patient_Data!$E908,"mmmm")</f>
        <v>March</v>
      </c>
      <c r="C908" s="6" t="str">
        <f t="shared" si="6"/>
        <v>Mar</v>
      </c>
      <c r="D908" s="6">
        <f>MONTH(Patient_Data!$E908)</f>
        <v>3</v>
      </c>
      <c r="E908" s="7">
        <v>45737</v>
      </c>
      <c r="F908" s="55" t="str">
        <f>TEXT(Patient_Data[[#This Row],[Admission_Date]],"YYYY")</f>
        <v>2025</v>
      </c>
      <c r="G908" s="8" t="s">
        <v>1865</v>
      </c>
      <c r="H908" s="8" t="s">
        <v>53</v>
      </c>
      <c r="I908" s="4" t="s">
        <v>29</v>
      </c>
      <c r="J908" s="4">
        <v>92</v>
      </c>
      <c r="K908" s="4" t="s">
        <v>45</v>
      </c>
      <c r="L908" s="8">
        <v>5</v>
      </c>
      <c r="M908" s="9" t="s">
        <v>50</v>
      </c>
      <c r="N908" s="9" t="str">
        <f t="shared" si="7"/>
        <v>ICU</v>
      </c>
      <c r="O908" s="10">
        <v>19058.099999999999</v>
      </c>
      <c r="P908" s="10">
        <v>14032.41</v>
      </c>
      <c r="Q908" s="11">
        <v>15</v>
      </c>
      <c r="R908" s="13" t="str">
        <f>IF(Patient_Data!$L908&lt;2,"Low Risk",IF(Patient_Data!$L908&lt;4,"Moderate Risk","High Risk"))</f>
        <v>High Risk</v>
      </c>
      <c r="S908" s="12" t="str">
        <f>IF(Patient_Data[[#This Row],[Age]]&lt;=18,"Pediatric",IF(Patient_Data[[#This Row],[Age]]&lt;=64,"Adult","Geriatric"))</f>
        <v>Geriatric</v>
      </c>
    </row>
    <row r="909" spans="1:19" ht="15.75" customHeight="1" x14ac:dyDescent="0.3">
      <c r="A909" s="4" t="s">
        <v>1866</v>
      </c>
      <c r="B909" s="5" t="str">
        <f>TEXT(Patient_Data!$E909,"mmmm")</f>
        <v>January</v>
      </c>
      <c r="C909" s="6" t="str">
        <f t="shared" si="6"/>
        <v>Jan</v>
      </c>
      <c r="D909" s="6">
        <f>MONTH(Patient_Data!$E909)</f>
        <v>1</v>
      </c>
      <c r="E909" s="7">
        <v>45678</v>
      </c>
      <c r="F909" s="55" t="str">
        <f>TEXT(Patient_Data[[#This Row],[Admission_Date]],"YYYY")</f>
        <v>2025</v>
      </c>
      <c r="G909" s="8" t="s">
        <v>1867</v>
      </c>
      <c r="H909" s="8" t="s">
        <v>28</v>
      </c>
      <c r="I909" s="4" t="s">
        <v>35</v>
      </c>
      <c r="J909" s="4">
        <v>47</v>
      </c>
      <c r="K909" s="4" t="s">
        <v>54</v>
      </c>
      <c r="L909" s="8">
        <v>3</v>
      </c>
      <c r="M909" s="9" t="s">
        <v>39</v>
      </c>
      <c r="N909" s="9" t="str">
        <f t="shared" si="7"/>
        <v>GM</v>
      </c>
      <c r="O909" s="10">
        <v>5326.98</v>
      </c>
      <c r="P909" s="10">
        <v>4118.1000000000004</v>
      </c>
      <c r="Q909" s="11">
        <v>8.6999999999999993</v>
      </c>
      <c r="R909" s="13" t="str">
        <f>IF(Patient_Data!$L909&lt;2,"Low Risk",IF(Patient_Data!$L909&lt;4,"Moderate Risk","High Risk"))</f>
        <v>Moderate Risk</v>
      </c>
      <c r="S909" s="12" t="str">
        <f>IF(Patient_Data[[#This Row],[Age]]&lt;=18,"Pediatric",IF(Patient_Data[[#This Row],[Age]]&lt;=64,"Adult","Geriatric"))</f>
        <v>Adult</v>
      </c>
    </row>
    <row r="910" spans="1:19" ht="15.75" customHeight="1" x14ac:dyDescent="0.3">
      <c r="A910" s="4" t="s">
        <v>1868</v>
      </c>
      <c r="B910" s="5" t="str">
        <f>TEXT(Patient_Data!$E910,"mmmm")</f>
        <v>April</v>
      </c>
      <c r="C910" s="6" t="str">
        <f t="shared" si="6"/>
        <v>Apr</v>
      </c>
      <c r="D910" s="6">
        <f>MONTH(Patient_Data!$E910)</f>
        <v>4</v>
      </c>
      <c r="E910" s="7">
        <v>45399</v>
      </c>
      <c r="F910" s="55" t="str">
        <f>TEXT(Patient_Data[[#This Row],[Admission_Date]],"YYYY")</f>
        <v>2024</v>
      </c>
      <c r="G910" s="8" t="s">
        <v>1869</v>
      </c>
      <c r="H910" s="8" t="s">
        <v>82</v>
      </c>
      <c r="I910" s="4" t="s">
        <v>35</v>
      </c>
      <c r="J910" s="4">
        <v>55</v>
      </c>
      <c r="K910" s="4" t="s">
        <v>54</v>
      </c>
      <c r="L910" s="8">
        <v>1</v>
      </c>
      <c r="M910" s="9" t="s">
        <v>31</v>
      </c>
      <c r="N910" s="9" t="str">
        <f t="shared" si="7"/>
        <v>Neuro</v>
      </c>
      <c r="O910" s="10">
        <v>7135.91</v>
      </c>
      <c r="P910" s="10">
        <v>4226.83</v>
      </c>
      <c r="Q910" s="11">
        <v>11</v>
      </c>
      <c r="R910" s="13" t="str">
        <f>IF(Patient_Data!$L910&lt;2,"Low Risk",IF(Patient_Data!$L910&lt;4,"Moderate Risk","High Risk"))</f>
        <v>Low Risk</v>
      </c>
      <c r="S910" s="12" t="str">
        <f>IF(Patient_Data[[#This Row],[Age]]&lt;=18,"Pediatric",IF(Patient_Data[[#This Row],[Age]]&lt;=64,"Adult","Geriatric"))</f>
        <v>Adult</v>
      </c>
    </row>
    <row r="911" spans="1:19" ht="15.75" customHeight="1" x14ac:dyDescent="0.3">
      <c r="A911" s="4" t="s">
        <v>1870</v>
      </c>
      <c r="B911" s="5" t="str">
        <f>TEXT(Patient_Data!$E911,"mmmm")</f>
        <v>June</v>
      </c>
      <c r="C911" s="6" t="str">
        <f t="shared" si="6"/>
        <v>Jun</v>
      </c>
      <c r="D911" s="6">
        <f>MONTH(Patient_Data!$E911)</f>
        <v>6</v>
      </c>
      <c r="E911" s="7">
        <v>46189</v>
      </c>
      <c r="F911" s="55" t="str">
        <f>TEXT(Patient_Data[[#This Row],[Admission_Date]],"YYYY")</f>
        <v>2026</v>
      </c>
      <c r="G911" s="8" t="s">
        <v>1871</v>
      </c>
      <c r="H911" s="8" t="s">
        <v>132</v>
      </c>
      <c r="I911" s="4" t="s">
        <v>29</v>
      </c>
      <c r="J911" s="4">
        <v>24</v>
      </c>
      <c r="K911" s="4" t="s">
        <v>45</v>
      </c>
      <c r="L911" s="8">
        <v>3</v>
      </c>
      <c r="M911" s="9" t="s">
        <v>39</v>
      </c>
      <c r="N911" s="9" t="str">
        <f t="shared" si="7"/>
        <v>GM</v>
      </c>
      <c r="O911" s="10">
        <v>3563.84</v>
      </c>
      <c r="P911" s="10">
        <v>2223.54</v>
      </c>
      <c r="Q911" s="11">
        <v>6.2</v>
      </c>
      <c r="R911" s="13" t="str">
        <f>IF(Patient_Data!$L911&lt;2,"Low Risk",IF(Patient_Data!$L911&lt;4,"Moderate Risk","High Risk"))</f>
        <v>Moderate Risk</v>
      </c>
      <c r="S911" s="12" t="str">
        <f>IF(Patient_Data[[#This Row],[Age]]&lt;=18,"Pediatric",IF(Patient_Data[[#This Row],[Age]]&lt;=64,"Adult","Geriatric"))</f>
        <v>Adult</v>
      </c>
    </row>
    <row r="912" spans="1:19" ht="15.75" customHeight="1" x14ac:dyDescent="0.3">
      <c r="A912" s="4" t="s">
        <v>1872</v>
      </c>
      <c r="B912" s="5" t="str">
        <f>TEXT(Patient_Data!$E912,"mmmm")</f>
        <v>October</v>
      </c>
      <c r="C912" s="6" t="str">
        <f t="shared" si="6"/>
        <v>Oct</v>
      </c>
      <c r="D912" s="6">
        <f>MONTH(Patient_Data!$E912)</f>
        <v>10</v>
      </c>
      <c r="E912" s="7">
        <v>45959</v>
      </c>
      <c r="F912" s="55" t="str">
        <f>TEXT(Patient_Data[[#This Row],[Admission_Date]],"YYYY")</f>
        <v>2025</v>
      </c>
      <c r="G912" s="8" t="s">
        <v>1873</v>
      </c>
      <c r="H912" s="8" t="s">
        <v>28</v>
      </c>
      <c r="I912" s="4" t="s">
        <v>29</v>
      </c>
      <c r="J912" s="4">
        <v>62</v>
      </c>
      <c r="K912" s="4" t="s">
        <v>54</v>
      </c>
      <c r="L912" s="8">
        <v>5</v>
      </c>
      <c r="M912" s="9" t="s">
        <v>50</v>
      </c>
      <c r="N912" s="9" t="str">
        <f t="shared" si="7"/>
        <v>ICU</v>
      </c>
      <c r="O912" s="10">
        <v>24150.99</v>
      </c>
      <c r="P912" s="10">
        <v>15530.23</v>
      </c>
      <c r="Q912" s="11">
        <v>9.1999999999999993</v>
      </c>
      <c r="R912" s="13" t="str">
        <f>IF(Patient_Data!$L912&lt;2,"Low Risk",IF(Patient_Data!$L912&lt;4,"Moderate Risk","High Risk"))</f>
        <v>High Risk</v>
      </c>
      <c r="S912" s="12" t="str">
        <f>IF(Patient_Data[[#This Row],[Age]]&lt;=18,"Pediatric",IF(Patient_Data[[#This Row],[Age]]&lt;=64,"Adult","Geriatric"))</f>
        <v>Adult</v>
      </c>
    </row>
    <row r="913" spans="1:19" ht="15.75" customHeight="1" x14ac:dyDescent="0.3">
      <c r="A913" s="4" t="s">
        <v>1874</v>
      </c>
      <c r="B913" s="5" t="str">
        <f>TEXT(Patient_Data!$E913,"mmmm")</f>
        <v>April</v>
      </c>
      <c r="C913" s="6" t="str">
        <f t="shared" si="6"/>
        <v>Apr</v>
      </c>
      <c r="D913" s="6">
        <f>MONTH(Patient_Data!$E913)</f>
        <v>4</v>
      </c>
      <c r="E913" s="7">
        <v>45408</v>
      </c>
      <c r="F913" s="55" t="str">
        <f>TEXT(Patient_Data[[#This Row],[Admission_Date]],"YYYY")</f>
        <v>2024</v>
      </c>
      <c r="G913" s="8" t="s">
        <v>85</v>
      </c>
      <c r="H913" s="8" t="s">
        <v>42</v>
      </c>
      <c r="I913" s="4" t="s">
        <v>35</v>
      </c>
      <c r="J913" s="4">
        <v>63</v>
      </c>
      <c r="K913" s="4" t="s">
        <v>30</v>
      </c>
      <c r="L913" s="8">
        <v>1</v>
      </c>
      <c r="M913" s="9" t="s">
        <v>46</v>
      </c>
      <c r="N913" s="9" t="str">
        <f t="shared" si="7"/>
        <v>Ortho</v>
      </c>
      <c r="O913" s="10">
        <v>6844.59</v>
      </c>
      <c r="P913" s="10">
        <v>4677.08</v>
      </c>
      <c r="Q913" s="11">
        <v>11.4</v>
      </c>
      <c r="R913" s="13" t="str">
        <f>IF(Patient_Data!$L913&lt;2,"Low Risk",IF(Patient_Data!$L913&lt;4,"Moderate Risk","High Risk"))</f>
        <v>Low Risk</v>
      </c>
      <c r="S913" s="12" t="str">
        <f>IF(Patient_Data[[#This Row],[Age]]&lt;=18,"Pediatric",IF(Patient_Data[[#This Row],[Age]]&lt;=64,"Adult","Geriatric"))</f>
        <v>Adult</v>
      </c>
    </row>
    <row r="914" spans="1:19" ht="15.75" customHeight="1" x14ac:dyDescent="0.3">
      <c r="A914" s="4" t="s">
        <v>1875</v>
      </c>
      <c r="B914" s="5" t="str">
        <f>TEXT(Patient_Data!$E914,"mmmm")</f>
        <v>February</v>
      </c>
      <c r="C914" s="6" t="str">
        <f t="shared" si="6"/>
        <v>Feb</v>
      </c>
      <c r="D914" s="6">
        <f>MONTH(Patient_Data!$E914)</f>
        <v>2</v>
      </c>
      <c r="E914" s="7">
        <v>46080</v>
      </c>
      <c r="F914" s="55" t="str">
        <f>TEXT(Patient_Data[[#This Row],[Admission_Date]],"YYYY")</f>
        <v>2026</v>
      </c>
      <c r="G914" s="8" t="s">
        <v>1876</v>
      </c>
      <c r="H914" s="8" t="s">
        <v>34</v>
      </c>
      <c r="I914" s="4" t="s">
        <v>35</v>
      </c>
      <c r="J914" s="4">
        <v>77</v>
      </c>
      <c r="K914" s="4" t="s">
        <v>45</v>
      </c>
      <c r="L914" s="8">
        <v>5</v>
      </c>
      <c r="M914" s="9" t="s">
        <v>36</v>
      </c>
      <c r="N914" s="9" t="str">
        <f t="shared" si="7"/>
        <v>Cardio</v>
      </c>
      <c r="O914" s="10">
        <v>18287.52</v>
      </c>
      <c r="P914" s="10">
        <v>12893.26</v>
      </c>
      <c r="Q914" s="11">
        <v>11.5</v>
      </c>
      <c r="R914" s="13" t="str">
        <f>IF(Patient_Data!$L914&lt;2,"Low Risk",IF(Patient_Data!$L914&lt;4,"Moderate Risk","High Risk"))</f>
        <v>High Risk</v>
      </c>
      <c r="S914" s="12" t="str">
        <f>IF(Patient_Data[[#This Row],[Age]]&lt;=18,"Pediatric",IF(Patient_Data[[#This Row],[Age]]&lt;=64,"Adult","Geriatric"))</f>
        <v>Geriatric</v>
      </c>
    </row>
    <row r="915" spans="1:19" ht="15.75" customHeight="1" x14ac:dyDescent="0.3">
      <c r="A915" s="4" t="s">
        <v>1877</v>
      </c>
      <c r="B915" s="5" t="str">
        <f>TEXT(Patient_Data!$E915,"mmmm")</f>
        <v>April</v>
      </c>
      <c r="C915" s="6" t="str">
        <f t="shared" si="6"/>
        <v>Apr</v>
      </c>
      <c r="D915" s="6">
        <f>MONTH(Patient_Data!$E915)</f>
        <v>4</v>
      </c>
      <c r="E915" s="7">
        <v>45751</v>
      </c>
      <c r="F915" s="55" t="str">
        <f>TEXT(Patient_Data[[#This Row],[Admission_Date]],"YYYY")</f>
        <v>2025</v>
      </c>
      <c r="G915" s="8" t="s">
        <v>1878</v>
      </c>
      <c r="H915" s="8" t="s">
        <v>28</v>
      </c>
      <c r="I915" s="4" t="s">
        <v>29</v>
      </c>
      <c r="J915" s="4">
        <v>50</v>
      </c>
      <c r="K915" s="4" t="s">
        <v>30</v>
      </c>
      <c r="L915" s="8">
        <v>1</v>
      </c>
      <c r="M915" s="9" t="s">
        <v>46</v>
      </c>
      <c r="N915" s="9" t="str">
        <f t="shared" si="7"/>
        <v>Ortho</v>
      </c>
      <c r="O915" s="10">
        <v>8480.89</v>
      </c>
      <c r="P915" s="10">
        <v>6245.45</v>
      </c>
      <c r="Q915" s="11">
        <v>6.8</v>
      </c>
      <c r="R915" s="13" t="str">
        <f>IF(Patient_Data!$L915&lt;2,"Low Risk",IF(Patient_Data!$L915&lt;4,"Moderate Risk","High Risk"))</f>
        <v>Low Risk</v>
      </c>
      <c r="S915" s="12" t="str">
        <f>IF(Patient_Data[[#This Row],[Age]]&lt;=18,"Pediatric",IF(Patient_Data[[#This Row],[Age]]&lt;=64,"Adult","Geriatric"))</f>
        <v>Adult</v>
      </c>
    </row>
    <row r="916" spans="1:19" ht="15.75" customHeight="1" x14ac:dyDescent="0.3">
      <c r="A916" s="4" t="s">
        <v>1879</v>
      </c>
      <c r="B916" s="5" t="str">
        <f>TEXT(Patient_Data!$E916,"mmmm")</f>
        <v>March</v>
      </c>
      <c r="C916" s="6" t="str">
        <f t="shared" si="6"/>
        <v>Mar</v>
      </c>
      <c r="D916" s="6">
        <f>MONTH(Patient_Data!$E916)</f>
        <v>3</v>
      </c>
      <c r="E916" s="7">
        <v>46092</v>
      </c>
      <c r="F916" s="55" t="str">
        <f>TEXT(Patient_Data[[#This Row],[Admission_Date]],"YYYY")</f>
        <v>2026</v>
      </c>
      <c r="G916" s="8" t="s">
        <v>1880</v>
      </c>
      <c r="H916" s="8" t="s">
        <v>82</v>
      </c>
      <c r="I916" s="4" t="s">
        <v>35</v>
      </c>
      <c r="J916" s="4">
        <v>53</v>
      </c>
      <c r="K916" s="4" t="s">
        <v>30</v>
      </c>
      <c r="L916" s="8">
        <v>2</v>
      </c>
      <c r="M916" s="9" t="s">
        <v>46</v>
      </c>
      <c r="N916" s="9" t="str">
        <f t="shared" si="7"/>
        <v>Ortho</v>
      </c>
      <c r="O916" s="10">
        <v>8350.68</v>
      </c>
      <c r="P916" s="10">
        <v>6376.12</v>
      </c>
      <c r="Q916" s="11">
        <v>3.7</v>
      </c>
      <c r="R916" s="13" t="str">
        <f>IF(Patient_Data!$L916&lt;2,"Low Risk",IF(Patient_Data!$L916&lt;4,"Moderate Risk","High Risk"))</f>
        <v>Moderate Risk</v>
      </c>
      <c r="S916" s="12" t="str">
        <f>IF(Patient_Data[[#This Row],[Age]]&lt;=18,"Pediatric",IF(Patient_Data[[#This Row],[Age]]&lt;=64,"Adult","Geriatric"))</f>
        <v>Adult</v>
      </c>
    </row>
    <row r="917" spans="1:19" ht="15.75" customHeight="1" x14ac:dyDescent="0.3">
      <c r="A917" s="4" t="s">
        <v>1881</v>
      </c>
      <c r="B917" s="5" t="str">
        <f>TEXT(Patient_Data!$E917,"mmmm")</f>
        <v>August</v>
      </c>
      <c r="C917" s="6" t="str">
        <f t="shared" si="6"/>
        <v>Aug</v>
      </c>
      <c r="D917" s="6">
        <f>MONTH(Patient_Data!$E917)</f>
        <v>8</v>
      </c>
      <c r="E917" s="7">
        <v>45520</v>
      </c>
      <c r="F917" s="55" t="str">
        <f>TEXT(Patient_Data[[#This Row],[Admission_Date]],"YYYY")</f>
        <v>2024</v>
      </c>
      <c r="G917" s="8" t="s">
        <v>1882</v>
      </c>
      <c r="H917" s="8" t="s">
        <v>98</v>
      </c>
      <c r="I917" s="4" t="s">
        <v>29</v>
      </c>
      <c r="J917" s="4">
        <v>53</v>
      </c>
      <c r="K917" s="4" t="s">
        <v>30</v>
      </c>
      <c r="L917" s="8">
        <v>5</v>
      </c>
      <c r="M917" s="9" t="s">
        <v>31</v>
      </c>
      <c r="N917" s="9" t="str">
        <f t="shared" si="7"/>
        <v>Neuro</v>
      </c>
      <c r="O917" s="10">
        <v>13933.62</v>
      </c>
      <c r="P917" s="10">
        <v>8123.1</v>
      </c>
      <c r="Q917" s="11">
        <v>5.2</v>
      </c>
      <c r="R917" s="13" t="str">
        <f>IF(Patient_Data!$L917&lt;2,"Low Risk",IF(Patient_Data!$L917&lt;4,"Moderate Risk","High Risk"))</f>
        <v>High Risk</v>
      </c>
      <c r="S917" s="12" t="str">
        <f>IF(Patient_Data[[#This Row],[Age]]&lt;=18,"Pediatric",IF(Patient_Data[[#This Row],[Age]]&lt;=64,"Adult","Geriatric"))</f>
        <v>Adult</v>
      </c>
    </row>
    <row r="918" spans="1:19" ht="15.75" customHeight="1" x14ac:dyDescent="0.3">
      <c r="A918" s="4" t="s">
        <v>1883</v>
      </c>
      <c r="B918" s="5" t="str">
        <f>TEXT(Patient_Data!$E918,"mmmm")</f>
        <v>February</v>
      </c>
      <c r="C918" s="6" t="str">
        <f t="shared" si="6"/>
        <v>Feb</v>
      </c>
      <c r="D918" s="6">
        <f>MONTH(Patient_Data!$E918)</f>
        <v>2</v>
      </c>
      <c r="E918" s="7">
        <v>46078</v>
      </c>
      <c r="F918" s="55" t="str">
        <f>TEXT(Patient_Data[[#This Row],[Admission_Date]],"YYYY")</f>
        <v>2026</v>
      </c>
      <c r="G918" s="8" t="s">
        <v>1884</v>
      </c>
      <c r="H918" s="8" t="s">
        <v>53</v>
      </c>
      <c r="I918" s="4" t="s">
        <v>35</v>
      </c>
      <c r="J918" s="4">
        <v>24</v>
      </c>
      <c r="K918" s="4" t="s">
        <v>30</v>
      </c>
      <c r="L918" s="8">
        <v>2</v>
      </c>
      <c r="M918" s="9" t="s">
        <v>36</v>
      </c>
      <c r="N918" s="9" t="str">
        <f t="shared" si="7"/>
        <v>Cardio</v>
      </c>
      <c r="O918" s="10">
        <v>9477.41</v>
      </c>
      <c r="P918" s="10">
        <v>5830.02</v>
      </c>
      <c r="Q918" s="11">
        <v>6.1</v>
      </c>
      <c r="R918" s="13" t="str">
        <f>IF(Patient_Data!$L918&lt;2,"Low Risk",IF(Patient_Data!$L918&lt;4,"Moderate Risk","High Risk"))</f>
        <v>Moderate Risk</v>
      </c>
      <c r="S918" s="12" t="str">
        <f>IF(Patient_Data[[#This Row],[Age]]&lt;=18,"Pediatric",IF(Patient_Data[[#This Row],[Age]]&lt;=64,"Adult","Geriatric"))</f>
        <v>Adult</v>
      </c>
    </row>
    <row r="919" spans="1:19" ht="15.75" customHeight="1" x14ac:dyDescent="0.3">
      <c r="A919" s="4" t="s">
        <v>1885</v>
      </c>
      <c r="B919" s="5" t="str">
        <f>TEXT(Patient_Data!$E919,"mmmm")</f>
        <v>June</v>
      </c>
      <c r="C919" s="6" t="str">
        <f t="shared" si="6"/>
        <v>Jun</v>
      </c>
      <c r="D919" s="6">
        <f>MONTH(Patient_Data!$E919)</f>
        <v>6</v>
      </c>
      <c r="E919" s="7">
        <v>45821</v>
      </c>
      <c r="F919" s="55" t="str">
        <f>TEXT(Patient_Data[[#This Row],[Admission_Date]],"YYYY")</f>
        <v>2025</v>
      </c>
      <c r="G919" s="8" t="s">
        <v>1886</v>
      </c>
      <c r="H919" s="8" t="s">
        <v>49</v>
      </c>
      <c r="I919" s="4" t="s">
        <v>35</v>
      </c>
      <c r="J919" s="4">
        <v>25</v>
      </c>
      <c r="K919" s="4" t="s">
        <v>30</v>
      </c>
      <c r="L919" s="8">
        <v>1</v>
      </c>
      <c r="M919" s="9" t="s">
        <v>36</v>
      </c>
      <c r="N919" s="9" t="str">
        <f t="shared" si="7"/>
        <v>Cardio</v>
      </c>
      <c r="O919" s="10">
        <v>5916.07</v>
      </c>
      <c r="P919" s="10">
        <v>3831.08</v>
      </c>
      <c r="Q919" s="11">
        <v>5.6</v>
      </c>
      <c r="R919" s="13" t="str">
        <f>IF(Patient_Data!$L919&lt;2,"Low Risk",IF(Patient_Data!$L919&lt;4,"Moderate Risk","High Risk"))</f>
        <v>Low Risk</v>
      </c>
      <c r="S919" s="12" t="str">
        <f>IF(Patient_Data[[#This Row],[Age]]&lt;=18,"Pediatric",IF(Patient_Data[[#This Row],[Age]]&lt;=64,"Adult","Geriatric"))</f>
        <v>Adult</v>
      </c>
    </row>
    <row r="920" spans="1:19" ht="15.75" customHeight="1" x14ac:dyDescent="0.3">
      <c r="A920" s="4" t="s">
        <v>1887</v>
      </c>
      <c r="B920" s="5" t="str">
        <f>TEXT(Patient_Data!$E920,"mmmm")</f>
        <v>April</v>
      </c>
      <c r="C920" s="6" t="str">
        <f t="shared" si="6"/>
        <v>Apr</v>
      </c>
      <c r="D920" s="6">
        <f>MONTH(Patient_Data!$E920)</f>
        <v>4</v>
      </c>
      <c r="E920" s="7">
        <v>45761</v>
      </c>
      <c r="F920" s="55" t="str">
        <f>TEXT(Patient_Data[[#This Row],[Admission_Date]],"YYYY")</f>
        <v>2025</v>
      </c>
      <c r="G920" s="8" t="s">
        <v>1888</v>
      </c>
      <c r="H920" s="8" t="s">
        <v>82</v>
      </c>
      <c r="I920" s="4" t="s">
        <v>29</v>
      </c>
      <c r="J920" s="4">
        <v>77</v>
      </c>
      <c r="K920" s="4" t="s">
        <v>30</v>
      </c>
      <c r="L920" s="8">
        <v>3</v>
      </c>
      <c r="M920" s="9" t="s">
        <v>72</v>
      </c>
      <c r="N920" s="9" t="str">
        <f t="shared" si="7"/>
        <v>Surgery</v>
      </c>
      <c r="O920" s="10">
        <v>11221.04</v>
      </c>
      <c r="P920" s="10">
        <v>7571.7</v>
      </c>
      <c r="Q920" s="11">
        <v>6.7</v>
      </c>
      <c r="R920" s="13" t="str">
        <f>IF(Patient_Data!$L920&lt;2,"Low Risk",IF(Patient_Data!$L920&lt;4,"Moderate Risk","High Risk"))</f>
        <v>Moderate Risk</v>
      </c>
      <c r="S920" s="12" t="str">
        <f>IF(Patient_Data[[#This Row],[Age]]&lt;=18,"Pediatric",IF(Patient_Data[[#This Row],[Age]]&lt;=64,"Adult","Geriatric"))</f>
        <v>Geriatric</v>
      </c>
    </row>
    <row r="921" spans="1:19" ht="15.75" customHeight="1" x14ac:dyDescent="0.3">
      <c r="A921" s="4" t="s">
        <v>1889</v>
      </c>
      <c r="B921" s="5" t="str">
        <f>TEXT(Patient_Data!$E921,"mmmm")</f>
        <v>August</v>
      </c>
      <c r="C921" s="6" t="str">
        <f t="shared" si="6"/>
        <v>Aug</v>
      </c>
      <c r="D921" s="6">
        <f>MONTH(Patient_Data!$E921)</f>
        <v>8</v>
      </c>
      <c r="E921" s="7">
        <v>45523</v>
      </c>
      <c r="F921" s="55" t="str">
        <f>TEXT(Patient_Data[[#This Row],[Admission_Date]],"YYYY")</f>
        <v>2024</v>
      </c>
      <c r="G921" s="8" t="s">
        <v>1890</v>
      </c>
      <c r="H921" s="8" t="s">
        <v>75</v>
      </c>
      <c r="I921" s="4" t="s">
        <v>29</v>
      </c>
      <c r="J921" s="4">
        <v>0</v>
      </c>
      <c r="K921" s="4" t="s">
        <v>30</v>
      </c>
      <c r="L921" s="8">
        <v>1</v>
      </c>
      <c r="M921" s="9" t="s">
        <v>79</v>
      </c>
      <c r="N921" s="9" t="str">
        <f t="shared" si="7"/>
        <v>PD</v>
      </c>
      <c r="O921" s="10">
        <v>1599.01</v>
      </c>
      <c r="P921" s="10">
        <v>1147.31</v>
      </c>
      <c r="Q921" s="11">
        <v>3.5</v>
      </c>
      <c r="R921" s="13" t="str">
        <f>IF(Patient_Data!$L921&lt;2,"Low Risk",IF(Patient_Data!$L921&lt;4,"Moderate Risk","High Risk"))</f>
        <v>Low Risk</v>
      </c>
      <c r="S921" s="12" t="str">
        <f>IF(Patient_Data[[#This Row],[Age]]&lt;=18,"Pediatric",IF(Patient_Data[[#This Row],[Age]]&lt;=64,"Adult","Geriatric"))</f>
        <v>Pediatric</v>
      </c>
    </row>
    <row r="922" spans="1:19" ht="15.75" customHeight="1" x14ac:dyDescent="0.3">
      <c r="A922" s="4" t="s">
        <v>1891</v>
      </c>
      <c r="B922" s="5" t="str">
        <f>TEXT(Patient_Data!$E922,"mmmm")</f>
        <v>May</v>
      </c>
      <c r="C922" s="6" t="str">
        <f t="shared" si="6"/>
        <v>May</v>
      </c>
      <c r="D922" s="6">
        <f>MONTH(Patient_Data!$E922)</f>
        <v>5</v>
      </c>
      <c r="E922" s="7">
        <v>45415</v>
      </c>
      <c r="F922" s="55" t="str">
        <f>TEXT(Patient_Data[[#This Row],[Admission_Date]],"YYYY")</f>
        <v>2024</v>
      </c>
      <c r="G922" s="8" t="s">
        <v>1892</v>
      </c>
      <c r="H922" s="8" t="s">
        <v>28</v>
      </c>
      <c r="I922" s="4" t="s">
        <v>35</v>
      </c>
      <c r="J922" s="4">
        <v>87</v>
      </c>
      <c r="K922" s="4" t="s">
        <v>30</v>
      </c>
      <c r="L922" s="8">
        <v>1</v>
      </c>
      <c r="M922" s="9" t="s">
        <v>46</v>
      </c>
      <c r="N922" s="9" t="str">
        <f t="shared" si="7"/>
        <v>Ortho</v>
      </c>
      <c r="O922" s="10">
        <v>8488.32</v>
      </c>
      <c r="P922" s="10">
        <v>6260.47</v>
      </c>
      <c r="Q922" s="11">
        <v>8</v>
      </c>
      <c r="R922" s="13" t="str">
        <f>IF(Patient_Data!$L922&lt;2,"Low Risk",IF(Patient_Data!$L922&lt;4,"Moderate Risk","High Risk"))</f>
        <v>Low Risk</v>
      </c>
      <c r="S922" s="12" t="str">
        <f>IF(Patient_Data[[#This Row],[Age]]&lt;=18,"Pediatric",IF(Patient_Data[[#This Row],[Age]]&lt;=64,"Adult","Geriatric"))</f>
        <v>Geriatric</v>
      </c>
    </row>
    <row r="923" spans="1:19" ht="15.75" customHeight="1" x14ac:dyDescent="0.3">
      <c r="A923" s="4" t="s">
        <v>1893</v>
      </c>
      <c r="B923" s="5" t="str">
        <f>TEXT(Patient_Data!$E923,"mmmm")</f>
        <v>December</v>
      </c>
      <c r="C923" s="6" t="str">
        <f t="shared" si="6"/>
        <v>Dec</v>
      </c>
      <c r="D923" s="6">
        <f>MONTH(Patient_Data!$E923)</f>
        <v>12</v>
      </c>
      <c r="E923" s="7">
        <v>45651</v>
      </c>
      <c r="F923" s="55" t="str">
        <f>TEXT(Patient_Data[[#This Row],[Admission_Date]],"YYYY")</f>
        <v>2024</v>
      </c>
      <c r="G923" s="8" t="s">
        <v>1894</v>
      </c>
      <c r="H923" s="8" t="s">
        <v>82</v>
      </c>
      <c r="I923" s="4" t="s">
        <v>35</v>
      </c>
      <c r="J923" s="4">
        <v>40</v>
      </c>
      <c r="K923" s="4" t="s">
        <v>30</v>
      </c>
      <c r="L923" s="8">
        <v>2</v>
      </c>
      <c r="M923" s="9" t="s">
        <v>36</v>
      </c>
      <c r="N923" s="9" t="str">
        <f t="shared" si="7"/>
        <v>Cardio</v>
      </c>
      <c r="O923" s="10">
        <v>8691.25</v>
      </c>
      <c r="P923" s="10">
        <v>6674.95</v>
      </c>
      <c r="Q923" s="11">
        <v>8.6999999999999993</v>
      </c>
      <c r="R923" s="13" t="str">
        <f>IF(Patient_Data!$L923&lt;2,"Low Risk",IF(Patient_Data!$L923&lt;4,"Moderate Risk","High Risk"))</f>
        <v>Moderate Risk</v>
      </c>
      <c r="S923" s="12" t="str">
        <f>IF(Patient_Data[[#This Row],[Age]]&lt;=18,"Pediatric",IF(Patient_Data[[#This Row],[Age]]&lt;=64,"Adult","Geriatric"))</f>
        <v>Adult</v>
      </c>
    </row>
    <row r="924" spans="1:19" ht="15.75" customHeight="1" x14ac:dyDescent="0.3">
      <c r="A924" s="4" t="s">
        <v>1895</v>
      </c>
      <c r="B924" s="5" t="str">
        <f>TEXT(Patient_Data!$E924,"mmmm")</f>
        <v>June</v>
      </c>
      <c r="C924" s="6" t="str">
        <f t="shared" si="6"/>
        <v>Jun</v>
      </c>
      <c r="D924" s="6">
        <f>MONTH(Patient_Data!$E924)</f>
        <v>6</v>
      </c>
      <c r="E924" s="7">
        <v>46178</v>
      </c>
      <c r="F924" s="55" t="str">
        <f>TEXT(Patient_Data[[#This Row],[Admission_Date]],"YYYY")</f>
        <v>2026</v>
      </c>
      <c r="G924" s="8" t="s">
        <v>1896</v>
      </c>
      <c r="H924" s="8" t="s">
        <v>28</v>
      </c>
      <c r="I924" s="4" t="s">
        <v>35</v>
      </c>
      <c r="J924" s="4">
        <v>38</v>
      </c>
      <c r="K924" s="4" t="s">
        <v>30</v>
      </c>
      <c r="L924" s="8">
        <v>3</v>
      </c>
      <c r="M924" s="9" t="s">
        <v>83</v>
      </c>
      <c r="N924" s="9" t="str">
        <f t="shared" si="7"/>
        <v>ER</v>
      </c>
      <c r="O924" s="10">
        <v>4169.92</v>
      </c>
      <c r="P924" s="10">
        <v>2506.5500000000002</v>
      </c>
      <c r="Q924" s="11">
        <v>11</v>
      </c>
      <c r="R924" s="13" t="str">
        <f>IF(Patient_Data!$L924&lt;2,"Low Risk",IF(Patient_Data!$L924&lt;4,"Moderate Risk","High Risk"))</f>
        <v>Moderate Risk</v>
      </c>
      <c r="S924" s="12" t="str">
        <f>IF(Patient_Data[[#This Row],[Age]]&lt;=18,"Pediatric",IF(Patient_Data[[#This Row],[Age]]&lt;=64,"Adult","Geriatric"))</f>
        <v>Adult</v>
      </c>
    </row>
    <row r="925" spans="1:19" ht="15.75" customHeight="1" x14ac:dyDescent="0.3">
      <c r="A925" s="4" t="s">
        <v>1897</v>
      </c>
      <c r="B925" s="5" t="str">
        <f>TEXT(Patient_Data!$E925,"mmmm")</f>
        <v>September</v>
      </c>
      <c r="C925" s="6" t="str">
        <f t="shared" si="6"/>
        <v>Sep</v>
      </c>
      <c r="D925" s="6">
        <f>MONTH(Patient_Data!$E925)</f>
        <v>9</v>
      </c>
      <c r="E925" s="7">
        <v>45922</v>
      </c>
      <c r="F925" s="55" t="str">
        <f>TEXT(Patient_Data[[#This Row],[Admission_Date]],"YYYY")</f>
        <v>2025</v>
      </c>
      <c r="G925" s="8" t="s">
        <v>1898</v>
      </c>
      <c r="H925" s="8" t="s">
        <v>42</v>
      </c>
      <c r="I925" s="4" t="s">
        <v>29</v>
      </c>
      <c r="J925" s="4">
        <v>16</v>
      </c>
      <c r="K925" s="4" t="s">
        <v>54</v>
      </c>
      <c r="L925" s="8">
        <v>1</v>
      </c>
      <c r="M925" s="9" t="s">
        <v>79</v>
      </c>
      <c r="N925" s="9" t="str">
        <f t="shared" si="7"/>
        <v>PD</v>
      </c>
      <c r="O925" s="10">
        <v>1097.6500000000001</v>
      </c>
      <c r="P925" s="10">
        <v>715.97</v>
      </c>
      <c r="Q925" s="11">
        <v>5.8</v>
      </c>
      <c r="R925" s="13" t="str">
        <f>IF(Patient_Data!$L925&lt;2,"Low Risk",IF(Patient_Data!$L925&lt;4,"Moderate Risk","High Risk"))</f>
        <v>Low Risk</v>
      </c>
      <c r="S925" s="12" t="str">
        <f>IF(Patient_Data[[#This Row],[Age]]&lt;=18,"Pediatric",IF(Patient_Data[[#This Row],[Age]]&lt;=64,"Adult","Geriatric"))</f>
        <v>Pediatric</v>
      </c>
    </row>
    <row r="926" spans="1:19" ht="15.75" customHeight="1" x14ac:dyDescent="0.3">
      <c r="A926" s="4" t="s">
        <v>1899</v>
      </c>
      <c r="B926" s="5" t="str">
        <f>TEXT(Patient_Data!$E926,"mmmm")</f>
        <v>May</v>
      </c>
      <c r="C926" s="6" t="str">
        <f t="shared" si="6"/>
        <v>May</v>
      </c>
      <c r="D926" s="6">
        <f>MONTH(Patient_Data!$E926)</f>
        <v>5</v>
      </c>
      <c r="E926" s="7">
        <v>45432</v>
      </c>
      <c r="F926" s="55" t="str">
        <f>TEXT(Patient_Data[[#This Row],[Admission_Date]],"YYYY")</f>
        <v>2024</v>
      </c>
      <c r="G926" s="8" t="s">
        <v>1900</v>
      </c>
      <c r="H926" s="8" t="s">
        <v>34</v>
      </c>
      <c r="I926" s="4" t="s">
        <v>29</v>
      </c>
      <c r="J926" s="4">
        <v>57</v>
      </c>
      <c r="K926" s="4" t="s">
        <v>30</v>
      </c>
      <c r="L926" s="8">
        <v>2</v>
      </c>
      <c r="M926" s="9" t="s">
        <v>31</v>
      </c>
      <c r="N926" s="9" t="str">
        <f t="shared" si="7"/>
        <v>Neuro</v>
      </c>
      <c r="O926" s="10">
        <v>5627.19</v>
      </c>
      <c r="P926" s="10">
        <v>3645.4</v>
      </c>
      <c r="Q926" s="11">
        <v>5.5</v>
      </c>
      <c r="R926" s="13" t="str">
        <f>IF(Patient_Data!$L926&lt;2,"Low Risk",IF(Patient_Data!$L926&lt;4,"Moderate Risk","High Risk"))</f>
        <v>Moderate Risk</v>
      </c>
      <c r="S926" s="12" t="str">
        <f>IF(Patient_Data[[#This Row],[Age]]&lt;=18,"Pediatric",IF(Patient_Data[[#This Row],[Age]]&lt;=64,"Adult","Geriatric"))</f>
        <v>Adult</v>
      </c>
    </row>
    <row r="927" spans="1:19" ht="15.75" customHeight="1" x14ac:dyDescent="0.3">
      <c r="A927" s="4" t="s">
        <v>1901</v>
      </c>
      <c r="B927" s="5" t="str">
        <f>TEXT(Patient_Data!$E927,"mmmm")</f>
        <v>February</v>
      </c>
      <c r="C927" s="6" t="str">
        <f t="shared" si="6"/>
        <v>Feb</v>
      </c>
      <c r="D927" s="6">
        <f>MONTH(Patient_Data!$E927)</f>
        <v>2</v>
      </c>
      <c r="E927" s="7">
        <v>45343</v>
      </c>
      <c r="F927" s="55" t="str">
        <f>TEXT(Patient_Data[[#This Row],[Admission_Date]],"YYYY")</f>
        <v>2024</v>
      </c>
      <c r="G927" s="8" t="s">
        <v>1902</v>
      </c>
      <c r="H927" s="8" t="s">
        <v>98</v>
      </c>
      <c r="I927" s="4" t="s">
        <v>35</v>
      </c>
      <c r="J927" s="4">
        <v>9</v>
      </c>
      <c r="K927" s="4" t="s">
        <v>30</v>
      </c>
      <c r="L927" s="8">
        <v>1</v>
      </c>
      <c r="M927" s="9" t="s">
        <v>79</v>
      </c>
      <c r="N927" s="9" t="str">
        <f t="shared" si="7"/>
        <v>PD</v>
      </c>
      <c r="O927" s="10">
        <v>1385.13</v>
      </c>
      <c r="P927" s="10">
        <v>975.24</v>
      </c>
      <c r="Q927" s="11">
        <v>5.9</v>
      </c>
      <c r="R927" s="13" t="str">
        <f>IF(Patient_Data!$L927&lt;2,"Low Risk",IF(Patient_Data!$L927&lt;4,"Moderate Risk","High Risk"))</f>
        <v>Low Risk</v>
      </c>
      <c r="S927" s="12" t="str">
        <f>IF(Patient_Data[[#This Row],[Age]]&lt;=18,"Pediatric",IF(Patient_Data[[#This Row],[Age]]&lt;=64,"Adult","Geriatric"))</f>
        <v>Pediatric</v>
      </c>
    </row>
    <row r="928" spans="1:19" ht="15.75" customHeight="1" x14ac:dyDescent="0.3">
      <c r="A928" s="4" t="s">
        <v>1903</v>
      </c>
      <c r="B928" s="5" t="str">
        <f>TEXT(Patient_Data!$E928,"mmmm")</f>
        <v>January</v>
      </c>
      <c r="C928" s="6" t="str">
        <f t="shared" si="6"/>
        <v>Jan</v>
      </c>
      <c r="D928" s="6">
        <f>MONTH(Patient_Data!$E928)</f>
        <v>1</v>
      </c>
      <c r="E928" s="7">
        <v>45301</v>
      </c>
      <c r="F928" s="55" t="str">
        <f>TEXT(Patient_Data[[#This Row],[Admission_Date]],"YYYY")</f>
        <v>2024</v>
      </c>
      <c r="G928" s="8" t="s">
        <v>1904</v>
      </c>
      <c r="H928" s="8" t="s">
        <v>34</v>
      </c>
      <c r="I928" s="4" t="s">
        <v>35</v>
      </c>
      <c r="J928" s="4">
        <v>51</v>
      </c>
      <c r="K928" s="4" t="s">
        <v>30</v>
      </c>
      <c r="L928" s="8">
        <v>2</v>
      </c>
      <c r="M928" s="9" t="s">
        <v>39</v>
      </c>
      <c r="N928" s="9" t="str">
        <f t="shared" si="7"/>
        <v>GM</v>
      </c>
      <c r="O928" s="10">
        <v>3513.83</v>
      </c>
      <c r="P928" s="10">
        <v>2510.88</v>
      </c>
      <c r="Q928" s="11">
        <v>6.4</v>
      </c>
      <c r="R928" s="13" t="str">
        <f>IF(Patient_Data!$L928&lt;2,"Low Risk",IF(Patient_Data!$L928&lt;4,"Moderate Risk","High Risk"))</f>
        <v>Moderate Risk</v>
      </c>
      <c r="S928" s="12" t="str">
        <f>IF(Patient_Data[[#This Row],[Age]]&lt;=18,"Pediatric",IF(Patient_Data[[#This Row],[Age]]&lt;=64,"Adult","Geriatric"))</f>
        <v>Adult</v>
      </c>
    </row>
    <row r="929" spans="1:19" ht="15.75" customHeight="1" x14ac:dyDescent="0.3">
      <c r="A929" s="4" t="s">
        <v>1905</v>
      </c>
      <c r="B929" s="5" t="str">
        <f>TEXT(Patient_Data!$E929,"mmmm")</f>
        <v>May</v>
      </c>
      <c r="C929" s="6" t="str">
        <f t="shared" si="6"/>
        <v>May</v>
      </c>
      <c r="D929" s="6">
        <f>MONTH(Patient_Data!$E929)</f>
        <v>5</v>
      </c>
      <c r="E929" s="7">
        <v>45800</v>
      </c>
      <c r="F929" s="55" t="str">
        <f>TEXT(Patient_Data[[#This Row],[Admission_Date]],"YYYY")</f>
        <v>2025</v>
      </c>
      <c r="G929" s="8" t="s">
        <v>1906</v>
      </c>
      <c r="H929" s="8" t="s">
        <v>53</v>
      </c>
      <c r="I929" s="4" t="s">
        <v>35</v>
      </c>
      <c r="J929" s="4">
        <v>63</v>
      </c>
      <c r="K929" s="4" t="s">
        <v>54</v>
      </c>
      <c r="L929" s="8">
        <v>3</v>
      </c>
      <c r="M929" s="9" t="s">
        <v>39</v>
      </c>
      <c r="N929" s="9" t="str">
        <f t="shared" si="7"/>
        <v>GM</v>
      </c>
      <c r="O929" s="10">
        <v>4852.38</v>
      </c>
      <c r="P929" s="10">
        <v>3622.24</v>
      </c>
      <c r="Q929" s="11">
        <v>10</v>
      </c>
      <c r="R929" s="13" t="str">
        <f>IF(Patient_Data!$L929&lt;2,"Low Risk",IF(Patient_Data!$L929&lt;4,"Moderate Risk","High Risk"))</f>
        <v>Moderate Risk</v>
      </c>
      <c r="S929" s="12" t="str">
        <f>IF(Patient_Data[[#This Row],[Age]]&lt;=18,"Pediatric",IF(Patient_Data[[#This Row],[Age]]&lt;=64,"Adult","Geriatric"))</f>
        <v>Adult</v>
      </c>
    </row>
    <row r="930" spans="1:19" ht="15.75" customHeight="1" x14ac:dyDescent="0.3">
      <c r="A930" s="4" t="s">
        <v>1907</v>
      </c>
      <c r="B930" s="5" t="str">
        <f>TEXT(Patient_Data!$E930,"mmmm")</f>
        <v>November</v>
      </c>
      <c r="C930" s="6" t="str">
        <f t="shared" si="6"/>
        <v>Nov</v>
      </c>
      <c r="D930" s="6">
        <f>MONTH(Patient_Data!$E930)</f>
        <v>11</v>
      </c>
      <c r="E930" s="7">
        <v>45982</v>
      </c>
      <c r="F930" s="55" t="str">
        <f>TEXT(Patient_Data[[#This Row],[Admission_Date]],"YYYY")</f>
        <v>2025</v>
      </c>
      <c r="G930" s="8" t="s">
        <v>1908</v>
      </c>
      <c r="H930" s="8" t="s">
        <v>28</v>
      </c>
      <c r="I930" s="4" t="s">
        <v>35</v>
      </c>
      <c r="J930" s="4">
        <v>86</v>
      </c>
      <c r="K930" s="4" t="s">
        <v>45</v>
      </c>
      <c r="L930" s="8">
        <v>2</v>
      </c>
      <c r="M930" s="9" t="s">
        <v>46</v>
      </c>
      <c r="N930" s="9" t="str">
        <f t="shared" si="7"/>
        <v>Ortho</v>
      </c>
      <c r="O930" s="10">
        <v>6461.51</v>
      </c>
      <c r="P930" s="10">
        <v>4930.75</v>
      </c>
      <c r="Q930" s="11">
        <v>2.5</v>
      </c>
      <c r="R930" s="13" t="str">
        <f>IF(Patient_Data!$L930&lt;2,"Low Risk",IF(Patient_Data!$L930&lt;4,"Moderate Risk","High Risk"))</f>
        <v>Moderate Risk</v>
      </c>
      <c r="S930" s="12" t="str">
        <f>IF(Patient_Data[[#This Row],[Age]]&lt;=18,"Pediatric",IF(Patient_Data[[#This Row],[Age]]&lt;=64,"Adult","Geriatric"))</f>
        <v>Geriatric</v>
      </c>
    </row>
    <row r="931" spans="1:19" ht="15.75" customHeight="1" x14ac:dyDescent="0.3">
      <c r="A931" s="4" t="s">
        <v>1909</v>
      </c>
      <c r="B931" s="5" t="str">
        <f>TEXT(Patient_Data!$E931,"mmmm")</f>
        <v>May</v>
      </c>
      <c r="C931" s="6" t="str">
        <f t="shared" si="6"/>
        <v>May</v>
      </c>
      <c r="D931" s="6">
        <f>MONTH(Patient_Data!$E931)</f>
        <v>5</v>
      </c>
      <c r="E931" s="7">
        <v>46147</v>
      </c>
      <c r="F931" s="55" t="str">
        <f>TEXT(Patient_Data[[#This Row],[Admission_Date]],"YYYY")</f>
        <v>2026</v>
      </c>
      <c r="G931" s="8" t="s">
        <v>1910</v>
      </c>
      <c r="H931" s="8" t="s">
        <v>34</v>
      </c>
      <c r="I931" s="4" t="s">
        <v>29</v>
      </c>
      <c r="J931" s="4">
        <v>43</v>
      </c>
      <c r="K931" s="4" t="s">
        <v>54</v>
      </c>
      <c r="L931" s="8">
        <v>4</v>
      </c>
      <c r="M931" s="9" t="s">
        <v>31</v>
      </c>
      <c r="N931" s="9" t="str">
        <f t="shared" si="7"/>
        <v>Neuro</v>
      </c>
      <c r="O931" s="10">
        <v>10931.95</v>
      </c>
      <c r="P931" s="10">
        <v>6388.53</v>
      </c>
      <c r="Q931" s="11">
        <v>6</v>
      </c>
      <c r="R931" s="13" t="str">
        <f>IF(Patient_Data!$L931&lt;2,"Low Risk",IF(Patient_Data!$L931&lt;4,"Moderate Risk","High Risk"))</f>
        <v>High Risk</v>
      </c>
      <c r="S931" s="12" t="str">
        <f>IF(Patient_Data[[#This Row],[Age]]&lt;=18,"Pediatric",IF(Patient_Data[[#This Row],[Age]]&lt;=64,"Adult","Geriatric"))</f>
        <v>Adult</v>
      </c>
    </row>
    <row r="932" spans="1:19" ht="15.75" customHeight="1" x14ac:dyDescent="0.3">
      <c r="A932" s="4" t="s">
        <v>1911</v>
      </c>
      <c r="B932" s="5" t="str">
        <f>TEXT(Patient_Data!$E932,"mmmm")</f>
        <v>December</v>
      </c>
      <c r="C932" s="6" t="str">
        <f t="shared" si="6"/>
        <v>Dec</v>
      </c>
      <c r="D932" s="6">
        <f>MONTH(Patient_Data!$E932)</f>
        <v>12</v>
      </c>
      <c r="E932" s="7">
        <v>46008</v>
      </c>
      <c r="F932" s="55" t="str">
        <f>TEXT(Patient_Data[[#This Row],[Admission_Date]],"YYYY")</f>
        <v>2025</v>
      </c>
      <c r="G932" s="8" t="s">
        <v>1912</v>
      </c>
      <c r="H932" s="8" t="s">
        <v>53</v>
      </c>
      <c r="I932" s="4" t="s">
        <v>29</v>
      </c>
      <c r="J932" s="4">
        <v>22</v>
      </c>
      <c r="K932" s="4" t="s">
        <v>30</v>
      </c>
      <c r="L932" s="8">
        <v>1</v>
      </c>
      <c r="M932" s="9" t="s">
        <v>36</v>
      </c>
      <c r="N932" s="9" t="str">
        <f t="shared" si="7"/>
        <v>Cardio</v>
      </c>
      <c r="O932" s="10">
        <v>5696.86</v>
      </c>
      <c r="P932" s="10">
        <v>3551.88</v>
      </c>
      <c r="Q932" s="11">
        <v>9.6</v>
      </c>
      <c r="R932" s="13" t="str">
        <f>IF(Patient_Data!$L932&lt;2,"Low Risk",IF(Patient_Data!$L932&lt;4,"Moderate Risk","High Risk"))</f>
        <v>Low Risk</v>
      </c>
      <c r="S932" s="12" t="str">
        <f>IF(Patient_Data[[#This Row],[Age]]&lt;=18,"Pediatric",IF(Patient_Data[[#This Row],[Age]]&lt;=64,"Adult","Geriatric"))</f>
        <v>Adult</v>
      </c>
    </row>
    <row r="933" spans="1:19" ht="15.75" customHeight="1" x14ac:dyDescent="0.3">
      <c r="A933" s="4" t="s">
        <v>1913</v>
      </c>
      <c r="B933" s="5" t="str">
        <f>TEXT(Patient_Data!$E933,"mmmm")</f>
        <v>January</v>
      </c>
      <c r="C933" s="6" t="str">
        <f t="shared" si="6"/>
        <v>Jan</v>
      </c>
      <c r="D933" s="6">
        <f>MONTH(Patient_Data!$E933)</f>
        <v>1</v>
      </c>
      <c r="E933" s="7">
        <v>45318</v>
      </c>
      <c r="F933" s="55" t="str">
        <f>TEXT(Patient_Data[[#This Row],[Admission_Date]],"YYYY")</f>
        <v>2024</v>
      </c>
      <c r="G933" s="8" t="s">
        <v>1914</v>
      </c>
      <c r="H933" s="8" t="s">
        <v>132</v>
      </c>
      <c r="I933" s="4" t="s">
        <v>29</v>
      </c>
      <c r="J933" s="4">
        <v>49</v>
      </c>
      <c r="K933" s="4" t="s">
        <v>30</v>
      </c>
      <c r="L933" s="8">
        <v>1</v>
      </c>
      <c r="M933" s="9" t="s">
        <v>46</v>
      </c>
      <c r="N933" s="9" t="str">
        <f t="shared" si="7"/>
        <v>Ortho</v>
      </c>
      <c r="O933" s="10">
        <v>7314.3</v>
      </c>
      <c r="P933" s="10">
        <v>4750.75</v>
      </c>
      <c r="Q933" s="11">
        <v>8.6999999999999993</v>
      </c>
      <c r="R933" s="13" t="str">
        <f>IF(Patient_Data!$L933&lt;2,"Low Risk",IF(Patient_Data!$L933&lt;4,"Moderate Risk","High Risk"))</f>
        <v>Low Risk</v>
      </c>
      <c r="S933" s="12" t="str">
        <f>IF(Patient_Data[[#This Row],[Age]]&lt;=18,"Pediatric",IF(Patient_Data[[#This Row],[Age]]&lt;=64,"Adult","Geriatric"))</f>
        <v>Adult</v>
      </c>
    </row>
    <row r="934" spans="1:19" ht="15.75" customHeight="1" x14ac:dyDescent="0.3">
      <c r="A934" s="4" t="s">
        <v>1915</v>
      </c>
      <c r="B934" s="5" t="str">
        <f>TEXT(Patient_Data!$E934,"mmmm")</f>
        <v>August</v>
      </c>
      <c r="C934" s="6" t="str">
        <f t="shared" si="6"/>
        <v>Aug</v>
      </c>
      <c r="D934" s="6">
        <f>MONTH(Patient_Data!$E934)</f>
        <v>8</v>
      </c>
      <c r="E934" s="7">
        <v>45872</v>
      </c>
      <c r="F934" s="55" t="str">
        <f>TEXT(Patient_Data[[#This Row],[Admission_Date]],"YYYY")</f>
        <v>2025</v>
      </c>
      <c r="G934" s="8" t="s">
        <v>1916</v>
      </c>
      <c r="H934" s="8" t="s">
        <v>28</v>
      </c>
      <c r="I934" s="4" t="s">
        <v>35</v>
      </c>
      <c r="J934" s="4">
        <v>71</v>
      </c>
      <c r="K934" s="4" t="s">
        <v>54</v>
      </c>
      <c r="L934" s="8">
        <v>3</v>
      </c>
      <c r="M934" s="9" t="s">
        <v>72</v>
      </c>
      <c r="N934" s="9" t="str">
        <f t="shared" si="7"/>
        <v>Surgery</v>
      </c>
      <c r="O934" s="10">
        <v>13100.79</v>
      </c>
      <c r="P934" s="10">
        <v>8851.93</v>
      </c>
      <c r="Q934" s="11">
        <v>9.3000000000000007</v>
      </c>
      <c r="R934" s="13" t="str">
        <f>IF(Patient_Data!$L934&lt;2,"Low Risk",IF(Patient_Data!$L934&lt;4,"Moderate Risk","High Risk"))</f>
        <v>Moderate Risk</v>
      </c>
      <c r="S934" s="12" t="str">
        <f>IF(Patient_Data[[#This Row],[Age]]&lt;=18,"Pediatric",IF(Patient_Data[[#This Row],[Age]]&lt;=64,"Adult","Geriatric"))</f>
        <v>Geriatric</v>
      </c>
    </row>
    <row r="935" spans="1:19" ht="15.75" customHeight="1" x14ac:dyDescent="0.3">
      <c r="A935" s="4" t="s">
        <v>1917</v>
      </c>
      <c r="B935" s="5" t="str">
        <f>TEXT(Patient_Data!$E935,"mmmm")</f>
        <v>September</v>
      </c>
      <c r="C935" s="6" t="str">
        <f t="shared" si="6"/>
        <v>Sep</v>
      </c>
      <c r="D935" s="6">
        <f>MONTH(Patient_Data!$E935)</f>
        <v>9</v>
      </c>
      <c r="E935" s="7">
        <v>45539</v>
      </c>
      <c r="F935" s="55" t="str">
        <f>TEXT(Patient_Data[[#This Row],[Admission_Date]],"YYYY")</f>
        <v>2024</v>
      </c>
      <c r="G935" s="8" t="s">
        <v>1918</v>
      </c>
      <c r="H935" s="8" t="s">
        <v>34</v>
      </c>
      <c r="I935" s="4" t="s">
        <v>29</v>
      </c>
      <c r="J935" s="4">
        <v>13</v>
      </c>
      <c r="K935" s="4" t="s">
        <v>30</v>
      </c>
      <c r="L935" s="8">
        <v>1</v>
      </c>
      <c r="M935" s="9" t="s">
        <v>79</v>
      </c>
      <c r="N935" s="9" t="str">
        <f t="shared" si="7"/>
        <v>PD</v>
      </c>
      <c r="O935" s="10">
        <v>688.1</v>
      </c>
      <c r="P935" s="10">
        <v>523.27</v>
      </c>
      <c r="Q935" s="11">
        <v>5.2</v>
      </c>
      <c r="R935" s="13" t="str">
        <f>IF(Patient_Data!$L935&lt;2,"Low Risk",IF(Patient_Data!$L935&lt;4,"Moderate Risk","High Risk"))</f>
        <v>Low Risk</v>
      </c>
      <c r="S935" s="12" t="str">
        <f>IF(Patient_Data[[#This Row],[Age]]&lt;=18,"Pediatric",IF(Patient_Data[[#This Row],[Age]]&lt;=64,"Adult","Geriatric"))</f>
        <v>Pediatric</v>
      </c>
    </row>
    <row r="936" spans="1:19" ht="15.75" customHeight="1" x14ac:dyDescent="0.3">
      <c r="A936" s="4" t="s">
        <v>1919</v>
      </c>
      <c r="B936" s="5" t="str">
        <f>TEXT(Patient_Data!$E936,"mmmm")</f>
        <v>December</v>
      </c>
      <c r="C936" s="6" t="str">
        <f t="shared" si="6"/>
        <v>Dec</v>
      </c>
      <c r="D936" s="6">
        <f>MONTH(Patient_Data!$E936)</f>
        <v>12</v>
      </c>
      <c r="E936" s="7">
        <v>45280</v>
      </c>
      <c r="F936" s="55" t="str">
        <f>TEXT(Patient_Data[[#This Row],[Admission_Date]],"YYYY")</f>
        <v>2023</v>
      </c>
      <c r="G936" s="8" t="s">
        <v>1920</v>
      </c>
      <c r="H936" s="8" t="s">
        <v>49</v>
      </c>
      <c r="I936" s="4" t="s">
        <v>29</v>
      </c>
      <c r="J936" s="4">
        <v>24</v>
      </c>
      <c r="K936" s="4" t="s">
        <v>30</v>
      </c>
      <c r="L936" s="8">
        <v>1</v>
      </c>
      <c r="M936" s="9" t="s">
        <v>39</v>
      </c>
      <c r="N936" s="9" t="str">
        <f t="shared" si="7"/>
        <v>GM</v>
      </c>
      <c r="O936" s="10">
        <v>1546.5</v>
      </c>
      <c r="P936" s="10">
        <v>1128.94</v>
      </c>
      <c r="Q936" s="11"/>
      <c r="R936" s="13" t="str">
        <f>IF(Patient_Data!$L936&lt;2,"Low Risk",IF(Patient_Data!$L936&lt;4,"Moderate Risk","High Risk"))</f>
        <v>Low Risk</v>
      </c>
      <c r="S936" s="12" t="str">
        <f>IF(Patient_Data[[#This Row],[Age]]&lt;=18,"Pediatric",IF(Patient_Data[[#This Row],[Age]]&lt;=64,"Adult","Geriatric"))</f>
        <v>Adult</v>
      </c>
    </row>
    <row r="937" spans="1:19" ht="15.75" customHeight="1" x14ac:dyDescent="0.3">
      <c r="A937" s="4" t="s">
        <v>1921</v>
      </c>
      <c r="B937" s="5" t="str">
        <f>TEXT(Patient_Data!$E937,"mmmm")</f>
        <v>May</v>
      </c>
      <c r="C937" s="6" t="str">
        <f t="shared" si="6"/>
        <v>May</v>
      </c>
      <c r="D937" s="6">
        <f>MONTH(Patient_Data!$E937)</f>
        <v>5</v>
      </c>
      <c r="E937" s="7">
        <v>45421</v>
      </c>
      <c r="F937" s="55" t="str">
        <f>TEXT(Patient_Data[[#This Row],[Admission_Date]],"YYYY")</f>
        <v>2024</v>
      </c>
      <c r="G937" s="8" t="s">
        <v>1922</v>
      </c>
      <c r="H937" s="8" t="s">
        <v>53</v>
      </c>
      <c r="I937" s="4" t="s">
        <v>29</v>
      </c>
      <c r="J937" s="4">
        <v>17</v>
      </c>
      <c r="K937" s="4" t="s">
        <v>30</v>
      </c>
      <c r="L937" s="8">
        <v>2</v>
      </c>
      <c r="M937" s="9" t="s">
        <v>79</v>
      </c>
      <c r="N937" s="9" t="str">
        <f t="shared" si="7"/>
        <v>PD</v>
      </c>
      <c r="O937" s="10">
        <v>2344.69</v>
      </c>
      <c r="P937" s="10">
        <v>1824.36</v>
      </c>
      <c r="Q937" s="11">
        <v>5.3</v>
      </c>
      <c r="R937" s="13" t="str">
        <f>IF(Patient_Data!$L937&lt;2,"Low Risk",IF(Patient_Data!$L937&lt;4,"Moderate Risk","High Risk"))</f>
        <v>Moderate Risk</v>
      </c>
      <c r="S937" s="12" t="str">
        <f>IF(Patient_Data[[#This Row],[Age]]&lt;=18,"Pediatric",IF(Patient_Data[[#This Row],[Age]]&lt;=64,"Adult","Geriatric"))</f>
        <v>Pediatric</v>
      </c>
    </row>
    <row r="938" spans="1:19" ht="15.75" customHeight="1" x14ac:dyDescent="0.3">
      <c r="A938" s="4" t="s">
        <v>1923</v>
      </c>
      <c r="B938" s="5" t="str">
        <f>TEXT(Patient_Data!$E938,"mmmm")</f>
        <v>July</v>
      </c>
      <c r="C938" s="6" t="str">
        <f t="shared" si="6"/>
        <v>Jul</v>
      </c>
      <c r="D938" s="6">
        <f>MONTH(Patient_Data!$E938)</f>
        <v>7</v>
      </c>
      <c r="E938" s="7">
        <v>45498</v>
      </c>
      <c r="F938" s="55" t="str">
        <f>TEXT(Patient_Data[[#This Row],[Admission_Date]],"YYYY")</f>
        <v>2024</v>
      </c>
      <c r="G938" s="8" t="s">
        <v>1924</v>
      </c>
      <c r="H938" s="8" t="s">
        <v>34</v>
      </c>
      <c r="I938" s="4" t="s">
        <v>29</v>
      </c>
      <c r="J938" s="4">
        <v>78</v>
      </c>
      <c r="K938" s="4" t="s">
        <v>30</v>
      </c>
      <c r="L938" s="8">
        <v>4</v>
      </c>
      <c r="M938" s="9" t="s">
        <v>31</v>
      </c>
      <c r="N938" s="9" t="str">
        <f t="shared" si="7"/>
        <v>Neuro</v>
      </c>
      <c r="O938" s="10">
        <v>8239.5</v>
      </c>
      <c r="P938" s="10">
        <v>4857.3100000000004</v>
      </c>
      <c r="Q938" s="11">
        <v>9.8000000000000007</v>
      </c>
      <c r="R938" s="13" t="str">
        <f>IF(Patient_Data!$L938&lt;2,"Low Risk",IF(Patient_Data!$L938&lt;4,"Moderate Risk","High Risk"))</f>
        <v>High Risk</v>
      </c>
      <c r="S938" s="12" t="str">
        <f>IF(Patient_Data[[#This Row],[Age]]&lt;=18,"Pediatric",IF(Patient_Data[[#This Row],[Age]]&lt;=64,"Adult","Geriatric"))</f>
        <v>Geriatric</v>
      </c>
    </row>
    <row r="939" spans="1:19" ht="15.75" customHeight="1" x14ac:dyDescent="0.3">
      <c r="A939" s="4" t="s">
        <v>1925</v>
      </c>
      <c r="B939" s="5" t="str">
        <f>TEXT(Patient_Data!$E939,"mmmm")</f>
        <v>June</v>
      </c>
      <c r="C939" s="6" t="str">
        <f t="shared" si="6"/>
        <v>Jun</v>
      </c>
      <c r="D939" s="6">
        <f>MONTH(Patient_Data!$E939)</f>
        <v>6</v>
      </c>
      <c r="E939" s="7">
        <v>45827</v>
      </c>
      <c r="F939" s="55" t="str">
        <f>TEXT(Patient_Data[[#This Row],[Admission_Date]],"YYYY")</f>
        <v>2025</v>
      </c>
      <c r="G939" s="8" t="s">
        <v>1926</v>
      </c>
      <c r="H939" s="8" t="s">
        <v>53</v>
      </c>
      <c r="I939" s="4" t="s">
        <v>35</v>
      </c>
      <c r="J939" s="4">
        <v>26</v>
      </c>
      <c r="K939" s="4" t="s">
        <v>30</v>
      </c>
      <c r="L939" s="8">
        <v>3</v>
      </c>
      <c r="M939" s="9" t="s">
        <v>83</v>
      </c>
      <c r="N939" s="9" t="str">
        <f t="shared" si="7"/>
        <v>ER</v>
      </c>
      <c r="O939" s="10">
        <v>3920.94</v>
      </c>
      <c r="P939" s="10">
        <v>2490.9699999999998</v>
      </c>
      <c r="Q939" s="11">
        <v>12.4</v>
      </c>
      <c r="R939" s="13" t="str">
        <f>IF(Patient_Data!$L939&lt;2,"Low Risk",IF(Patient_Data!$L939&lt;4,"Moderate Risk","High Risk"))</f>
        <v>Moderate Risk</v>
      </c>
      <c r="S939" s="12" t="str">
        <f>IF(Patient_Data[[#This Row],[Age]]&lt;=18,"Pediatric",IF(Patient_Data[[#This Row],[Age]]&lt;=64,"Adult","Geriatric"))</f>
        <v>Adult</v>
      </c>
    </row>
    <row r="940" spans="1:19" ht="15.75" customHeight="1" x14ac:dyDescent="0.3">
      <c r="A940" s="4" t="s">
        <v>1927</v>
      </c>
      <c r="B940" s="5" t="str">
        <f>TEXT(Patient_Data!$E940,"mmmm")</f>
        <v>December</v>
      </c>
      <c r="C940" s="6" t="str">
        <f t="shared" si="6"/>
        <v>Dec</v>
      </c>
      <c r="D940" s="6">
        <f>MONTH(Patient_Data!$E940)</f>
        <v>12</v>
      </c>
      <c r="E940" s="7">
        <v>45628</v>
      </c>
      <c r="F940" s="55" t="str">
        <f>TEXT(Patient_Data[[#This Row],[Admission_Date]],"YYYY")</f>
        <v>2024</v>
      </c>
      <c r="G940" s="8" t="s">
        <v>1928</v>
      </c>
      <c r="H940" s="8" t="s">
        <v>82</v>
      </c>
      <c r="I940" s="4" t="s">
        <v>29</v>
      </c>
      <c r="J940" s="4">
        <v>42</v>
      </c>
      <c r="K940" s="4" t="s">
        <v>30</v>
      </c>
      <c r="L940" s="8">
        <v>1</v>
      </c>
      <c r="M940" s="9" t="s">
        <v>83</v>
      </c>
      <c r="N940" s="9" t="str">
        <f t="shared" si="7"/>
        <v>ER</v>
      </c>
      <c r="O940" s="10">
        <v>2523.2600000000002</v>
      </c>
      <c r="P940" s="10">
        <v>1744.49</v>
      </c>
      <c r="Q940" s="11">
        <v>16.2</v>
      </c>
      <c r="R940" s="13" t="str">
        <f>IF(Patient_Data!$L940&lt;2,"Low Risk",IF(Patient_Data!$L940&lt;4,"Moderate Risk","High Risk"))</f>
        <v>Low Risk</v>
      </c>
      <c r="S940" s="12" t="str">
        <f>IF(Patient_Data[[#This Row],[Age]]&lt;=18,"Pediatric",IF(Patient_Data[[#This Row],[Age]]&lt;=64,"Adult","Geriatric"))</f>
        <v>Adult</v>
      </c>
    </row>
    <row r="941" spans="1:19" ht="15.75" customHeight="1" x14ac:dyDescent="0.3">
      <c r="A941" s="4" t="s">
        <v>1929</v>
      </c>
      <c r="B941" s="5" t="str">
        <f>TEXT(Patient_Data!$E941,"mmmm")</f>
        <v>August</v>
      </c>
      <c r="C941" s="6" t="str">
        <f t="shared" si="6"/>
        <v>Aug</v>
      </c>
      <c r="D941" s="6">
        <f>MONTH(Patient_Data!$E941)</f>
        <v>8</v>
      </c>
      <c r="E941" s="7">
        <v>45875</v>
      </c>
      <c r="F941" s="55" t="str">
        <f>TEXT(Patient_Data[[#This Row],[Admission_Date]],"YYYY")</f>
        <v>2025</v>
      </c>
      <c r="G941" s="8" t="s">
        <v>1930</v>
      </c>
      <c r="H941" s="8" t="s">
        <v>42</v>
      </c>
      <c r="I941" s="4" t="s">
        <v>29</v>
      </c>
      <c r="J941" s="4">
        <v>78</v>
      </c>
      <c r="K941" s="4" t="s">
        <v>30</v>
      </c>
      <c r="L941" s="8">
        <v>3</v>
      </c>
      <c r="M941" s="9" t="s">
        <v>46</v>
      </c>
      <c r="N941" s="9" t="str">
        <f t="shared" si="7"/>
        <v>Ortho</v>
      </c>
      <c r="O941" s="10">
        <v>9518.69</v>
      </c>
      <c r="P941" s="10">
        <v>6422.32</v>
      </c>
      <c r="Q941" s="11">
        <v>5.6</v>
      </c>
      <c r="R941" s="13" t="str">
        <f>IF(Patient_Data!$L941&lt;2,"Low Risk",IF(Patient_Data!$L941&lt;4,"Moderate Risk","High Risk"))</f>
        <v>Moderate Risk</v>
      </c>
      <c r="S941" s="12" t="str">
        <f>IF(Patient_Data[[#This Row],[Age]]&lt;=18,"Pediatric",IF(Patient_Data[[#This Row],[Age]]&lt;=64,"Adult","Geriatric"))</f>
        <v>Geriatric</v>
      </c>
    </row>
    <row r="942" spans="1:19" ht="15.75" customHeight="1" x14ac:dyDescent="0.3">
      <c r="A942" s="4" t="s">
        <v>1931</v>
      </c>
      <c r="B942" s="5" t="str">
        <f>TEXT(Patient_Data!$E942,"mmmm")</f>
        <v>April</v>
      </c>
      <c r="C942" s="6" t="str">
        <f t="shared" si="6"/>
        <v>Apr</v>
      </c>
      <c r="D942" s="6">
        <f>MONTH(Patient_Data!$E942)</f>
        <v>4</v>
      </c>
      <c r="E942" s="7">
        <v>45748</v>
      </c>
      <c r="F942" s="55" t="str">
        <f>TEXT(Patient_Data[[#This Row],[Admission_Date]],"YYYY")</f>
        <v>2025</v>
      </c>
      <c r="G942" s="8" t="s">
        <v>1932</v>
      </c>
      <c r="H942" s="8" t="s">
        <v>98</v>
      </c>
      <c r="I942" s="4" t="s">
        <v>35</v>
      </c>
      <c r="J942" s="4">
        <v>34</v>
      </c>
      <c r="K942" s="4" t="s">
        <v>30</v>
      </c>
      <c r="L942" s="8">
        <v>2</v>
      </c>
      <c r="M942" s="9" t="s">
        <v>36</v>
      </c>
      <c r="N942" s="9" t="str">
        <f t="shared" si="7"/>
        <v>Cardio</v>
      </c>
      <c r="O942" s="10">
        <v>13282.02</v>
      </c>
      <c r="P942" s="10">
        <v>9334.2099999999991</v>
      </c>
      <c r="Q942" s="11">
        <v>4.5999999999999996</v>
      </c>
      <c r="R942" s="13" t="str">
        <f>IF(Patient_Data!$L942&lt;2,"Low Risk",IF(Patient_Data!$L942&lt;4,"Moderate Risk","High Risk"))</f>
        <v>Moderate Risk</v>
      </c>
      <c r="S942" s="12" t="str">
        <f>IF(Patient_Data[[#This Row],[Age]]&lt;=18,"Pediatric",IF(Patient_Data[[#This Row],[Age]]&lt;=64,"Adult","Geriatric"))</f>
        <v>Adult</v>
      </c>
    </row>
    <row r="943" spans="1:19" ht="15.75" customHeight="1" x14ac:dyDescent="0.3">
      <c r="A943" s="4" t="s">
        <v>1933</v>
      </c>
      <c r="B943" s="5" t="str">
        <f>TEXT(Patient_Data!$E943,"mmmm")</f>
        <v>February</v>
      </c>
      <c r="C943" s="6" t="str">
        <f t="shared" si="6"/>
        <v>Feb</v>
      </c>
      <c r="D943" s="6">
        <f>MONTH(Patient_Data!$E943)</f>
        <v>2</v>
      </c>
      <c r="E943" s="7">
        <v>45328</v>
      </c>
      <c r="F943" s="55" t="str">
        <f>TEXT(Patient_Data[[#This Row],[Admission_Date]],"YYYY")</f>
        <v>2024</v>
      </c>
      <c r="G943" s="8" t="s">
        <v>1934</v>
      </c>
      <c r="H943" s="8" t="s">
        <v>34</v>
      </c>
      <c r="I943" s="4" t="s">
        <v>35</v>
      </c>
      <c r="J943" s="4">
        <v>50</v>
      </c>
      <c r="K943" s="4" t="s">
        <v>30</v>
      </c>
      <c r="L943" s="8">
        <v>1</v>
      </c>
      <c r="M943" s="9" t="s">
        <v>36</v>
      </c>
      <c r="N943" s="9" t="str">
        <f t="shared" si="7"/>
        <v>Cardio</v>
      </c>
      <c r="O943" s="10">
        <v>6575.76</v>
      </c>
      <c r="P943" s="10">
        <v>4800.3</v>
      </c>
      <c r="Q943" s="11"/>
      <c r="R943" s="13" t="str">
        <f>IF(Patient_Data!$L943&lt;2,"Low Risk",IF(Patient_Data!$L943&lt;4,"Moderate Risk","High Risk"))</f>
        <v>Low Risk</v>
      </c>
      <c r="S943" s="12" t="str">
        <f>IF(Patient_Data[[#This Row],[Age]]&lt;=18,"Pediatric",IF(Patient_Data[[#This Row],[Age]]&lt;=64,"Adult","Geriatric"))</f>
        <v>Adult</v>
      </c>
    </row>
    <row r="944" spans="1:19" ht="15.75" customHeight="1" x14ac:dyDescent="0.3">
      <c r="A944" s="4" t="s">
        <v>1935</v>
      </c>
      <c r="B944" s="5" t="str">
        <f>TEXT(Patient_Data!$E944,"mmmm")</f>
        <v>January</v>
      </c>
      <c r="C944" s="6" t="str">
        <f t="shared" si="6"/>
        <v>Jan</v>
      </c>
      <c r="D944" s="6">
        <f>MONTH(Patient_Data!$E944)</f>
        <v>1</v>
      </c>
      <c r="E944" s="7">
        <v>45680</v>
      </c>
      <c r="F944" s="55" t="str">
        <f>TEXT(Patient_Data[[#This Row],[Admission_Date]],"YYYY")</f>
        <v>2025</v>
      </c>
      <c r="G944" s="8" t="s">
        <v>1928</v>
      </c>
      <c r="H944" s="8" t="s">
        <v>28</v>
      </c>
      <c r="I944" s="4" t="s">
        <v>29</v>
      </c>
      <c r="J944" s="4">
        <v>56</v>
      </c>
      <c r="K944" s="4" t="s">
        <v>30</v>
      </c>
      <c r="L944" s="8">
        <v>2</v>
      </c>
      <c r="M944" s="9" t="s">
        <v>36</v>
      </c>
      <c r="N944" s="9" t="str">
        <f t="shared" si="7"/>
        <v>Cardio</v>
      </c>
      <c r="O944" s="10">
        <v>6733.17</v>
      </c>
      <c r="P944" s="10">
        <v>5210.01</v>
      </c>
      <c r="Q944" s="11">
        <v>11.6</v>
      </c>
      <c r="R944" s="13" t="str">
        <f>IF(Patient_Data!$L944&lt;2,"Low Risk",IF(Patient_Data!$L944&lt;4,"Moderate Risk","High Risk"))</f>
        <v>Moderate Risk</v>
      </c>
      <c r="S944" s="12" t="str">
        <f>IF(Patient_Data[[#This Row],[Age]]&lt;=18,"Pediatric",IF(Patient_Data[[#This Row],[Age]]&lt;=64,"Adult","Geriatric"))</f>
        <v>Adult</v>
      </c>
    </row>
    <row r="945" spans="1:19" ht="15.75" customHeight="1" x14ac:dyDescent="0.3">
      <c r="A945" s="4" t="s">
        <v>1936</v>
      </c>
      <c r="B945" s="5" t="str">
        <f>TEXT(Patient_Data!$E945,"mmmm")</f>
        <v>October</v>
      </c>
      <c r="C945" s="6" t="str">
        <f t="shared" si="6"/>
        <v>Oct</v>
      </c>
      <c r="D945" s="6">
        <f>MONTH(Patient_Data!$E945)</f>
        <v>10</v>
      </c>
      <c r="E945" s="7">
        <v>45569</v>
      </c>
      <c r="F945" s="55" t="str">
        <f>TEXT(Patient_Data[[#This Row],[Admission_Date]],"YYYY")</f>
        <v>2024</v>
      </c>
      <c r="G945" s="8" t="s">
        <v>1937</v>
      </c>
      <c r="H945" s="8" t="s">
        <v>82</v>
      </c>
      <c r="I945" s="4" t="s">
        <v>35</v>
      </c>
      <c r="J945" s="4">
        <v>78</v>
      </c>
      <c r="K945" s="4" t="s">
        <v>54</v>
      </c>
      <c r="L945" s="8">
        <v>3</v>
      </c>
      <c r="M945" s="9" t="s">
        <v>83</v>
      </c>
      <c r="N945" s="9" t="str">
        <f t="shared" si="7"/>
        <v>ER</v>
      </c>
      <c r="O945" s="10">
        <v>11022.57</v>
      </c>
      <c r="P945" s="10">
        <v>6563.49</v>
      </c>
      <c r="Q945" s="11">
        <v>21.3</v>
      </c>
      <c r="R945" s="13" t="str">
        <f>IF(Patient_Data!$L945&lt;2,"Low Risk",IF(Patient_Data!$L945&lt;4,"Moderate Risk","High Risk"))</f>
        <v>Moderate Risk</v>
      </c>
      <c r="S945" s="12" t="str">
        <f>IF(Patient_Data[[#This Row],[Age]]&lt;=18,"Pediatric",IF(Patient_Data[[#This Row],[Age]]&lt;=64,"Adult","Geriatric"))</f>
        <v>Geriatric</v>
      </c>
    </row>
    <row r="946" spans="1:19" ht="15.75" customHeight="1" x14ac:dyDescent="0.3">
      <c r="A946" s="4" t="s">
        <v>1938</v>
      </c>
      <c r="B946" s="5" t="str">
        <f>TEXT(Patient_Data!$E946,"mmmm")</f>
        <v>March</v>
      </c>
      <c r="C946" s="6" t="str">
        <f t="shared" si="6"/>
        <v>Mar</v>
      </c>
      <c r="D946" s="6">
        <f>MONTH(Patient_Data!$E946)</f>
        <v>3</v>
      </c>
      <c r="E946" s="7">
        <v>45729</v>
      </c>
      <c r="F946" s="55" t="str">
        <f>TEXT(Patient_Data[[#This Row],[Admission_Date]],"YYYY")</f>
        <v>2025</v>
      </c>
      <c r="G946" s="8" t="s">
        <v>1939</v>
      </c>
      <c r="H946" s="8" t="s">
        <v>34</v>
      </c>
      <c r="I946" s="4" t="s">
        <v>35</v>
      </c>
      <c r="J946" s="4">
        <v>44</v>
      </c>
      <c r="K946" s="4" t="s">
        <v>30</v>
      </c>
      <c r="L946" s="8">
        <v>2</v>
      </c>
      <c r="M946" s="9" t="s">
        <v>83</v>
      </c>
      <c r="N946" s="9" t="str">
        <f t="shared" si="7"/>
        <v>ER</v>
      </c>
      <c r="O946" s="10">
        <v>10785.74</v>
      </c>
      <c r="P946" s="10">
        <v>6693.7</v>
      </c>
      <c r="Q946" s="11">
        <v>14.3</v>
      </c>
      <c r="R946" s="13" t="str">
        <f>IF(Patient_Data!$L946&lt;2,"Low Risk",IF(Patient_Data!$L946&lt;4,"Moderate Risk","High Risk"))</f>
        <v>Moderate Risk</v>
      </c>
      <c r="S946" s="12" t="str">
        <f>IF(Patient_Data[[#This Row],[Age]]&lt;=18,"Pediatric",IF(Patient_Data[[#This Row],[Age]]&lt;=64,"Adult","Geriatric"))</f>
        <v>Adult</v>
      </c>
    </row>
    <row r="947" spans="1:19" ht="15.75" customHeight="1" x14ac:dyDescent="0.3">
      <c r="A947" s="4" t="s">
        <v>1940</v>
      </c>
      <c r="B947" s="5" t="str">
        <f>TEXT(Patient_Data!$E947,"mmmm")</f>
        <v>March</v>
      </c>
      <c r="C947" s="6" t="str">
        <f t="shared" si="6"/>
        <v>Mar</v>
      </c>
      <c r="D947" s="6">
        <f>MONTH(Patient_Data!$E947)</f>
        <v>3</v>
      </c>
      <c r="E947" s="7">
        <v>45358</v>
      </c>
      <c r="F947" s="55" t="str">
        <f>TEXT(Patient_Data[[#This Row],[Admission_Date]],"YYYY")</f>
        <v>2024</v>
      </c>
      <c r="G947" s="8" t="s">
        <v>1941</v>
      </c>
      <c r="H947" s="8" t="s">
        <v>98</v>
      </c>
      <c r="I947" s="4" t="s">
        <v>35</v>
      </c>
      <c r="J947" s="4">
        <v>81</v>
      </c>
      <c r="K947" s="4" t="s">
        <v>30</v>
      </c>
      <c r="L947" s="8">
        <v>1</v>
      </c>
      <c r="M947" s="9" t="s">
        <v>46</v>
      </c>
      <c r="N947" s="9" t="str">
        <f t="shared" si="7"/>
        <v>Ortho</v>
      </c>
      <c r="O947" s="10">
        <v>5707.22</v>
      </c>
      <c r="P947" s="10">
        <v>3722.22</v>
      </c>
      <c r="Q947" s="11">
        <v>8.6999999999999993</v>
      </c>
      <c r="R947" s="13" t="str">
        <f>IF(Patient_Data!$L947&lt;2,"Low Risk",IF(Patient_Data!$L947&lt;4,"Moderate Risk","High Risk"))</f>
        <v>Low Risk</v>
      </c>
      <c r="S947" s="12" t="str">
        <f>IF(Patient_Data[[#This Row],[Age]]&lt;=18,"Pediatric",IF(Patient_Data[[#This Row],[Age]]&lt;=64,"Adult","Geriatric"))</f>
        <v>Geriatric</v>
      </c>
    </row>
    <row r="948" spans="1:19" ht="15.75" customHeight="1" x14ac:dyDescent="0.3">
      <c r="A948" s="4" t="s">
        <v>1942</v>
      </c>
      <c r="B948" s="5" t="str">
        <f>TEXT(Patient_Data!$E948,"mmmm")</f>
        <v>June</v>
      </c>
      <c r="C948" s="6" t="str">
        <f t="shared" si="6"/>
        <v>Jun</v>
      </c>
      <c r="D948" s="6">
        <f>MONTH(Patient_Data!$E948)</f>
        <v>6</v>
      </c>
      <c r="E948" s="7">
        <v>46196</v>
      </c>
      <c r="F948" s="55" t="str">
        <f>TEXT(Patient_Data[[#This Row],[Admission_Date]],"YYYY")</f>
        <v>2026</v>
      </c>
      <c r="G948" s="8" t="s">
        <v>1943</v>
      </c>
      <c r="H948" s="8" t="s">
        <v>49</v>
      </c>
      <c r="I948" s="4" t="s">
        <v>29</v>
      </c>
      <c r="J948" s="4">
        <v>47</v>
      </c>
      <c r="K948" s="4" t="s">
        <v>30</v>
      </c>
      <c r="L948" s="8">
        <v>2</v>
      </c>
      <c r="M948" s="9" t="s">
        <v>83</v>
      </c>
      <c r="N948" s="9" t="str">
        <f t="shared" si="7"/>
        <v>ER</v>
      </c>
      <c r="O948" s="10">
        <v>3304.36</v>
      </c>
      <c r="P948" s="10">
        <v>2390.7199999999998</v>
      </c>
      <c r="Q948" s="11">
        <v>22.1</v>
      </c>
      <c r="R948" s="13" t="str">
        <f>IF(Patient_Data!$L948&lt;2,"Low Risk",IF(Patient_Data!$L948&lt;4,"Moderate Risk","High Risk"))</f>
        <v>Moderate Risk</v>
      </c>
      <c r="S948" s="12" t="str">
        <f>IF(Patient_Data[[#This Row],[Age]]&lt;=18,"Pediatric",IF(Patient_Data[[#This Row],[Age]]&lt;=64,"Adult","Geriatric"))</f>
        <v>Adult</v>
      </c>
    </row>
    <row r="949" spans="1:19" ht="15.75" customHeight="1" x14ac:dyDescent="0.3">
      <c r="A949" s="4" t="s">
        <v>1944</v>
      </c>
      <c r="B949" s="5" t="str">
        <f>TEXT(Patient_Data!$E949,"mmmm")</f>
        <v>August</v>
      </c>
      <c r="C949" s="6" t="str">
        <f t="shared" si="6"/>
        <v>Aug</v>
      </c>
      <c r="D949" s="6">
        <f>MONTH(Patient_Data!$E949)</f>
        <v>8</v>
      </c>
      <c r="E949" s="7">
        <v>45512</v>
      </c>
      <c r="F949" s="55" t="str">
        <f>TEXT(Patient_Data[[#This Row],[Admission_Date]],"YYYY")</f>
        <v>2024</v>
      </c>
      <c r="G949" s="8" t="s">
        <v>1945</v>
      </c>
      <c r="H949" s="8" t="s">
        <v>132</v>
      </c>
      <c r="I949" s="4" t="s">
        <v>29</v>
      </c>
      <c r="J949" s="4">
        <v>26</v>
      </c>
      <c r="K949" s="4" t="s">
        <v>30</v>
      </c>
      <c r="L949" s="8">
        <v>2</v>
      </c>
      <c r="M949" s="9" t="s">
        <v>31</v>
      </c>
      <c r="N949" s="9" t="str">
        <f t="shared" si="7"/>
        <v>Neuro</v>
      </c>
      <c r="O949" s="10">
        <v>9461.23</v>
      </c>
      <c r="P949" s="10">
        <v>6695.66</v>
      </c>
      <c r="Q949" s="11">
        <v>9.1</v>
      </c>
      <c r="R949" s="13" t="str">
        <f>IF(Patient_Data!$L949&lt;2,"Low Risk",IF(Patient_Data!$L949&lt;4,"Moderate Risk","High Risk"))</f>
        <v>Moderate Risk</v>
      </c>
      <c r="S949" s="12" t="str">
        <f>IF(Patient_Data[[#This Row],[Age]]&lt;=18,"Pediatric",IF(Patient_Data[[#This Row],[Age]]&lt;=64,"Adult","Geriatric"))</f>
        <v>Adult</v>
      </c>
    </row>
    <row r="950" spans="1:19" ht="15.75" customHeight="1" x14ac:dyDescent="0.3">
      <c r="A950" s="4" t="s">
        <v>1946</v>
      </c>
      <c r="B950" s="5" t="str">
        <f>TEXT(Patient_Data!$E950,"mmmm")</f>
        <v>July</v>
      </c>
      <c r="C950" s="6" t="str">
        <f t="shared" si="6"/>
        <v>Jul</v>
      </c>
      <c r="D950" s="6">
        <f>MONTH(Patient_Data!$E950)</f>
        <v>7</v>
      </c>
      <c r="E950" s="7">
        <v>45482</v>
      </c>
      <c r="F950" s="55" t="str">
        <f>TEXT(Patient_Data[[#This Row],[Admission_Date]],"YYYY")</f>
        <v>2024</v>
      </c>
      <c r="G950" s="8" t="s">
        <v>1947</v>
      </c>
      <c r="H950" s="8" t="s">
        <v>42</v>
      </c>
      <c r="I950" s="4" t="s">
        <v>35</v>
      </c>
      <c r="J950" s="4">
        <v>25</v>
      </c>
      <c r="K950" s="4" t="s">
        <v>54</v>
      </c>
      <c r="L950" s="8">
        <v>3</v>
      </c>
      <c r="M950" s="9" t="s">
        <v>31</v>
      </c>
      <c r="N950" s="9" t="str">
        <f t="shared" si="7"/>
        <v>Neuro</v>
      </c>
      <c r="O950" s="10">
        <v>14192.72</v>
      </c>
      <c r="P950" s="10">
        <v>10436.69</v>
      </c>
      <c r="Q950" s="11">
        <v>9.5</v>
      </c>
      <c r="R950" s="13" t="str">
        <f>IF(Patient_Data!$L950&lt;2,"Low Risk",IF(Patient_Data!$L950&lt;4,"Moderate Risk","High Risk"))</f>
        <v>Moderate Risk</v>
      </c>
      <c r="S950" s="12" t="str">
        <f>IF(Patient_Data[[#This Row],[Age]]&lt;=18,"Pediatric",IF(Patient_Data[[#This Row],[Age]]&lt;=64,"Adult","Geriatric"))</f>
        <v>Adult</v>
      </c>
    </row>
    <row r="951" spans="1:19" ht="15.75" customHeight="1" x14ac:dyDescent="0.3">
      <c r="A951" s="4" t="s">
        <v>1948</v>
      </c>
      <c r="B951" s="5" t="str">
        <f>TEXT(Patient_Data!$E951,"mmmm")</f>
        <v>August</v>
      </c>
      <c r="C951" s="6" t="str">
        <f t="shared" si="6"/>
        <v>Aug</v>
      </c>
      <c r="D951" s="6">
        <f>MONTH(Patient_Data!$E951)</f>
        <v>8</v>
      </c>
      <c r="E951" s="7">
        <v>45517</v>
      </c>
      <c r="F951" s="55" t="str">
        <f>TEXT(Patient_Data[[#This Row],[Admission_Date]],"YYYY")</f>
        <v>2024</v>
      </c>
      <c r="G951" s="8" t="s">
        <v>1461</v>
      </c>
      <c r="H951" s="8" t="s">
        <v>49</v>
      </c>
      <c r="I951" s="4" t="s">
        <v>29</v>
      </c>
      <c r="J951" s="4">
        <v>1</v>
      </c>
      <c r="K951" s="4" t="s">
        <v>30</v>
      </c>
      <c r="L951" s="8">
        <v>2</v>
      </c>
      <c r="M951" s="9" t="s">
        <v>79</v>
      </c>
      <c r="N951" s="9" t="str">
        <f t="shared" si="7"/>
        <v>PD</v>
      </c>
      <c r="O951" s="10">
        <v>2262.98</v>
      </c>
      <c r="P951" s="10">
        <v>1763.06</v>
      </c>
      <c r="Q951" s="11">
        <v>5.4</v>
      </c>
      <c r="R951" s="13" t="str">
        <f>IF(Patient_Data!$L951&lt;2,"Low Risk",IF(Patient_Data!$L951&lt;4,"Moderate Risk","High Risk"))</f>
        <v>Moderate Risk</v>
      </c>
      <c r="S951" s="12" t="str">
        <f>IF(Patient_Data[[#This Row],[Age]]&lt;=18,"Pediatric",IF(Patient_Data[[#This Row],[Age]]&lt;=64,"Adult","Geriatric"))</f>
        <v>Pediatric</v>
      </c>
    </row>
    <row r="952" spans="1:19" ht="15.75" customHeight="1" x14ac:dyDescent="0.3">
      <c r="A952" s="4" t="s">
        <v>1949</v>
      </c>
      <c r="B952" s="5" t="str">
        <f>TEXT(Patient_Data!$E952,"mmmm")</f>
        <v>November</v>
      </c>
      <c r="C952" s="6" t="str">
        <f t="shared" si="6"/>
        <v>Nov</v>
      </c>
      <c r="D952" s="6">
        <f>MONTH(Patient_Data!$E952)</f>
        <v>11</v>
      </c>
      <c r="E952" s="7">
        <v>45251</v>
      </c>
      <c r="F952" s="55" t="str">
        <f>TEXT(Patient_Data[[#This Row],[Admission_Date]],"YYYY")</f>
        <v>2023</v>
      </c>
      <c r="G952" s="8" t="s">
        <v>1950</v>
      </c>
      <c r="H952" s="8" t="s">
        <v>98</v>
      </c>
      <c r="I952" s="4" t="s">
        <v>29</v>
      </c>
      <c r="J952" s="4">
        <v>80</v>
      </c>
      <c r="K952" s="4" t="s">
        <v>30</v>
      </c>
      <c r="L952" s="8">
        <v>3</v>
      </c>
      <c r="M952" s="9" t="s">
        <v>31</v>
      </c>
      <c r="N952" s="9" t="str">
        <f t="shared" si="7"/>
        <v>Neuro</v>
      </c>
      <c r="O952" s="10">
        <v>12765.29</v>
      </c>
      <c r="P952" s="10">
        <v>7439.07</v>
      </c>
      <c r="Q952" s="11">
        <v>4.4000000000000004</v>
      </c>
      <c r="R952" s="13" t="str">
        <f>IF(Patient_Data!$L952&lt;2,"Low Risk",IF(Patient_Data!$L952&lt;4,"Moderate Risk","High Risk"))</f>
        <v>Moderate Risk</v>
      </c>
      <c r="S952" s="12" t="str">
        <f>IF(Patient_Data[[#This Row],[Age]]&lt;=18,"Pediatric",IF(Patient_Data[[#This Row],[Age]]&lt;=64,"Adult","Geriatric"))</f>
        <v>Geriatric</v>
      </c>
    </row>
    <row r="953" spans="1:19" ht="15.75" customHeight="1" x14ac:dyDescent="0.3">
      <c r="A953" s="4" t="s">
        <v>1951</v>
      </c>
      <c r="B953" s="5" t="str">
        <f>TEXT(Patient_Data!$E953,"mmmm")</f>
        <v>October</v>
      </c>
      <c r="C953" s="6" t="str">
        <f t="shared" si="6"/>
        <v>Oct</v>
      </c>
      <c r="D953" s="6">
        <f>MONTH(Patient_Data!$E953)</f>
        <v>10</v>
      </c>
      <c r="E953" s="7">
        <v>45225</v>
      </c>
      <c r="F953" s="55" t="str">
        <f>TEXT(Patient_Data[[#This Row],[Admission_Date]],"YYYY")</f>
        <v>2023</v>
      </c>
      <c r="G953" s="8" t="s">
        <v>1952</v>
      </c>
      <c r="H953" s="8" t="s">
        <v>53</v>
      </c>
      <c r="I953" s="4" t="s">
        <v>29</v>
      </c>
      <c r="J953" s="4">
        <v>68</v>
      </c>
      <c r="K953" s="4" t="s">
        <v>54</v>
      </c>
      <c r="L953" s="8">
        <v>4</v>
      </c>
      <c r="M953" s="9" t="s">
        <v>50</v>
      </c>
      <c r="N953" s="9" t="str">
        <f t="shared" si="7"/>
        <v>ICU</v>
      </c>
      <c r="O953" s="10">
        <v>21497.01</v>
      </c>
      <c r="P953" s="10">
        <v>13181.18</v>
      </c>
      <c r="Q953" s="11">
        <v>8.5</v>
      </c>
      <c r="R953" s="13" t="str">
        <f>IF(Patient_Data!$L953&lt;2,"Low Risk",IF(Patient_Data!$L953&lt;4,"Moderate Risk","High Risk"))</f>
        <v>High Risk</v>
      </c>
      <c r="S953" s="12" t="str">
        <f>IF(Patient_Data[[#This Row],[Age]]&lt;=18,"Pediatric",IF(Patient_Data[[#This Row],[Age]]&lt;=64,"Adult","Geriatric"))</f>
        <v>Geriatric</v>
      </c>
    </row>
    <row r="954" spans="1:19" ht="15.75" customHeight="1" x14ac:dyDescent="0.3">
      <c r="A954" s="4" t="s">
        <v>1953</v>
      </c>
      <c r="B954" s="5" t="str">
        <f>TEXT(Patient_Data!$E954,"mmmm")</f>
        <v>February</v>
      </c>
      <c r="C954" s="6" t="str">
        <f t="shared" si="6"/>
        <v>Feb</v>
      </c>
      <c r="D954" s="6">
        <f>MONTH(Patient_Data!$E954)</f>
        <v>2</v>
      </c>
      <c r="E954" s="7">
        <v>45333</v>
      </c>
      <c r="F954" s="55" t="str">
        <f>TEXT(Patient_Data[[#This Row],[Admission_Date]],"YYYY")</f>
        <v>2024</v>
      </c>
      <c r="G954" s="8" t="s">
        <v>1954</v>
      </c>
      <c r="H954" s="8" t="s">
        <v>49</v>
      </c>
      <c r="I954" s="4" t="s">
        <v>29</v>
      </c>
      <c r="J954" s="4">
        <v>64</v>
      </c>
      <c r="K954" s="4" t="s">
        <v>30</v>
      </c>
      <c r="L954" s="8">
        <v>2</v>
      </c>
      <c r="M954" s="9" t="s">
        <v>46</v>
      </c>
      <c r="N954" s="9" t="str">
        <f t="shared" si="7"/>
        <v>Ortho</v>
      </c>
      <c r="O954" s="10">
        <v>10055.56</v>
      </c>
      <c r="P954" s="10">
        <v>6517.16</v>
      </c>
      <c r="Q954" s="11">
        <v>10.199999999999999</v>
      </c>
      <c r="R954" s="13" t="str">
        <f>IF(Patient_Data!$L954&lt;2,"Low Risk",IF(Patient_Data!$L954&lt;4,"Moderate Risk","High Risk"))</f>
        <v>Moderate Risk</v>
      </c>
      <c r="S954" s="12" t="str">
        <f>IF(Patient_Data[[#This Row],[Age]]&lt;=18,"Pediatric",IF(Patient_Data[[#This Row],[Age]]&lt;=64,"Adult","Geriatric"))</f>
        <v>Adult</v>
      </c>
    </row>
    <row r="955" spans="1:19" ht="15.75" customHeight="1" x14ac:dyDescent="0.3">
      <c r="A955" s="4" t="s">
        <v>1955</v>
      </c>
      <c r="B955" s="5" t="str">
        <f>TEXT(Patient_Data!$E955,"mmmm")</f>
        <v>February</v>
      </c>
      <c r="C955" s="6" t="str">
        <f t="shared" si="6"/>
        <v>Feb</v>
      </c>
      <c r="D955" s="6">
        <f>MONTH(Patient_Data!$E955)</f>
        <v>2</v>
      </c>
      <c r="E955" s="7">
        <v>45709</v>
      </c>
      <c r="F955" s="55" t="str">
        <f>TEXT(Patient_Data[[#This Row],[Admission_Date]],"YYYY")</f>
        <v>2025</v>
      </c>
      <c r="G955" s="8" t="s">
        <v>1956</v>
      </c>
      <c r="H955" s="8" t="s">
        <v>53</v>
      </c>
      <c r="I955" s="4" t="s">
        <v>35</v>
      </c>
      <c r="J955" s="4">
        <v>63</v>
      </c>
      <c r="K955" s="4" t="s">
        <v>54</v>
      </c>
      <c r="L955" s="8">
        <v>4</v>
      </c>
      <c r="M955" s="9" t="s">
        <v>50</v>
      </c>
      <c r="N955" s="9" t="str">
        <f t="shared" si="7"/>
        <v>ICU</v>
      </c>
      <c r="O955" s="10">
        <v>19473.36</v>
      </c>
      <c r="P955" s="10">
        <v>13123.15</v>
      </c>
      <c r="Q955" s="11">
        <v>9.5</v>
      </c>
      <c r="R955" s="13" t="str">
        <f>IF(Patient_Data!$L955&lt;2,"Low Risk",IF(Patient_Data!$L955&lt;4,"Moderate Risk","High Risk"))</f>
        <v>High Risk</v>
      </c>
      <c r="S955" s="12" t="str">
        <f>IF(Patient_Data[[#This Row],[Age]]&lt;=18,"Pediatric",IF(Patient_Data[[#This Row],[Age]]&lt;=64,"Adult","Geriatric"))</f>
        <v>Adult</v>
      </c>
    </row>
    <row r="956" spans="1:19" ht="15.75" customHeight="1" x14ac:dyDescent="0.3">
      <c r="A956" s="4" t="s">
        <v>1957</v>
      </c>
      <c r="B956" s="5" t="str">
        <f>TEXT(Patient_Data!$E956,"mmmm")</f>
        <v>December</v>
      </c>
      <c r="C956" s="6" t="str">
        <f t="shared" si="6"/>
        <v>Dec</v>
      </c>
      <c r="D956" s="6">
        <f>MONTH(Patient_Data!$E956)</f>
        <v>12</v>
      </c>
      <c r="E956" s="7">
        <v>46020</v>
      </c>
      <c r="F956" s="55" t="str">
        <f>TEXT(Patient_Data[[#This Row],[Admission_Date]],"YYYY")</f>
        <v>2025</v>
      </c>
      <c r="G956" s="8" t="s">
        <v>1958</v>
      </c>
      <c r="H956" s="8" t="s">
        <v>82</v>
      </c>
      <c r="I956" s="4" t="s">
        <v>35</v>
      </c>
      <c r="J956" s="4">
        <v>84</v>
      </c>
      <c r="K956" s="4" t="s">
        <v>30</v>
      </c>
      <c r="L956" s="8">
        <v>4</v>
      </c>
      <c r="M956" s="9" t="s">
        <v>72</v>
      </c>
      <c r="N956" s="9" t="str">
        <f t="shared" si="7"/>
        <v>Surgery</v>
      </c>
      <c r="O956" s="10">
        <v>12984.9</v>
      </c>
      <c r="P956" s="10">
        <v>9170.23</v>
      </c>
      <c r="Q956" s="11">
        <v>10.1</v>
      </c>
      <c r="R956" s="13" t="str">
        <f>IF(Patient_Data!$L956&lt;2,"Low Risk",IF(Patient_Data!$L956&lt;4,"Moderate Risk","High Risk"))</f>
        <v>High Risk</v>
      </c>
      <c r="S956" s="12" t="str">
        <f>IF(Patient_Data[[#This Row],[Age]]&lt;=18,"Pediatric",IF(Patient_Data[[#This Row],[Age]]&lt;=64,"Adult","Geriatric"))</f>
        <v>Geriatric</v>
      </c>
    </row>
    <row r="957" spans="1:19" ht="15.75" customHeight="1" x14ac:dyDescent="0.3">
      <c r="A957" s="4" t="s">
        <v>1959</v>
      </c>
      <c r="B957" s="5" t="str">
        <f>TEXT(Patient_Data!$E957,"mmmm")</f>
        <v>October</v>
      </c>
      <c r="C957" s="6" t="str">
        <f t="shared" si="6"/>
        <v>Oct</v>
      </c>
      <c r="D957" s="6">
        <f>MONTH(Patient_Data!$E957)</f>
        <v>10</v>
      </c>
      <c r="E957" s="7">
        <v>45229</v>
      </c>
      <c r="F957" s="55" t="str">
        <f>TEXT(Patient_Data[[#This Row],[Admission_Date]],"YYYY")</f>
        <v>2023</v>
      </c>
      <c r="G957" s="8" t="s">
        <v>1960</v>
      </c>
      <c r="H957" s="8" t="s">
        <v>132</v>
      </c>
      <c r="I957" s="4" t="s">
        <v>29</v>
      </c>
      <c r="J957" s="4">
        <v>0</v>
      </c>
      <c r="K957" s="4" t="s">
        <v>30</v>
      </c>
      <c r="L957" s="8">
        <v>1</v>
      </c>
      <c r="M957" s="9" t="s">
        <v>79</v>
      </c>
      <c r="N957" s="9" t="str">
        <f t="shared" si="7"/>
        <v>PD</v>
      </c>
      <c r="O957" s="10">
        <v>990.58</v>
      </c>
      <c r="P957" s="10">
        <v>725.52</v>
      </c>
      <c r="Q957" s="11">
        <v>0.3</v>
      </c>
      <c r="R957" s="13" t="str">
        <f>IF(Patient_Data!$L957&lt;2,"Low Risk",IF(Patient_Data!$L957&lt;4,"Moderate Risk","High Risk"))</f>
        <v>Low Risk</v>
      </c>
      <c r="S957" s="12" t="str">
        <f>IF(Patient_Data[[#This Row],[Age]]&lt;=18,"Pediatric",IF(Patient_Data[[#This Row],[Age]]&lt;=64,"Adult","Geriatric"))</f>
        <v>Pediatric</v>
      </c>
    </row>
    <row r="958" spans="1:19" ht="15.75" customHeight="1" x14ac:dyDescent="0.3">
      <c r="A958" s="4" t="s">
        <v>1961</v>
      </c>
      <c r="B958" s="5" t="str">
        <f>TEXT(Patient_Data!$E958,"mmmm")</f>
        <v>May</v>
      </c>
      <c r="C958" s="6" t="str">
        <f t="shared" si="6"/>
        <v>May</v>
      </c>
      <c r="D958" s="6">
        <f>MONTH(Patient_Data!$E958)</f>
        <v>5</v>
      </c>
      <c r="E958" s="7">
        <v>45785</v>
      </c>
      <c r="F958" s="55" t="str">
        <f>TEXT(Patient_Data[[#This Row],[Admission_Date]],"YYYY")</f>
        <v>2025</v>
      </c>
      <c r="G958" s="8" t="s">
        <v>1962</v>
      </c>
      <c r="H958" s="8" t="s">
        <v>28</v>
      </c>
      <c r="I958" s="4" t="s">
        <v>35</v>
      </c>
      <c r="J958" s="4">
        <v>89</v>
      </c>
      <c r="K958" s="4" t="s">
        <v>54</v>
      </c>
      <c r="L958" s="8">
        <v>4</v>
      </c>
      <c r="M958" s="9" t="s">
        <v>50</v>
      </c>
      <c r="N958" s="9" t="str">
        <f t="shared" si="7"/>
        <v>ICU</v>
      </c>
      <c r="O958" s="10">
        <v>14762.65</v>
      </c>
      <c r="P958" s="10">
        <v>11347.61</v>
      </c>
      <c r="Q958" s="11">
        <v>16</v>
      </c>
      <c r="R958" s="13" t="str">
        <f>IF(Patient_Data!$L958&lt;2,"Low Risk",IF(Patient_Data!$L958&lt;4,"Moderate Risk","High Risk"))</f>
        <v>High Risk</v>
      </c>
      <c r="S958" s="12" t="str">
        <f>IF(Patient_Data[[#This Row],[Age]]&lt;=18,"Pediatric",IF(Patient_Data[[#This Row],[Age]]&lt;=64,"Adult","Geriatric"))</f>
        <v>Geriatric</v>
      </c>
    </row>
    <row r="959" spans="1:19" ht="15.75" customHeight="1" x14ac:dyDescent="0.3">
      <c r="A959" s="4" t="s">
        <v>1963</v>
      </c>
      <c r="B959" s="5" t="str">
        <f>TEXT(Patient_Data!$E959,"mmmm")</f>
        <v>May</v>
      </c>
      <c r="C959" s="6" t="str">
        <f t="shared" si="6"/>
        <v>May</v>
      </c>
      <c r="D959" s="6">
        <f>MONTH(Patient_Data!$E959)</f>
        <v>5</v>
      </c>
      <c r="E959" s="7">
        <v>46156</v>
      </c>
      <c r="F959" s="55" t="str">
        <f>TEXT(Patient_Data[[#This Row],[Admission_Date]],"YYYY")</f>
        <v>2026</v>
      </c>
      <c r="G959" s="8" t="s">
        <v>1964</v>
      </c>
      <c r="H959" s="8" t="s">
        <v>49</v>
      </c>
      <c r="I959" s="4" t="s">
        <v>35</v>
      </c>
      <c r="J959" s="4">
        <v>26</v>
      </c>
      <c r="K959" s="4" t="s">
        <v>54</v>
      </c>
      <c r="L959" s="8">
        <v>1</v>
      </c>
      <c r="M959" s="9" t="s">
        <v>31</v>
      </c>
      <c r="N959" s="9" t="str">
        <f t="shared" si="7"/>
        <v>Neuro</v>
      </c>
      <c r="O959" s="10">
        <v>7037.29</v>
      </c>
      <c r="P959" s="10">
        <v>4133.63</v>
      </c>
      <c r="Q959" s="11">
        <v>6.5</v>
      </c>
      <c r="R959" s="13" t="str">
        <f>IF(Patient_Data!$L959&lt;2,"Low Risk",IF(Patient_Data!$L959&lt;4,"Moderate Risk","High Risk"))</f>
        <v>Low Risk</v>
      </c>
      <c r="S959" s="12" t="str">
        <f>IF(Patient_Data[[#This Row],[Age]]&lt;=18,"Pediatric",IF(Patient_Data[[#This Row],[Age]]&lt;=64,"Adult","Geriatric"))</f>
        <v>Adult</v>
      </c>
    </row>
    <row r="960" spans="1:19" ht="15.75" customHeight="1" x14ac:dyDescent="0.3">
      <c r="A960" s="4" t="s">
        <v>1965</v>
      </c>
      <c r="B960" s="5" t="str">
        <f>TEXT(Patient_Data!$E960,"mmmm")</f>
        <v>January</v>
      </c>
      <c r="C960" s="6" t="str">
        <f t="shared" si="6"/>
        <v>Jan</v>
      </c>
      <c r="D960" s="6">
        <f>MONTH(Patient_Data!$E960)</f>
        <v>1</v>
      </c>
      <c r="E960" s="7">
        <v>45316</v>
      </c>
      <c r="F960" s="55" t="str">
        <f>TEXT(Patient_Data[[#This Row],[Admission_Date]],"YYYY")</f>
        <v>2024</v>
      </c>
      <c r="G960" s="8" t="s">
        <v>1966</v>
      </c>
      <c r="H960" s="8" t="s">
        <v>28</v>
      </c>
      <c r="I960" s="4" t="s">
        <v>35</v>
      </c>
      <c r="J960" s="4">
        <v>25</v>
      </c>
      <c r="K960" s="4" t="s">
        <v>30</v>
      </c>
      <c r="L960" s="8">
        <v>1</v>
      </c>
      <c r="M960" s="9" t="s">
        <v>31</v>
      </c>
      <c r="N960" s="9" t="str">
        <f t="shared" si="7"/>
        <v>Neuro</v>
      </c>
      <c r="O960" s="10">
        <v>7436.06</v>
      </c>
      <c r="P960" s="10">
        <v>4611.2</v>
      </c>
      <c r="Q960" s="11">
        <v>9.4</v>
      </c>
      <c r="R960" s="13" t="str">
        <f>IF(Patient_Data!$L960&lt;2,"Low Risk",IF(Patient_Data!$L960&lt;4,"Moderate Risk","High Risk"))</f>
        <v>Low Risk</v>
      </c>
      <c r="S960" s="12" t="str">
        <f>IF(Patient_Data[[#This Row],[Age]]&lt;=18,"Pediatric",IF(Patient_Data[[#This Row],[Age]]&lt;=64,"Adult","Geriatric"))</f>
        <v>Adult</v>
      </c>
    </row>
    <row r="961" spans="1:19" ht="15.75" customHeight="1" x14ac:dyDescent="0.3">
      <c r="A961" s="4" t="s">
        <v>1967</v>
      </c>
      <c r="B961" s="5" t="str">
        <f>TEXT(Patient_Data!$E961,"mmmm")</f>
        <v>December</v>
      </c>
      <c r="C961" s="6" t="str">
        <f t="shared" si="6"/>
        <v>Dec</v>
      </c>
      <c r="D961" s="6">
        <f>MONTH(Patient_Data!$E961)</f>
        <v>12</v>
      </c>
      <c r="E961" s="7">
        <v>45289</v>
      </c>
      <c r="F961" s="55" t="str">
        <f>TEXT(Patient_Data[[#This Row],[Admission_Date]],"YYYY")</f>
        <v>2023</v>
      </c>
      <c r="G961" s="8" t="s">
        <v>1968</v>
      </c>
      <c r="H961" s="8" t="s">
        <v>49</v>
      </c>
      <c r="I961" s="4" t="s">
        <v>29</v>
      </c>
      <c r="J961" s="4">
        <v>81</v>
      </c>
      <c r="K961" s="4" t="s">
        <v>30</v>
      </c>
      <c r="L961" s="8">
        <v>3</v>
      </c>
      <c r="M961" s="9" t="s">
        <v>39</v>
      </c>
      <c r="N961" s="9" t="str">
        <f t="shared" si="7"/>
        <v>GM</v>
      </c>
      <c r="O961" s="10">
        <v>2241.58</v>
      </c>
      <c r="P961" s="10">
        <v>1513.81</v>
      </c>
      <c r="Q961" s="11">
        <v>9.9</v>
      </c>
      <c r="R961" s="13" t="str">
        <f>IF(Patient_Data!$L961&lt;2,"Low Risk",IF(Patient_Data!$L961&lt;4,"Moderate Risk","High Risk"))</f>
        <v>Moderate Risk</v>
      </c>
      <c r="S961" s="12" t="str">
        <f>IF(Patient_Data[[#This Row],[Age]]&lt;=18,"Pediatric",IF(Patient_Data[[#This Row],[Age]]&lt;=64,"Adult","Geriatric"))</f>
        <v>Geriatric</v>
      </c>
    </row>
    <row r="962" spans="1:19" ht="15.75" customHeight="1" x14ac:dyDescent="0.3">
      <c r="A962" s="4" t="s">
        <v>1969</v>
      </c>
      <c r="B962" s="5" t="str">
        <f>TEXT(Patient_Data!$E962,"mmmm")</f>
        <v>July</v>
      </c>
      <c r="C962" s="6" t="str">
        <f t="shared" si="6"/>
        <v>Jul</v>
      </c>
      <c r="D962" s="6">
        <f>MONTH(Patient_Data!$E962)</f>
        <v>7</v>
      </c>
      <c r="E962" s="7">
        <v>45490</v>
      </c>
      <c r="F962" s="55" t="str">
        <f>TEXT(Patient_Data[[#This Row],[Admission_Date]],"YYYY")</f>
        <v>2024</v>
      </c>
      <c r="G962" s="8" t="s">
        <v>1970</v>
      </c>
      <c r="H962" s="8" t="s">
        <v>75</v>
      </c>
      <c r="I962" s="4" t="s">
        <v>35</v>
      </c>
      <c r="J962" s="4">
        <v>42</v>
      </c>
      <c r="K962" s="4" t="s">
        <v>45</v>
      </c>
      <c r="L962" s="8">
        <v>3</v>
      </c>
      <c r="M962" s="9" t="s">
        <v>72</v>
      </c>
      <c r="N962" s="9" t="str">
        <f t="shared" si="7"/>
        <v>Surgery</v>
      </c>
      <c r="O962" s="10">
        <v>19636.04</v>
      </c>
      <c r="P962" s="10">
        <v>13178.55</v>
      </c>
      <c r="Q962" s="11">
        <v>2.8</v>
      </c>
      <c r="R962" s="13" t="str">
        <f>IF(Patient_Data!$L962&lt;2,"Low Risk",IF(Patient_Data!$L962&lt;4,"Moderate Risk","High Risk"))</f>
        <v>Moderate Risk</v>
      </c>
      <c r="S962" s="12" t="str">
        <f>IF(Patient_Data[[#This Row],[Age]]&lt;=18,"Pediatric",IF(Patient_Data[[#This Row],[Age]]&lt;=64,"Adult","Geriatric"))</f>
        <v>Adult</v>
      </c>
    </row>
    <row r="963" spans="1:19" ht="15.75" customHeight="1" x14ac:dyDescent="0.3">
      <c r="A963" s="4" t="s">
        <v>1971</v>
      </c>
      <c r="B963" s="5" t="str">
        <f>TEXT(Patient_Data!$E963,"mmmm")</f>
        <v>April</v>
      </c>
      <c r="C963" s="6" t="str">
        <f t="shared" si="6"/>
        <v>Apr</v>
      </c>
      <c r="D963" s="6">
        <f>MONTH(Patient_Data!$E963)</f>
        <v>4</v>
      </c>
      <c r="E963" s="7">
        <v>46118</v>
      </c>
      <c r="F963" s="55" t="str">
        <f>TEXT(Patient_Data[[#This Row],[Admission_Date]],"YYYY")</f>
        <v>2026</v>
      </c>
      <c r="G963" s="8" t="s">
        <v>1972</v>
      </c>
      <c r="H963" s="8" t="s">
        <v>53</v>
      </c>
      <c r="I963" s="4" t="s">
        <v>35</v>
      </c>
      <c r="J963" s="4">
        <v>77</v>
      </c>
      <c r="K963" s="4" t="s">
        <v>30</v>
      </c>
      <c r="L963" s="8">
        <v>1</v>
      </c>
      <c r="M963" s="9" t="s">
        <v>36</v>
      </c>
      <c r="N963" s="9" t="str">
        <f t="shared" si="7"/>
        <v>Cardio</v>
      </c>
      <c r="O963" s="10">
        <v>10696.23</v>
      </c>
      <c r="P963" s="10">
        <v>7522.56</v>
      </c>
      <c r="Q963" s="11">
        <v>4.4000000000000004</v>
      </c>
      <c r="R963" s="13" t="str">
        <f>IF(Patient_Data!$L963&lt;2,"Low Risk",IF(Patient_Data!$L963&lt;4,"Moderate Risk","High Risk"))</f>
        <v>Low Risk</v>
      </c>
      <c r="S963" s="12" t="str">
        <f>IF(Patient_Data[[#This Row],[Age]]&lt;=18,"Pediatric",IF(Patient_Data[[#This Row],[Age]]&lt;=64,"Adult","Geriatric"))</f>
        <v>Geriatric</v>
      </c>
    </row>
    <row r="964" spans="1:19" ht="15.75" customHeight="1" x14ac:dyDescent="0.3">
      <c r="A964" s="4" t="s">
        <v>1973</v>
      </c>
      <c r="B964" s="5" t="str">
        <f>TEXT(Patient_Data!$E964,"mmmm")</f>
        <v>June</v>
      </c>
      <c r="C964" s="6" t="str">
        <f t="shared" si="6"/>
        <v>Jun</v>
      </c>
      <c r="D964" s="6">
        <f>MONTH(Patient_Data!$E964)</f>
        <v>6</v>
      </c>
      <c r="E964" s="7">
        <v>45461</v>
      </c>
      <c r="F964" s="55" t="str">
        <f>TEXT(Patient_Data[[#This Row],[Admission_Date]],"YYYY")</f>
        <v>2024</v>
      </c>
      <c r="G964" s="8" t="s">
        <v>1974</v>
      </c>
      <c r="H964" s="8" t="s">
        <v>28</v>
      </c>
      <c r="I964" s="4" t="s">
        <v>35</v>
      </c>
      <c r="J964" s="4">
        <v>95</v>
      </c>
      <c r="K964" s="4" t="s">
        <v>30</v>
      </c>
      <c r="L964" s="8">
        <v>2</v>
      </c>
      <c r="M964" s="9" t="s">
        <v>46</v>
      </c>
      <c r="N964" s="9" t="str">
        <f t="shared" si="7"/>
        <v>Ortho</v>
      </c>
      <c r="O964" s="10">
        <v>7754.3</v>
      </c>
      <c r="P964" s="10">
        <v>5745.44</v>
      </c>
      <c r="Q964" s="11">
        <v>10.6</v>
      </c>
      <c r="R964" s="13" t="str">
        <f>IF(Patient_Data!$L964&lt;2,"Low Risk",IF(Patient_Data!$L964&lt;4,"Moderate Risk","High Risk"))</f>
        <v>Moderate Risk</v>
      </c>
      <c r="S964" s="12" t="str">
        <f>IF(Patient_Data[[#This Row],[Age]]&lt;=18,"Pediatric",IF(Patient_Data[[#This Row],[Age]]&lt;=64,"Adult","Geriatric"))</f>
        <v>Geriatric</v>
      </c>
    </row>
    <row r="965" spans="1:19" ht="15.75" customHeight="1" x14ac:dyDescent="0.3">
      <c r="A965" s="4" t="s">
        <v>1975</v>
      </c>
      <c r="B965" s="5" t="str">
        <f>TEXT(Patient_Data!$E965,"mmmm")</f>
        <v>May</v>
      </c>
      <c r="C965" s="6" t="str">
        <f t="shared" si="6"/>
        <v>May</v>
      </c>
      <c r="D965" s="6">
        <f>MONTH(Patient_Data!$E965)</f>
        <v>5</v>
      </c>
      <c r="E965" s="7">
        <v>45807</v>
      </c>
      <c r="F965" s="55" t="str">
        <f>TEXT(Patient_Data[[#This Row],[Admission_Date]],"YYYY")</f>
        <v>2025</v>
      </c>
      <c r="G965" s="8" t="s">
        <v>1976</v>
      </c>
      <c r="H965" s="8" t="s">
        <v>28</v>
      </c>
      <c r="I965" s="4" t="s">
        <v>29</v>
      </c>
      <c r="J965" s="4">
        <v>21</v>
      </c>
      <c r="K965" s="4" t="s">
        <v>30</v>
      </c>
      <c r="L965" s="8">
        <v>1</v>
      </c>
      <c r="M965" s="9" t="s">
        <v>31</v>
      </c>
      <c r="N965" s="9" t="str">
        <f t="shared" si="7"/>
        <v>Neuro</v>
      </c>
      <c r="O965" s="10">
        <v>6208.32</v>
      </c>
      <c r="P965" s="10">
        <v>4765.5200000000004</v>
      </c>
      <c r="Q965" s="11">
        <v>5.9</v>
      </c>
      <c r="R965" s="13" t="str">
        <f>IF(Patient_Data!$L965&lt;2,"Low Risk",IF(Patient_Data!$L965&lt;4,"Moderate Risk","High Risk"))</f>
        <v>Low Risk</v>
      </c>
      <c r="S965" s="12" t="str">
        <f>IF(Patient_Data[[#This Row],[Age]]&lt;=18,"Pediatric",IF(Patient_Data[[#This Row],[Age]]&lt;=64,"Adult","Geriatric"))</f>
        <v>Adult</v>
      </c>
    </row>
    <row r="966" spans="1:19" ht="15.75" customHeight="1" x14ac:dyDescent="0.3">
      <c r="A966" s="4" t="s">
        <v>1977</v>
      </c>
      <c r="B966" s="5" t="str">
        <f>TEXT(Patient_Data!$E966,"mmmm")</f>
        <v>June</v>
      </c>
      <c r="C966" s="6" t="str">
        <f t="shared" si="6"/>
        <v>Jun</v>
      </c>
      <c r="D966" s="6">
        <f>MONTH(Patient_Data!$E966)</f>
        <v>6</v>
      </c>
      <c r="E966" s="7">
        <v>45820</v>
      </c>
      <c r="F966" s="55" t="str">
        <f>TEXT(Patient_Data[[#This Row],[Admission_Date]],"YYYY")</f>
        <v>2025</v>
      </c>
      <c r="G966" s="8" t="s">
        <v>1978</v>
      </c>
      <c r="H966" s="8" t="s">
        <v>53</v>
      </c>
      <c r="I966" s="4" t="s">
        <v>29</v>
      </c>
      <c r="J966" s="4">
        <v>61</v>
      </c>
      <c r="K966" s="4" t="s">
        <v>30</v>
      </c>
      <c r="L966" s="8">
        <v>1</v>
      </c>
      <c r="M966" s="9" t="s">
        <v>46</v>
      </c>
      <c r="N966" s="9" t="str">
        <f t="shared" si="7"/>
        <v>Ortho</v>
      </c>
      <c r="O966" s="10">
        <v>7359.78</v>
      </c>
      <c r="P966" s="10">
        <v>4292.67</v>
      </c>
      <c r="Q966" s="11">
        <v>3</v>
      </c>
      <c r="R966" s="13" t="str">
        <f>IF(Patient_Data!$L966&lt;2,"Low Risk",IF(Patient_Data!$L966&lt;4,"Moderate Risk","High Risk"))</f>
        <v>Low Risk</v>
      </c>
      <c r="S966" s="12" t="str">
        <f>IF(Patient_Data[[#This Row],[Age]]&lt;=18,"Pediatric",IF(Patient_Data[[#This Row],[Age]]&lt;=64,"Adult","Geriatric"))</f>
        <v>Adult</v>
      </c>
    </row>
    <row r="967" spans="1:19" ht="15.75" customHeight="1" x14ac:dyDescent="0.3">
      <c r="A967" s="4" t="s">
        <v>1979</v>
      </c>
      <c r="B967" s="5" t="str">
        <f>TEXT(Patient_Data!$E967,"mmmm")</f>
        <v>August</v>
      </c>
      <c r="C967" s="6" t="str">
        <f t="shared" si="6"/>
        <v>Aug</v>
      </c>
      <c r="D967" s="6">
        <f>MONTH(Patient_Data!$E967)</f>
        <v>8</v>
      </c>
      <c r="E967" s="7">
        <v>45874</v>
      </c>
      <c r="F967" s="55" t="str">
        <f>TEXT(Patient_Data[[#This Row],[Admission_Date]],"YYYY")</f>
        <v>2025</v>
      </c>
      <c r="G967" s="8" t="s">
        <v>1555</v>
      </c>
      <c r="H967" s="8" t="s">
        <v>132</v>
      </c>
      <c r="I967" s="4" t="s">
        <v>35</v>
      </c>
      <c r="J967" s="4">
        <v>64</v>
      </c>
      <c r="K967" s="4" t="s">
        <v>30</v>
      </c>
      <c r="L967" s="8">
        <v>2</v>
      </c>
      <c r="M967" s="9" t="s">
        <v>46</v>
      </c>
      <c r="N967" s="9" t="str">
        <f t="shared" si="7"/>
        <v>Ortho</v>
      </c>
      <c r="O967" s="10">
        <v>9685.64</v>
      </c>
      <c r="P967" s="10">
        <v>5969.84</v>
      </c>
      <c r="Q967" s="11">
        <v>7.7</v>
      </c>
      <c r="R967" s="13" t="str">
        <f>IF(Patient_Data!$L967&lt;2,"Low Risk",IF(Patient_Data!$L967&lt;4,"Moderate Risk","High Risk"))</f>
        <v>Moderate Risk</v>
      </c>
      <c r="S967" s="12" t="str">
        <f>IF(Patient_Data[[#This Row],[Age]]&lt;=18,"Pediatric",IF(Patient_Data[[#This Row],[Age]]&lt;=64,"Adult","Geriatric"))</f>
        <v>Adult</v>
      </c>
    </row>
    <row r="968" spans="1:19" ht="15.75" customHeight="1" x14ac:dyDescent="0.3">
      <c r="A968" s="4" t="s">
        <v>1980</v>
      </c>
      <c r="B968" s="5" t="str">
        <f>TEXT(Patient_Data!$E968,"mmmm")</f>
        <v>November</v>
      </c>
      <c r="C968" s="6" t="str">
        <f t="shared" si="6"/>
        <v>Nov</v>
      </c>
      <c r="D968" s="6">
        <f>MONTH(Patient_Data!$E968)</f>
        <v>11</v>
      </c>
      <c r="E968" s="7">
        <v>45983</v>
      </c>
      <c r="F968" s="55" t="str">
        <f>TEXT(Patient_Data[[#This Row],[Admission_Date]],"YYYY")</f>
        <v>2025</v>
      </c>
      <c r="G968" s="8" t="s">
        <v>1981</v>
      </c>
      <c r="H968" s="8" t="s">
        <v>42</v>
      </c>
      <c r="I968" s="4" t="s">
        <v>29</v>
      </c>
      <c r="J968" s="4">
        <v>74</v>
      </c>
      <c r="K968" s="4" t="s">
        <v>30</v>
      </c>
      <c r="L968" s="8">
        <v>5</v>
      </c>
      <c r="M968" s="9" t="s">
        <v>83</v>
      </c>
      <c r="N968" s="9" t="str">
        <f t="shared" si="7"/>
        <v>ER</v>
      </c>
      <c r="O968" s="10">
        <v>13362.99</v>
      </c>
      <c r="P968" s="10">
        <v>8641.91</v>
      </c>
      <c r="Q968" s="11">
        <v>11.2</v>
      </c>
      <c r="R968" s="13" t="str">
        <f>IF(Patient_Data!$L968&lt;2,"Low Risk",IF(Patient_Data!$L968&lt;4,"Moderate Risk","High Risk"))</f>
        <v>High Risk</v>
      </c>
      <c r="S968" s="12" t="str">
        <f>IF(Patient_Data[[#This Row],[Age]]&lt;=18,"Pediatric",IF(Patient_Data[[#This Row],[Age]]&lt;=64,"Adult","Geriatric"))</f>
        <v>Geriatric</v>
      </c>
    </row>
    <row r="969" spans="1:19" ht="15.75" customHeight="1" x14ac:dyDescent="0.3">
      <c r="A969" s="4" t="s">
        <v>1982</v>
      </c>
      <c r="B969" s="5" t="str">
        <f>TEXT(Patient_Data!$E969,"mmmm")</f>
        <v>September</v>
      </c>
      <c r="C969" s="6" t="str">
        <f t="shared" si="6"/>
        <v>Sep</v>
      </c>
      <c r="D969" s="6">
        <f>MONTH(Patient_Data!$E969)</f>
        <v>9</v>
      </c>
      <c r="E969" s="7">
        <v>45925</v>
      </c>
      <c r="F969" s="55" t="str">
        <f>TEXT(Patient_Data[[#This Row],[Admission_Date]],"YYYY")</f>
        <v>2025</v>
      </c>
      <c r="G969" s="8" t="s">
        <v>1983</v>
      </c>
      <c r="H969" s="8" t="s">
        <v>42</v>
      </c>
      <c r="I969" s="4" t="s">
        <v>35</v>
      </c>
      <c r="J969" s="4">
        <v>75</v>
      </c>
      <c r="K969" s="4" t="s">
        <v>54</v>
      </c>
      <c r="L969" s="8">
        <v>5</v>
      </c>
      <c r="M969" s="9" t="s">
        <v>72</v>
      </c>
      <c r="N969" s="9" t="str">
        <f t="shared" si="7"/>
        <v>Surgery</v>
      </c>
      <c r="O969" s="10">
        <v>22738.6</v>
      </c>
      <c r="P969" s="10">
        <v>15272.46</v>
      </c>
      <c r="Q969" s="11">
        <v>4.7</v>
      </c>
      <c r="R969" s="13" t="str">
        <f>IF(Patient_Data!$L969&lt;2,"Low Risk",IF(Patient_Data!$L969&lt;4,"Moderate Risk","High Risk"))</f>
        <v>High Risk</v>
      </c>
      <c r="S969" s="12" t="str">
        <f>IF(Patient_Data[[#This Row],[Age]]&lt;=18,"Pediatric",IF(Patient_Data[[#This Row],[Age]]&lt;=64,"Adult","Geriatric"))</f>
        <v>Geriatric</v>
      </c>
    </row>
    <row r="970" spans="1:19" ht="15.75" customHeight="1" x14ac:dyDescent="0.3">
      <c r="A970" s="4" t="s">
        <v>1984</v>
      </c>
      <c r="B970" s="5" t="str">
        <f>TEXT(Patient_Data!$E970,"mmmm")</f>
        <v>June</v>
      </c>
      <c r="C970" s="6" t="str">
        <f t="shared" si="6"/>
        <v>Jun</v>
      </c>
      <c r="D970" s="6">
        <f>MONTH(Patient_Data!$E970)</f>
        <v>6</v>
      </c>
      <c r="E970" s="7">
        <v>45820</v>
      </c>
      <c r="F970" s="55" t="str">
        <f>TEXT(Patient_Data[[#This Row],[Admission_Date]],"YYYY")</f>
        <v>2025</v>
      </c>
      <c r="G970" s="8" t="s">
        <v>1985</v>
      </c>
      <c r="H970" s="8" t="s">
        <v>98</v>
      </c>
      <c r="I970" s="4" t="s">
        <v>35</v>
      </c>
      <c r="J970" s="4">
        <v>60</v>
      </c>
      <c r="K970" s="4" t="s">
        <v>45</v>
      </c>
      <c r="L970" s="8">
        <v>4</v>
      </c>
      <c r="M970" s="9" t="s">
        <v>72</v>
      </c>
      <c r="N970" s="9" t="str">
        <f t="shared" si="7"/>
        <v>Surgery</v>
      </c>
      <c r="O970" s="10">
        <v>15595.02</v>
      </c>
      <c r="P970" s="10">
        <v>10964.51</v>
      </c>
      <c r="Q970" s="11">
        <v>6</v>
      </c>
      <c r="R970" s="13" t="str">
        <f>IF(Patient_Data!$L970&lt;2,"Low Risk",IF(Patient_Data!$L970&lt;4,"Moderate Risk","High Risk"))</f>
        <v>High Risk</v>
      </c>
      <c r="S970" s="12" t="str">
        <f>IF(Patient_Data[[#This Row],[Age]]&lt;=18,"Pediatric",IF(Patient_Data[[#This Row],[Age]]&lt;=64,"Adult","Geriatric"))</f>
        <v>Adult</v>
      </c>
    </row>
    <row r="971" spans="1:19" ht="15.75" customHeight="1" x14ac:dyDescent="0.3">
      <c r="A971" s="4" t="s">
        <v>1986</v>
      </c>
      <c r="B971" s="5" t="str">
        <f>TEXT(Patient_Data!$E971,"mmmm")</f>
        <v>February</v>
      </c>
      <c r="C971" s="6" t="str">
        <f t="shared" si="6"/>
        <v>Feb</v>
      </c>
      <c r="D971" s="6">
        <f>MONTH(Patient_Data!$E971)</f>
        <v>2</v>
      </c>
      <c r="E971" s="7">
        <v>45714</v>
      </c>
      <c r="F971" s="55" t="str">
        <f>TEXT(Patient_Data[[#This Row],[Admission_Date]],"YYYY")</f>
        <v>2025</v>
      </c>
      <c r="G971" s="8" t="s">
        <v>1987</v>
      </c>
      <c r="H971" s="8" t="s">
        <v>49</v>
      </c>
      <c r="I971" s="4" t="s">
        <v>35</v>
      </c>
      <c r="J971" s="4">
        <v>80</v>
      </c>
      <c r="K971" s="4" t="s">
        <v>45</v>
      </c>
      <c r="L971" s="8">
        <v>3</v>
      </c>
      <c r="M971" s="9" t="s">
        <v>31</v>
      </c>
      <c r="N971" s="9" t="str">
        <f t="shared" si="7"/>
        <v>Neuro</v>
      </c>
      <c r="O971" s="10">
        <v>5976.01</v>
      </c>
      <c r="P971" s="10">
        <v>4410.49</v>
      </c>
      <c r="Q971" s="11">
        <v>6</v>
      </c>
      <c r="R971" s="13" t="str">
        <f>IF(Patient_Data!$L971&lt;2,"Low Risk",IF(Patient_Data!$L971&lt;4,"Moderate Risk","High Risk"))</f>
        <v>Moderate Risk</v>
      </c>
      <c r="S971" s="12" t="str">
        <f>IF(Patient_Data[[#This Row],[Age]]&lt;=18,"Pediatric",IF(Patient_Data[[#This Row],[Age]]&lt;=64,"Adult","Geriatric"))</f>
        <v>Geriatric</v>
      </c>
    </row>
    <row r="972" spans="1:19" ht="15.75" customHeight="1" x14ac:dyDescent="0.3">
      <c r="A972" s="4" t="s">
        <v>1988</v>
      </c>
      <c r="B972" s="5" t="str">
        <f>TEXT(Patient_Data!$E972,"mmmm")</f>
        <v>March</v>
      </c>
      <c r="C972" s="6" t="str">
        <f t="shared" si="6"/>
        <v>Mar</v>
      </c>
      <c r="D972" s="6">
        <f>MONTH(Patient_Data!$E972)</f>
        <v>3</v>
      </c>
      <c r="E972" s="7">
        <v>46087</v>
      </c>
      <c r="F972" s="55" t="str">
        <f>TEXT(Patient_Data[[#This Row],[Admission_Date]],"YYYY")</f>
        <v>2026</v>
      </c>
      <c r="G972" s="8" t="s">
        <v>1989</v>
      </c>
      <c r="H972" s="8" t="s">
        <v>28</v>
      </c>
      <c r="I972" s="4" t="s">
        <v>35</v>
      </c>
      <c r="J972" s="4">
        <v>34</v>
      </c>
      <c r="K972" s="4" t="s">
        <v>54</v>
      </c>
      <c r="L972" s="8">
        <v>4</v>
      </c>
      <c r="M972" s="9" t="s">
        <v>72</v>
      </c>
      <c r="N972" s="9" t="str">
        <f t="shared" si="7"/>
        <v>Surgery</v>
      </c>
      <c r="O972" s="10">
        <v>16119.86</v>
      </c>
      <c r="P972" s="10">
        <v>12273.49</v>
      </c>
      <c r="Q972" s="11">
        <v>2.8</v>
      </c>
      <c r="R972" s="13" t="str">
        <f>IF(Patient_Data!$L972&lt;2,"Low Risk",IF(Patient_Data!$L972&lt;4,"Moderate Risk","High Risk"))</f>
        <v>High Risk</v>
      </c>
      <c r="S972" s="12" t="str">
        <f>IF(Patient_Data[[#This Row],[Age]]&lt;=18,"Pediatric",IF(Patient_Data[[#This Row],[Age]]&lt;=64,"Adult","Geriatric"))</f>
        <v>Adult</v>
      </c>
    </row>
    <row r="973" spans="1:19" ht="15.75" customHeight="1" x14ac:dyDescent="0.3">
      <c r="A973" s="4" t="s">
        <v>1990</v>
      </c>
      <c r="B973" s="5" t="str">
        <f>TEXT(Patient_Data!$E973,"mmmm")</f>
        <v>January</v>
      </c>
      <c r="C973" s="6" t="str">
        <f t="shared" si="6"/>
        <v>Jan</v>
      </c>
      <c r="D973" s="6">
        <f>MONTH(Patient_Data!$E973)</f>
        <v>1</v>
      </c>
      <c r="E973" s="7">
        <v>45674</v>
      </c>
      <c r="F973" s="55" t="str">
        <f>TEXT(Patient_Data[[#This Row],[Admission_Date]],"YYYY")</f>
        <v>2025</v>
      </c>
      <c r="G973" s="8" t="s">
        <v>1991</v>
      </c>
      <c r="H973" s="8" t="s">
        <v>82</v>
      </c>
      <c r="I973" s="4" t="s">
        <v>29</v>
      </c>
      <c r="J973" s="4">
        <v>38</v>
      </c>
      <c r="K973" s="4" t="s">
        <v>30</v>
      </c>
      <c r="L973" s="8">
        <v>2</v>
      </c>
      <c r="M973" s="9" t="s">
        <v>39</v>
      </c>
      <c r="N973" s="9" t="str">
        <f t="shared" si="7"/>
        <v>GM</v>
      </c>
      <c r="O973" s="10">
        <v>5105.67</v>
      </c>
      <c r="P973" s="10">
        <v>3031.69</v>
      </c>
      <c r="Q973" s="11">
        <v>8.8000000000000007</v>
      </c>
      <c r="R973" s="13" t="str">
        <f>IF(Patient_Data!$L973&lt;2,"Low Risk",IF(Patient_Data!$L973&lt;4,"Moderate Risk","High Risk"))</f>
        <v>Moderate Risk</v>
      </c>
      <c r="S973" s="12" t="str">
        <f>IF(Patient_Data[[#This Row],[Age]]&lt;=18,"Pediatric",IF(Patient_Data[[#This Row],[Age]]&lt;=64,"Adult","Geriatric"))</f>
        <v>Adult</v>
      </c>
    </row>
    <row r="974" spans="1:19" ht="15.75" customHeight="1" x14ac:dyDescent="0.3">
      <c r="A974" s="4" t="s">
        <v>1992</v>
      </c>
      <c r="B974" s="5" t="str">
        <f>TEXT(Patient_Data!$E974,"mmmm")</f>
        <v>June</v>
      </c>
      <c r="C974" s="6" t="str">
        <f t="shared" si="6"/>
        <v>Jun</v>
      </c>
      <c r="D974" s="6">
        <f>MONTH(Patient_Data!$E974)</f>
        <v>6</v>
      </c>
      <c r="E974" s="7">
        <v>45455</v>
      </c>
      <c r="F974" s="55" t="str">
        <f>TEXT(Patient_Data[[#This Row],[Admission_Date]],"YYYY")</f>
        <v>2024</v>
      </c>
      <c r="G974" s="8" t="s">
        <v>1993</v>
      </c>
      <c r="H974" s="8" t="s">
        <v>49</v>
      </c>
      <c r="I974" s="4" t="s">
        <v>35</v>
      </c>
      <c r="J974" s="4">
        <v>76</v>
      </c>
      <c r="K974" s="4" t="s">
        <v>54</v>
      </c>
      <c r="L974" s="8">
        <v>3</v>
      </c>
      <c r="M974" s="9" t="s">
        <v>46</v>
      </c>
      <c r="N974" s="9" t="str">
        <f t="shared" si="7"/>
        <v>Ortho</v>
      </c>
      <c r="O974" s="10">
        <v>5530.35</v>
      </c>
      <c r="P974" s="10">
        <v>3419.11</v>
      </c>
      <c r="Q974" s="11">
        <v>5.7</v>
      </c>
      <c r="R974" s="13" t="str">
        <f>IF(Patient_Data!$L974&lt;2,"Low Risk",IF(Patient_Data!$L974&lt;4,"Moderate Risk","High Risk"))</f>
        <v>Moderate Risk</v>
      </c>
      <c r="S974" s="12" t="str">
        <f>IF(Patient_Data[[#This Row],[Age]]&lt;=18,"Pediatric",IF(Patient_Data[[#This Row],[Age]]&lt;=64,"Adult","Geriatric"))</f>
        <v>Geriatric</v>
      </c>
    </row>
    <row r="975" spans="1:19" ht="15.75" customHeight="1" x14ac:dyDescent="0.3">
      <c r="A975" s="4" t="s">
        <v>1994</v>
      </c>
      <c r="B975" s="5" t="str">
        <f>TEXT(Patient_Data!$E975,"mmmm")</f>
        <v>March</v>
      </c>
      <c r="C975" s="6" t="str">
        <f t="shared" si="6"/>
        <v>Mar</v>
      </c>
      <c r="D975" s="6">
        <f>MONTH(Patient_Data!$E975)</f>
        <v>3</v>
      </c>
      <c r="E975" s="7">
        <v>45365</v>
      </c>
      <c r="F975" s="55" t="str">
        <f>TEXT(Patient_Data[[#This Row],[Admission_Date]],"YYYY")</f>
        <v>2024</v>
      </c>
      <c r="G975" s="8" t="s">
        <v>1995</v>
      </c>
      <c r="H975" s="8" t="s">
        <v>53</v>
      </c>
      <c r="I975" s="4" t="s">
        <v>29</v>
      </c>
      <c r="J975" s="4">
        <v>4</v>
      </c>
      <c r="K975" s="4" t="s">
        <v>30</v>
      </c>
      <c r="L975" s="8">
        <v>1</v>
      </c>
      <c r="M975" s="9" t="s">
        <v>79</v>
      </c>
      <c r="N975" s="9" t="str">
        <f t="shared" si="7"/>
        <v>PD</v>
      </c>
      <c r="O975" s="10">
        <v>1907.04</v>
      </c>
      <c r="P975" s="10">
        <v>1246.1099999999999</v>
      </c>
      <c r="Q975" s="11">
        <v>3.2</v>
      </c>
      <c r="R975" s="13" t="str">
        <f>IF(Patient_Data!$L975&lt;2,"Low Risk",IF(Patient_Data!$L975&lt;4,"Moderate Risk","High Risk"))</f>
        <v>Low Risk</v>
      </c>
      <c r="S975" s="12" t="str">
        <f>IF(Patient_Data[[#This Row],[Age]]&lt;=18,"Pediatric",IF(Patient_Data[[#This Row],[Age]]&lt;=64,"Adult","Geriatric"))</f>
        <v>Pediatric</v>
      </c>
    </row>
    <row r="976" spans="1:19" ht="15.75" customHeight="1" x14ac:dyDescent="0.3">
      <c r="A976" s="4" t="s">
        <v>1996</v>
      </c>
      <c r="B976" s="5" t="str">
        <f>TEXT(Patient_Data!$E976,"mmmm")</f>
        <v>October</v>
      </c>
      <c r="C976" s="6" t="str">
        <f t="shared" si="6"/>
        <v>Oct</v>
      </c>
      <c r="D976" s="6">
        <f>MONTH(Patient_Data!$E976)</f>
        <v>10</v>
      </c>
      <c r="E976" s="7">
        <v>45953</v>
      </c>
      <c r="F976" s="55" t="str">
        <f>TEXT(Patient_Data[[#This Row],[Admission_Date]],"YYYY")</f>
        <v>2025</v>
      </c>
      <c r="G976" s="8" t="s">
        <v>1997</v>
      </c>
      <c r="H976" s="8" t="s">
        <v>53</v>
      </c>
      <c r="I976" s="4" t="s">
        <v>29</v>
      </c>
      <c r="J976" s="4">
        <v>21</v>
      </c>
      <c r="K976" s="4" t="s">
        <v>30</v>
      </c>
      <c r="L976" s="8">
        <v>1</v>
      </c>
      <c r="M976" s="9" t="s">
        <v>39</v>
      </c>
      <c r="N976" s="9" t="str">
        <f t="shared" si="7"/>
        <v>GM</v>
      </c>
      <c r="O976" s="10">
        <v>2800.94</v>
      </c>
      <c r="P976" s="10">
        <v>1939.03</v>
      </c>
      <c r="Q976" s="11">
        <v>7.8</v>
      </c>
      <c r="R976" s="13" t="str">
        <f>IF(Patient_Data!$L976&lt;2,"Low Risk",IF(Patient_Data!$L976&lt;4,"Moderate Risk","High Risk"))</f>
        <v>Low Risk</v>
      </c>
      <c r="S976" s="12" t="str">
        <f>IF(Patient_Data[[#This Row],[Age]]&lt;=18,"Pediatric",IF(Patient_Data[[#This Row],[Age]]&lt;=64,"Adult","Geriatric"))</f>
        <v>Adult</v>
      </c>
    </row>
    <row r="977" spans="1:19" ht="15.75" customHeight="1" x14ac:dyDescent="0.3">
      <c r="A977" s="4" t="s">
        <v>1998</v>
      </c>
      <c r="B977" s="5" t="str">
        <f>TEXT(Patient_Data!$E977,"mmmm")</f>
        <v>January</v>
      </c>
      <c r="C977" s="6" t="str">
        <f t="shared" si="6"/>
        <v>Jan</v>
      </c>
      <c r="D977" s="6">
        <f>MONTH(Patient_Data!$E977)</f>
        <v>1</v>
      </c>
      <c r="E977" s="7">
        <v>46023</v>
      </c>
      <c r="F977" s="55" t="str">
        <f>TEXT(Patient_Data[[#This Row],[Admission_Date]],"YYYY")</f>
        <v>2026</v>
      </c>
      <c r="G977" s="8" t="s">
        <v>1999</v>
      </c>
      <c r="H977" s="8" t="s">
        <v>28</v>
      </c>
      <c r="I977" s="4" t="s">
        <v>35</v>
      </c>
      <c r="J977" s="4">
        <v>72</v>
      </c>
      <c r="K977" s="4" t="s">
        <v>30</v>
      </c>
      <c r="L977" s="8">
        <v>3</v>
      </c>
      <c r="M977" s="9" t="s">
        <v>31</v>
      </c>
      <c r="N977" s="9" t="str">
        <f t="shared" si="7"/>
        <v>Neuro</v>
      </c>
      <c r="O977" s="10">
        <v>9502.2999999999993</v>
      </c>
      <c r="P977" s="10">
        <v>6694.81</v>
      </c>
      <c r="Q977" s="11">
        <v>5.4</v>
      </c>
      <c r="R977" s="13" t="str">
        <f>IF(Patient_Data!$L977&lt;2,"Low Risk",IF(Patient_Data!$L977&lt;4,"Moderate Risk","High Risk"))</f>
        <v>Moderate Risk</v>
      </c>
      <c r="S977" s="12" t="str">
        <f>IF(Patient_Data[[#This Row],[Age]]&lt;=18,"Pediatric",IF(Patient_Data[[#This Row],[Age]]&lt;=64,"Adult","Geriatric"))</f>
        <v>Geriatric</v>
      </c>
    </row>
    <row r="978" spans="1:19" ht="15.75" customHeight="1" x14ac:dyDescent="0.3">
      <c r="A978" s="4" t="s">
        <v>2000</v>
      </c>
      <c r="B978" s="5" t="str">
        <f>TEXT(Patient_Data!$E978,"mmmm")</f>
        <v>May</v>
      </c>
      <c r="C978" s="6" t="str">
        <f t="shared" si="6"/>
        <v>May</v>
      </c>
      <c r="D978" s="6">
        <f>MONTH(Patient_Data!$E978)</f>
        <v>5</v>
      </c>
      <c r="E978" s="7">
        <v>45807</v>
      </c>
      <c r="F978" s="55" t="str">
        <f>TEXT(Patient_Data[[#This Row],[Admission_Date]],"YYYY")</f>
        <v>2025</v>
      </c>
      <c r="G978" s="8" t="s">
        <v>2001</v>
      </c>
      <c r="H978" s="8" t="s">
        <v>53</v>
      </c>
      <c r="I978" s="4" t="s">
        <v>35</v>
      </c>
      <c r="J978" s="4">
        <v>55</v>
      </c>
      <c r="K978" s="4" t="s">
        <v>30</v>
      </c>
      <c r="L978" s="8">
        <v>2</v>
      </c>
      <c r="M978" s="9" t="s">
        <v>83</v>
      </c>
      <c r="N978" s="9" t="str">
        <f t="shared" si="7"/>
        <v>ER</v>
      </c>
      <c r="O978" s="10">
        <v>3084.83</v>
      </c>
      <c r="P978" s="10">
        <v>2335.13</v>
      </c>
      <c r="Q978" s="11">
        <v>10.4</v>
      </c>
      <c r="R978" s="13" t="str">
        <f>IF(Patient_Data!$L978&lt;2,"Low Risk",IF(Patient_Data!$L978&lt;4,"Moderate Risk","High Risk"))</f>
        <v>Moderate Risk</v>
      </c>
      <c r="S978" s="12" t="str">
        <f>IF(Patient_Data[[#This Row],[Age]]&lt;=18,"Pediatric",IF(Patient_Data[[#This Row],[Age]]&lt;=64,"Adult","Geriatric"))</f>
        <v>Adult</v>
      </c>
    </row>
    <row r="979" spans="1:19" ht="15.75" customHeight="1" x14ac:dyDescent="0.3">
      <c r="A979" s="4" t="s">
        <v>2002</v>
      </c>
      <c r="B979" s="5" t="str">
        <f>TEXT(Patient_Data!$E979,"mmmm")</f>
        <v>September</v>
      </c>
      <c r="C979" s="6" t="str">
        <f t="shared" si="6"/>
        <v>Sep</v>
      </c>
      <c r="D979" s="6">
        <f>MONTH(Patient_Data!$E979)</f>
        <v>9</v>
      </c>
      <c r="E979" s="7">
        <v>45555</v>
      </c>
      <c r="F979" s="55" t="str">
        <f>TEXT(Patient_Data[[#This Row],[Admission_Date]],"YYYY")</f>
        <v>2024</v>
      </c>
      <c r="G979" s="8" t="s">
        <v>2003</v>
      </c>
      <c r="H979" s="8" t="s">
        <v>82</v>
      </c>
      <c r="I979" s="4" t="s">
        <v>35</v>
      </c>
      <c r="J979" s="4">
        <v>85</v>
      </c>
      <c r="K979" s="4" t="s">
        <v>54</v>
      </c>
      <c r="L979" s="8">
        <v>5</v>
      </c>
      <c r="M979" s="9" t="s">
        <v>72</v>
      </c>
      <c r="N979" s="9" t="str">
        <f t="shared" si="7"/>
        <v>Surgery</v>
      </c>
      <c r="O979" s="10">
        <v>12988.45</v>
      </c>
      <c r="P979" s="10">
        <v>9902.42</v>
      </c>
      <c r="Q979" s="11">
        <v>3.9</v>
      </c>
      <c r="R979" s="13" t="str">
        <f>IF(Patient_Data!$L979&lt;2,"Low Risk",IF(Patient_Data!$L979&lt;4,"Moderate Risk","High Risk"))</f>
        <v>High Risk</v>
      </c>
      <c r="S979" s="12" t="str">
        <f>IF(Patient_Data[[#This Row],[Age]]&lt;=18,"Pediatric",IF(Patient_Data[[#This Row],[Age]]&lt;=64,"Adult","Geriatric"))</f>
        <v>Geriatric</v>
      </c>
    </row>
    <row r="980" spans="1:19" ht="15.75" customHeight="1" x14ac:dyDescent="0.3">
      <c r="A980" s="4" t="s">
        <v>2004</v>
      </c>
      <c r="B980" s="5" t="str">
        <f>TEXT(Patient_Data!$E980,"mmmm")</f>
        <v>May</v>
      </c>
      <c r="C980" s="6" t="str">
        <f t="shared" si="6"/>
        <v>May</v>
      </c>
      <c r="D980" s="6">
        <f>MONTH(Patient_Data!$E980)</f>
        <v>5</v>
      </c>
      <c r="E980" s="7">
        <v>45798</v>
      </c>
      <c r="F980" s="55" t="str">
        <f>TEXT(Patient_Data[[#This Row],[Admission_Date]],"YYYY")</f>
        <v>2025</v>
      </c>
      <c r="G980" s="8" t="s">
        <v>2005</v>
      </c>
      <c r="H980" s="8" t="s">
        <v>82</v>
      </c>
      <c r="I980" s="4" t="s">
        <v>35</v>
      </c>
      <c r="J980" s="4">
        <v>80</v>
      </c>
      <c r="K980" s="4" t="s">
        <v>45</v>
      </c>
      <c r="L980" s="8">
        <v>4</v>
      </c>
      <c r="M980" s="9" t="s">
        <v>50</v>
      </c>
      <c r="N980" s="9" t="str">
        <f t="shared" si="7"/>
        <v>ICU</v>
      </c>
      <c r="O980" s="10">
        <v>18609.009999999998</v>
      </c>
      <c r="P980" s="10">
        <v>10924.43</v>
      </c>
      <c r="Q980" s="11">
        <v>16.399999999999999</v>
      </c>
      <c r="R980" s="13" t="str">
        <f>IF(Patient_Data!$L980&lt;2,"Low Risk",IF(Patient_Data!$L980&lt;4,"Moderate Risk","High Risk"))</f>
        <v>High Risk</v>
      </c>
      <c r="S980" s="12" t="str">
        <f>IF(Patient_Data[[#This Row],[Age]]&lt;=18,"Pediatric",IF(Patient_Data[[#This Row],[Age]]&lt;=64,"Adult","Geriatric"))</f>
        <v>Geriatric</v>
      </c>
    </row>
    <row r="981" spans="1:19" ht="15.75" customHeight="1" x14ac:dyDescent="0.3">
      <c r="A981" s="4" t="s">
        <v>2006</v>
      </c>
      <c r="B981" s="5" t="str">
        <f>TEXT(Patient_Data!$E981,"mmmm")</f>
        <v>June</v>
      </c>
      <c r="C981" s="6" t="str">
        <f t="shared" si="6"/>
        <v>Jun</v>
      </c>
      <c r="D981" s="6">
        <f>MONTH(Patient_Data!$E981)</f>
        <v>6</v>
      </c>
      <c r="E981" s="7">
        <v>46185</v>
      </c>
      <c r="F981" s="55" t="str">
        <f>TEXT(Patient_Data[[#This Row],[Admission_Date]],"YYYY")</f>
        <v>2026</v>
      </c>
      <c r="G981" s="8" t="s">
        <v>2007</v>
      </c>
      <c r="H981" s="8" t="s">
        <v>34</v>
      </c>
      <c r="I981" s="4" t="s">
        <v>29</v>
      </c>
      <c r="J981" s="4">
        <v>50</v>
      </c>
      <c r="K981" s="4" t="s">
        <v>30</v>
      </c>
      <c r="L981" s="8">
        <v>1</v>
      </c>
      <c r="M981" s="9" t="s">
        <v>46</v>
      </c>
      <c r="N981" s="9" t="str">
        <f t="shared" si="7"/>
        <v>Ortho</v>
      </c>
      <c r="O981" s="10">
        <v>8454.82</v>
      </c>
      <c r="P981" s="10">
        <v>5250.24</v>
      </c>
      <c r="Q981" s="11">
        <v>11.6</v>
      </c>
      <c r="R981" s="13" t="str">
        <f>IF(Patient_Data!$L981&lt;2,"Low Risk",IF(Patient_Data!$L981&lt;4,"Moderate Risk","High Risk"))</f>
        <v>Low Risk</v>
      </c>
      <c r="S981" s="12" t="str">
        <f>IF(Patient_Data[[#This Row],[Age]]&lt;=18,"Pediatric",IF(Patient_Data[[#This Row],[Age]]&lt;=64,"Adult","Geriatric"))</f>
        <v>Adult</v>
      </c>
    </row>
    <row r="982" spans="1:19" ht="15.75" customHeight="1" x14ac:dyDescent="0.3">
      <c r="A982" s="4" t="s">
        <v>2008</v>
      </c>
      <c r="B982" s="5" t="str">
        <f>TEXT(Patient_Data!$E982,"mmmm")</f>
        <v>October</v>
      </c>
      <c r="C982" s="6" t="str">
        <f t="shared" si="6"/>
        <v>Oct</v>
      </c>
      <c r="D982" s="6">
        <f>MONTH(Patient_Data!$E982)</f>
        <v>10</v>
      </c>
      <c r="E982" s="7">
        <v>45214</v>
      </c>
      <c r="F982" s="55" t="str">
        <f>TEXT(Patient_Data[[#This Row],[Admission_Date]],"YYYY")</f>
        <v>2023</v>
      </c>
      <c r="G982" s="8" t="s">
        <v>2009</v>
      </c>
      <c r="H982" s="8" t="s">
        <v>132</v>
      </c>
      <c r="I982" s="4" t="s">
        <v>35</v>
      </c>
      <c r="J982" s="4">
        <v>33</v>
      </c>
      <c r="K982" s="4" t="s">
        <v>30</v>
      </c>
      <c r="L982" s="8">
        <v>5</v>
      </c>
      <c r="M982" s="9" t="s">
        <v>72</v>
      </c>
      <c r="N982" s="9" t="str">
        <f t="shared" si="7"/>
        <v>Surgery</v>
      </c>
      <c r="O982" s="10">
        <v>24906.13</v>
      </c>
      <c r="P982" s="10">
        <v>16034.32</v>
      </c>
      <c r="Q982" s="11">
        <v>11.8</v>
      </c>
      <c r="R982" s="13" t="str">
        <f>IF(Patient_Data!$L982&lt;2,"Low Risk",IF(Patient_Data!$L982&lt;4,"Moderate Risk","High Risk"))</f>
        <v>High Risk</v>
      </c>
      <c r="S982" s="12" t="str">
        <f>IF(Patient_Data[[#This Row],[Age]]&lt;=18,"Pediatric",IF(Patient_Data[[#This Row],[Age]]&lt;=64,"Adult","Geriatric"))</f>
        <v>Adult</v>
      </c>
    </row>
    <row r="983" spans="1:19" ht="15.75" customHeight="1" x14ac:dyDescent="0.3">
      <c r="A983" s="4" t="s">
        <v>2010</v>
      </c>
      <c r="B983" s="5" t="str">
        <f>TEXT(Patient_Data!$E983,"mmmm")</f>
        <v>November</v>
      </c>
      <c r="C983" s="6" t="str">
        <f t="shared" si="6"/>
        <v>Nov</v>
      </c>
      <c r="D983" s="6">
        <f>MONTH(Patient_Data!$E983)</f>
        <v>11</v>
      </c>
      <c r="E983" s="7">
        <v>45972</v>
      </c>
      <c r="F983" s="55" t="str">
        <f>TEXT(Patient_Data[[#This Row],[Admission_Date]],"YYYY")</f>
        <v>2025</v>
      </c>
      <c r="G983" s="8" t="s">
        <v>2011</v>
      </c>
      <c r="H983" s="8" t="s">
        <v>53</v>
      </c>
      <c r="I983" s="4" t="s">
        <v>35</v>
      </c>
      <c r="J983" s="4">
        <v>74</v>
      </c>
      <c r="K983" s="4" t="s">
        <v>45</v>
      </c>
      <c r="L983" s="8">
        <v>4</v>
      </c>
      <c r="M983" s="9" t="s">
        <v>31</v>
      </c>
      <c r="N983" s="9" t="str">
        <f t="shared" si="7"/>
        <v>Neuro</v>
      </c>
      <c r="O983" s="10">
        <v>14903.97</v>
      </c>
      <c r="P983" s="10">
        <v>10080.06</v>
      </c>
      <c r="Q983" s="11">
        <v>11.8</v>
      </c>
      <c r="R983" s="13" t="str">
        <f>IF(Patient_Data!$L983&lt;2,"Low Risk",IF(Patient_Data!$L983&lt;4,"Moderate Risk","High Risk"))</f>
        <v>High Risk</v>
      </c>
      <c r="S983" s="12" t="str">
        <f>IF(Patient_Data[[#This Row],[Age]]&lt;=18,"Pediatric",IF(Patient_Data[[#This Row],[Age]]&lt;=64,"Adult","Geriatric"))</f>
        <v>Geriatric</v>
      </c>
    </row>
    <row r="984" spans="1:19" ht="15.75" customHeight="1" x14ac:dyDescent="0.3">
      <c r="A984" s="4" t="s">
        <v>2012</v>
      </c>
      <c r="B984" s="5" t="str">
        <f>TEXT(Patient_Data!$E984,"mmmm")</f>
        <v>June</v>
      </c>
      <c r="C984" s="6" t="str">
        <f t="shared" si="6"/>
        <v>Jun</v>
      </c>
      <c r="D984" s="6">
        <f>MONTH(Patient_Data!$E984)</f>
        <v>6</v>
      </c>
      <c r="E984" s="7">
        <v>46202</v>
      </c>
      <c r="F984" s="55" t="str">
        <f>TEXT(Patient_Data[[#This Row],[Admission_Date]],"YYYY")</f>
        <v>2026</v>
      </c>
      <c r="G984" s="8" t="s">
        <v>1311</v>
      </c>
      <c r="H984" s="8" t="s">
        <v>53</v>
      </c>
      <c r="I984" s="4" t="s">
        <v>29</v>
      </c>
      <c r="J984" s="4">
        <v>41</v>
      </c>
      <c r="K984" s="4" t="s">
        <v>30</v>
      </c>
      <c r="L984" s="8">
        <v>2</v>
      </c>
      <c r="M984" s="9" t="s">
        <v>83</v>
      </c>
      <c r="N984" s="9" t="str">
        <f t="shared" si="7"/>
        <v>ER</v>
      </c>
      <c r="O984" s="10">
        <v>7873.85</v>
      </c>
      <c r="P984" s="10">
        <v>5698.89</v>
      </c>
      <c r="Q984" s="11">
        <v>23.4</v>
      </c>
      <c r="R984" s="13" t="str">
        <f>IF(Patient_Data!$L984&lt;2,"Low Risk",IF(Patient_Data!$L984&lt;4,"Moderate Risk","High Risk"))</f>
        <v>Moderate Risk</v>
      </c>
      <c r="S984" s="12" t="str">
        <f>IF(Patient_Data[[#This Row],[Age]]&lt;=18,"Pediatric",IF(Patient_Data[[#This Row],[Age]]&lt;=64,"Adult","Geriatric"))</f>
        <v>Adult</v>
      </c>
    </row>
    <row r="985" spans="1:19" ht="15.75" customHeight="1" x14ac:dyDescent="0.3">
      <c r="A985" s="4" t="s">
        <v>2013</v>
      </c>
      <c r="B985" s="5" t="str">
        <f>TEXT(Patient_Data!$E985,"mmmm")</f>
        <v>November</v>
      </c>
      <c r="C985" s="6" t="str">
        <f t="shared" si="6"/>
        <v>Nov</v>
      </c>
      <c r="D985" s="6">
        <f>MONTH(Patient_Data!$E985)</f>
        <v>11</v>
      </c>
      <c r="E985" s="7">
        <v>45607</v>
      </c>
      <c r="F985" s="55" t="str">
        <f>TEXT(Patient_Data[[#This Row],[Admission_Date]],"YYYY")</f>
        <v>2024</v>
      </c>
      <c r="G985" s="8" t="s">
        <v>2014</v>
      </c>
      <c r="H985" s="8" t="s">
        <v>49</v>
      </c>
      <c r="I985" s="4" t="s">
        <v>29</v>
      </c>
      <c r="J985" s="4">
        <v>95</v>
      </c>
      <c r="K985" s="4" t="s">
        <v>54</v>
      </c>
      <c r="L985" s="8">
        <v>5</v>
      </c>
      <c r="M985" s="9" t="s">
        <v>46</v>
      </c>
      <c r="N985" s="9" t="str">
        <f t="shared" si="7"/>
        <v>Ortho</v>
      </c>
      <c r="O985" s="10">
        <v>9288.31</v>
      </c>
      <c r="P985" s="10">
        <v>6814.07</v>
      </c>
      <c r="Q985" s="11">
        <v>4.2</v>
      </c>
      <c r="R985" s="13" t="str">
        <f>IF(Patient_Data!$L985&lt;2,"Low Risk",IF(Patient_Data!$L985&lt;4,"Moderate Risk","High Risk"))</f>
        <v>High Risk</v>
      </c>
      <c r="S985" s="12" t="str">
        <f>IF(Patient_Data[[#This Row],[Age]]&lt;=18,"Pediatric",IF(Patient_Data[[#This Row],[Age]]&lt;=64,"Adult","Geriatric"))</f>
        <v>Geriatric</v>
      </c>
    </row>
    <row r="986" spans="1:19" ht="15.75" customHeight="1" x14ac:dyDescent="0.3">
      <c r="A986" s="4" t="s">
        <v>2015</v>
      </c>
      <c r="B986" s="5" t="str">
        <f>TEXT(Patient_Data!$E986,"mmmm")</f>
        <v>August</v>
      </c>
      <c r="C986" s="6" t="str">
        <f t="shared" si="6"/>
        <v>Aug</v>
      </c>
      <c r="D986" s="6">
        <f>MONTH(Patient_Data!$E986)</f>
        <v>8</v>
      </c>
      <c r="E986" s="7">
        <v>45889</v>
      </c>
      <c r="F986" s="55" t="str">
        <f>TEXT(Patient_Data[[#This Row],[Admission_Date]],"YYYY")</f>
        <v>2025</v>
      </c>
      <c r="G986" s="8" t="s">
        <v>2016</v>
      </c>
      <c r="H986" s="8" t="s">
        <v>53</v>
      </c>
      <c r="I986" s="4" t="s">
        <v>29</v>
      </c>
      <c r="J986" s="4">
        <v>33</v>
      </c>
      <c r="K986" s="4" t="s">
        <v>30</v>
      </c>
      <c r="L986" s="8">
        <v>2</v>
      </c>
      <c r="M986" s="9" t="s">
        <v>36</v>
      </c>
      <c r="N986" s="9" t="str">
        <f t="shared" si="7"/>
        <v>Cardio</v>
      </c>
      <c r="O986" s="10">
        <v>9368.7000000000007</v>
      </c>
      <c r="P986" s="10">
        <v>7152.21</v>
      </c>
      <c r="Q986" s="11">
        <v>4</v>
      </c>
      <c r="R986" s="13" t="str">
        <f>IF(Patient_Data!$L986&lt;2,"Low Risk",IF(Patient_Data!$L986&lt;4,"Moderate Risk","High Risk"))</f>
        <v>Moderate Risk</v>
      </c>
      <c r="S986" s="12" t="str">
        <f>IF(Patient_Data[[#This Row],[Age]]&lt;=18,"Pediatric",IF(Patient_Data[[#This Row],[Age]]&lt;=64,"Adult","Geriatric"))</f>
        <v>Adult</v>
      </c>
    </row>
    <row r="987" spans="1:19" ht="15.75" customHeight="1" x14ac:dyDescent="0.3">
      <c r="A987" s="4" t="s">
        <v>2017</v>
      </c>
      <c r="B987" s="5" t="str">
        <f>TEXT(Patient_Data!$E987,"mmmm")</f>
        <v>December</v>
      </c>
      <c r="C987" s="6" t="str">
        <f t="shared" si="6"/>
        <v>Dec</v>
      </c>
      <c r="D987" s="6">
        <f>MONTH(Patient_Data!$E987)</f>
        <v>12</v>
      </c>
      <c r="E987" s="7">
        <v>45266</v>
      </c>
      <c r="F987" s="55" t="str">
        <f>TEXT(Patient_Data[[#This Row],[Admission_Date]],"YYYY")</f>
        <v>2023</v>
      </c>
      <c r="G987" s="8" t="s">
        <v>2018</v>
      </c>
      <c r="H987" s="8" t="s">
        <v>28</v>
      </c>
      <c r="I987" s="4" t="s">
        <v>29</v>
      </c>
      <c r="J987" s="4">
        <v>49</v>
      </c>
      <c r="K987" s="4" t="s">
        <v>30</v>
      </c>
      <c r="L987" s="8">
        <v>1</v>
      </c>
      <c r="M987" s="9" t="s">
        <v>31</v>
      </c>
      <c r="N987" s="9" t="str">
        <f t="shared" si="7"/>
        <v>Neuro</v>
      </c>
      <c r="O987" s="10">
        <v>6551.25</v>
      </c>
      <c r="P987" s="10">
        <v>3871.72</v>
      </c>
      <c r="Q987" s="11">
        <v>9</v>
      </c>
      <c r="R987" s="13" t="str">
        <f>IF(Patient_Data!$L987&lt;2,"Low Risk",IF(Patient_Data!$L987&lt;4,"Moderate Risk","High Risk"))</f>
        <v>Low Risk</v>
      </c>
      <c r="S987" s="12" t="str">
        <f>IF(Patient_Data[[#This Row],[Age]]&lt;=18,"Pediatric",IF(Patient_Data[[#This Row],[Age]]&lt;=64,"Adult","Geriatric"))</f>
        <v>Adult</v>
      </c>
    </row>
    <row r="988" spans="1:19" ht="15.75" customHeight="1" x14ac:dyDescent="0.3">
      <c r="A988" s="4" t="s">
        <v>2019</v>
      </c>
      <c r="B988" s="5" t="str">
        <f>TEXT(Patient_Data!$E988,"mmmm")</f>
        <v>September</v>
      </c>
      <c r="C988" s="6" t="str">
        <f t="shared" si="6"/>
        <v>Sep</v>
      </c>
      <c r="D988" s="6">
        <f>MONTH(Patient_Data!$E988)</f>
        <v>9</v>
      </c>
      <c r="E988" s="7">
        <v>45183</v>
      </c>
      <c r="F988" s="55" t="str">
        <f>TEXT(Patient_Data[[#This Row],[Admission_Date]],"YYYY")</f>
        <v>2023</v>
      </c>
      <c r="G988" s="8" t="s">
        <v>2020</v>
      </c>
      <c r="H988" s="8" t="s">
        <v>98</v>
      </c>
      <c r="I988" s="4" t="s">
        <v>35</v>
      </c>
      <c r="J988" s="4">
        <v>43</v>
      </c>
      <c r="K988" s="4" t="s">
        <v>30</v>
      </c>
      <c r="L988" s="8">
        <v>3</v>
      </c>
      <c r="M988" s="9" t="s">
        <v>36</v>
      </c>
      <c r="N988" s="9" t="str">
        <f t="shared" si="7"/>
        <v>Cardio</v>
      </c>
      <c r="O988" s="10">
        <v>7045.65</v>
      </c>
      <c r="P988" s="10">
        <v>4297.8500000000004</v>
      </c>
      <c r="Q988" s="11"/>
      <c r="R988" s="13" t="str">
        <f>IF(Patient_Data!$L988&lt;2,"Low Risk",IF(Patient_Data!$L988&lt;4,"Moderate Risk","High Risk"))</f>
        <v>Moderate Risk</v>
      </c>
      <c r="S988" s="12" t="str">
        <f>IF(Patient_Data[[#This Row],[Age]]&lt;=18,"Pediatric",IF(Patient_Data[[#This Row],[Age]]&lt;=64,"Adult","Geriatric"))</f>
        <v>Adult</v>
      </c>
    </row>
    <row r="989" spans="1:19" ht="15.75" customHeight="1" x14ac:dyDescent="0.3">
      <c r="A989" s="4" t="s">
        <v>2021</v>
      </c>
      <c r="B989" s="5" t="str">
        <f>TEXT(Patient_Data!$E989,"mmmm")</f>
        <v>April</v>
      </c>
      <c r="C989" s="6" t="str">
        <f t="shared" si="6"/>
        <v>Apr</v>
      </c>
      <c r="D989" s="6">
        <f>MONTH(Patient_Data!$E989)</f>
        <v>4</v>
      </c>
      <c r="E989" s="7">
        <v>45387</v>
      </c>
      <c r="F989" s="55" t="str">
        <f>TEXT(Patient_Data[[#This Row],[Admission_Date]],"YYYY")</f>
        <v>2024</v>
      </c>
      <c r="G989" s="8" t="s">
        <v>2022</v>
      </c>
      <c r="H989" s="8" t="s">
        <v>28</v>
      </c>
      <c r="I989" s="4" t="s">
        <v>29</v>
      </c>
      <c r="J989" s="4">
        <v>45</v>
      </c>
      <c r="K989" s="4" t="s">
        <v>45</v>
      </c>
      <c r="L989" s="8">
        <v>1</v>
      </c>
      <c r="M989" s="9" t="s">
        <v>39</v>
      </c>
      <c r="N989" s="9" t="str">
        <f t="shared" si="7"/>
        <v>GM</v>
      </c>
      <c r="O989" s="10">
        <v>2419.36</v>
      </c>
      <c r="P989" s="10">
        <v>1608.39</v>
      </c>
      <c r="Q989" s="11">
        <v>7.5</v>
      </c>
      <c r="R989" s="13" t="str">
        <f>IF(Patient_Data!$L989&lt;2,"Low Risk",IF(Patient_Data!$L989&lt;4,"Moderate Risk","High Risk"))</f>
        <v>Low Risk</v>
      </c>
      <c r="S989" s="12" t="str">
        <f>IF(Patient_Data[[#This Row],[Age]]&lt;=18,"Pediatric",IF(Patient_Data[[#This Row],[Age]]&lt;=64,"Adult","Geriatric"))</f>
        <v>Adult</v>
      </c>
    </row>
    <row r="990" spans="1:19" ht="15.75" customHeight="1" x14ac:dyDescent="0.3">
      <c r="A990" s="4" t="s">
        <v>2023</v>
      </c>
      <c r="B990" s="5" t="str">
        <f>TEXT(Patient_Data!$E990,"mmmm")</f>
        <v>January</v>
      </c>
      <c r="C990" s="6" t="str">
        <f t="shared" si="6"/>
        <v>Jan</v>
      </c>
      <c r="D990" s="6">
        <f>MONTH(Patient_Data!$E990)</f>
        <v>1</v>
      </c>
      <c r="E990" s="7">
        <v>46049</v>
      </c>
      <c r="F990" s="55" t="str">
        <f>TEXT(Patient_Data[[#This Row],[Admission_Date]],"YYYY")</f>
        <v>2026</v>
      </c>
      <c r="G990" s="8" t="s">
        <v>2024</v>
      </c>
      <c r="H990" s="8" t="s">
        <v>82</v>
      </c>
      <c r="I990" s="4" t="s">
        <v>29</v>
      </c>
      <c r="J990" s="4">
        <v>49</v>
      </c>
      <c r="K990" s="4" t="s">
        <v>45</v>
      </c>
      <c r="L990" s="8">
        <v>3</v>
      </c>
      <c r="M990" s="9" t="s">
        <v>72</v>
      </c>
      <c r="N990" s="9" t="str">
        <f t="shared" si="7"/>
        <v>Surgery</v>
      </c>
      <c r="O990" s="10">
        <v>13481.38</v>
      </c>
      <c r="P990" s="10">
        <v>9090.92</v>
      </c>
      <c r="Q990" s="11">
        <v>7.3</v>
      </c>
      <c r="R990" s="13" t="str">
        <f>IF(Patient_Data!$L990&lt;2,"Low Risk",IF(Patient_Data!$L990&lt;4,"Moderate Risk","High Risk"))</f>
        <v>Moderate Risk</v>
      </c>
      <c r="S990" s="12" t="str">
        <f>IF(Patient_Data[[#This Row],[Age]]&lt;=18,"Pediatric",IF(Patient_Data[[#This Row],[Age]]&lt;=64,"Adult","Geriatric"))</f>
        <v>Adult</v>
      </c>
    </row>
    <row r="991" spans="1:19" ht="15.75" customHeight="1" x14ac:dyDescent="0.3">
      <c r="A991" s="4" t="s">
        <v>2025</v>
      </c>
      <c r="B991" s="5" t="str">
        <f>TEXT(Patient_Data!$E991,"mmmm")</f>
        <v>May</v>
      </c>
      <c r="C991" s="6" t="str">
        <f t="shared" si="6"/>
        <v>May</v>
      </c>
      <c r="D991" s="6">
        <f>MONTH(Patient_Data!$E991)</f>
        <v>5</v>
      </c>
      <c r="E991" s="7">
        <v>45441</v>
      </c>
      <c r="F991" s="55" t="str">
        <f>TEXT(Patient_Data[[#This Row],[Admission_Date]],"YYYY")</f>
        <v>2024</v>
      </c>
      <c r="G991" s="8" t="s">
        <v>2026</v>
      </c>
      <c r="H991" s="8" t="s">
        <v>53</v>
      </c>
      <c r="I991" s="4" t="s">
        <v>35</v>
      </c>
      <c r="J991" s="4">
        <v>94</v>
      </c>
      <c r="K991" s="4" t="s">
        <v>30</v>
      </c>
      <c r="L991" s="8">
        <v>2</v>
      </c>
      <c r="M991" s="9" t="s">
        <v>46</v>
      </c>
      <c r="N991" s="9" t="str">
        <f t="shared" si="7"/>
        <v>Ortho</v>
      </c>
      <c r="O991" s="10">
        <v>5773.77</v>
      </c>
      <c r="P991" s="10">
        <v>4084.84</v>
      </c>
      <c r="Q991" s="11">
        <v>5.4</v>
      </c>
      <c r="R991" s="13" t="str">
        <f>IF(Patient_Data!$L991&lt;2,"Low Risk",IF(Patient_Data!$L991&lt;4,"Moderate Risk","High Risk"))</f>
        <v>Moderate Risk</v>
      </c>
      <c r="S991" s="12" t="str">
        <f>IF(Patient_Data[[#This Row],[Age]]&lt;=18,"Pediatric",IF(Patient_Data[[#This Row],[Age]]&lt;=64,"Adult","Geriatric"))</f>
        <v>Geriatric</v>
      </c>
    </row>
    <row r="992" spans="1:19" ht="15.75" customHeight="1" x14ac:dyDescent="0.3">
      <c r="A992" s="4" t="s">
        <v>2027</v>
      </c>
      <c r="B992" s="5" t="str">
        <f>TEXT(Patient_Data!$E992,"mmmm")</f>
        <v>February</v>
      </c>
      <c r="C992" s="6" t="str">
        <f t="shared" si="6"/>
        <v>Feb</v>
      </c>
      <c r="D992" s="6">
        <f>MONTH(Patient_Data!$E992)</f>
        <v>2</v>
      </c>
      <c r="E992" s="7">
        <v>45708</v>
      </c>
      <c r="F992" s="55" t="str">
        <f>TEXT(Patient_Data[[#This Row],[Admission_Date]],"YYYY")</f>
        <v>2025</v>
      </c>
      <c r="G992" s="8" t="s">
        <v>2028</v>
      </c>
      <c r="H992" s="8" t="s">
        <v>98</v>
      </c>
      <c r="I992" s="4" t="s">
        <v>35</v>
      </c>
      <c r="J992" s="4">
        <v>40</v>
      </c>
      <c r="K992" s="4" t="s">
        <v>54</v>
      </c>
      <c r="L992" s="8">
        <v>3</v>
      </c>
      <c r="M992" s="9" t="s">
        <v>31</v>
      </c>
      <c r="N992" s="9" t="str">
        <f t="shared" si="7"/>
        <v>Neuro</v>
      </c>
      <c r="O992" s="10">
        <v>5836.8</v>
      </c>
      <c r="P992" s="10">
        <v>4288.0600000000004</v>
      </c>
      <c r="Q992" s="11">
        <v>3.4</v>
      </c>
      <c r="R992" s="13" t="str">
        <f>IF(Patient_Data!$L992&lt;2,"Low Risk",IF(Patient_Data!$L992&lt;4,"Moderate Risk","High Risk"))</f>
        <v>Moderate Risk</v>
      </c>
      <c r="S992" s="12" t="str">
        <f>IF(Patient_Data[[#This Row],[Age]]&lt;=18,"Pediatric",IF(Patient_Data[[#This Row],[Age]]&lt;=64,"Adult","Geriatric"))</f>
        <v>Adult</v>
      </c>
    </row>
    <row r="993" spans="1:19" ht="15.75" customHeight="1" x14ac:dyDescent="0.3">
      <c r="A993" s="4" t="s">
        <v>2029</v>
      </c>
      <c r="B993" s="5" t="str">
        <f>TEXT(Patient_Data!$E993,"mmmm")</f>
        <v>September</v>
      </c>
      <c r="C993" s="6" t="str">
        <f t="shared" si="6"/>
        <v>Sep</v>
      </c>
      <c r="D993" s="6">
        <f>MONTH(Patient_Data!$E993)</f>
        <v>9</v>
      </c>
      <c r="E993" s="7">
        <v>45916</v>
      </c>
      <c r="F993" s="55" t="str">
        <f>TEXT(Patient_Data[[#This Row],[Admission_Date]],"YYYY")</f>
        <v>2025</v>
      </c>
      <c r="G993" s="8" t="s">
        <v>2030</v>
      </c>
      <c r="H993" s="8" t="s">
        <v>49</v>
      </c>
      <c r="I993" s="4" t="s">
        <v>29</v>
      </c>
      <c r="J993" s="4">
        <v>44</v>
      </c>
      <c r="K993" s="4" t="s">
        <v>30</v>
      </c>
      <c r="L993" s="8">
        <v>1</v>
      </c>
      <c r="M993" s="9" t="s">
        <v>31</v>
      </c>
      <c r="N993" s="9" t="str">
        <f t="shared" si="7"/>
        <v>Neuro</v>
      </c>
      <c r="O993" s="10">
        <v>7951.28</v>
      </c>
      <c r="P993" s="10">
        <v>6137.37</v>
      </c>
      <c r="Q993" s="11">
        <v>11.8</v>
      </c>
      <c r="R993" s="13" t="str">
        <f>IF(Patient_Data!$L993&lt;2,"Low Risk",IF(Patient_Data!$L993&lt;4,"Moderate Risk","High Risk"))</f>
        <v>Low Risk</v>
      </c>
      <c r="S993" s="12" t="str">
        <f>IF(Patient_Data[[#This Row],[Age]]&lt;=18,"Pediatric",IF(Patient_Data[[#This Row],[Age]]&lt;=64,"Adult","Geriatric"))</f>
        <v>Adult</v>
      </c>
    </row>
    <row r="994" spans="1:19" ht="15.75" customHeight="1" x14ac:dyDescent="0.3">
      <c r="A994" s="4" t="s">
        <v>2031</v>
      </c>
      <c r="B994" s="5" t="str">
        <f>TEXT(Patient_Data!$E994,"mmmm")</f>
        <v>December</v>
      </c>
      <c r="C994" s="6" t="str">
        <f t="shared" si="6"/>
        <v>Dec</v>
      </c>
      <c r="D994" s="6">
        <f>MONTH(Patient_Data!$E994)</f>
        <v>12</v>
      </c>
      <c r="E994" s="7">
        <v>45992</v>
      </c>
      <c r="F994" s="55" t="str">
        <f>TEXT(Patient_Data[[#This Row],[Admission_Date]],"YYYY")</f>
        <v>2025</v>
      </c>
      <c r="G994" s="8" t="s">
        <v>2032</v>
      </c>
      <c r="H994" s="8" t="s">
        <v>28</v>
      </c>
      <c r="I994" s="4" t="s">
        <v>29</v>
      </c>
      <c r="J994" s="4">
        <v>52</v>
      </c>
      <c r="K994" s="4" t="s">
        <v>30</v>
      </c>
      <c r="L994" s="8">
        <v>1</v>
      </c>
      <c r="M994" s="9" t="s">
        <v>46</v>
      </c>
      <c r="N994" s="9" t="str">
        <f t="shared" si="7"/>
        <v>Ortho</v>
      </c>
      <c r="O994" s="10">
        <v>6500.87</v>
      </c>
      <c r="P994" s="10">
        <v>3848.1</v>
      </c>
      <c r="Q994" s="11">
        <v>9.6999999999999993</v>
      </c>
      <c r="R994" s="13" t="str">
        <f>IF(Patient_Data!$L994&lt;2,"Low Risk",IF(Patient_Data!$L994&lt;4,"Moderate Risk","High Risk"))</f>
        <v>Low Risk</v>
      </c>
      <c r="S994" s="12" t="str">
        <f>IF(Patient_Data[[#This Row],[Age]]&lt;=18,"Pediatric",IF(Patient_Data[[#This Row],[Age]]&lt;=64,"Adult","Geriatric"))</f>
        <v>Adult</v>
      </c>
    </row>
    <row r="995" spans="1:19" ht="15.75" customHeight="1" x14ac:dyDescent="0.3">
      <c r="A995" s="4" t="s">
        <v>2033</v>
      </c>
      <c r="B995" s="5" t="str">
        <f>TEXT(Patient_Data!$E995,"mmmm")</f>
        <v>September</v>
      </c>
      <c r="C995" s="6" t="str">
        <f t="shared" si="6"/>
        <v>Sep</v>
      </c>
      <c r="D995" s="6">
        <f>MONTH(Patient_Data!$E995)</f>
        <v>9</v>
      </c>
      <c r="E995" s="7">
        <v>45916</v>
      </c>
      <c r="F995" s="55" t="str">
        <f>TEXT(Patient_Data[[#This Row],[Admission_Date]],"YYYY")</f>
        <v>2025</v>
      </c>
      <c r="G995" s="8" t="s">
        <v>2034</v>
      </c>
      <c r="H995" s="8" t="s">
        <v>42</v>
      </c>
      <c r="I995" s="4" t="s">
        <v>29</v>
      </c>
      <c r="J995" s="4">
        <v>25</v>
      </c>
      <c r="K995" s="4" t="s">
        <v>30</v>
      </c>
      <c r="L995" s="8">
        <v>2</v>
      </c>
      <c r="M995" s="9" t="s">
        <v>39</v>
      </c>
      <c r="N995" s="9" t="str">
        <f t="shared" si="7"/>
        <v>GM</v>
      </c>
      <c r="O995" s="10">
        <v>3631.42</v>
      </c>
      <c r="P995" s="10">
        <v>2283.9699999999998</v>
      </c>
      <c r="Q995" s="11">
        <v>8.6</v>
      </c>
      <c r="R995" s="13" t="str">
        <f>IF(Patient_Data!$L995&lt;2,"Low Risk",IF(Patient_Data!$L995&lt;4,"Moderate Risk","High Risk"))</f>
        <v>Moderate Risk</v>
      </c>
      <c r="S995" s="12" t="str">
        <f>IF(Patient_Data[[#This Row],[Age]]&lt;=18,"Pediatric",IF(Patient_Data[[#This Row],[Age]]&lt;=64,"Adult","Geriatric"))</f>
        <v>Adult</v>
      </c>
    </row>
    <row r="996" spans="1:19" ht="15.75" customHeight="1" x14ac:dyDescent="0.3">
      <c r="A996" s="4" t="s">
        <v>2035</v>
      </c>
      <c r="B996" s="5" t="str">
        <f>TEXT(Patient_Data!$E996,"mmmm")</f>
        <v>November</v>
      </c>
      <c r="C996" s="6" t="str">
        <f t="shared" si="6"/>
        <v>Nov</v>
      </c>
      <c r="D996" s="6">
        <f>MONTH(Patient_Data!$E996)</f>
        <v>11</v>
      </c>
      <c r="E996" s="7">
        <v>45259</v>
      </c>
      <c r="F996" s="55" t="str">
        <f>TEXT(Patient_Data[[#This Row],[Admission_Date]],"YYYY")</f>
        <v>2023</v>
      </c>
      <c r="G996" s="8" t="s">
        <v>2036</v>
      </c>
      <c r="H996" s="8" t="s">
        <v>98</v>
      </c>
      <c r="I996" s="4" t="s">
        <v>35</v>
      </c>
      <c r="J996" s="4">
        <v>61</v>
      </c>
      <c r="K996" s="4" t="s">
        <v>45</v>
      </c>
      <c r="L996" s="8">
        <v>3</v>
      </c>
      <c r="M996" s="9" t="s">
        <v>36</v>
      </c>
      <c r="N996" s="9" t="str">
        <f t="shared" si="7"/>
        <v>Cardio</v>
      </c>
      <c r="O996" s="10">
        <v>8018.19</v>
      </c>
      <c r="P996" s="10">
        <v>5179.6400000000003</v>
      </c>
      <c r="Q996" s="11">
        <v>6</v>
      </c>
      <c r="R996" s="13" t="str">
        <f>IF(Patient_Data!$L996&lt;2,"Low Risk",IF(Patient_Data!$L996&lt;4,"Moderate Risk","High Risk"))</f>
        <v>Moderate Risk</v>
      </c>
      <c r="S996" s="12" t="str">
        <f>IF(Patient_Data[[#This Row],[Age]]&lt;=18,"Pediatric",IF(Patient_Data[[#This Row],[Age]]&lt;=64,"Adult","Geriatric"))</f>
        <v>Adult</v>
      </c>
    </row>
    <row r="997" spans="1:19" ht="15.75" customHeight="1" x14ac:dyDescent="0.3">
      <c r="A997" s="4" t="s">
        <v>2037</v>
      </c>
      <c r="B997" s="5" t="str">
        <f>TEXT(Patient_Data!$E997,"mmmm")</f>
        <v>November</v>
      </c>
      <c r="C997" s="6" t="str">
        <f t="shared" si="6"/>
        <v>Nov</v>
      </c>
      <c r="D997" s="6">
        <f>MONTH(Patient_Data!$E997)</f>
        <v>11</v>
      </c>
      <c r="E997" s="7">
        <v>45987</v>
      </c>
      <c r="F997" s="55" t="str">
        <f>TEXT(Patient_Data[[#This Row],[Admission_Date]],"YYYY")</f>
        <v>2025</v>
      </c>
      <c r="G997" s="8" t="s">
        <v>2038</v>
      </c>
      <c r="H997" s="8" t="s">
        <v>34</v>
      </c>
      <c r="I997" s="4" t="s">
        <v>29</v>
      </c>
      <c r="J997" s="4">
        <v>42</v>
      </c>
      <c r="K997" s="4" t="s">
        <v>30</v>
      </c>
      <c r="L997" s="8">
        <v>2</v>
      </c>
      <c r="M997" s="9" t="s">
        <v>83</v>
      </c>
      <c r="N997" s="9" t="str">
        <f t="shared" si="7"/>
        <v>ER</v>
      </c>
      <c r="O997" s="10">
        <v>5761.37</v>
      </c>
      <c r="P997" s="10">
        <v>4002.52</v>
      </c>
      <c r="Q997" s="11">
        <v>17.8</v>
      </c>
      <c r="R997" s="13" t="str">
        <f>IF(Patient_Data!$L997&lt;2,"Low Risk",IF(Patient_Data!$L997&lt;4,"Moderate Risk","High Risk"))</f>
        <v>Moderate Risk</v>
      </c>
      <c r="S997" s="12" t="str">
        <f>IF(Patient_Data[[#This Row],[Age]]&lt;=18,"Pediatric",IF(Patient_Data[[#This Row],[Age]]&lt;=64,"Adult","Geriatric"))</f>
        <v>Adult</v>
      </c>
    </row>
    <row r="998" spans="1:19" ht="15.75" customHeight="1" x14ac:dyDescent="0.3">
      <c r="A998" s="4" t="s">
        <v>2039</v>
      </c>
      <c r="B998" s="5" t="str">
        <f>TEXT(Patient_Data!$E998,"mmmm")</f>
        <v>December</v>
      </c>
      <c r="C998" s="6" t="str">
        <f t="shared" si="6"/>
        <v>Dec</v>
      </c>
      <c r="D998" s="6">
        <f>MONTH(Patient_Data!$E998)</f>
        <v>12</v>
      </c>
      <c r="E998" s="7">
        <v>45271</v>
      </c>
      <c r="F998" s="55" t="str">
        <f>TEXT(Patient_Data[[#This Row],[Admission_Date]],"YYYY")</f>
        <v>2023</v>
      </c>
      <c r="G998" s="8" t="s">
        <v>2040</v>
      </c>
      <c r="H998" s="8" t="s">
        <v>82</v>
      </c>
      <c r="I998" s="4" t="s">
        <v>29</v>
      </c>
      <c r="J998" s="4">
        <v>57</v>
      </c>
      <c r="K998" s="4" t="s">
        <v>45</v>
      </c>
      <c r="L998" s="8">
        <v>5</v>
      </c>
      <c r="M998" s="9" t="s">
        <v>50</v>
      </c>
      <c r="N998" s="9" t="str">
        <f t="shared" si="7"/>
        <v>ICU</v>
      </c>
      <c r="O998" s="10">
        <v>18205.560000000001</v>
      </c>
      <c r="P998" s="10">
        <v>12877.49</v>
      </c>
      <c r="Q998" s="11">
        <v>16.7</v>
      </c>
      <c r="R998" s="13" t="str">
        <f>IF(Patient_Data!$L998&lt;2,"Low Risk",IF(Patient_Data!$L998&lt;4,"Moderate Risk","High Risk"))</f>
        <v>High Risk</v>
      </c>
      <c r="S998" s="12" t="str">
        <f>IF(Patient_Data[[#This Row],[Age]]&lt;=18,"Pediatric",IF(Patient_Data[[#This Row],[Age]]&lt;=64,"Adult","Geriatric"))</f>
        <v>Adult</v>
      </c>
    </row>
    <row r="999" spans="1:19" ht="15.75" customHeight="1" x14ac:dyDescent="0.3">
      <c r="A999" s="4" t="s">
        <v>2041</v>
      </c>
      <c r="B999" s="5" t="str">
        <f>TEXT(Patient_Data!$E999,"mmmm")</f>
        <v>September</v>
      </c>
      <c r="C999" s="6" t="str">
        <f t="shared" si="6"/>
        <v>Sep</v>
      </c>
      <c r="D999" s="6">
        <f>MONTH(Patient_Data!$E999)</f>
        <v>9</v>
      </c>
      <c r="E999" s="7">
        <v>45565</v>
      </c>
      <c r="F999" s="55" t="str">
        <f>TEXT(Patient_Data[[#This Row],[Admission_Date]],"YYYY")</f>
        <v>2024</v>
      </c>
      <c r="G999" s="8" t="s">
        <v>2042</v>
      </c>
      <c r="H999" s="8" t="s">
        <v>28</v>
      </c>
      <c r="I999" s="4" t="s">
        <v>29</v>
      </c>
      <c r="J999" s="4">
        <v>11</v>
      </c>
      <c r="K999" s="4" t="s">
        <v>30</v>
      </c>
      <c r="L999" s="8">
        <v>1</v>
      </c>
      <c r="M999" s="9" t="s">
        <v>79</v>
      </c>
      <c r="N999" s="9" t="str">
        <f t="shared" si="7"/>
        <v>PD</v>
      </c>
      <c r="O999" s="10">
        <v>1000.06</v>
      </c>
      <c r="P999" s="10">
        <v>743.64</v>
      </c>
      <c r="Q999" s="11">
        <v>1.7</v>
      </c>
      <c r="R999" s="13" t="str">
        <f>IF(Patient_Data!$L999&lt;2,"Low Risk",IF(Patient_Data!$L999&lt;4,"Moderate Risk","High Risk"))</f>
        <v>Low Risk</v>
      </c>
      <c r="S999" s="12" t="str">
        <f>IF(Patient_Data[[#This Row],[Age]]&lt;=18,"Pediatric",IF(Patient_Data[[#This Row],[Age]]&lt;=64,"Adult","Geriatric"))</f>
        <v>Pediatric</v>
      </c>
    </row>
    <row r="1000" spans="1:19" ht="15.75" customHeight="1" x14ac:dyDescent="0.3">
      <c r="A1000" s="4" t="s">
        <v>2043</v>
      </c>
      <c r="B1000" s="5" t="str">
        <f>TEXT(Patient_Data!$E1000,"mmmm")</f>
        <v>September</v>
      </c>
      <c r="C1000" s="6" t="str">
        <f t="shared" si="6"/>
        <v>Sep</v>
      </c>
      <c r="D1000" s="6">
        <f>MONTH(Patient_Data!$E1000)</f>
        <v>9</v>
      </c>
      <c r="E1000" s="7">
        <v>45909</v>
      </c>
      <c r="F1000" s="55" t="str">
        <f>TEXT(Patient_Data[[#This Row],[Admission_Date]],"YYYY")</f>
        <v>2025</v>
      </c>
      <c r="G1000" s="8" t="s">
        <v>2044</v>
      </c>
      <c r="H1000" s="8" t="s">
        <v>53</v>
      </c>
      <c r="I1000" s="4" t="s">
        <v>29</v>
      </c>
      <c r="J1000" s="4">
        <v>24</v>
      </c>
      <c r="K1000" s="4" t="s">
        <v>30</v>
      </c>
      <c r="L1000" s="8">
        <v>2</v>
      </c>
      <c r="M1000" s="9" t="s">
        <v>31</v>
      </c>
      <c r="N1000" s="9" t="str">
        <f t="shared" si="7"/>
        <v>Neuro</v>
      </c>
      <c r="O1000" s="10">
        <v>5072.82</v>
      </c>
      <c r="P1000" s="10">
        <v>3938.54</v>
      </c>
      <c r="Q1000" s="11">
        <v>10.4</v>
      </c>
      <c r="R1000" s="13" t="str">
        <f>IF(Patient_Data!$L1000&lt;2,"Low Risk",IF(Patient_Data!$L1000&lt;4,"Moderate Risk","High Risk"))</f>
        <v>Moderate Risk</v>
      </c>
      <c r="S1000" s="12" t="str">
        <f>IF(Patient_Data[[#This Row],[Age]]&lt;=18,"Pediatric",IF(Patient_Data[[#This Row],[Age]]&lt;=64,"Adult","Geriatric"))</f>
        <v>Adult</v>
      </c>
    </row>
    <row r="1001" spans="1:19" ht="15.75" customHeight="1" x14ac:dyDescent="0.3">
      <c r="A1001" s="4" t="s">
        <v>2045</v>
      </c>
      <c r="B1001" s="5" t="str">
        <f>TEXT(Patient_Data!$E1001,"mmmm")</f>
        <v>April</v>
      </c>
      <c r="C1001" s="6" t="str">
        <f t="shared" si="6"/>
        <v>Apr</v>
      </c>
      <c r="D1001" s="6">
        <f>MONTH(Patient_Data!$E1001)</f>
        <v>4</v>
      </c>
      <c r="E1001" s="7">
        <v>45758</v>
      </c>
      <c r="F1001" s="55" t="str">
        <f>TEXT(Patient_Data[[#This Row],[Admission_Date]],"YYYY")</f>
        <v>2025</v>
      </c>
      <c r="G1001" s="8" t="s">
        <v>2046</v>
      </c>
      <c r="H1001" s="8" t="s">
        <v>82</v>
      </c>
      <c r="I1001" s="4" t="s">
        <v>29</v>
      </c>
      <c r="J1001" s="4">
        <v>37</v>
      </c>
      <c r="K1001" s="4" t="s">
        <v>54</v>
      </c>
      <c r="L1001" s="8">
        <v>4</v>
      </c>
      <c r="M1001" s="9" t="s">
        <v>72</v>
      </c>
      <c r="N1001" s="9" t="str">
        <f t="shared" si="7"/>
        <v>Surgery</v>
      </c>
      <c r="O1001" s="10">
        <v>14652.26</v>
      </c>
      <c r="P1001" s="10">
        <v>8583.11</v>
      </c>
      <c r="Q1001" s="11">
        <v>10.6</v>
      </c>
      <c r="R1001" s="13" t="str">
        <f>IF(Patient_Data!$L1001&lt;2,"Low Risk",IF(Patient_Data!$L1001&lt;4,"Moderate Risk","High Risk"))</f>
        <v>High Risk</v>
      </c>
      <c r="S1001" s="12" t="str">
        <f>IF(Patient_Data[[#This Row],[Age]]&lt;=18,"Pediatric",IF(Patient_Data[[#This Row],[Age]]&lt;=64,"Adult","Geriatric"))</f>
        <v>Adult</v>
      </c>
    </row>
    <row r="1002" spans="1:19" ht="15.75" customHeight="1" x14ac:dyDescent="0.3">
      <c r="A1002" s="4" t="s">
        <v>2047</v>
      </c>
      <c r="B1002" s="5" t="str">
        <f>TEXT(Patient_Data!$E1002,"mmmm")</f>
        <v>January</v>
      </c>
      <c r="C1002" s="6" t="str">
        <f t="shared" si="6"/>
        <v>Jan</v>
      </c>
      <c r="D1002" s="6">
        <f>MONTH(Patient_Data!$E1002)</f>
        <v>1</v>
      </c>
      <c r="E1002" s="7">
        <v>45317</v>
      </c>
      <c r="F1002" s="55" t="str">
        <f>TEXT(Patient_Data[[#This Row],[Admission_Date]],"YYYY")</f>
        <v>2024</v>
      </c>
      <c r="G1002" s="8" t="s">
        <v>1593</v>
      </c>
      <c r="H1002" s="8" t="s">
        <v>42</v>
      </c>
      <c r="I1002" s="4" t="s">
        <v>35</v>
      </c>
      <c r="J1002" s="4">
        <v>73</v>
      </c>
      <c r="K1002" s="4" t="s">
        <v>54</v>
      </c>
      <c r="L1002" s="8">
        <v>4</v>
      </c>
      <c r="M1002" s="9" t="s">
        <v>83</v>
      </c>
      <c r="N1002" s="9" t="str">
        <f t="shared" si="7"/>
        <v>ER</v>
      </c>
      <c r="O1002" s="10">
        <v>7260.59</v>
      </c>
      <c r="P1002" s="10">
        <v>4595.3599999999997</v>
      </c>
      <c r="Q1002" s="11">
        <v>20.8</v>
      </c>
      <c r="R1002" s="13" t="str">
        <f>IF(Patient_Data!$L1002&lt;2,"Low Risk",IF(Patient_Data!$L1002&lt;4,"Moderate Risk","High Risk"))</f>
        <v>High Risk</v>
      </c>
      <c r="S1002" s="12" t="str">
        <f>IF(Patient_Data[[#This Row],[Age]]&lt;=18,"Pediatric",IF(Patient_Data[[#This Row],[Age]]&lt;=64,"Adult","Geriatric"))</f>
        <v>Geriatric</v>
      </c>
    </row>
    <row r="1003" spans="1:19" ht="15.75" customHeight="1" x14ac:dyDescent="0.3">
      <c r="A1003" s="4" t="s">
        <v>2048</v>
      </c>
      <c r="B1003" s="5" t="str">
        <f>TEXT(Patient_Data!$E1003,"mmmm")</f>
        <v>October</v>
      </c>
      <c r="C1003" s="6" t="str">
        <f t="shared" si="6"/>
        <v>Oct</v>
      </c>
      <c r="D1003" s="6">
        <f>MONTH(Patient_Data!$E1003)</f>
        <v>10</v>
      </c>
      <c r="E1003" s="7">
        <v>45958</v>
      </c>
      <c r="F1003" s="55" t="str">
        <f>TEXT(Patient_Data[[#This Row],[Admission_Date]],"YYYY")</f>
        <v>2025</v>
      </c>
      <c r="G1003" s="8" t="s">
        <v>2049</v>
      </c>
      <c r="H1003" s="8" t="s">
        <v>53</v>
      </c>
      <c r="I1003" s="4" t="s">
        <v>29</v>
      </c>
      <c r="J1003" s="4">
        <v>81</v>
      </c>
      <c r="K1003" s="4" t="s">
        <v>54</v>
      </c>
      <c r="L1003" s="8">
        <v>3</v>
      </c>
      <c r="M1003" s="9" t="s">
        <v>83</v>
      </c>
      <c r="N1003" s="9" t="str">
        <f t="shared" si="7"/>
        <v>ER</v>
      </c>
      <c r="O1003" s="10">
        <v>11850.66</v>
      </c>
      <c r="P1003" s="10">
        <v>7712.42</v>
      </c>
      <c r="Q1003" s="11">
        <v>16</v>
      </c>
      <c r="R1003" s="13" t="str">
        <f>IF(Patient_Data!$L1003&lt;2,"Low Risk",IF(Patient_Data!$L1003&lt;4,"Moderate Risk","High Risk"))</f>
        <v>Moderate Risk</v>
      </c>
      <c r="S1003" s="12" t="str">
        <f>IF(Patient_Data[[#This Row],[Age]]&lt;=18,"Pediatric",IF(Patient_Data[[#This Row],[Age]]&lt;=64,"Adult","Geriatric"))</f>
        <v>Geriatric</v>
      </c>
    </row>
    <row r="1004" spans="1:19" ht="15.75" customHeight="1" x14ac:dyDescent="0.3">
      <c r="A1004" s="4" t="s">
        <v>2050</v>
      </c>
      <c r="B1004" s="5" t="str">
        <f>TEXT(Patient_Data!$E1004,"mmmm")</f>
        <v>June</v>
      </c>
      <c r="C1004" s="6" t="str">
        <f t="shared" si="6"/>
        <v>Jun</v>
      </c>
      <c r="D1004" s="6">
        <f>MONTH(Patient_Data!$E1004)</f>
        <v>6</v>
      </c>
      <c r="E1004" s="7">
        <v>46199</v>
      </c>
      <c r="F1004" s="55" t="str">
        <f>TEXT(Patient_Data[[#This Row],[Admission_Date]],"YYYY")</f>
        <v>2026</v>
      </c>
      <c r="G1004" s="8" t="s">
        <v>2051</v>
      </c>
      <c r="H1004" s="8" t="s">
        <v>53</v>
      </c>
      <c r="I1004" s="4" t="s">
        <v>29</v>
      </c>
      <c r="J1004" s="4">
        <v>48</v>
      </c>
      <c r="K1004" s="4" t="s">
        <v>30</v>
      </c>
      <c r="L1004" s="8">
        <v>2</v>
      </c>
      <c r="M1004" s="9" t="s">
        <v>36</v>
      </c>
      <c r="N1004" s="9" t="str">
        <f t="shared" si="7"/>
        <v>Cardio</v>
      </c>
      <c r="O1004" s="10">
        <v>6933.06</v>
      </c>
      <c r="P1004" s="10">
        <v>4661.95</v>
      </c>
      <c r="Q1004" s="11">
        <v>2.1</v>
      </c>
      <c r="R1004" s="13" t="str">
        <f>IF(Patient_Data!$L1004&lt;2,"Low Risk",IF(Patient_Data!$L1004&lt;4,"Moderate Risk","High Risk"))</f>
        <v>Moderate Risk</v>
      </c>
      <c r="S1004" s="12" t="str">
        <f>IF(Patient_Data[[#This Row],[Age]]&lt;=18,"Pediatric",IF(Patient_Data[[#This Row],[Age]]&lt;=64,"Adult","Geriatric"))</f>
        <v>Adult</v>
      </c>
    </row>
    <row r="1005" spans="1:19" ht="15.75" customHeight="1" x14ac:dyDescent="0.3">
      <c r="A1005" s="4" t="s">
        <v>2052</v>
      </c>
      <c r="B1005" s="5" t="str">
        <f>TEXT(Patient_Data!$E1005,"mmmm")</f>
        <v>April</v>
      </c>
      <c r="C1005" s="6" t="str">
        <f t="shared" si="6"/>
        <v>Apr</v>
      </c>
      <c r="D1005" s="6">
        <f>MONTH(Patient_Data!$E1005)</f>
        <v>4</v>
      </c>
      <c r="E1005" s="7">
        <v>45410</v>
      </c>
      <c r="F1005" s="55" t="str">
        <f>TEXT(Patient_Data[[#This Row],[Admission_Date]],"YYYY")</f>
        <v>2024</v>
      </c>
      <c r="G1005" s="8" t="s">
        <v>2053</v>
      </c>
      <c r="H1005" s="8" t="s">
        <v>82</v>
      </c>
      <c r="I1005" s="4" t="s">
        <v>35</v>
      </c>
      <c r="J1005" s="4">
        <v>79</v>
      </c>
      <c r="K1005" s="4" t="s">
        <v>30</v>
      </c>
      <c r="L1005" s="8">
        <v>3</v>
      </c>
      <c r="M1005" s="9" t="s">
        <v>46</v>
      </c>
      <c r="N1005" s="9" t="str">
        <f t="shared" si="7"/>
        <v>Ortho</v>
      </c>
      <c r="O1005" s="10">
        <v>4865.3900000000003</v>
      </c>
      <c r="P1005" s="10">
        <v>3432.17</v>
      </c>
      <c r="Q1005" s="11">
        <v>3.3</v>
      </c>
      <c r="R1005" s="13" t="str">
        <f>IF(Patient_Data!$L1005&lt;2,"Low Risk",IF(Patient_Data!$L1005&lt;4,"Moderate Risk","High Risk"))</f>
        <v>Moderate Risk</v>
      </c>
      <c r="S1005" s="12" t="str">
        <f>IF(Patient_Data[[#This Row],[Age]]&lt;=18,"Pediatric",IF(Patient_Data[[#This Row],[Age]]&lt;=64,"Adult","Geriatric"))</f>
        <v>Geriatric</v>
      </c>
    </row>
    <row r="1006" spans="1:19" ht="15.75" customHeight="1" x14ac:dyDescent="0.3">
      <c r="A1006" s="4" t="s">
        <v>2054</v>
      </c>
      <c r="B1006" s="5" t="str">
        <f>TEXT(Patient_Data!$E1006,"mmmm")</f>
        <v>March</v>
      </c>
      <c r="C1006" s="6" t="str">
        <f t="shared" si="6"/>
        <v>Mar</v>
      </c>
      <c r="D1006" s="6">
        <f>MONTH(Patient_Data!$E1006)</f>
        <v>3</v>
      </c>
      <c r="E1006" s="7">
        <v>45365</v>
      </c>
      <c r="F1006" s="55" t="str">
        <f>TEXT(Patient_Data[[#This Row],[Admission_Date]],"YYYY")</f>
        <v>2024</v>
      </c>
      <c r="G1006" s="8" t="s">
        <v>2055</v>
      </c>
      <c r="H1006" s="8" t="s">
        <v>28</v>
      </c>
      <c r="I1006" s="4" t="s">
        <v>35</v>
      </c>
      <c r="J1006" s="4">
        <v>88</v>
      </c>
      <c r="K1006" s="4" t="s">
        <v>54</v>
      </c>
      <c r="L1006" s="8">
        <v>4</v>
      </c>
      <c r="M1006" s="9" t="s">
        <v>50</v>
      </c>
      <c r="N1006" s="9" t="str">
        <f t="shared" si="7"/>
        <v>ICU</v>
      </c>
      <c r="O1006" s="10">
        <v>19764.03</v>
      </c>
      <c r="P1006" s="10">
        <v>14506.94</v>
      </c>
      <c r="Q1006" s="11">
        <v>9.9</v>
      </c>
      <c r="R1006" s="13" t="str">
        <f>IF(Patient_Data!$L1006&lt;2,"Low Risk",IF(Patient_Data!$L1006&lt;4,"Moderate Risk","High Risk"))</f>
        <v>High Risk</v>
      </c>
      <c r="S1006" s="12" t="str">
        <f>IF(Patient_Data[[#This Row],[Age]]&lt;=18,"Pediatric",IF(Patient_Data[[#This Row],[Age]]&lt;=64,"Adult","Geriatric"))</f>
        <v>Geriatric</v>
      </c>
    </row>
    <row r="1007" spans="1:19" ht="15.75" customHeight="1" x14ac:dyDescent="0.3">
      <c r="A1007" s="4" t="s">
        <v>2056</v>
      </c>
      <c r="B1007" s="5" t="str">
        <f>TEXT(Patient_Data!$E1007,"mmmm")</f>
        <v>November</v>
      </c>
      <c r="C1007" s="6" t="str">
        <f t="shared" si="6"/>
        <v>Nov</v>
      </c>
      <c r="D1007" s="6">
        <f>MONTH(Patient_Data!$E1007)</f>
        <v>11</v>
      </c>
      <c r="E1007" s="7">
        <v>45973</v>
      </c>
      <c r="F1007" s="55" t="str">
        <f>TEXT(Patient_Data[[#This Row],[Admission_Date]],"YYYY")</f>
        <v>2025</v>
      </c>
      <c r="G1007" s="8" t="s">
        <v>2057</v>
      </c>
      <c r="H1007" s="8" t="s">
        <v>53</v>
      </c>
      <c r="I1007" s="4" t="s">
        <v>29</v>
      </c>
      <c r="J1007" s="4">
        <v>76</v>
      </c>
      <c r="K1007" s="4" t="s">
        <v>54</v>
      </c>
      <c r="L1007" s="8">
        <v>4</v>
      </c>
      <c r="M1007" s="9" t="s">
        <v>50</v>
      </c>
      <c r="N1007" s="9" t="str">
        <f t="shared" si="7"/>
        <v>ICU</v>
      </c>
      <c r="O1007" s="10">
        <v>13774.28</v>
      </c>
      <c r="P1007" s="10">
        <v>10610.85</v>
      </c>
      <c r="Q1007" s="11">
        <v>17.8</v>
      </c>
      <c r="R1007" s="13" t="str">
        <f>IF(Patient_Data!$L1007&lt;2,"Low Risk",IF(Patient_Data!$L1007&lt;4,"Moderate Risk","High Risk"))</f>
        <v>High Risk</v>
      </c>
      <c r="S1007" s="12" t="str">
        <f>IF(Patient_Data[[#This Row],[Age]]&lt;=18,"Pediatric",IF(Patient_Data[[#This Row],[Age]]&lt;=64,"Adult","Geriatric"))</f>
        <v>Geriatric</v>
      </c>
    </row>
    <row r="1008" spans="1:19" ht="15.75" customHeight="1" x14ac:dyDescent="0.3">
      <c r="A1008" s="4" t="s">
        <v>2058</v>
      </c>
      <c r="B1008" s="5" t="str">
        <f>TEXT(Patient_Data!$E1008,"mmmm")</f>
        <v>October</v>
      </c>
      <c r="C1008" s="6" t="str">
        <f t="shared" si="6"/>
        <v>Oct</v>
      </c>
      <c r="D1008" s="6">
        <f>MONTH(Patient_Data!$E1008)</f>
        <v>10</v>
      </c>
      <c r="E1008" s="7">
        <v>45931</v>
      </c>
      <c r="F1008" s="55" t="str">
        <f>TEXT(Patient_Data[[#This Row],[Admission_Date]],"YYYY")</f>
        <v>2025</v>
      </c>
      <c r="G1008" s="8" t="s">
        <v>2059</v>
      </c>
      <c r="H1008" s="8" t="s">
        <v>132</v>
      </c>
      <c r="I1008" s="4" t="s">
        <v>35</v>
      </c>
      <c r="J1008" s="4">
        <v>59</v>
      </c>
      <c r="K1008" s="4" t="s">
        <v>54</v>
      </c>
      <c r="L1008" s="8">
        <v>4</v>
      </c>
      <c r="M1008" s="9" t="s">
        <v>50</v>
      </c>
      <c r="N1008" s="9" t="str">
        <f t="shared" si="7"/>
        <v>ICU</v>
      </c>
      <c r="O1008" s="10">
        <v>20595.009999999998</v>
      </c>
      <c r="P1008" s="10">
        <v>12020.31</v>
      </c>
      <c r="Q1008" s="11">
        <v>9.4</v>
      </c>
      <c r="R1008" s="13" t="str">
        <f>IF(Patient_Data!$L1008&lt;2,"Low Risk",IF(Patient_Data!$L1008&lt;4,"Moderate Risk","High Risk"))</f>
        <v>High Risk</v>
      </c>
      <c r="S1008" s="12" t="str">
        <f>IF(Patient_Data[[#This Row],[Age]]&lt;=18,"Pediatric",IF(Patient_Data[[#This Row],[Age]]&lt;=64,"Adult","Geriatric"))</f>
        <v>Adult</v>
      </c>
    </row>
    <row r="1009" spans="1:19" ht="15.75" customHeight="1" x14ac:dyDescent="0.3">
      <c r="A1009" s="4" t="s">
        <v>2060</v>
      </c>
      <c r="B1009" s="5" t="str">
        <f>TEXT(Patient_Data!$E1009,"mmmm")</f>
        <v>July</v>
      </c>
      <c r="C1009" s="6" t="str">
        <f t="shared" si="6"/>
        <v>Jul</v>
      </c>
      <c r="D1009" s="6">
        <f>MONTH(Patient_Data!$E1009)</f>
        <v>7</v>
      </c>
      <c r="E1009" s="7">
        <v>45861</v>
      </c>
      <c r="F1009" s="55" t="str">
        <f>TEXT(Patient_Data[[#This Row],[Admission_Date]],"YYYY")</f>
        <v>2025</v>
      </c>
      <c r="G1009" s="8" t="s">
        <v>2061</v>
      </c>
      <c r="H1009" s="8" t="s">
        <v>53</v>
      </c>
      <c r="I1009" s="4" t="s">
        <v>35</v>
      </c>
      <c r="J1009" s="4">
        <v>45</v>
      </c>
      <c r="K1009" s="4" t="s">
        <v>30</v>
      </c>
      <c r="L1009" s="8">
        <v>1</v>
      </c>
      <c r="M1009" s="9" t="s">
        <v>83</v>
      </c>
      <c r="N1009" s="9" t="str">
        <f t="shared" si="7"/>
        <v>ER</v>
      </c>
      <c r="O1009" s="10">
        <v>3700.76</v>
      </c>
      <c r="P1009" s="10">
        <v>2340.66</v>
      </c>
      <c r="Q1009" s="11">
        <v>10.4</v>
      </c>
      <c r="R1009" s="13" t="str">
        <f>IF(Patient_Data!$L1009&lt;2,"Low Risk",IF(Patient_Data!$L1009&lt;4,"Moderate Risk","High Risk"))</f>
        <v>Low Risk</v>
      </c>
      <c r="S1009" s="12" t="str">
        <f>IF(Patient_Data[[#This Row],[Age]]&lt;=18,"Pediatric",IF(Patient_Data[[#This Row],[Age]]&lt;=64,"Adult","Geriatric"))</f>
        <v>Adult</v>
      </c>
    </row>
    <row r="1010" spans="1:19" ht="15.75" customHeight="1" x14ac:dyDescent="0.3">
      <c r="A1010" s="4" t="s">
        <v>2062</v>
      </c>
      <c r="B1010" s="5" t="str">
        <f>TEXT(Patient_Data!$E1010,"mmmm")</f>
        <v>September</v>
      </c>
      <c r="C1010" s="6" t="str">
        <f t="shared" si="6"/>
        <v>Sep</v>
      </c>
      <c r="D1010" s="6">
        <f>MONTH(Patient_Data!$E1010)</f>
        <v>9</v>
      </c>
      <c r="E1010" s="7">
        <v>45915</v>
      </c>
      <c r="F1010" s="55" t="str">
        <f>TEXT(Patient_Data[[#This Row],[Admission_Date]],"YYYY")</f>
        <v>2025</v>
      </c>
      <c r="G1010" s="8" t="s">
        <v>2063</v>
      </c>
      <c r="H1010" s="8" t="s">
        <v>49</v>
      </c>
      <c r="I1010" s="4" t="s">
        <v>35</v>
      </c>
      <c r="J1010" s="4">
        <v>36</v>
      </c>
      <c r="K1010" s="4" t="s">
        <v>30</v>
      </c>
      <c r="L1010" s="8">
        <v>3</v>
      </c>
      <c r="M1010" s="9" t="s">
        <v>31</v>
      </c>
      <c r="N1010" s="9" t="str">
        <f t="shared" si="7"/>
        <v>Neuro</v>
      </c>
      <c r="O1010" s="10">
        <v>9819.91</v>
      </c>
      <c r="P1010" s="10">
        <v>6329.54</v>
      </c>
      <c r="Q1010" s="11">
        <v>5.6</v>
      </c>
      <c r="R1010" s="13" t="str">
        <f>IF(Patient_Data!$L1010&lt;2,"Low Risk",IF(Patient_Data!$L1010&lt;4,"Moderate Risk","High Risk"))</f>
        <v>Moderate Risk</v>
      </c>
      <c r="S1010" s="12" t="str">
        <f>IF(Patient_Data[[#This Row],[Age]]&lt;=18,"Pediatric",IF(Patient_Data[[#This Row],[Age]]&lt;=64,"Adult","Geriatric"))</f>
        <v>Adult</v>
      </c>
    </row>
    <row r="1011" spans="1:19" ht="15.75" customHeight="1" x14ac:dyDescent="0.3">
      <c r="A1011" s="4" t="s">
        <v>2064</v>
      </c>
      <c r="B1011" s="5" t="str">
        <f>TEXT(Patient_Data!$E1011,"mmmm")</f>
        <v>June</v>
      </c>
      <c r="C1011" s="6" t="str">
        <f t="shared" si="6"/>
        <v>Jun</v>
      </c>
      <c r="D1011" s="6">
        <f>MONTH(Patient_Data!$E1011)</f>
        <v>6</v>
      </c>
      <c r="E1011" s="7">
        <v>45462</v>
      </c>
      <c r="F1011" s="55" t="str">
        <f>TEXT(Patient_Data[[#This Row],[Admission_Date]],"YYYY")</f>
        <v>2024</v>
      </c>
      <c r="G1011" s="8" t="s">
        <v>2065</v>
      </c>
      <c r="H1011" s="8" t="s">
        <v>82</v>
      </c>
      <c r="I1011" s="4" t="s">
        <v>35</v>
      </c>
      <c r="J1011" s="4">
        <v>33</v>
      </c>
      <c r="K1011" s="4" t="s">
        <v>30</v>
      </c>
      <c r="L1011" s="8">
        <v>3</v>
      </c>
      <c r="M1011" s="9" t="s">
        <v>31</v>
      </c>
      <c r="N1011" s="9" t="str">
        <f t="shared" si="7"/>
        <v>Neuro</v>
      </c>
      <c r="O1011" s="10">
        <v>11889.49</v>
      </c>
      <c r="P1011" s="10">
        <v>8055.56</v>
      </c>
      <c r="Q1011" s="11">
        <v>11.2</v>
      </c>
      <c r="R1011" s="13" t="str">
        <f>IF(Patient_Data!$L1011&lt;2,"Low Risk",IF(Patient_Data!$L1011&lt;4,"Moderate Risk","High Risk"))</f>
        <v>Moderate Risk</v>
      </c>
      <c r="S1011" s="12" t="str">
        <f>IF(Patient_Data[[#This Row],[Age]]&lt;=18,"Pediatric",IF(Patient_Data[[#This Row],[Age]]&lt;=64,"Adult","Geriatric"))</f>
        <v>Adult</v>
      </c>
    </row>
    <row r="1012" spans="1:19" ht="15.75" customHeight="1" x14ac:dyDescent="0.3">
      <c r="A1012" s="4" t="s">
        <v>2066</v>
      </c>
      <c r="B1012" s="5" t="str">
        <f>TEXT(Patient_Data!$E1012,"mmmm")</f>
        <v>October</v>
      </c>
      <c r="C1012" s="6" t="str">
        <f t="shared" si="6"/>
        <v>Oct</v>
      </c>
      <c r="D1012" s="6">
        <f>MONTH(Patient_Data!$E1012)</f>
        <v>10</v>
      </c>
      <c r="E1012" s="7">
        <v>45574</v>
      </c>
      <c r="F1012" s="55" t="str">
        <f>TEXT(Patient_Data[[#This Row],[Admission_Date]],"YYYY")</f>
        <v>2024</v>
      </c>
      <c r="G1012" s="8" t="s">
        <v>2067</v>
      </c>
      <c r="H1012" s="8" t="s">
        <v>132</v>
      </c>
      <c r="I1012" s="4" t="s">
        <v>35</v>
      </c>
      <c r="J1012" s="4">
        <v>82</v>
      </c>
      <c r="K1012" s="4" t="s">
        <v>45</v>
      </c>
      <c r="L1012" s="8">
        <v>3</v>
      </c>
      <c r="M1012" s="9" t="s">
        <v>83</v>
      </c>
      <c r="N1012" s="9" t="str">
        <f t="shared" si="7"/>
        <v>ER</v>
      </c>
      <c r="O1012" s="10">
        <v>9659.9500000000007</v>
      </c>
      <c r="P1012" s="10">
        <v>6853.16</v>
      </c>
      <c r="Q1012" s="11">
        <v>11.4</v>
      </c>
      <c r="R1012" s="13" t="str">
        <f>IF(Patient_Data!$L1012&lt;2,"Low Risk",IF(Patient_Data!$L1012&lt;4,"Moderate Risk","High Risk"))</f>
        <v>Moderate Risk</v>
      </c>
      <c r="S1012" s="12" t="str">
        <f>IF(Patient_Data[[#This Row],[Age]]&lt;=18,"Pediatric",IF(Patient_Data[[#This Row],[Age]]&lt;=64,"Adult","Geriatric"))</f>
        <v>Geriatric</v>
      </c>
    </row>
    <row r="1013" spans="1:19" ht="15.75" customHeight="1" x14ac:dyDescent="0.3">
      <c r="A1013" s="4" t="s">
        <v>2068</v>
      </c>
      <c r="B1013" s="5" t="str">
        <f>TEXT(Patient_Data!$E1013,"mmmm")</f>
        <v>July</v>
      </c>
      <c r="C1013" s="6" t="str">
        <f t="shared" si="6"/>
        <v>Jul</v>
      </c>
      <c r="D1013" s="6">
        <f>MONTH(Patient_Data!$E1013)</f>
        <v>7</v>
      </c>
      <c r="E1013" s="7">
        <v>46209</v>
      </c>
      <c r="F1013" s="55" t="str">
        <f>TEXT(Patient_Data[[#This Row],[Admission_Date]],"YYYY")</f>
        <v>2026</v>
      </c>
      <c r="G1013" s="8" t="s">
        <v>2069</v>
      </c>
      <c r="H1013" s="8" t="s">
        <v>42</v>
      </c>
      <c r="I1013" s="4" t="s">
        <v>29</v>
      </c>
      <c r="J1013" s="4">
        <v>91</v>
      </c>
      <c r="K1013" s="4" t="s">
        <v>54</v>
      </c>
      <c r="L1013" s="8">
        <v>3</v>
      </c>
      <c r="M1013" s="9" t="s">
        <v>46</v>
      </c>
      <c r="N1013" s="9" t="str">
        <f t="shared" si="7"/>
        <v>Ortho</v>
      </c>
      <c r="O1013" s="10">
        <v>9783.24</v>
      </c>
      <c r="P1013" s="10">
        <v>7196.97</v>
      </c>
      <c r="Q1013" s="11">
        <v>6.9</v>
      </c>
      <c r="R1013" s="13" t="str">
        <f>IF(Patient_Data!$L1013&lt;2,"Low Risk",IF(Patient_Data!$L1013&lt;4,"Moderate Risk","High Risk"))</f>
        <v>Moderate Risk</v>
      </c>
      <c r="S1013" s="12" t="str">
        <f>IF(Patient_Data[[#This Row],[Age]]&lt;=18,"Pediatric",IF(Patient_Data[[#This Row],[Age]]&lt;=64,"Adult","Geriatric"))</f>
        <v>Geriatric</v>
      </c>
    </row>
    <row r="1014" spans="1:19" ht="15.75" customHeight="1" x14ac:dyDescent="0.3">
      <c r="A1014" s="4" t="s">
        <v>2070</v>
      </c>
      <c r="B1014" s="5" t="str">
        <f>TEXT(Patient_Data!$E1014,"mmmm")</f>
        <v>November</v>
      </c>
      <c r="C1014" s="6" t="str">
        <f t="shared" si="6"/>
        <v>Nov</v>
      </c>
      <c r="D1014" s="6">
        <f>MONTH(Patient_Data!$E1014)</f>
        <v>11</v>
      </c>
      <c r="E1014" s="7">
        <v>45989</v>
      </c>
      <c r="F1014" s="55" t="str">
        <f>TEXT(Patient_Data[[#This Row],[Admission_Date]],"YYYY")</f>
        <v>2025</v>
      </c>
      <c r="G1014" s="8" t="s">
        <v>2071</v>
      </c>
      <c r="H1014" s="8" t="s">
        <v>132</v>
      </c>
      <c r="I1014" s="4" t="s">
        <v>29</v>
      </c>
      <c r="J1014" s="4">
        <v>13</v>
      </c>
      <c r="K1014" s="4" t="s">
        <v>30</v>
      </c>
      <c r="L1014" s="8">
        <v>1</v>
      </c>
      <c r="M1014" s="9" t="s">
        <v>79</v>
      </c>
      <c r="N1014" s="9" t="str">
        <f t="shared" si="7"/>
        <v>PD</v>
      </c>
      <c r="O1014" s="10">
        <v>2148.46</v>
      </c>
      <c r="P1014" s="10">
        <v>1645.63</v>
      </c>
      <c r="Q1014" s="11">
        <v>1.6</v>
      </c>
      <c r="R1014" s="13" t="str">
        <f>IF(Patient_Data!$L1014&lt;2,"Low Risk",IF(Patient_Data!$L1014&lt;4,"Moderate Risk","High Risk"))</f>
        <v>Low Risk</v>
      </c>
      <c r="S1014" s="12" t="str">
        <f>IF(Patient_Data[[#This Row],[Age]]&lt;=18,"Pediatric",IF(Patient_Data[[#This Row],[Age]]&lt;=64,"Adult","Geriatric"))</f>
        <v>Pediatric</v>
      </c>
    </row>
    <row r="1015" spans="1:19" ht="15.75" customHeight="1" x14ac:dyDescent="0.3">
      <c r="A1015" s="4" t="s">
        <v>2072</v>
      </c>
      <c r="B1015" s="5" t="str">
        <f>TEXT(Patient_Data!$E1015,"mmmm")</f>
        <v>June</v>
      </c>
      <c r="C1015" s="6" t="str">
        <f t="shared" si="6"/>
        <v>Jun</v>
      </c>
      <c r="D1015" s="6">
        <f>MONTH(Patient_Data!$E1015)</f>
        <v>6</v>
      </c>
      <c r="E1015" s="7">
        <v>46191</v>
      </c>
      <c r="F1015" s="55" t="str">
        <f>TEXT(Patient_Data[[#This Row],[Admission_Date]],"YYYY")</f>
        <v>2026</v>
      </c>
      <c r="G1015" s="8" t="s">
        <v>2073</v>
      </c>
      <c r="H1015" s="8" t="s">
        <v>28</v>
      </c>
      <c r="I1015" s="4" t="s">
        <v>35</v>
      </c>
      <c r="J1015" s="4">
        <v>75</v>
      </c>
      <c r="K1015" s="4" t="s">
        <v>30</v>
      </c>
      <c r="L1015" s="8">
        <v>1</v>
      </c>
      <c r="M1015" s="9" t="s">
        <v>46</v>
      </c>
      <c r="N1015" s="9" t="str">
        <f t="shared" si="7"/>
        <v>Ortho</v>
      </c>
      <c r="O1015" s="10">
        <v>5772.9</v>
      </c>
      <c r="P1015" s="10">
        <v>3366.68</v>
      </c>
      <c r="Q1015" s="11">
        <v>2.2999999999999998</v>
      </c>
      <c r="R1015" s="13" t="str">
        <f>IF(Patient_Data!$L1015&lt;2,"Low Risk",IF(Patient_Data!$L1015&lt;4,"Moderate Risk","High Risk"))</f>
        <v>Low Risk</v>
      </c>
      <c r="S1015" s="12" t="str">
        <f>IF(Patient_Data[[#This Row],[Age]]&lt;=18,"Pediatric",IF(Patient_Data[[#This Row],[Age]]&lt;=64,"Adult","Geriatric"))</f>
        <v>Geriatric</v>
      </c>
    </row>
    <row r="1016" spans="1:19" ht="15.75" customHeight="1" x14ac:dyDescent="0.3">
      <c r="A1016" s="4" t="s">
        <v>2074</v>
      </c>
      <c r="B1016" s="5" t="str">
        <f>TEXT(Patient_Data!$E1016,"mmmm")</f>
        <v>November</v>
      </c>
      <c r="C1016" s="6" t="str">
        <f t="shared" si="6"/>
        <v>Nov</v>
      </c>
      <c r="D1016" s="6">
        <f>MONTH(Patient_Data!$E1016)</f>
        <v>11</v>
      </c>
      <c r="E1016" s="7">
        <v>45249</v>
      </c>
      <c r="F1016" s="55" t="str">
        <f>TEXT(Patient_Data[[#This Row],[Admission_Date]],"YYYY")</f>
        <v>2023</v>
      </c>
      <c r="G1016" s="8" t="s">
        <v>2075</v>
      </c>
      <c r="H1016" s="8" t="s">
        <v>28</v>
      </c>
      <c r="I1016" s="4" t="s">
        <v>29</v>
      </c>
      <c r="J1016" s="4">
        <v>93</v>
      </c>
      <c r="K1016" s="4" t="s">
        <v>45</v>
      </c>
      <c r="L1016" s="8">
        <v>2</v>
      </c>
      <c r="M1016" s="9" t="s">
        <v>46</v>
      </c>
      <c r="N1016" s="9" t="str">
        <f t="shared" si="7"/>
        <v>Ortho</v>
      </c>
      <c r="O1016" s="10">
        <v>9040.56</v>
      </c>
      <c r="P1016" s="10">
        <v>5554.74</v>
      </c>
      <c r="Q1016" s="11">
        <v>5</v>
      </c>
      <c r="R1016" s="13" t="str">
        <f>IF(Patient_Data!$L1016&lt;2,"Low Risk",IF(Patient_Data!$L1016&lt;4,"Moderate Risk","High Risk"))</f>
        <v>Moderate Risk</v>
      </c>
      <c r="S1016" s="12" t="str">
        <f>IF(Patient_Data[[#This Row],[Age]]&lt;=18,"Pediatric",IF(Patient_Data[[#This Row],[Age]]&lt;=64,"Adult","Geriatric"))</f>
        <v>Geriatric</v>
      </c>
    </row>
    <row r="1017" spans="1:19" ht="15.75" customHeight="1" x14ac:dyDescent="0.3">
      <c r="A1017" s="4" t="s">
        <v>2076</v>
      </c>
      <c r="B1017" s="5" t="str">
        <f>TEXT(Patient_Data!$E1017,"mmmm")</f>
        <v>June</v>
      </c>
      <c r="C1017" s="6" t="str">
        <f t="shared" si="6"/>
        <v>Jun</v>
      </c>
      <c r="D1017" s="6">
        <f>MONTH(Patient_Data!$E1017)</f>
        <v>6</v>
      </c>
      <c r="E1017" s="7">
        <v>45447</v>
      </c>
      <c r="F1017" s="55" t="str">
        <f>TEXT(Patient_Data[[#This Row],[Admission_Date]],"YYYY")</f>
        <v>2024</v>
      </c>
      <c r="G1017" s="8" t="s">
        <v>2077</v>
      </c>
      <c r="H1017" s="8" t="s">
        <v>53</v>
      </c>
      <c r="I1017" s="4" t="s">
        <v>29</v>
      </c>
      <c r="J1017" s="4">
        <v>30</v>
      </c>
      <c r="K1017" s="4" t="s">
        <v>30</v>
      </c>
      <c r="L1017" s="8">
        <v>1</v>
      </c>
      <c r="M1017" s="9" t="s">
        <v>83</v>
      </c>
      <c r="N1017" s="9" t="str">
        <f t="shared" si="7"/>
        <v>ER</v>
      </c>
      <c r="O1017" s="10">
        <v>7556.99</v>
      </c>
      <c r="P1017" s="10">
        <v>5013.2700000000004</v>
      </c>
      <c r="Q1017" s="11">
        <v>22.1</v>
      </c>
      <c r="R1017" s="13" t="str">
        <f>IF(Patient_Data!$L1017&lt;2,"Low Risk",IF(Patient_Data!$L1017&lt;4,"Moderate Risk","High Risk"))</f>
        <v>Low Risk</v>
      </c>
      <c r="S1017" s="12" t="str">
        <f>IF(Patient_Data[[#This Row],[Age]]&lt;=18,"Pediatric",IF(Patient_Data[[#This Row],[Age]]&lt;=64,"Adult","Geriatric"))</f>
        <v>Adult</v>
      </c>
    </row>
    <row r="1018" spans="1:19" ht="15.75" customHeight="1" x14ac:dyDescent="0.3">
      <c r="A1018" s="4" t="s">
        <v>2078</v>
      </c>
      <c r="B1018" s="5" t="str">
        <f>TEXT(Patient_Data!$E1018,"mmmm")</f>
        <v>July</v>
      </c>
      <c r="C1018" s="6" t="str">
        <f t="shared" si="6"/>
        <v>Jul</v>
      </c>
      <c r="D1018" s="6">
        <f>MONTH(Patient_Data!$E1018)</f>
        <v>7</v>
      </c>
      <c r="E1018" s="7">
        <v>45849</v>
      </c>
      <c r="F1018" s="55" t="str">
        <f>TEXT(Patient_Data[[#This Row],[Admission_Date]],"YYYY")</f>
        <v>2025</v>
      </c>
      <c r="G1018" s="8" t="s">
        <v>2079</v>
      </c>
      <c r="H1018" s="8" t="s">
        <v>42</v>
      </c>
      <c r="I1018" s="4" t="s">
        <v>35</v>
      </c>
      <c r="J1018" s="4">
        <v>58</v>
      </c>
      <c r="K1018" s="4" t="s">
        <v>30</v>
      </c>
      <c r="L1018" s="8">
        <v>2</v>
      </c>
      <c r="M1018" s="9" t="s">
        <v>36</v>
      </c>
      <c r="N1018" s="9" t="str">
        <f t="shared" si="7"/>
        <v>Cardio</v>
      </c>
      <c r="O1018" s="10">
        <v>9422.65</v>
      </c>
      <c r="P1018" s="10">
        <v>6330.78</v>
      </c>
      <c r="Q1018" s="11">
        <v>2.2000000000000002</v>
      </c>
      <c r="R1018" s="13" t="str">
        <f>IF(Patient_Data!$L1018&lt;2,"Low Risk",IF(Patient_Data!$L1018&lt;4,"Moderate Risk","High Risk"))</f>
        <v>Moderate Risk</v>
      </c>
      <c r="S1018" s="12" t="str">
        <f>IF(Patient_Data[[#This Row],[Age]]&lt;=18,"Pediatric",IF(Patient_Data[[#This Row],[Age]]&lt;=64,"Adult","Geriatric"))</f>
        <v>Adult</v>
      </c>
    </row>
    <row r="1019" spans="1:19" ht="15.75" customHeight="1" x14ac:dyDescent="0.3">
      <c r="A1019" s="4" t="s">
        <v>2080</v>
      </c>
      <c r="B1019" s="5" t="str">
        <f>TEXT(Patient_Data!$E1019,"mmmm")</f>
        <v>July</v>
      </c>
      <c r="C1019" s="6" t="str">
        <f t="shared" si="6"/>
        <v>Jul</v>
      </c>
      <c r="D1019" s="6">
        <f>MONTH(Patient_Data!$E1019)</f>
        <v>7</v>
      </c>
      <c r="E1019" s="7">
        <v>46222</v>
      </c>
      <c r="F1019" s="55" t="str">
        <f>TEXT(Patient_Data[[#This Row],[Admission_Date]],"YYYY")</f>
        <v>2026</v>
      </c>
      <c r="G1019" s="8" t="s">
        <v>2081</v>
      </c>
      <c r="H1019" s="8" t="s">
        <v>132</v>
      </c>
      <c r="I1019" s="4" t="s">
        <v>35</v>
      </c>
      <c r="J1019" s="4">
        <v>65</v>
      </c>
      <c r="K1019" s="4" t="s">
        <v>30</v>
      </c>
      <c r="L1019" s="8">
        <v>1</v>
      </c>
      <c r="M1019" s="9" t="s">
        <v>36</v>
      </c>
      <c r="N1019" s="9" t="str">
        <f t="shared" si="7"/>
        <v>Cardio</v>
      </c>
      <c r="O1019" s="10">
        <v>9282.5</v>
      </c>
      <c r="P1019" s="10">
        <v>6565.75</v>
      </c>
      <c r="Q1019" s="11">
        <v>8.5</v>
      </c>
      <c r="R1019" s="13" t="str">
        <f>IF(Patient_Data!$L1019&lt;2,"Low Risk",IF(Patient_Data!$L1019&lt;4,"Moderate Risk","High Risk"))</f>
        <v>Low Risk</v>
      </c>
      <c r="S1019" s="12" t="str">
        <f>IF(Patient_Data[[#This Row],[Age]]&lt;=18,"Pediatric",IF(Patient_Data[[#This Row],[Age]]&lt;=64,"Adult","Geriatric"))</f>
        <v>Geriatric</v>
      </c>
    </row>
    <row r="1020" spans="1:19" ht="15.75" customHeight="1" x14ac:dyDescent="0.3">
      <c r="A1020" s="4" t="s">
        <v>2082</v>
      </c>
      <c r="B1020" s="5" t="str">
        <f>TEXT(Patient_Data!$E1020,"mmmm")</f>
        <v>June</v>
      </c>
      <c r="C1020" s="6" t="str">
        <f t="shared" si="6"/>
        <v>Jun</v>
      </c>
      <c r="D1020" s="6">
        <f>MONTH(Patient_Data!$E1020)</f>
        <v>6</v>
      </c>
      <c r="E1020" s="7">
        <v>45819</v>
      </c>
      <c r="F1020" s="55" t="str">
        <f>TEXT(Patient_Data[[#This Row],[Admission_Date]],"YYYY")</f>
        <v>2025</v>
      </c>
      <c r="G1020" s="8" t="s">
        <v>2083</v>
      </c>
      <c r="H1020" s="8" t="s">
        <v>42</v>
      </c>
      <c r="I1020" s="4" t="s">
        <v>35</v>
      </c>
      <c r="J1020" s="4">
        <v>29</v>
      </c>
      <c r="K1020" s="4" t="s">
        <v>30</v>
      </c>
      <c r="L1020" s="8">
        <v>1</v>
      </c>
      <c r="M1020" s="9" t="s">
        <v>39</v>
      </c>
      <c r="N1020" s="9" t="str">
        <f t="shared" si="7"/>
        <v>GM</v>
      </c>
      <c r="O1020" s="10">
        <v>4355</v>
      </c>
      <c r="P1020" s="10">
        <v>3235.15</v>
      </c>
      <c r="Q1020" s="11">
        <v>7</v>
      </c>
      <c r="R1020" s="13" t="str">
        <f>IF(Patient_Data!$L1020&lt;2,"Low Risk",IF(Patient_Data!$L1020&lt;4,"Moderate Risk","High Risk"))</f>
        <v>Low Risk</v>
      </c>
      <c r="S1020" s="12" t="str">
        <f>IF(Patient_Data[[#This Row],[Age]]&lt;=18,"Pediatric",IF(Patient_Data[[#This Row],[Age]]&lt;=64,"Adult","Geriatric"))</f>
        <v>Adult</v>
      </c>
    </row>
    <row r="1021" spans="1:19" ht="15.75" customHeight="1" x14ac:dyDescent="0.3">
      <c r="A1021" s="4" t="s">
        <v>2084</v>
      </c>
      <c r="B1021" s="5" t="str">
        <f>TEXT(Patient_Data!$E1021,"mmmm")</f>
        <v>July</v>
      </c>
      <c r="C1021" s="6" t="str">
        <f t="shared" si="6"/>
        <v>Jul</v>
      </c>
      <c r="D1021" s="6">
        <f>MONTH(Patient_Data!$E1021)</f>
        <v>7</v>
      </c>
      <c r="E1021" s="7">
        <v>45499</v>
      </c>
      <c r="F1021" s="55" t="str">
        <f>TEXT(Patient_Data[[#This Row],[Admission_Date]],"YYYY")</f>
        <v>2024</v>
      </c>
      <c r="G1021" s="8" t="s">
        <v>2085</v>
      </c>
      <c r="H1021" s="8" t="s">
        <v>53</v>
      </c>
      <c r="I1021" s="4" t="s">
        <v>29</v>
      </c>
      <c r="J1021" s="4">
        <v>83</v>
      </c>
      <c r="K1021" s="4" t="s">
        <v>30</v>
      </c>
      <c r="L1021" s="8">
        <v>2</v>
      </c>
      <c r="M1021" s="9" t="s">
        <v>39</v>
      </c>
      <c r="N1021" s="9" t="str">
        <f t="shared" si="7"/>
        <v>GM</v>
      </c>
      <c r="O1021" s="10">
        <v>5156.7299999999996</v>
      </c>
      <c r="P1021" s="10">
        <v>3987.11</v>
      </c>
      <c r="Q1021" s="11">
        <v>8.5</v>
      </c>
      <c r="R1021" s="13" t="str">
        <f>IF(Patient_Data!$L1021&lt;2,"Low Risk",IF(Patient_Data!$L1021&lt;4,"Moderate Risk","High Risk"))</f>
        <v>Moderate Risk</v>
      </c>
      <c r="S1021" s="12" t="str">
        <f>IF(Patient_Data[[#This Row],[Age]]&lt;=18,"Pediatric",IF(Patient_Data[[#This Row],[Age]]&lt;=64,"Adult","Geriatric"))</f>
        <v>Geriatric</v>
      </c>
    </row>
    <row r="1022" spans="1:19" ht="15.75" customHeight="1" x14ac:dyDescent="0.3">
      <c r="A1022" s="4" t="s">
        <v>2086</v>
      </c>
      <c r="B1022" s="5" t="str">
        <f>TEXT(Patient_Data!$E1022,"mmmm")</f>
        <v>November</v>
      </c>
      <c r="C1022" s="6" t="str">
        <f t="shared" ref="C1022:C1276" si="8">LEFT(B1022,3)</f>
        <v>Nov</v>
      </c>
      <c r="D1022" s="6">
        <f>MONTH(Patient_Data!$E1022)</f>
        <v>11</v>
      </c>
      <c r="E1022" s="7">
        <v>45971</v>
      </c>
      <c r="F1022" s="55" t="str">
        <f>TEXT(Patient_Data[[#This Row],[Admission_Date]],"YYYY")</f>
        <v>2025</v>
      </c>
      <c r="G1022" s="8" t="s">
        <v>2087</v>
      </c>
      <c r="H1022" s="8" t="s">
        <v>53</v>
      </c>
      <c r="I1022" s="4" t="s">
        <v>35</v>
      </c>
      <c r="J1022" s="4">
        <v>76</v>
      </c>
      <c r="K1022" s="4" t="s">
        <v>54</v>
      </c>
      <c r="L1022" s="8">
        <v>4</v>
      </c>
      <c r="M1022" s="9" t="s">
        <v>72</v>
      </c>
      <c r="N1022" s="9" t="str">
        <f t="shared" ref="N1022:N1276" si="9">IF(M1022="Cardiology","Cardio",IF(M1022="Intensive Care Unit","ICU",IF(M1022="Neurology","Neuro",IF(M1022="Emergency Room","ER",IF(M1022="Pediatrics","PD",IF(M1022="Surgery","Surgery",IF(M1022="General Medicine","GM",IF(M1022="Orthopedics","Ortho",""))))))))</f>
        <v>Surgery</v>
      </c>
      <c r="O1022" s="10">
        <v>21771.279999999999</v>
      </c>
      <c r="P1022" s="10">
        <v>12672.14</v>
      </c>
      <c r="Q1022" s="11">
        <v>5.6</v>
      </c>
      <c r="R1022" s="13" t="str">
        <f>IF(Patient_Data!$L1022&lt;2,"Low Risk",IF(Patient_Data!$L1022&lt;4,"Moderate Risk","High Risk"))</f>
        <v>High Risk</v>
      </c>
      <c r="S1022" s="12" t="str">
        <f>IF(Patient_Data[[#This Row],[Age]]&lt;=18,"Pediatric",IF(Patient_Data[[#This Row],[Age]]&lt;=64,"Adult","Geriatric"))</f>
        <v>Geriatric</v>
      </c>
    </row>
    <row r="1023" spans="1:19" ht="15.75" customHeight="1" x14ac:dyDescent="0.3">
      <c r="A1023" s="4" t="s">
        <v>2088</v>
      </c>
      <c r="B1023" s="5" t="str">
        <f>TEXT(Patient_Data!$E1023,"mmmm")</f>
        <v>May</v>
      </c>
      <c r="C1023" s="6" t="str">
        <f t="shared" si="8"/>
        <v>May</v>
      </c>
      <c r="D1023" s="6">
        <f>MONTH(Patient_Data!$E1023)</f>
        <v>5</v>
      </c>
      <c r="E1023" s="7">
        <v>45779</v>
      </c>
      <c r="F1023" s="55" t="str">
        <f>TEXT(Patient_Data[[#This Row],[Admission_Date]],"YYYY")</f>
        <v>2025</v>
      </c>
      <c r="G1023" s="8" t="s">
        <v>2089</v>
      </c>
      <c r="H1023" s="8" t="s">
        <v>28</v>
      </c>
      <c r="I1023" s="4" t="s">
        <v>29</v>
      </c>
      <c r="J1023" s="4">
        <v>19</v>
      </c>
      <c r="K1023" s="4" t="s">
        <v>30</v>
      </c>
      <c r="L1023" s="8">
        <v>3</v>
      </c>
      <c r="M1023" s="9" t="s">
        <v>36</v>
      </c>
      <c r="N1023" s="9" t="str">
        <f t="shared" si="9"/>
        <v>Cardio</v>
      </c>
      <c r="O1023" s="10">
        <v>15209.18</v>
      </c>
      <c r="P1023" s="10">
        <v>9327.2000000000007</v>
      </c>
      <c r="Q1023" s="11">
        <v>6.2</v>
      </c>
      <c r="R1023" s="13" t="str">
        <f>IF(Patient_Data!$L1023&lt;2,"Low Risk",IF(Patient_Data!$L1023&lt;4,"Moderate Risk","High Risk"))</f>
        <v>Moderate Risk</v>
      </c>
      <c r="S1023" s="12" t="str">
        <f>IF(Patient_Data[[#This Row],[Age]]&lt;=18,"Pediatric",IF(Patient_Data[[#This Row],[Age]]&lt;=64,"Adult","Geriatric"))</f>
        <v>Adult</v>
      </c>
    </row>
    <row r="1024" spans="1:19" ht="15.75" customHeight="1" x14ac:dyDescent="0.3">
      <c r="A1024" s="4" t="s">
        <v>2090</v>
      </c>
      <c r="B1024" s="5" t="str">
        <f>TEXT(Patient_Data!$E1024,"mmmm")</f>
        <v>July</v>
      </c>
      <c r="C1024" s="6" t="str">
        <f t="shared" si="8"/>
        <v>Jul</v>
      </c>
      <c r="D1024" s="6">
        <f>MONTH(Patient_Data!$E1024)</f>
        <v>7</v>
      </c>
      <c r="E1024" s="7">
        <v>45855</v>
      </c>
      <c r="F1024" s="55" t="str">
        <f>TEXT(Patient_Data[[#This Row],[Admission_Date]],"YYYY")</f>
        <v>2025</v>
      </c>
      <c r="G1024" s="8" t="s">
        <v>2091</v>
      </c>
      <c r="H1024" s="8" t="s">
        <v>98</v>
      </c>
      <c r="I1024" s="4" t="s">
        <v>35</v>
      </c>
      <c r="J1024" s="4">
        <v>77</v>
      </c>
      <c r="K1024" s="4" t="s">
        <v>45</v>
      </c>
      <c r="L1024" s="8">
        <v>4</v>
      </c>
      <c r="M1024" s="9" t="s">
        <v>50</v>
      </c>
      <c r="N1024" s="9" t="str">
        <f t="shared" si="9"/>
        <v>ICU</v>
      </c>
      <c r="O1024" s="10">
        <v>19795.09</v>
      </c>
      <c r="P1024" s="10">
        <v>12799.26</v>
      </c>
      <c r="Q1024" s="11">
        <v>16.3</v>
      </c>
      <c r="R1024" s="13" t="str">
        <f>IF(Patient_Data!$L1024&lt;2,"Low Risk",IF(Patient_Data!$L1024&lt;4,"Moderate Risk","High Risk"))</f>
        <v>High Risk</v>
      </c>
      <c r="S1024" s="12" t="str">
        <f>IF(Patient_Data[[#This Row],[Age]]&lt;=18,"Pediatric",IF(Patient_Data[[#This Row],[Age]]&lt;=64,"Adult","Geriatric"))</f>
        <v>Geriatric</v>
      </c>
    </row>
    <row r="1025" spans="1:19" ht="15.75" customHeight="1" x14ac:dyDescent="0.3">
      <c r="A1025" s="4" t="s">
        <v>2092</v>
      </c>
      <c r="B1025" s="5" t="str">
        <f>TEXT(Patient_Data!$E1025,"mmmm")</f>
        <v>July</v>
      </c>
      <c r="C1025" s="6" t="str">
        <f t="shared" si="8"/>
        <v>Jul</v>
      </c>
      <c r="D1025" s="6">
        <f>MONTH(Patient_Data!$E1025)</f>
        <v>7</v>
      </c>
      <c r="E1025" s="7">
        <v>46205</v>
      </c>
      <c r="F1025" s="55" t="str">
        <f>TEXT(Patient_Data[[#This Row],[Admission_Date]],"YYYY")</f>
        <v>2026</v>
      </c>
      <c r="G1025" s="8" t="s">
        <v>2093</v>
      </c>
      <c r="H1025" s="8" t="s">
        <v>53</v>
      </c>
      <c r="I1025" s="4" t="s">
        <v>35</v>
      </c>
      <c r="J1025" s="4">
        <v>83</v>
      </c>
      <c r="K1025" s="4" t="s">
        <v>54</v>
      </c>
      <c r="L1025" s="8">
        <v>4</v>
      </c>
      <c r="M1025" s="9" t="s">
        <v>50</v>
      </c>
      <c r="N1025" s="9" t="str">
        <f t="shared" si="9"/>
        <v>ICU</v>
      </c>
      <c r="O1025" s="10">
        <v>17762.2</v>
      </c>
      <c r="P1025" s="10">
        <v>11997.47</v>
      </c>
      <c r="Q1025" s="11">
        <v>12.1</v>
      </c>
      <c r="R1025" s="13" t="str">
        <f>IF(Patient_Data!$L1025&lt;2,"Low Risk",IF(Patient_Data!$L1025&lt;4,"Moderate Risk","High Risk"))</f>
        <v>High Risk</v>
      </c>
      <c r="S1025" s="12" t="str">
        <f>IF(Patient_Data[[#This Row],[Age]]&lt;=18,"Pediatric",IF(Patient_Data[[#This Row],[Age]]&lt;=64,"Adult","Geriatric"))</f>
        <v>Geriatric</v>
      </c>
    </row>
    <row r="1026" spans="1:19" ht="15.75" customHeight="1" x14ac:dyDescent="0.3">
      <c r="A1026" s="4" t="s">
        <v>2094</v>
      </c>
      <c r="B1026" s="5" t="str">
        <f>TEXT(Patient_Data!$E1026,"mmmm")</f>
        <v>July</v>
      </c>
      <c r="C1026" s="6" t="str">
        <f t="shared" si="8"/>
        <v>Jul</v>
      </c>
      <c r="D1026" s="6">
        <f>MONTH(Patient_Data!$E1026)</f>
        <v>7</v>
      </c>
      <c r="E1026" s="7">
        <v>46210</v>
      </c>
      <c r="F1026" s="55" t="str">
        <f>TEXT(Patient_Data[[#This Row],[Admission_Date]],"YYYY")</f>
        <v>2026</v>
      </c>
      <c r="G1026" s="8" t="s">
        <v>2095</v>
      </c>
      <c r="H1026" s="8" t="s">
        <v>82</v>
      </c>
      <c r="I1026" s="4" t="s">
        <v>35</v>
      </c>
      <c r="J1026" s="4">
        <v>60</v>
      </c>
      <c r="K1026" s="4" t="s">
        <v>30</v>
      </c>
      <c r="L1026" s="8">
        <v>3</v>
      </c>
      <c r="M1026" s="9" t="s">
        <v>46</v>
      </c>
      <c r="N1026" s="9" t="str">
        <f t="shared" si="9"/>
        <v>Ortho</v>
      </c>
      <c r="O1026" s="10">
        <v>8534.2099999999991</v>
      </c>
      <c r="P1026" s="10">
        <v>6061.15</v>
      </c>
      <c r="Q1026" s="11">
        <v>10.9</v>
      </c>
      <c r="R1026" s="13" t="str">
        <f>IF(Patient_Data!$L1026&lt;2,"Low Risk",IF(Patient_Data!$L1026&lt;4,"Moderate Risk","High Risk"))</f>
        <v>Moderate Risk</v>
      </c>
      <c r="S1026" s="12" t="str">
        <f>IF(Patient_Data[[#This Row],[Age]]&lt;=18,"Pediatric",IF(Patient_Data[[#This Row],[Age]]&lt;=64,"Adult","Geriatric"))</f>
        <v>Adult</v>
      </c>
    </row>
    <row r="1027" spans="1:19" ht="15.75" customHeight="1" x14ac:dyDescent="0.3">
      <c r="A1027" s="4" t="s">
        <v>2096</v>
      </c>
      <c r="B1027" s="5" t="str">
        <f>TEXT(Patient_Data!$E1027,"mmmm")</f>
        <v>May</v>
      </c>
      <c r="C1027" s="6" t="str">
        <f t="shared" si="8"/>
        <v>May</v>
      </c>
      <c r="D1027" s="6">
        <f>MONTH(Patient_Data!$E1027)</f>
        <v>5</v>
      </c>
      <c r="E1027" s="7">
        <v>46170</v>
      </c>
      <c r="F1027" s="55" t="str">
        <f>TEXT(Patient_Data[[#This Row],[Admission_Date]],"YYYY")</f>
        <v>2026</v>
      </c>
      <c r="G1027" s="8" t="s">
        <v>2097</v>
      </c>
      <c r="H1027" s="8" t="s">
        <v>28</v>
      </c>
      <c r="I1027" s="4" t="s">
        <v>29</v>
      </c>
      <c r="J1027" s="4">
        <v>79</v>
      </c>
      <c r="K1027" s="4" t="s">
        <v>54</v>
      </c>
      <c r="L1027" s="8">
        <v>3</v>
      </c>
      <c r="M1027" s="9" t="s">
        <v>50</v>
      </c>
      <c r="N1027" s="9" t="str">
        <f t="shared" si="9"/>
        <v>ICU</v>
      </c>
      <c r="O1027" s="10">
        <v>15922.82</v>
      </c>
      <c r="P1027" s="10">
        <v>11702.06</v>
      </c>
      <c r="Q1027" s="11">
        <v>9.8000000000000007</v>
      </c>
      <c r="R1027" s="13" t="str">
        <f>IF(Patient_Data!$L1027&lt;2,"Low Risk",IF(Patient_Data!$L1027&lt;4,"Moderate Risk","High Risk"))</f>
        <v>Moderate Risk</v>
      </c>
      <c r="S1027" s="12" t="str">
        <f>IF(Patient_Data[[#This Row],[Age]]&lt;=18,"Pediatric",IF(Patient_Data[[#This Row],[Age]]&lt;=64,"Adult","Geriatric"))</f>
        <v>Geriatric</v>
      </c>
    </row>
    <row r="1028" spans="1:19" ht="15.75" customHeight="1" x14ac:dyDescent="0.3">
      <c r="A1028" s="4" t="s">
        <v>2098</v>
      </c>
      <c r="B1028" s="5" t="str">
        <f>TEXT(Patient_Data!$E1028,"mmmm")</f>
        <v>October</v>
      </c>
      <c r="C1028" s="6" t="str">
        <f t="shared" si="8"/>
        <v>Oct</v>
      </c>
      <c r="D1028" s="6">
        <f>MONTH(Patient_Data!$E1028)</f>
        <v>10</v>
      </c>
      <c r="E1028" s="7">
        <v>45201</v>
      </c>
      <c r="F1028" s="55" t="str">
        <f>TEXT(Patient_Data[[#This Row],[Admission_Date]],"YYYY")</f>
        <v>2023</v>
      </c>
      <c r="G1028" s="8" t="s">
        <v>2099</v>
      </c>
      <c r="H1028" s="8" t="s">
        <v>28</v>
      </c>
      <c r="I1028" s="4" t="s">
        <v>35</v>
      </c>
      <c r="J1028" s="4">
        <v>57</v>
      </c>
      <c r="K1028" s="4" t="s">
        <v>45</v>
      </c>
      <c r="L1028" s="8">
        <v>1</v>
      </c>
      <c r="M1028" s="9" t="s">
        <v>39</v>
      </c>
      <c r="N1028" s="9" t="str">
        <f t="shared" si="9"/>
        <v>GM</v>
      </c>
      <c r="O1028" s="10">
        <v>3691.98</v>
      </c>
      <c r="P1028" s="10">
        <v>2854.7</v>
      </c>
      <c r="Q1028" s="11">
        <v>6.1</v>
      </c>
      <c r="R1028" s="13" t="str">
        <f>IF(Patient_Data!$L1028&lt;2,"Low Risk",IF(Patient_Data!$L1028&lt;4,"Moderate Risk","High Risk"))</f>
        <v>Low Risk</v>
      </c>
      <c r="S1028" s="12" t="str">
        <f>IF(Patient_Data[[#This Row],[Age]]&lt;=18,"Pediatric",IF(Patient_Data[[#This Row],[Age]]&lt;=64,"Adult","Geriatric"))</f>
        <v>Adult</v>
      </c>
    </row>
    <row r="1029" spans="1:19" ht="15.75" customHeight="1" x14ac:dyDescent="0.3">
      <c r="A1029" s="4" t="s">
        <v>2100</v>
      </c>
      <c r="B1029" s="5" t="str">
        <f>TEXT(Patient_Data!$E1029,"mmmm")</f>
        <v>April</v>
      </c>
      <c r="C1029" s="6" t="str">
        <f t="shared" si="8"/>
        <v>Apr</v>
      </c>
      <c r="D1029" s="6">
        <f>MONTH(Patient_Data!$E1029)</f>
        <v>4</v>
      </c>
      <c r="E1029" s="7">
        <v>45391</v>
      </c>
      <c r="F1029" s="55" t="str">
        <f>TEXT(Patient_Data[[#This Row],[Admission_Date]],"YYYY")</f>
        <v>2024</v>
      </c>
      <c r="G1029" s="8" t="s">
        <v>2101</v>
      </c>
      <c r="H1029" s="8" t="s">
        <v>132</v>
      </c>
      <c r="I1029" s="4" t="s">
        <v>35</v>
      </c>
      <c r="J1029" s="4">
        <v>69</v>
      </c>
      <c r="K1029" s="4" t="s">
        <v>54</v>
      </c>
      <c r="L1029" s="8">
        <v>3</v>
      </c>
      <c r="M1029" s="9" t="s">
        <v>39</v>
      </c>
      <c r="N1029" s="9" t="str">
        <f t="shared" si="9"/>
        <v>GM</v>
      </c>
      <c r="O1029" s="10">
        <v>2765.37</v>
      </c>
      <c r="P1029" s="10">
        <v>1675.91</v>
      </c>
      <c r="Q1029" s="11">
        <v>9</v>
      </c>
      <c r="R1029" s="13" t="str">
        <f>IF(Patient_Data!$L1029&lt;2,"Low Risk",IF(Patient_Data!$L1029&lt;4,"Moderate Risk","High Risk"))</f>
        <v>Moderate Risk</v>
      </c>
      <c r="S1029" s="12" t="str">
        <f>IF(Patient_Data[[#This Row],[Age]]&lt;=18,"Pediatric",IF(Patient_Data[[#This Row],[Age]]&lt;=64,"Adult","Geriatric"))</f>
        <v>Geriatric</v>
      </c>
    </row>
    <row r="1030" spans="1:19" ht="15.75" customHeight="1" x14ac:dyDescent="0.3">
      <c r="A1030" s="4" t="s">
        <v>2102</v>
      </c>
      <c r="B1030" s="5" t="str">
        <f>TEXT(Patient_Data!$E1030,"mmmm")</f>
        <v>December</v>
      </c>
      <c r="C1030" s="6" t="str">
        <f t="shared" si="8"/>
        <v>Dec</v>
      </c>
      <c r="D1030" s="6">
        <f>MONTH(Patient_Data!$E1030)</f>
        <v>12</v>
      </c>
      <c r="E1030" s="7">
        <v>46020</v>
      </c>
      <c r="F1030" s="55" t="str">
        <f>TEXT(Patient_Data[[#This Row],[Admission_Date]],"YYYY")</f>
        <v>2025</v>
      </c>
      <c r="G1030" s="8" t="s">
        <v>2103</v>
      </c>
      <c r="H1030" s="8" t="s">
        <v>49</v>
      </c>
      <c r="I1030" s="4" t="s">
        <v>35</v>
      </c>
      <c r="J1030" s="4">
        <v>75</v>
      </c>
      <c r="K1030" s="4" t="s">
        <v>30</v>
      </c>
      <c r="L1030" s="8">
        <v>1</v>
      </c>
      <c r="M1030" s="9" t="s">
        <v>31</v>
      </c>
      <c r="N1030" s="9" t="str">
        <f t="shared" si="9"/>
        <v>Neuro</v>
      </c>
      <c r="O1030" s="10">
        <v>7829.93</v>
      </c>
      <c r="P1030" s="10">
        <v>4816.26</v>
      </c>
      <c r="Q1030" s="11">
        <v>5</v>
      </c>
      <c r="R1030" s="13" t="str">
        <f>IF(Patient_Data!$L1030&lt;2,"Low Risk",IF(Patient_Data!$L1030&lt;4,"Moderate Risk","High Risk"))</f>
        <v>Low Risk</v>
      </c>
      <c r="S1030" s="12" t="str">
        <f>IF(Patient_Data[[#This Row],[Age]]&lt;=18,"Pediatric",IF(Patient_Data[[#This Row],[Age]]&lt;=64,"Adult","Geriatric"))</f>
        <v>Geriatric</v>
      </c>
    </row>
    <row r="1031" spans="1:19" ht="15.75" customHeight="1" x14ac:dyDescent="0.3">
      <c r="A1031" s="4" t="s">
        <v>2104</v>
      </c>
      <c r="B1031" s="5" t="str">
        <f>TEXT(Patient_Data!$E1031,"mmmm")</f>
        <v>May</v>
      </c>
      <c r="C1031" s="6" t="str">
        <f t="shared" si="8"/>
        <v>May</v>
      </c>
      <c r="D1031" s="6">
        <f>MONTH(Patient_Data!$E1031)</f>
        <v>5</v>
      </c>
      <c r="E1031" s="7">
        <v>45797</v>
      </c>
      <c r="F1031" s="55" t="str">
        <f>TEXT(Patient_Data[[#This Row],[Admission_Date]],"YYYY")</f>
        <v>2025</v>
      </c>
      <c r="G1031" s="8" t="s">
        <v>2105</v>
      </c>
      <c r="H1031" s="8" t="s">
        <v>28</v>
      </c>
      <c r="I1031" s="4" t="s">
        <v>35</v>
      </c>
      <c r="J1031" s="4">
        <v>87</v>
      </c>
      <c r="K1031" s="4" t="s">
        <v>54</v>
      </c>
      <c r="L1031" s="8">
        <v>4</v>
      </c>
      <c r="M1031" s="9" t="s">
        <v>72</v>
      </c>
      <c r="N1031" s="9" t="str">
        <f t="shared" si="9"/>
        <v>Surgery</v>
      </c>
      <c r="O1031" s="10">
        <v>20219.12</v>
      </c>
      <c r="P1031" s="10">
        <v>13017.84</v>
      </c>
      <c r="Q1031" s="11">
        <v>9.6999999999999993</v>
      </c>
      <c r="R1031" s="13" t="str">
        <f>IF(Patient_Data!$L1031&lt;2,"Low Risk",IF(Patient_Data!$L1031&lt;4,"Moderate Risk","High Risk"))</f>
        <v>High Risk</v>
      </c>
      <c r="S1031" s="12" t="str">
        <f>IF(Patient_Data[[#This Row],[Age]]&lt;=18,"Pediatric",IF(Patient_Data[[#This Row],[Age]]&lt;=64,"Adult","Geriatric"))</f>
        <v>Geriatric</v>
      </c>
    </row>
    <row r="1032" spans="1:19" ht="15.75" customHeight="1" x14ac:dyDescent="0.3">
      <c r="A1032" s="4" t="s">
        <v>2106</v>
      </c>
      <c r="B1032" s="5" t="str">
        <f>TEXT(Patient_Data!$E1032,"mmmm")</f>
        <v>May</v>
      </c>
      <c r="C1032" s="6" t="str">
        <f t="shared" si="8"/>
        <v>May</v>
      </c>
      <c r="D1032" s="6">
        <f>MONTH(Patient_Data!$E1032)</f>
        <v>5</v>
      </c>
      <c r="E1032" s="7">
        <v>46150</v>
      </c>
      <c r="F1032" s="55" t="str">
        <f>TEXT(Patient_Data[[#This Row],[Admission_Date]],"YYYY")</f>
        <v>2026</v>
      </c>
      <c r="G1032" s="8" t="s">
        <v>2107</v>
      </c>
      <c r="H1032" s="8" t="s">
        <v>132</v>
      </c>
      <c r="I1032" s="4" t="s">
        <v>35</v>
      </c>
      <c r="J1032" s="4">
        <v>50</v>
      </c>
      <c r="K1032" s="4" t="s">
        <v>54</v>
      </c>
      <c r="L1032" s="8">
        <v>2</v>
      </c>
      <c r="M1032" s="9" t="s">
        <v>83</v>
      </c>
      <c r="N1032" s="9" t="str">
        <f t="shared" si="9"/>
        <v>ER</v>
      </c>
      <c r="O1032" s="10">
        <v>4283.45</v>
      </c>
      <c r="P1032" s="10">
        <v>3012.31</v>
      </c>
      <c r="Q1032" s="11">
        <v>17.8</v>
      </c>
      <c r="R1032" s="13" t="str">
        <f>IF(Patient_Data!$L1032&lt;2,"Low Risk",IF(Patient_Data!$L1032&lt;4,"Moderate Risk","High Risk"))</f>
        <v>Moderate Risk</v>
      </c>
      <c r="S1032" s="12" t="str">
        <f>IF(Patient_Data[[#This Row],[Age]]&lt;=18,"Pediatric",IF(Patient_Data[[#This Row],[Age]]&lt;=64,"Adult","Geriatric"))</f>
        <v>Adult</v>
      </c>
    </row>
    <row r="1033" spans="1:19" ht="15.75" customHeight="1" x14ac:dyDescent="0.3">
      <c r="A1033" s="4" t="s">
        <v>2108</v>
      </c>
      <c r="B1033" s="5" t="str">
        <f>TEXT(Patient_Data!$E1033,"mmmm")</f>
        <v>August</v>
      </c>
      <c r="C1033" s="6" t="str">
        <f t="shared" si="8"/>
        <v>Aug</v>
      </c>
      <c r="D1033" s="6">
        <f>MONTH(Patient_Data!$E1033)</f>
        <v>8</v>
      </c>
      <c r="E1033" s="7">
        <v>45516</v>
      </c>
      <c r="F1033" s="55" t="str">
        <f>TEXT(Patient_Data[[#This Row],[Admission_Date]],"YYYY")</f>
        <v>2024</v>
      </c>
      <c r="G1033" s="8" t="s">
        <v>529</v>
      </c>
      <c r="H1033" s="8" t="s">
        <v>28</v>
      </c>
      <c r="I1033" s="4" t="s">
        <v>29</v>
      </c>
      <c r="J1033" s="4">
        <v>85</v>
      </c>
      <c r="K1033" s="4" t="s">
        <v>30</v>
      </c>
      <c r="L1033" s="8">
        <v>1</v>
      </c>
      <c r="M1033" s="9" t="s">
        <v>36</v>
      </c>
      <c r="N1033" s="9" t="str">
        <f t="shared" si="9"/>
        <v>Cardio</v>
      </c>
      <c r="O1033" s="10">
        <v>4587.8599999999997</v>
      </c>
      <c r="P1033" s="10">
        <v>3246.7</v>
      </c>
      <c r="Q1033" s="11">
        <v>4.4000000000000004</v>
      </c>
      <c r="R1033" s="13" t="str">
        <f>IF(Patient_Data!$L1033&lt;2,"Low Risk",IF(Patient_Data!$L1033&lt;4,"Moderate Risk","High Risk"))</f>
        <v>Low Risk</v>
      </c>
      <c r="S1033" s="12" t="str">
        <f>IF(Patient_Data[[#This Row],[Age]]&lt;=18,"Pediatric",IF(Patient_Data[[#This Row],[Age]]&lt;=64,"Adult","Geriatric"))</f>
        <v>Geriatric</v>
      </c>
    </row>
    <row r="1034" spans="1:19" ht="15.75" customHeight="1" x14ac:dyDescent="0.3">
      <c r="A1034" s="4" t="s">
        <v>2109</v>
      </c>
      <c r="B1034" s="5" t="str">
        <f>TEXT(Patient_Data!$E1034,"mmmm")</f>
        <v>October</v>
      </c>
      <c r="C1034" s="6" t="str">
        <f t="shared" si="8"/>
        <v>Oct</v>
      </c>
      <c r="D1034" s="6">
        <f>MONTH(Patient_Data!$E1034)</f>
        <v>10</v>
      </c>
      <c r="E1034" s="7">
        <v>45945</v>
      </c>
      <c r="F1034" s="55" t="str">
        <f>TEXT(Patient_Data[[#This Row],[Admission_Date]],"YYYY")</f>
        <v>2025</v>
      </c>
      <c r="G1034" s="8" t="s">
        <v>2110</v>
      </c>
      <c r="H1034" s="8" t="s">
        <v>34</v>
      </c>
      <c r="I1034" s="4" t="s">
        <v>29</v>
      </c>
      <c r="J1034" s="4">
        <v>2</v>
      </c>
      <c r="K1034" s="4" t="s">
        <v>30</v>
      </c>
      <c r="L1034" s="8">
        <v>2</v>
      </c>
      <c r="M1034" s="9" t="s">
        <v>79</v>
      </c>
      <c r="N1034" s="9" t="str">
        <f t="shared" si="9"/>
        <v>PD</v>
      </c>
      <c r="O1034" s="10">
        <v>1089.26</v>
      </c>
      <c r="P1034" s="10">
        <v>804.76</v>
      </c>
      <c r="Q1034" s="11">
        <v>1.2</v>
      </c>
      <c r="R1034" s="13" t="str">
        <f>IF(Patient_Data!$L1034&lt;2,"Low Risk",IF(Patient_Data!$L1034&lt;4,"Moderate Risk","High Risk"))</f>
        <v>Moderate Risk</v>
      </c>
      <c r="S1034" s="12" t="str">
        <f>IF(Patient_Data[[#This Row],[Age]]&lt;=18,"Pediatric",IF(Patient_Data[[#This Row],[Age]]&lt;=64,"Adult","Geriatric"))</f>
        <v>Pediatric</v>
      </c>
    </row>
    <row r="1035" spans="1:19" ht="15.75" customHeight="1" x14ac:dyDescent="0.3">
      <c r="A1035" s="4" t="s">
        <v>2111</v>
      </c>
      <c r="B1035" s="5" t="str">
        <f>TEXT(Patient_Data!$E1035,"mmmm")</f>
        <v>June</v>
      </c>
      <c r="C1035" s="6" t="str">
        <f t="shared" si="8"/>
        <v>Jun</v>
      </c>
      <c r="D1035" s="6">
        <f>MONTH(Patient_Data!$E1035)</f>
        <v>6</v>
      </c>
      <c r="E1035" s="7">
        <v>45469</v>
      </c>
      <c r="F1035" s="55" t="str">
        <f>TEXT(Patient_Data[[#This Row],[Admission_Date]],"YYYY")</f>
        <v>2024</v>
      </c>
      <c r="G1035" s="8" t="s">
        <v>2112</v>
      </c>
      <c r="H1035" s="8" t="s">
        <v>132</v>
      </c>
      <c r="I1035" s="4" t="s">
        <v>35</v>
      </c>
      <c r="J1035" s="4">
        <v>77</v>
      </c>
      <c r="K1035" s="4" t="s">
        <v>30</v>
      </c>
      <c r="L1035" s="8">
        <v>1</v>
      </c>
      <c r="M1035" s="9" t="s">
        <v>36</v>
      </c>
      <c r="N1035" s="9" t="str">
        <f t="shared" si="9"/>
        <v>Cardio</v>
      </c>
      <c r="O1035" s="10">
        <v>7155.76</v>
      </c>
      <c r="P1035" s="10">
        <v>5523.98</v>
      </c>
      <c r="Q1035" s="11">
        <v>10.7</v>
      </c>
      <c r="R1035" s="13" t="str">
        <f>IF(Patient_Data!$L1035&lt;2,"Low Risk",IF(Patient_Data!$L1035&lt;4,"Moderate Risk","High Risk"))</f>
        <v>Low Risk</v>
      </c>
      <c r="S1035" s="12" t="str">
        <f>IF(Patient_Data[[#This Row],[Age]]&lt;=18,"Pediatric",IF(Patient_Data[[#This Row],[Age]]&lt;=64,"Adult","Geriatric"))</f>
        <v>Geriatric</v>
      </c>
    </row>
    <row r="1036" spans="1:19" ht="15.75" customHeight="1" x14ac:dyDescent="0.3">
      <c r="A1036" s="4" t="s">
        <v>2113</v>
      </c>
      <c r="B1036" s="5" t="str">
        <f>TEXT(Patient_Data!$E1036,"mmmm")</f>
        <v>January</v>
      </c>
      <c r="C1036" s="6" t="str">
        <f t="shared" si="8"/>
        <v>Jan</v>
      </c>
      <c r="D1036" s="6">
        <f>MONTH(Patient_Data!$E1036)</f>
        <v>1</v>
      </c>
      <c r="E1036" s="7">
        <v>45663</v>
      </c>
      <c r="F1036" s="55" t="str">
        <f>TEXT(Patient_Data[[#This Row],[Admission_Date]],"YYYY")</f>
        <v>2025</v>
      </c>
      <c r="G1036" s="8" t="s">
        <v>2114</v>
      </c>
      <c r="H1036" s="8" t="s">
        <v>28</v>
      </c>
      <c r="I1036" s="4" t="s">
        <v>35</v>
      </c>
      <c r="J1036" s="4">
        <v>49</v>
      </c>
      <c r="K1036" s="4" t="s">
        <v>54</v>
      </c>
      <c r="L1036" s="8">
        <v>4</v>
      </c>
      <c r="M1036" s="9" t="s">
        <v>46</v>
      </c>
      <c r="N1036" s="9" t="str">
        <f t="shared" si="9"/>
        <v>Ortho</v>
      </c>
      <c r="O1036" s="10">
        <v>10882.4</v>
      </c>
      <c r="P1036" s="10">
        <v>6364.59</v>
      </c>
      <c r="Q1036" s="11">
        <v>6.6</v>
      </c>
      <c r="R1036" s="13" t="str">
        <f>IF(Patient_Data!$L1036&lt;2,"Low Risk",IF(Patient_Data!$L1036&lt;4,"Moderate Risk","High Risk"))</f>
        <v>High Risk</v>
      </c>
      <c r="S1036" s="12" t="str">
        <f>IF(Patient_Data[[#This Row],[Age]]&lt;=18,"Pediatric",IF(Patient_Data[[#This Row],[Age]]&lt;=64,"Adult","Geriatric"))</f>
        <v>Adult</v>
      </c>
    </row>
    <row r="1037" spans="1:19" ht="15.75" customHeight="1" x14ac:dyDescent="0.3">
      <c r="A1037" s="4" t="s">
        <v>2115</v>
      </c>
      <c r="B1037" s="5" t="str">
        <f>TEXT(Patient_Data!$E1037,"mmmm")</f>
        <v>November</v>
      </c>
      <c r="C1037" s="6" t="str">
        <f t="shared" si="8"/>
        <v>Nov</v>
      </c>
      <c r="D1037" s="6">
        <f>MONTH(Patient_Data!$E1037)</f>
        <v>11</v>
      </c>
      <c r="E1037" s="7">
        <v>45231</v>
      </c>
      <c r="F1037" s="55" t="str">
        <f>TEXT(Patient_Data[[#This Row],[Admission_Date]],"YYYY")</f>
        <v>2023</v>
      </c>
      <c r="G1037" s="8" t="s">
        <v>2116</v>
      </c>
      <c r="H1037" s="8" t="s">
        <v>34</v>
      </c>
      <c r="I1037" s="4" t="s">
        <v>29</v>
      </c>
      <c r="J1037" s="4">
        <v>10</v>
      </c>
      <c r="K1037" s="4" t="s">
        <v>45</v>
      </c>
      <c r="L1037" s="8">
        <v>1</v>
      </c>
      <c r="M1037" s="9" t="s">
        <v>79</v>
      </c>
      <c r="N1037" s="9" t="str">
        <f t="shared" si="9"/>
        <v>PD</v>
      </c>
      <c r="O1037" s="10">
        <v>1193.51</v>
      </c>
      <c r="P1037" s="10">
        <v>743.24</v>
      </c>
      <c r="Q1037" s="11">
        <v>1.9</v>
      </c>
      <c r="R1037" s="13" t="str">
        <f>IF(Patient_Data!$L1037&lt;2,"Low Risk",IF(Patient_Data!$L1037&lt;4,"Moderate Risk","High Risk"))</f>
        <v>Low Risk</v>
      </c>
      <c r="S1037" s="12" t="str">
        <f>IF(Patient_Data[[#This Row],[Age]]&lt;=18,"Pediatric",IF(Patient_Data[[#This Row],[Age]]&lt;=64,"Adult","Geriatric"))</f>
        <v>Pediatric</v>
      </c>
    </row>
    <row r="1038" spans="1:19" ht="15.75" customHeight="1" x14ac:dyDescent="0.3">
      <c r="A1038" s="4" t="s">
        <v>2117</v>
      </c>
      <c r="B1038" s="5" t="str">
        <f>TEXT(Patient_Data!$E1038,"mmmm")</f>
        <v>April</v>
      </c>
      <c r="C1038" s="6" t="str">
        <f t="shared" si="8"/>
        <v>Apr</v>
      </c>
      <c r="D1038" s="6">
        <f>MONTH(Patient_Data!$E1038)</f>
        <v>4</v>
      </c>
      <c r="E1038" s="7">
        <v>45392</v>
      </c>
      <c r="F1038" s="55" t="str">
        <f>TEXT(Patient_Data[[#This Row],[Admission_Date]],"YYYY")</f>
        <v>2024</v>
      </c>
      <c r="G1038" s="8" t="s">
        <v>2118</v>
      </c>
      <c r="H1038" s="8" t="s">
        <v>28</v>
      </c>
      <c r="I1038" s="4" t="s">
        <v>29</v>
      </c>
      <c r="J1038" s="4">
        <v>46</v>
      </c>
      <c r="K1038" s="4" t="s">
        <v>30</v>
      </c>
      <c r="L1038" s="8">
        <v>1</v>
      </c>
      <c r="M1038" s="9" t="s">
        <v>83</v>
      </c>
      <c r="N1038" s="9" t="str">
        <f t="shared" si="9"/>
        <v>ER</v>
      </c>
      <c r="O1038" s="10">
        <v>2982.3</v>
      </c>
      <c r="P1038" s="10">
        <v>1995.07</v>
      </c>
      <c r="Q1038" s="11">
        <v>10.8</v>
      </c>
      <c r="R1038" s="13" t="str">
        <f>IF(Patient_Data!$L1038&lt;2,"Low Risk",IF(Patient_Data!$L1038&lt;4,"Moderate Risk","High Risk"))</f>
        <v>Low Risk</v>
      </c>
      <c r="S1038" s="12" t="str">
        <f>IF(Patient_Data[[#This Row],[Age]]&lt;=18,"Pediatric",IF(Patient_Data[[#This Row],[Age]]&lt;=64,"Adult","Geriatric"))</f>
        <v>Adult</v>
      </c>
    </row>
    <row r="1039" spans="1:19" ht="15.75" customHeight="1" x14ac:dyDescent="0.3">
      <c r="A1039" s="4" t="s">
        <v>2119</v>
      </c>
      <c r="B1039" s="5" t="str">
        <f>TEXT(Patient_Data!$E1039,"mmmm")</f>
        <v>September</v>
      </c>
      <c r="C1039" s="6" t="str">
        <f t="shared" si="8"/>
        <v>Sep</v>
      </c>
      <c r="D1039" s="6">
        <f>MONTH(Patient_Data!$E1039)</f>
        <v>9</v>
      </c>
      <c r="E1039" s="7">
        <v>45557</v>
      </c>
      <c r="F1039" s="55" t="str">
        <f>TEXT(Patient_Data[[#This Row],[Admission_Date]],"YYYY")</f>
        <v>2024</v>
      </c>
      <c r="G1039" s="8" t="s">
        <v>2120</v>
      </c>
      <c r="H1039" s="8" t="s">
        <v>28</v>
      </c>
      <c r="I1039" s="4" t="s">
        <v>35</v>
      </c>
      <c r="J1039" s="4">
        <v>27</v>
      </c>
      <c r="K1039" s="4" t="s">
        <v>54</v>
      </c>
      <c r="L1039" s="8">
        <v>4</v>
      </c>
      <c r="M1039" s="9" t="s">
        <v>72</v>
      </c>
      <c r="N1039" s="9" t="str">
        <f t="shared" si="9"/>
        <v>Surgery</v>
      </c>
      <c r="O1039" s="10">
        <v>19859.63</v>
      </c>
      <c r="P1039" s="10">
        <v>13384.35</v>
      </c>
      <c r="Q1039" s="11">
        <v>9.8000000000000007</v>
      </c>
      <c r="R1039" s="13" t="str">
        <f>IF(Patient_Data!$L1039&lt;2,"Low Risk",IF(Patient_Data!$L1039&lt;4,"Moderate Risk","High Risk"))</f>
        <v>High Risk</v>
      </c>
      <c r="S1039" s="12" t="str">
        <f>IF(Patient_Data[[#This Row],[Age]]&lt;=18,"Pediatric",IF(Patient_Data[[#This Row],[Age]]&lt;=64,"Adult","Geriatric"))</f>
        <v>Adult</v>
      </c>
    </row>
    <row r="1040" spans="1:19" ht="15.75" customHeight="1" x14ac:dyDescent="0.3">
      <c r="A1040" s="4" t="s">
        <v>2121</v>
      </c>
      <c r="B1040" s="5" t="str">
        <f>TEXT(Patient_Data!$E1040,"mmmm")</f>
        <v>December</v>
      </c>
      <c r="C1040" s="6" t="str">
        <f t="shared" si="8"/>
        <v>Dec</v>
      </c>
      <c r="D1040" s="6">
        <f>MONTH(Patient_Data!$E1040)</f>
        <v>12</v>
      </c>
      <c r="E1040" s="7">
        <v>46007</v>
      </c>
      <c r="F1040" s="55" t="str">
        <f>TEXT(Patient_Data[[#This Row],[Admission_Date]],"YYYY")</f>
        <v>2025</v>
      </c>
      <c r="G1040" s="8" t="s">
        <v>2122</v>
      </c>
      <c r="H1040" s="8" t="s">
        <v>82</v>
      </c>
      <c r="I1040" s="4" t="s">
        <v>35</v>
      </c>
      <c r="J1040" s="4">
        <v>50</v>
      </c>
      <c r="K1040" s="4" t="s">
        <v>30</v>
      </c>
      <c r="L1040" s="8">
        <v>2</v>
      </c>
      <c r="M1040" s="9" t="s">
        <v>36</v>
      </c>
      <c r="N1040" s="9" t="str">
        <f t="shared" si="9"/>
        <v>Cardio</v>
      </c>
      <c r="O1040" s="10">
        <v>13132.56</v>
      </c>
      <c r="P1040" s="10">
        <v>9235.99</v>
      </c>
      <c r="Q1040" s="11">
        <v>5.4</v>
      </c>
      <c r="R1040" s="13" t="str">
        <f>IF(Patient_Data!$L1040&lt;2,"Low Risk",IF(Patient_Data!$L1040&lt;4,"Moderate Risk","High Risk"))</f>
        <v>Moderate Risk</v>
      </c>
      <c r="S1040" s="12" t="str">
        <f>IF(Patient_Data[[#This Row],[Age]]&lt;=18,"Pediatric",IF(Patient_Data[[#This Row],[Age]]&lt;=64,"Adult","Geriatric"))</f>
        <v>Adult</v>
      </c>
    </row>
    <row r="1041" spans="1:19" ht="15.75" customHeight="1" x14ac:dyDescent="0.3">
      <c r="A1041" s="4" t="s">
        <v>2123</v>
      </c>
      <c r="B1041" s="5" t="str">
        <f>TEXT(Patient_Data!$E1041,"mmmm")</f>
        <v>April</v>
      </c>
      <c r="C1041" s="6" t="str">
        <f t="shared" si="8"/>
        <v>Apr</v>
      </c>
      <c r="D1041" s="6">
        <f>MONTH(Patient_Data!$E1041)</f>
        <v>4</v>
      </c>
      <c r="E1041" s="7">
        <v>46132</v>
      </c>
      <c r="F1041" s="55" t="str">
        <f>TEXT(Patient_Data[[#This Row],[Admission_Date]],"YYYY")</f>
        <v>2026</v>
      </c>
      <c r="G1041" s="8" t="s">
        <v>2124</v>
      </c>
      <c r="H1041" s="8" t="s">
        <v>28</v>
      </c>
      <c r="I1041" s="4" t="s">
        <v>35</v>
      </c>
      <c r="J1041" s="4">
        <v>74</v>
      </c>
      <c r="K1041" s="4" t="s">
        <v>30</v>
      </c>
      <c r="L1041" s="8">
        <v>3</v>
      </c>
      <c r="M1041" s="9" t="s">
        <v>46</v>
      </c>
      <c r="N1041" s="9" t="str">
        <f t="shared" si="9"/>
        <v>Ortho</v>
      </c>
      <c r="O1041" s="10">
        <v>6258.46</v>
      </c>
      <c r="P1041" s="10">
        <v>4586.28</v>
      </c>
      <c r="Q1041" s="11">
        <v>2.2000000000000002</v>
      </c>
      <c r="R1041" s="13" t="str">
        <f>IF(Patient_Data!$L1041&lt;2,"Low Risk",IF(Patient_Data!$L1041&lt;4,"Moderate Risk","High Risk"))</f>
        <v>Moderate Risk</v>
      </c>
      <c r="S1041" s="12" t="str">
        <f>IF(Patient_Data[[#This Row],[Age]]&lt;=18,"Pediatric",IF(Patient_Data[[#This Row],[Age]]&lt;=64,"Adult","Geriatric"))</f>
        <v>Geriatric</v>
      </c>
    </row>
    <row r="1042" spans="1:19" ht="15.75" customHeight="1" x14ac:dyDescent="0.3">
      <c r="A1042" s="4" t="s">
        <v>2125</v>
      </c>
      <c r="B1042" s="5" t="str">
        <f>TEXT(Patient_Data!$E1042,"mmmm")</f>
        <v>January</v>
      </c>
      <c r="C1042" s="6" t="str">
        <f t="shared" si="8"/>
        <v>Jan</v>
      </c>
      <c r="D1042" s="6">
        <f>MONTH(Patient_Data!$E1042)</f>
        <v>1</v>
      </c>
      <c r="E1042" s="7">
        <v>45294</v>
      </c>
      <c r="F1042" s="55" t="str">
        <f>TEXT(Patient_Data[[#This Row],[Admission_Date]],"YYYY")</f>
        <v>2024</v>
      </c>
      <c r="G1042" s="8" t="s">
        <v>2126</v>
      </c>
      <c r="H1042" s="8" t="s">
        <v>34</v>
      </c>
      <c r="I1042" s="4" t="s">
        <v>29</v>
      </c>
      <c r="J1042" s="4">
        <v>12</v>
      </c>
      <c r="K1042" s="4" t="s">
        <v>45</v>
      </c>
      <c r="L1042" s="8">
        <v>2</v>
      </c>
      <c r="M1042" s="9" t="s">
        <v>79</v>
      </c>
      <c r="N1042" s="9" t="str">
        <f t="shared" si="9"/>
        <v>PD</v>
      </c>
      <c r="O1042" s="10">
        <v>835.58</v>
      </c>
      <c r="P1042" s="10">
        <v>649.44000000000005</v>
      </c>
      <c r="Q1042" s="11">
        <v>1.8</v>
      </c>
      <c r="R1042" s="13" t="str">
        <f>IF(Patient_Data!$L1042&lt;2,"Low Risk",IF(Patient_Data!$L1042&lt;4,"Moderate Risk","High Risk"))</f>
        <v>Moderate Risk</v>
      </c>
      <c r="S1042" s="12" t="str">
        <f>IF(Patient_Data[[#This Row],[Age]]&lt;=18,"Pediatric",IF(Patient_Data[[#This Row],[Age]]&lt;=64,"Adult","Geriatric"))</f>
        <v>Pediatric</v>
      </c>
    </row>
    <row r="1043" spans="1:19" ht="15.75" customHeight="1" x14ac:dyDescent="0.3">
      <c r="A1043" s="4" t="s">
        <v>2127</v>
      </c>
      <c r="B1043" s="5" t="str">
        <f>TEXT(Patient_Data!$E1043,"mmmm")</f>
        <v>June</v>
      </c>
      <c r="C1043" s="6" t="str">
        <f t="shared" si="8"/>
        <v>Jun</v>
      </c>
      <c r="D1043" s="6">
        <f>MONTH(Patient_Data!$E1043)</f>
        <v>6</v>
      </c>
      <c r="E1043" s="7">
        <v>45449</v>
      </c>
      <c r="F1043" s="55" t="str">
        <f>TEXT(Patient_Data[[#This Row],[Admission_Date]],"YYYY")</f>
        <v>2024</v>
      </c>
      <c r="G1043" s="8" t="s">
        <v>2128</v>
      </c>
      <c r="H1043" s="8" t="s">
        <v>28</v>
      </c>
      <c r="I1043" s="4" t="s">
        <v>29</v>
      </c>
      <c r="J1043" s="4">
        <v>67</v>
      </c>
      <c r="K1043" s="4" t="s">
        <v>30</v>
      </c>
      <c r="L1043" s="8">
        <v>4</v>
      </c>
      <c r="M1043" s="9" t="s">
        <v>50</v>
      </c>
      <c r="N1043" s="9" t="str">
        <f t="shared" si="9"/>
        <v>ICU</v>
      </c>
      <c r="O1043" s="10">
        <v>13744.1</v>
      </c>
      <c r="P1043" s="10">
        <v>8083.58</v>
      </c>
      <c r="Q1043" s="11">
        <v>14</v>
      </c>
      <c r="R1043" s="13" t="str">
        <f>IF(Patient_Data!$L1043&lt;2,"Low Risk",IF(Patient_Data!$L1043&lt;4,"Moderate Risk","High Risk"))</f>
        <v>High Risk</v>
      </c>
      <c r="S1043" s="12" t="str">
        <f>IF(Patient_Data[[#This Row],[Age]]&lt;=18,"Pediatric",IF(Patient_Data[[#This Row],[Age]]&lt;=64,"Adult","Geriatric"))</f>
        <v>Geriatric</v>
      </c>
    </row>
    <row r="1044" spans="1:19" ht="15.75" customHeight="1" x14ac:dyDescent="0.3">
      <c r="A1044" s="4" t="s">
        <v>2129</v>
      </c>
      <c r="B1044" s="5" t="str">
        <f>TEXT(Patient_Data!$E1044,"mmmm")</f>
        <v>May</v>
      </c>
      <c r="C1044" s="6" t="str">
        <f t="shared" si="8"/>
        <v>May</v>
      </c>
      <c r="D1044" s="6">
        <f>MONTH(Patient_Data!$E1044)</f>
        <v>5</v>
      </c>
      <c r="E1044" s="7">
        <v>46146</v>
      </c>
      <c r="F1044" s="55" t="str">
        <f>TEXT(Patient_Data[[#This Row],[Admission_Date]],"YYYY")</f>
        <v>2026</v>
      </c>
      <c r="G1044" s="8" t="s">
        <v>2130</v>
      </c>
      <c r="H1044" s="8" t="s">
        <v>132</v>
      </c>
      <c r="I1044" s="4" t="s">
        <v>35</v>
      </c>
      <c r="J1044" s="4">
        <v>93</v>
      </c>
      <c r="K1044" s="4" t="s">
        <v>30</v>
      </c>
      <c r="L1044" s="8">
        <v>3</v>
      </c>
      <c r="M1044" s="9" t="s">
        <v>46</v>
      </c>
      <c r="N1044" s="9" t="str">
        <f t="shared" si="9"/>
        <v>Ortho</v>
      </c>
      <c r="O1044" s="10">
        <v>6940.56</v>
      </c>
      <c r="P1044" s="10">
        <v>4316.1400000000003</v>
      </c>
      <c r="Q1044" s="11">
        <v>10.3</v>
      </c>
      <c r="R1044" s="13" t="str">
        <f>IF(Patient_Data!$L1044&lt;2,"Low Risk",IF(Patient_Data!$L1044&lt;4,"Moderate Risk","High Risk"))</f>
        <v>Moderate Risk</v>
      </c>
      <c r="S1044" s="12" t="str">
        <f>IF(Patient_Data[[#This Row],[Age]]&lt;=18,"Pediatric",IF(Patient_Data[[#This Row],[Age]]&lt;=64,"Adult","Geriatric"))</f>
        <v>Geriatric</v>
      </c>
    </row>
    <row r="1045" spans="1:19" ht="15.75" customHeight="1" x14ac:dyDescent="0.3">
      <c r="A1045" s="4" t="s">
        <v>2131</v>
      </c>
      <c r="B1045" s="5" t="str">
        <f>TEXT(Patient_Data!$E1045,"mmmm")</f>
        <v>October</v>
      </c>
      <c r="C1045" s="6" t="str">
        <f t="shared" si="8"/>
        <v>Oct</v>
      </c>
      <c r="D1045" s="6">
        <f>MONTH(Patient_Data!$E1045)</f>
        <v>10</v>
      </c>
      <c r="E1045" s="7">
        <v>45938</v>
      </c>
      <c r="F1045" s="55" t="str">
        <f>TEXT(Patient_Data[[#This Row],[Admission_Date]],"YYYY")</f>
        <v>2025</v>
      </c>
      <c r="G1045" s="8" t="s">
        <v>2132</v>
      </c>
      <c r="H1045" s="8" t="s">
        <v>82</v>
      </c>
      <c r="I1045" s="4" t="s">
        <v>35</v>
      </c>
      <c r="J1045" s="4">
        <v>81</v>
      </c>
      <c r="K1045" s="4" t="s">
        <v>30</v>
      </c>
      <c r="L1045" s="8">
        <v>4</v>
      </c>
      <c r="M1045" s="9" t="s">
        <v>31</v>
      </c>
      <c r="N1045" s="9" t="str">
        <f t="shared" si="9"/>
        <v>Neuro</v>
      </c>
      <c r="O1045" s="10">
        <v>14945.85</v>
      </c>
      <c r="P1045" s="10">
        <v>9634.94</v>
      </c>
      <c r="Q1045" s="11">
        <v>8.6999999999999993</v>
      </c>
      <c r="R1045" s="13" t="str">
        <f>IF(Patient_Data!$L1045&lt;2,"Low Risk",IF(Patient_Data!$L1045&lt;4,"Moderate Risk","High Risk"))</f>
        <v>High Risk</v>
      </c>
      <c r="S1045" s="12" t="str">
        <f>IF(Patient_Data[[#This Row],[Age]]&lt;=18,"Pediatric",IF(Patient_Data[[#This Row],[Age]]&lt;=64,"Adult","Geriatric"))</f>
        <v>Geriatric</v>
      </c>
    </row>
    <row r="1046" spans="1:19" ht="15.75" customHeight="1" x14ac:dyDescent="0.3">
      <c r="A1046" s="4" t="s">
        <v>2133</v>
      </c>
      <c r="B1046" s="5" t="str">
        <f>TEXT(Patient_Data!$E1046,"mmmm")</f>
        <v>March</v>
      </c>
      <c r="C1046" s="6" t="str">
        <f t="shared" si="8"/>
        <v>Mar</v>
      </c>
      <c r="D1046" s="6">
        <f>MONTH(Patient_Data!$E1046)</f>
        <v>3</v>
      </c>
      <c r="E1046" s="7">
        <v>46108</v>
      </c>
      <c r="F1046" s="55" t="str">
        <f>TEXT(Patient_Data[[#This Row],[Admission_Date]],"YYYY")</f>
        <v>2026</v>
      </c>
      <c r="G1046" s="8" t="s">
        <v>2134</v>
      </c>
      <c r="H1046" s="8" t="s">
        <v>34</v>
      </c>
      <c r="I1046" s="4" t="s">
        <v>29</v>
      </c>
      <c r="J1046" s="4">
        <v>81</v>
      </c>
      <c r="K1046" s="4" t="s">
        <v>30</v>
      </c>
      <c r="L1046" s="8">
        <v>3</v>
      </c>
      <c r="M1046" s="9" t="s">
        <v>31</v>
      </c>
      <c r="N1046" s="9" t="str">
        <f t="shared" si="9"/>
        <v>Neuro</v>
      </c>
      <c r="O1046" s="10">
        <v>7839.81</v>
      </c>
      <c r="P1046" s="10">
        <v>5330.27</v>
      </c>
      <c r="Q1046" s="11">
        <v>9.6999999999999993</v>
      </c>
      <c r="R1046" s="13" t="str">
        <f>IF(Patient_Data!$L1046&lt;2,"Low Risk",IF(Patient_Data!$L1046&lt;4,"Moderate Risk","High Risk"))</f>
        <v>Moderate Risk</v>
      </c>
      <c r="S1046" s="12" t="str">
        <f>IF(Patient_Data[[#This Row],[Age]]&lt;=18,"Pediatric",IF(Patient_Data[[#This Row],[Age]]&lt;=64,"Adult","Geriatric"))</f>
        <v>Geriatric</v>
      </c>
    </row>
    <row r="1047" spans="1:19" ht="15.75" customHeight="1" x14ac:dyDescent="0.3">
      <c r="A1047" s="4" t="s">
        <v>2135</v>
      </c>
      <c r="B1047" s="5" t="str">
        <f>TEXT(Patient_Data!$E1047,"mmmm")</f>
        <v>July</v>
      </c>
      <c r="C1047" s="6" t="str">
        <f t="shared" si="8"/>
        <v>Jul</v>
      </c>
      <c r="D1047" s="6">
        <f>MONTH(Patient_Data!$E1047)</f>
        <v>7</v>
      </c>
      <c r="E1047" s="7">
        <v>45868</v>
      </c>
      <c r="F1047" s="55" t="str">
        <f>TEXT(Patient_Data[[#This Row],[Admission_Date]],"YYYY")</f>
        <v>2025</v>
      </c>
      <c r="G1047" s="8" t="s">
        <v>2136</v>
      </c>
      <c r="H1047" s="8" t="s">
        <v>53</v>
      </c>
      <c r="I1047" s="4" t="s">
        <v>35</v>
      </c>
      <c r="J1047" s="4">
        <v>43</v>
      </c>
      <c r="K1047" s="4" t="s">
        <v>30</v>
      </c>
      <c r="L1047" s="8">
        <v>2</v>
      </c>
      <c r="M1047" s="9" t="s">
        <v>83</v>
      </c>
      <c r="N1047" s="9" t="str">
        <f t="shared" si="9"/>
        <v>ER</v>
      </c>
      <c r="O1047" s="10">
        <v>9393.25</v>
      </c>
      <c r="P1047" s="10">
        <v>6666.47</v>
      </c>
      <c r="Q1047" s="11">
        <v>11.4</v>
      </c>
      <c r="R1047" s="13" t="str">
        <f>IF(Patient_Data!$L1047&lt;2,"Low Risk",IF(Patient_Data!$L1047&lt;4,"Moderate Risk","High Risk"))</f>
        <v>Moderate Risk</v>
      </c>
      <c r="S1047" s="12" t="str">
        <f>IF(Patient_Data[[#This Row],[Age]]&lt;=18,"Pediatric",IF(Patient_Data[[#This Row],[Age]]&lt;=64,"Adult","Geriatric"))</f>
        <v>Adult</v>
      </c>
    </row>
    <row r="1048" spans="1:19" ht="15.75" customHeight="1" x14ac:dyDescent="0.3">
      <c r="A1048" s="4" t="s">
        <v>2137</v>
      </c>
      <c r="B1048" s="5" t="str">
        <f>TEXT(Patient_Data!$E1048,"mmmm")</f>
        <v>February</v>
      </c>
      <c r="C1048" s="6" t="str">
        <f t="shared" si="8"/>
        <v>Feb</v>
      </c>
      <c r="D1048" s="6">
        <f>MONTH(Patient_Data!$E1048)</f>
        <v>2</v>
      </c>
      <c r="E1048" s="7">
        <v>45708</v>
      </c>
      <c r="F1048" s="55" t="str">
        <f>TEXT(Patient_Data[[#This Row],[Admission_Date]],"YYYY")</f>
        <v>2025</v>
      </c>
      <c r="G1048" s="8" t="s">
        <v>2138</v>
      </c>
      <c r="H1048" s="8" t="s">
        <v>82</v>
      </c>
      <c r="I1048" s="4" t="s">
        <v>35</v>
      </c>
      <c r="J1048" s="4">
        <v>26</v>
      </c>
      <c r="K1048" s="4" t="s">
        <v>30</v>
      </c>
      <c r="L1048" s="8">
        <v>2</v>
      </c>
      <c r="M1048" s="9" t="s">
        <v>31</v>
      </c>
      <c r="N1048" s="9" t="str">
        <f t="shared" si="9"/>
        <v>Neuro</v>
      </c>
      <c r="O1048" s="10">
        <v>6488.44</v>
      </c>
      <c r="P1048" s="10">
        <v>4829.3599999999997</v>
      </c>
      <c r="Q1048" s="11">
        <v>11.6</v>
      </c>
      <c r="R1048" s="13" t="str">
        <f>IF(Patient_Data!$L1048&lt;2,"Low Risk",IF(Patient_Data!$L1048&lt;4,"Moderate Risk","High Risk"))</f>
        <v>Moderate Risk</v>
      </c>
      <c r="S1048" s="12" t="str">
        <f>IF(Patient_Data[[#This Row],[Age]]&lt;=18,"Pediatric",IF(Patient_Data[[#This Row],[Age]]&lt;=64,"Adult","Geriatric"))</f>
        <v>Adult</v>
      </c>
    </row>
    <row r="1049" spans="1:19" ht="15.75" customHeight="1" x14ac:dyDescent="0.3">
      <c r="A1049" s="4" t="s">
        <v>2139</v>
      </c>
      <c r="B1049" s="5" t="str">
        <f>TEXT(Patient_Data!$E1049,"mmmm")</f>
        <v>January</v>
      </c>
      <c r="C1049" s="6" t="str">
        <f t="shared" si="8"/>
        <v>Jan</v>
      </c>
      <c r="D1049" s="6">
        <f>MONTH(Patient_Data!$E1049)</f>
        <v>1</v>
      </c>
      <c r="E1049" s="7">
        <v>45671</v>
      </c>
      <c r="F1049" s="55" t="str">
        <f>TEXT(Patient_Data[[#This Row],[Admission_Date]],"YYYY")</f>
        <v>2025</v>
      </c>
      <c r="G1049" s="8" t="s">
        <v>2140</v>
      </c>
      <c r="H1049" s="8" t="s">
        <v>28</v>
      </c>
      <c r="I1049" s="4" t="s">
        <v>29</v>
      </c>
      <c r="J1049" s="4">
        <v>79</v>
      </c>
      <c r="K1049" s="4" t="s">
        <v>45</v>
      </c>
      <c r="L1049" s="8">
        <v>4</v>
      </c>
      <c r="M1049" s="9" t="s">
        <v>72</v>
      </c>
      <c r="N1049" s="9" t="str">
        <f t="shared" si="9"/>
        <v>Surgery</v>
      </c>
      <c r="O1049" s="10">
        <v>13185.56</v>
      </c>
      <c r="P1049" s="10">
        <v>10060.23</v>
      </c>
      <c r="Q1049" s="11">
        <v>4.9000000000000004</v>
      </c>
      <c r="R1049" s="13" t="str">
        <f>IF(Patient_Data!$L1049&lt;2,"Low Risk",IF(Patient_Data!$L1049&lt;4,"Moderate Risk","High Risk"))</f>
        <v>High Risk</v>
      </c>
      <c r="S1049" s="12" t="str">
        <f>IF(Patient_Data[[#This Row],[Age]]&lt;=18,"Pediatric",IF(Patient_Data[[#This Row],[Age]]&lt;=64,"Adult","Geriatric"))</f>
        <v>Geriatric</v>
      </c>
    </row>
    <row r="1050" spans="1:19" ht="15.75" customHeight="1" x14ac:dyDescent="0.3">
      <c r="A1050" s="4" t="s">
        <v>2141</v>
      </c>
      <c r="B1050" s="5" t="str">
        <f>TEXT(Patient_Data!$E1050,"mmmm")</f>
        <v>April</v>
      </c>
      <c r="C1050" s="6" t="str">
        <f t="shared" si="8"/>
        <v>Apr</v>
      </c>
      <c r="D1050" s="6">
        <f>MONTH(Patient_Data!$E1050)</f>
        <v>4</v>
      </c>
      <c r="E1050" s="7">
        <v>45776</v>
      </c>
      <c r="F1050" s="55" t="str">
        <f>TEXT(Patient_Data[[#This Row],[Admission_Date]],"YYYY")</f>
        <v>2025</v>
      </c>
      <c r="G1050" s="8" t="s">
        <v>2142</v>
      </c>
      <c r="H1050" s="8" t="s">
        <v>53</v>
      </c>
      <c r="I1050" s="4" t="s">
        <v>29</v>
      </c>
      <c r="J1050" s="4">
        <v>7</v>
      </c>
      <c r="K1050" s="4" t="s">
        <v>30</v>
      </c>
      <c r="L1050" s="8">
        <v>3</v>
      </c>
      <c r="M1050" s="9" t="s">
        <v>79</v>
      </c>
      <c r="N1050" s="9" t="str">
        <f t="shared" si="9"/>
        <v>PD</v>
      </c>
      <c r="O1050" s="10">
        <v>2393.02</v>
      </c>
      <c r="P1050" s="10">
        <v>1403.15</v>
      </c>
      <c r="Q1050" s="11">
        <v>1.9</v>
      </c>
      <c r="R1050" s="13" t="str">
        <f>IF(Patient_Data!$L1050&lt;2,"Low Risk",IF(Patient_Data!$L1050&lt;4,"Moderate Risk","High Risk"))</f>
        <v>Moderate Risk</v>
      </c>
      <c r="S1050" s="12" t="str">
        <f>IF(Patient_Data[[#This Row],[Age]]&lt;=18,"Pediatric",IF(Patient_Data[[#This Row],[Age]]&lt;=64,"Adult","Geriatric"))</f>
        <v>Pediatric</v>
      </c>
    </row>
    <row r="1051" spans="1:19" ht="15.75" customHeight="1" x14ac:dyDescent="0.3">
      <c r="A1051" s="4" t="s">
        <v>2143</v>
      </c>
      <c r="B1051" s="5" t="str">
        <f>TEXT(Patient_Data!$E1051,"mmmm")</f>
        <v>April</v>
      </c>
      <c r="C1051" s="6" t="str">
        <f t="shared" si="8"/>
        <v>Apr</v>
      </c>
      <c r="D1051" s="6">
        <f>MONTH(Patient_Data!$E1051)</f>
        <v>4</v>
      </c>
      <c r="E1051" s="7">
        <v>45758</v>
      </c>
      <c r="F1051" s="55" t="str">
        <f>TEXT(Patient_Data[[#This Row],[Admission_Date]],"YYYY")</f>
        <v>2025</v>
      </c>
      <c r="G1051" s="8" t="s">
        <v>2144</v>
      </c>
      <c r="H1051" s="8" t="s">
        <v>132</v>
      </c>
      <c r="I1051" s="4" t="s">
        <v>35</v>
      </c>
      <c r="J1051" s="4">
        <v>83</v>
      </c>
      <c r="K1051" s="4" t="s">
        <v>54</v>
      </c>
      <c r="L1051" s="8">
        <v>3</v>
      </c>
      <c r="M1051" s="9" t="s">
        <v>83</v>
      </c>
      <c r="N1051" s="9" t="str">
        <f t="shared" si="9"/>
        <v>ER</v>
      </c>
      <c r="O1051" s="10">
        <v>4992.91</v>
      </c>
      <c r="P1051" s="10">
        <v>3213.68</v>
      </c>
      <c r="Q1051" s="11">
        <v>21</v>
      </c>
      <c r="R1051" s="13" t="str">
        <f>IF(Patient_Data!$L1051&lt;2,"Low Risk",IF(Patient_Data!$L1051&lt;4,"Moderate Risk","High Risk"))</f>
        <v>Moderate Risk</v>
      </c>
      <c r="S1051" s="12" t="str">
        <f>IF(Patient_Data[[#This Row],[Age]]&lt;=18,"Pediatric",IF(Patient_Data[[#This Row],[Age]]&lt;=64,"Adult","Geriatric"))</f>
        <v>Geriatric</v>
      </c>
    </row>
    <row r="1052" spans="1:19" ht="15.75" customHeight="1" x14ac:dyDescent="0.3">
      <c r="A1052" s="4" t="s">
        <v>2145</v>
      </c>
      <c r="B1052" s="5" t="str">
        <f>TEXT(Patient_Data!$E1052,"mmmm")</f>
        <v>May</v>
      </c>
      <c r="C1052" s="6" t="str">
        <f t="shared" si="8"/>
        <v>May</v>
      </c>
      <c r="D1052" s="6">
        <f>MONTH(Patient_Data!$E1052)</f>
        <v>5</v>
      </c>
      <c r="E1052" s="7">
        <v>46168</v>
      </c>
      <c r="F1052" s="55" t="str">
        <f>TEXT(Patient_Data[[#This Row],[Admission_Date]],"YYYY")</f>
        <v>2026</v>
      </c>
      <c r="G1052" s="8" t="s">
        <v>2146</v>
      </c>
      <c r="H1052" s="8" t="s">
        <v>28</v>
      </c>
      <c r="I1052" s="4" t="s">
        <v>29</v>
      </c>
      <c r="J1052" s="4">
        <v>27</v>
      </c>
      <c r="K1052" s="4" t="s">
        <v>54</v>
      </c>
      <c r="L1052" s="8">
        <v>3</v>
      </c>
      <c r="M1052" s="9" t="s">
        <v>31</v>
      </c>
      <c r="N1052" s="9" t="str">
        <f t="shared" si="9"/>
        <v>Neuro</v>
      </c>
      <c r="O1052" s="10">
        <v>6925.59</v>
      </c>
      <c r="P1052" s="10">
        <v>4465.9799999999996</v>
      </c>
      <c r="Q1052" s="11">
        <v>4.2</v>
      </c>
      <c r="R1052" s="13" t="str">
        <f>IF(Patient_Data!$L1052&lt;2,"Low Risk",IF(Patient_Data!$L1052&lt;4,"Moderate Risk","High Risk"))</f>
        <v>Moderate Risk</v>
      </c>
      <c r="S1052" s="12" t="str">
        <f>IF(Patient_Data[[#This Row],[Age]]&lt;=18,"Pediatric",IF(Patient_Data[[#This Row],[Age]]&lt;=64,"Adult","Geriatric"))</f>
        <v>Adult</v>
      </c>
    </row>
    <row r="1053" spans="1:19" ht="15.75" customHeight="1" x14ac:dyDescent="0.3">
      <c r="A1053" s="4" t="s">
        <v>2147</v>
      </c>
      <c r="B1053" s="5" t="str">
        <f>TEXT(Patient_Data!$E1053,"mmmm")</f>
        <v>March</v>
      </c>
      <c r="C1053" s="6" t="str">
        <f t="shared" si="8"/>
        <v>Mar</v>
      </c>
      <c r="D1053" s="6">
        <f>MONTH(Patient_Data!$E1053)</f>
        <v>3</v>
      </c>
      <c r="E1053" s="7">
        <v>45727</v>
      </c>
      <c r="F1053" s="55" t="str">
        <f>TEXT(Patient_Data[[#This Row],[Admission_Date]],"YYYY")</f>
        <v>2025</v>
      </c>
      <c r="G1053" s="8" t="s">
        <v>2148</v>
      </c>
      <c r="H1053" s="8" t="s">
        <v>53</v>
      </c>
      <c r="I1053" s="4" t="s">
        <v>29</v>
      </c>
      <c r="J1053" s="4">
        <v>82</v>
      </c>
      <c r="K1053" s="4" t="s">
        <v>30</v>
      </c>
      <c r="L1053" s="8">
        <v>5</v>
      </c>
      <c r="M1053" s="9" t="s">
        <v>72</v>
      </c>
      <c r="N1053" s="9" t="str">
        <f t="shared" si="9"/>
        <v>Surgery</v>
      </c>
      <c r="O1053" s="10">
        <v>18703.38</v>
      </c>
      <c r="P1053" s="10">
        <v>12615.26</v>
      </c>
      <c r="Q1053" s="11">
        <v>10.5</v>
      </c>
      <c r="R1053" s="13" t="str">
        <f>IF(Patient_Data!$L1053&lt;2,"Low Risk",IF(Patient_Data!$L1053&lt;4,"Moderate Risk","High Risk"))</f>
        <v>High Risk</v>
      </c>
      <c r="S1053" s="12" t="str">
        <f>IF(Patient_Data[[#This Row],[Age]]&lt;=18,"Pediatric",IF(Patient_Data[[#This Row],[Age]]&lt;=64,"Adult","Geriatric"))</f>
        <v>Geriatric</v>
      </c>
    </row>
    <row r="1054" spans="1:19" ht="15.75" customHeight="1" x14ac:dyDescent="0.3">
      <c r="A1054" s="4" t="s">
        <v>2149</v>
      </c>
      <c r="B1054" s="5" t="str">
        <f>TEXT(Patient_Data!$E1054,"mmmm")</f>
        <v>April</v>
      </c>
      <c r="C1054" s="6" t="str">
        <f t="shared" si="8"/>
        <v>Apr</v>
      </c>
      <c r="D1054" s="6">
        <f>MONTH(Patient_Data!$E1054)</f>
        <v>4</v>
      </c>
      <c r="E1054" s="7">
        <v>45756</v>
      </c>
      <c r="F1054" s="55" t="str">
        <f>TEXT(Patient_Data[[#This Row],[Admission_Date]],"YYYY")</f>
        <v>2025</v>
      </c>
      <c r="G1054" s="8" t="s">
        <v>2150</v>
      </c>
      <c r="H1054" s="8" t="s">
        <v>53</v>
      </c>
      <c r="I1054" s="4" t="s">
        <v>29</v>
      </c>
      <c r="J1054" s="4">
        <v>24</v>
      </c>
      <c r="K1054" s="4" t="s">
        <v>30</v>
      </c>
      <c r="L1054" s="8">
        <v>1</v>
      </c>
      <c r="M1054" s="9" t="s">
        <v>39</v>
      </c>
      <c r="N1054" s="9" t="str">
        <f t="shared" si="9"/>
        <v>GM</v>
      </c>
      <c r="O1054" s="10">
        <v>4799.97</v>
      </c>
      <c r="P1054" s="10">
        <v>3427.18</v>
      </c>
      <c r="Q1054" s="11">
        <v>8.4</v>
      </c>
      <c r="R1054" s="13" t="str">
        <f>IF(Patient_Data!$L1054&lt;2,"Low Risk",IF(Patient_Data!$L1054&lt;4,"Moderate Risk","High Risk"))</f>
        <v>Low Risk</v>
      </c>
      <c r="S1054" s="12" t="str">
        <f>IF(Patient_Data[[#This Row],[Age]]&lt;=18,"Pediatric",IF(Patient_Data[[#This Row],[Age]]&lt;=64,"Adult","Geriatric"))</f>
        <v>Adult</v>
      </c>
    </row>
    <row r="1055" spans="1:19" ht="15.75" customHeight="1" x14ac:dyDescent="0.3">
      <c r="A1055" s="4" t="s">
        <v>2151</v>
      </c>
      <c r="B1055" s="5" t="str">
        <f>TEXT(Patient_Data!$E1055,"mmmm")</f>
        <v>October</v>
      </c>
      <c r="C1055" s="6" t="str">
        <f t="shared" si="8"/>
        <v>Oct</v>
      </c>
      <c r="D1055" s="6">
        <f>MONTH(Patient_Data!$E1055)</f>
        <v>10</v>
      </c>
      <c r="E1055" s="7">
        <v>45944</v>
      </c>
      <c r="F1055" s="55" t="str">
        <f>TEXT(Patient_Data[[#This Row],[Admission_Date]],"YYYY")</f>
        <v>2025</v>
      </c>
      <c r="G1055" s="8" t="s">
        <v>2152</v>
      </c>
      <c r="H1055" s="8" t="s">
        <v>34</v>
      </c>
      <c r="I1055" s="4" t="s">
        <v>35</v>
      </c>
      <c r="J1055" s="4">
        <v>19</v>
      </c>
      <c r="K1055" s="4" t="s">
        <v>54</v>
      </c>
      <c r="L1055" s="8">
        <v>3</v>
      </c>
      <c r="M1055" s="9" t="s">
        <v>36</v>
      </c>
      <c r="N1055" s="9" t="str">
        <f t="shared" si="9"/>
        <v>Cardio</v>
      </c>
      <c r="O1055" s="10">
        <v>6624.98</v>
      </c>
      <c r="P1055" s="10">
        <v>4877.04</v>
      </c>
      <c r="Q1055" s="11">
        <v>5.0999999999999996</v>
      </c>
      <c r="R1055" s="13" t="str">
        <f>IF(Patient_Data!$L1055&lt;2,"Low Risk",IF(Patient_Data!$L1055&lt;4,"Moderate Risk","High Risk"))</f>
        <v>Moderate Risk</v>
      </c>
      <c r="S1055" s="12" t="str">
        <f>IF(Patient_Data[[#This Row],[Age]]&lt;=18,"Pediatric",IF(Patient_Data[[#This Row],[Age]]&lt;=64,"Adult","Geriatric"))</f>
        <v>Adult</v>
      </c>
    </row>
    <row r="1056" spans="1:19" ht="15.75" customHeight="1" x14ac:dyDescent="0.3">
      <c r="A1056" s="4" t="s">
        <v>2153</v>
      </c>
      <c r="B1056" s="5" t="str">
        <f>TEXT(Patient_Data!$E1056,"mmmm")</f>
        <v>November</v>
      </c>
      <c r="C1056" s="6" t="str">
        <f t="shared" si="8"/>
        <v>Nov</v>
      </c>
      <c r="D1056" s="6">
        <f>MONTH(Patient_Data!$E1056)</f>
        <v>11</v>
      </c>
      <c r="E1056" s="7">
        <v>45975</v>
      </c>
      <c r="F1056" s="55" t="str">
        <f>TEXT(Patient_Data[[#This Row],[Admission_Date]],"YYYY")</f>
        <v>2025</v>
      </c>
      <c r="G1056" s="8" t="s">
        <v>2154</v>
      </c>
      <c r="H1056" s="8" t="s">
        <v>28</v>
      </c>
      <c r="I1056" s="4" t="s">
        <v>29</v>
      </c>
      <c r="J1056" s="4">
        <v>24</v>
      </c>
      <c r="K1056" s="4" t="s">
        <v>30</v>
      </c>
      <c r="L1056" s="8">
        <v>1</v>
      </c>
      <c r="M1056" s="9" t="s">
        <v>36</v>
      </c>
      <c r="N1056" s="9" t="str">
        <f t="shared" si="9"/>
        <v>Cardio</v>
      </c>
      <c r="O1056" s="10">
        <v>10561.64</v>
      </c>
      <c r="P1056" s="10">
        <v>8082.05</v>
      </c>
      <c r="Q1056" s="11">
        <v>6.9</v>
      </c>
      <c r="R1056" s="13" t="str">
        <f>IF(Patient_Data!$L1056&lt;2,"Low Risk",IF(Patient_Data!$L1056&lt;4,"Moderate Risk","High Risk"))</f>
        <v>Low Risk</v>
      </c>
      <c r="S1056" s="12" t="str">
        <f>IF(Patient_Data[[#This Row],[Age]]&lt;=18,"Pediatric",IF(Patient_Data[[#This Row],[Age]]&lt;=64,"Adult","Geriatric"))</f>
        <v>Adult</v>
      </c>
    </row>
    <row r="1057" spans="1:19" ht="15.75" customHeight="1" x14ac:dyDescent="0.3">
      <c r="A1057" s="4" t="s">
        <v>2155</v>
      </c>
      <c r="B1057" s="5" t="str">
        <f>TEXT(Patient_Data!$E1057,"mmmm")</f>
        <v>August</v>
      </c>
      <c r="C1057" s="6" t="str">
        <f t="shared" si="8"/>
        <v>Aug</v>
      </c>
      <c r="D1057" s="6">
        <f>MONTH(Patient_Data!$E1057)</f>
        <v>8</v>
      </c>
      <c r="E1057" s="7">
        <v>45873</v>
      </c>
      <c r="F1057" s="55" t="str">
        <f>TEXT(Patient_Data[[#This Row],[Admission_Date]],"YYYY")</f>
        <v>2025</v>
      </c>
      <c r="G1057" s="8" t="s">
        <v>2156</v>
      </c>
      <c r="H1057" s="8" t="s">
        <v>34</v>
      </c>
      <c r="I1057" s="4" t="s">
        <v>35</v>
      </c>
      <c r="J1057" s="4">
        <v>63</v>
      </c>
      <c r="K1057" s="4" t="s">
        <v>54</v>
      </c>
      <c r="L1057" s="8">
        <v>2</v>
      </c>
      <c r="M1057" s="9" t="s">
        <v>39</v>
      </c>
      <c r="N1057" s="9" t="str">
        <f t="shared" si="9"/>
        <v>GM</v>
      </c>
      <c r="O1057" s="10">
        <v>5013.4399999999996</v>
      </c>
      <c r="P1057" s="10">
        <v>2977.4</v>
      </c>
      <c r="Q1057" s="11">
        <v>8.6999999999999993</v>
      </c>
      <c r="R1057" s="13" t="str">
        <f>IF(Patient_Data!$L1057&lt;2,"Low Risk",IF(Patient_Data!$L1057&lt;4,"Moderate Risk","High Risk"))</f>
        <v>Moderate Risk</v>
      </c>
      <c r="S1057" s="12" t="str">
        <f>IF(Patient_Data[[#This Row],[Age]]&lt;=18,"Pediatric",IF(Patient_Data[[#This Row],[Age]]&lt;=64,"Adult","Geriatric"))</f>
        <v>Adult</v>
      </c>
    </row>
    <row r="1058" spans="1:19" ht="15.75" customHeight="1" x14ac:dyDescent="0.3">
      <c r="A1058" s="4" t="s">
        <v>2157</v>
      </c>
      <c r="B1058" s="5" t="str">
        <f>TEXT(Patient_Data!$E1058,"mmmm")</f>
        <v>April</v>
      </c>
      <c r="C1058" s="6" t="str">
        <f t="shared" si="8"/>
        <v>Apr</v>
      </c>
      <c r="D1058" s="6">
        <f>MONTH(Patient_Data!$E1058)</f>
        <v>4</v>
      </c>
      <c r="E1058" s="7">
        <v>45756</v>
      </c>
      <c r="F1058" s="55" t="str">
        <f>TEXT(Patient_Data[[#This Row],[Admission_Date]],"YYYY")</f>
        <v>2025</v>
      </c>
      <c r="G1058" s="8" t="s">
        <v>2158</v>
      </c>
      <c r="H1058" s="8" t="s">
        <v>75</v>
      </c>
      <c r="I1058" s="4" t="s">
        <v>29</v>
      </c>
      <c r="J1058" s="4">
        <v>47</v>
      </c>
      <c r="K1058" s="4" t="s">
        <v>30</v>
      </c>
      <c r="L1058" s="8">
        <v>2</v>
      </c>
      <c r="M1058" s="9" t="s">
        <v>39</v>
      </c>
      <c r="N1058" s="9" t="str">
        <f t="shared" si="9"/>
        <v>GM</v>
      </c>
      <c r="O1058" s="10">
        <v>3835.61</v>
      </c>
      <c r="P1058" s="10">
        <v>2413.3200000000002</v>
      </c>
      <c r="Q1058" s="11">
        <v>9.1999999999999993</v>
      </c>
      <c r="R1058" s="13" t="str">
        <f>IF(Patient_Data!$L1058&lt;2,"Low Risk",IF(Patient_Data!$L1058&lt;4,"Moderate Risk","High Risk"))</f>
        <v>Moderate Risk</v>
      </c>
      <c r="S1058" s="12" t="str">
        <f>IF(Patient_Data[[#This Row],[Age]]&lt;=18,"Pediatric",IF(Patient_Data[[#This Row],[Age]]&lt;=64,"Adult","Geriatric"))</f>
        <v>Adult</v>
      </c>
    </row>
    <row r="1059" spans="1:19" ht="15.75" customHeight="1" x14ac:dyDescent="0.3">
      <c r="A1059" s="4" t="s">
        <v>2159</v>
      </c>
      <c r="B1059" s="5" t="str">
        <f>TEXT(Patient_Data!$E1059,"mmmm")</f>
        <v>February</v>
      </c>
      <c r="C1059" s="6" t="str">
        <f t="shared" si="8"/>
        <v>Feb</v>
      </c>
      <c r="D1059" s="6">
        <f>MONTH(Patient_Data!$E1059)</f>
        <v>2</v>
      </c>
      <c r="E1059" s="7">
        <v>45328</v>
      </c>
      <c r="F1059" s="55" t="str">
        <f>TEXT(Patient_Data[[#This Row],[Admission_Date]],"YYYY")</f>
        <v>2024</v>
      </c>
      <c r="G1059" s="8" t="s">
        <v>2160</v>
      </c>
      <c r="H1059" s="8" t="s">
        <v>82</v>
      </c>
      <c r="I1059" s="4" t="s">
        <v>35</v>
      </c>
      <c r="J1059" s="4">
        <v>83</v>
      </c>
      <c r="K1059" s="4" t="s">
        <v>54</v>
      </c>
      <c r="L1059" s="8">
        <v>4</v>
      </c>
      <c r="M1059" s="9" t="s">
        <v>83</v>
      </c>
      <c r="N1059" s="9" t="str">
        <f t="shared" si="9"/>
        <v>ER</v>
      </c>
      <c r="O1059" s="10">
        <v>4513.32</v>
      </c>
      <c r="P1059" s="10">
        <v>3045.32</v>
      </c>
      <c r="Q1059" s="11">
        <v>19.600000000000001</v>
      </c>
      <c r="R1059" s="13" t="str">
        <f>IF(Patient_Data!$L1059&lt;2,"Low Risk",IF(Patient_Data!$L1059&lt;4,"Moderate Risk","High Risk"))</f>
        <v>High Risk</v>
      </c>
      <c r="S1059" s="12" t="str">
        <f>IF(Patient_Data[[#This Row],[Age]]&lt;=18,"Pediatric",IF(Patient_Data[[#This Row],[Age]]&lt;=64,"Adult","Geriatric"))</f>
        <v>Geriatric</v>
      </c>
    </row>
    <row r="1060" spans="1:19" ht="15.75" customHeight="1" x14ac:dyDescent="0.3">
      <c r="A1060" s="4" t="s">
        <v>2161</v>
      </c>
      <c r="B1060" s="5" t="str">
        <f>TEXT(Patient_Data!$E1060,"mmmm")</f>
        <v>August</v>
      </c>
      <c r="C1060" s="6" t="str">
        <f t="shared" si="8"/>
        <v>Aug</v>
      </c>
      <c r="D1060" s="6">
        <f>MONTH(Patient_Data!$E1060)</f>
        <v>8</v>
      </c>
      <c r="E1060" s="7">
        <v>45876</v>
      </c>
      <c r="F1060" s="55" t="str">
        <f>TEXT(Patient_Data[[#This Row],[Admission_Date]],"YYYY")</f>
        <v>2025</v>
      </c>
      <c r="G1060" s="8" t="s">
        <v>2162</v>
      </c>
      <c r="H1060" s="8" t="s">
        <v>132</v>
      </c>
      <c r="I1060" s="4" t="s">
        <v>35</v>
      </c>
      <c r="J1060" s="4">
        <v>80</v>
      </c>
      <c r="K1060" s="4" t="s">
        <v>30</v>
      </c>
      <c r="L1060" s="8">
        <v>3</v>
      </c>
      <c r="M1060" s="9" t="s">
        <v>50</v>
      </c>
      <c r="N1060" s="9" t="str">
        <f t="shared" si="9"/>
        <v>ICU</v>
      </c>
      <c r="O1060" s="10">
        <v>19719.61</v>
      </c>
      <c r="P1060" s="10">
        <v>13299.34</v>
      </c>
      <c r="Q1060" s="11">
        <v>10.9</v>
      </c>
      <c r="R1060" s="13" t="str">
        <f>IF(Patient_Data!$L1060&lt;2,"Low Risk",IF(Patient_Data!$L1060&lt;4,"Moderate Risk","High Risk"))</f>
        <v>Moderate Risk</v>
      </c>
      <c r="S1060" s="12" t="str">
        <f>IF(Patient_Data[[#This Row],[Age]]&lt;=18,"Pediatric",IF(Patient_Data[[#This Row],[Age]]&lt;=64,"Adult","Geriatric"))</f>
        <v>Geriatric</v>
      </c>
    </row>
    <row r="1061" spans="1:19" ht="15.75" customHeight="1" x14ac:dyDescent="0.3">
      <c r="A1061" s="4" t="s">
        <v>2163</v>
      </c>
      <c r="B1061" s="5" t="str">
        <f>TEXT(Patient_Data!$E1061,"mmmm")</f>
        <v>February</v>
      </c>
      <c r="C1061" s="6" t="str">
        <f t="shared" si="8"/>
        <v>Feb</v>
      </c>
      <c r="D1061" s="6">
        <f>MONTH(Patient_Data!$E1061)</f>
        <v>2</v>
      </c>
      <c r="E1061" s="7">
        <v>46072</v>
      </c>
      <c r="F1061" s="55" t="str">
        <f>TEXT(Patient_Data[[#This Row],[Admission_Date]],"YYYY")</f>
        <v>2026</v>
      </c>
      <c r="G1061" s="8" t="s">
        <v>2164</v>
      </c>
      <c r="H1061" s="8" t="s">
        <v>98</v>
      </c>
      <c r="I1061" s="4" t="s">
        <v>35</v>
      </c>
      <c r="J1061" s="4">
        <v>92</v>
      </c>
      <c r="K1061" s="4" t="s">
        <v>30</v>
      </c>
      <c r="L1061" s="8">
        <v>3</v>
      </c>
      <c r="M1061" s="9" t="s">
        <v>46</v>
      </c>
      <c r="N1061" s="9" t="str">
        <f t="shared" si="9"/>
        <v>Ortho</v>
      </c>
      <c r="O1061" s="10">
        <v>5124.32</v>
      </c>
      <c r="P1061" s="10">
        <v>3636.62</v>
      </c>
      <c r="Q1061" s="11">
        <v>6.2</v>
      </c>
      <c r="R1061" s="13" t="str">
        <f>IF(Patient_Data!$L1061&lt;2,"Low Risk",IF(Patient_Data!$L1061&lt;4,"Moderate Risk","High Risk"))</f>
        <v>Moderate Risk</v>
      </c>
      <c r="S1061" s="12" t="str">
        <f>IF(Patient_Data[[#This Row],[Age]]&lt;=18,"Pediatric",IF(Patient_Data[[#This Row],[Age]]&lt;=64,"Adult","Geriatric"))</f>
        <v>Geriatric</v>
      </c>
    </row>
    <row r="1062" spans="1:19" ht="15.75" customHeight="1" x14ac:dyDescent="0.3">
      <c r="A1062" s="4" t="s">
        <v>2165</v>
      </c>
      <c r="B1062" s="5" t="str">
        <f>TEXT(Patient_Data!$E1062,"mmmm")</f>
        <v>February</v>
      </c>
      <c r="C1062" s="6" t="str">
        <f t="shared" si="8"/>
        <v>Feb</v>
      </c>
      <c r="D1062" s="6">
        <f>MONTH(Patient_Data!$E1062)</f>
        <v>2</v>
      </c>
      <c r="E1062" s="7">
        <v>45692</v>
      </c>
      <c r="F1062" s="55" t="str">
        <f>TEXT(Patient_Data[[#This Row],[Admission_Date]],"YYYY")</f>
        <v>2025</v>
      </c>
      <c r="G1062" s="8" t="s">
        <v>2166</v>
      </c>
      <c r="H1062" s="8" t="s">
        <v>28</v>
      </c>
      <c r="I1062" s="4" t="s">
        <v>29</v>
      </c>
      <c r="J1062" s="4">
        <v>7</v>
      </c>
      <c r="K1062" s="4" t="s">
        <v>30</v>
      </c>
      <c r="L1062" s="8">
        <v>3</v>
      </c>
      <c r="M1062" s="9" t="s">
        <v>79</v>
      </c>
      <c r="N1062" s="9" t="str">
        <f t="shared" si="9"/>
        <v>PD</v>
      </c>
      <c r="O1062" s="10">
        <v>1312.9</v>
      </c>
      <c r="P1062" s="10">
        <v>963.22</v>
      </c>
      <c r="Q1062" s="11">
        <v>0.6</v>
      </c>
      <c r="R1062" s="13" t="str">
        <f>IF(Patient_Data!$L1062&lt;2,"Low Risk",IF(Patient_Data!$L1062&lt;4,"Moderate Risk","High Risk"))</f>
        <v>Moderate Risk</v>
      </c>
      <c r="S1062" s="12" t="str">
        <f>IF(Patient_Data[[#This Row],[Age]]&lt;=18,"Pediatric",IF(Patient_Data[[#This Row],[Age]]&lt;=64,"Adult","Geriatric"))</f>
        <v>Pediatric</v>
      </c>
    </row>
    <row r="1063" spans="1:19" ht="15.75" customHeight="1" x14ac:dyDescent="0.3">
      <c r="A1063" s="4" t="s">
        <v>2167</v>
      </c>
      <c r="B1063" s="5" t="str">
        <f>TEXT(Patient_Data!$E1063,"mmmm")</f>
        <v>May</v>
      </c>
      <c r="C1063" s="6" t="str">
        <f t="shared" si="8"/>
        <v>May</v>
      </c>
      <c r="D1063" s="6">
        <f>MONTH(Patient_Data!$E1063)</f>
        <v>5</v>
      </c>
      <c r="E1063" s="7">
        <v>46148</v>
      </c>
      <c r="F1063" s="55" t="str">
        <f>TEXT(Patient_Data[[#This Row],[Admission_Date]],"YYYY")</f>
        <v>2026</v>
      </c>
      <c r="G1063" s="8" t="s">
        <v>2168</v>
      </c>
      <c r="H1063" s="8" t="s">
        <v>49</v>
      </c>
      <c r="I1063" s="4" t="s">
        <v>29</v>
      </c>
      <c r="J1063" s="4">
        <v>20</v>
      </c>
      <c r="K1063" s="4" t="s">
        <v>30</v>
      </c>
      <c r="L1063" s="8">
        <v>1</v>
      </c>
      <c r="M1063" s="9" t="s">
        <v>31</v>
      </c>
      <c r="N1063" s="9" t="str">
        <f t="shared" si="9"/>
        <v>Neuro</v>
      </c>
      <c r="O1063" s="10">
        <v>4746.3999999999996</v>
      </c>
      <c r="P1063" s="10">
        <v>3656.06</v>
      </c>
      <c r="Q1063" s="11">
        <v>6.1</v>
      </c>
      <c r="R1063" s="13" t="str">
        <f>IF(Patient_Data!$L1063&lt;2,"Low Risk",IF(Patient_Data!$L1063&lt;4,"Moderate Risk","High Risk"))</f>
        <v>Low Risk</v>
      </c>
      <c r="S1063" s="12" t="str">
        <f>IF(Patient_Data[[#This Row],[Age]]&lt;=18,"Pediatric",IF(Patient_Data[[#This Row],[Age]]&lt;=64,"Adult","Geriatric"))</f>
        <v>Adult</v>
      </c>
    </row>
    <row r="1064" spans="1:19" ht="15.75" customHeight="1" x14ac:dyDescent="0.3">
      <c r="A1064" s="4" t="s">
        <v>2169</v>
      </c>
      <c r="B1064" s="5" t="str">
        <f>TEXT(Patient_Data!$E1064,"mmmm")</f>
        <v>March</v>
      </c>
      <c r="C1064" s="6" t="str">
        <f t="shared" si="8"/>
        <v>Mar</v>
      </c>
      <c r="D1064" s="6">
        <f>MONTH(Patient_Data!$E1064)</f>
        <v>3</v>
      </c>
      <c r="E1064" s="7">
        <v>45722</v>
      </c>
      <c r="F1064" s="55" t="str">
        <f>TEXT(Patient_Data[[#This Row],[Admission_Date]],"YYYY")</f>
        <v>2025</v>
      </c>
      <c r="G1064" s="8" t="s">
        <v>2170</v>
      </c>
      <c r="H1064" s="8" t="s">
        <v>82</v>
      </c>
      <c r="I1064" s="4" t="s">
        <v>35</v>
      </c>
      <c r="J1064" s="4">
        <v>58</v>
      </c>
      <c r="K1064" s="4" t="s">
        <v>54</v>
      </c>
      <c r="L1064" s="8">
        <v>5</v>
      </c>
      <c r="M1064" s="9" t="s">
        <v>50</v>
      </c>
      <c r="N1064" s="9" t="str">
        <f t="shared" si="9"/>
        <v>ICU</v>
      </c>
      <c r="O1064" s="10">
        <v>17822.939999999999</v>
      </c>
      <c r="P1064" s="10">
        <v>10447.709999999999</v>
      </c>
      <c r="Q1064" s="11">
        <v>13.8</v>
      </c>
      <c r="R1064" s="13" t="str">
        <f>IF(Patient_Data!$L1064&lt;2,"Low Risk",IF(Patient_Data!$L1064&lt;4,"Moderate Risk","High Risk"))</f>
        <v>High Risk</v>
      </c>
      <c r="S1064" s="12" t="str">
        <f>IF(Patient_Data[[#This Row],[Age]]&lt;=18,"Pediatric",IF(Patient_Data[[#This Row],[Age]]&lt;=64,"Adult","Geriatric"))</f>
        <v>Adult</v>
      </c>
    </row>
    <row r="1065" spans="1:19" ht="15.75" customHeight="1" x14ac:dyDescent="0.3">
      <c r="A1065" s="4" t="s">
        <v>2171</v>
      </c>
      <c r="B1065" s="5" t="str">
        <f>TEXT(Patient_Data!$E1065,"mmmm")</f>
        <v>March</v>
      </c>
      <c r="C1065" s="6" t="str">
        <f t="shared" si="8"/>
        <v>Mar</v>
      </c>
      <c r="D1065" s="6">
        <f>MONTH(Patient_Data!$E1065)</f>
        <v>3</v>
      </c>
      <c r="E1065" s="7">
        <v>45723</v>
      </c>
      <c r="F1065" s="55" t="str">
        <f>TEXT(Patient_Data[[#This Row],[Admission_Date]],"YYYY")</f>
        <v>2025</v>
      </c>
      <c r="G1065" s="8" t="s">
        <v>2172</v>
      </c>
      <c r="H1065" s="8" t="s">
        <v>28</v>
      </c>
      <c r="I1065" s="4" t="s">
        <v>35</v>
      </c>
      <c r="J1065" s="4">
        <v>79</v>
      </c>
      <c r="K1065" s="4" t="s">
        <v>30</v>
      </c>
      <c r="L1065" s="8">
        <v>2</v>
      </c>
      <c r="M1065" s="9" t="s">
        <v>31</v>
      </c>
      <c r="N1065" s="9" t="str">
        <f t="shared" si="9"/>
        <v>Neuro</v>
      </c>
      <c r="O1065" s="10">
        <v>12082.02</v>
      </c>
      <c r="P1065" s="10">
        <v>7449.23</v>
      </c>
      <c r="Q1065" s="11">
        <v>9.9</v>
      </c>
      <c r="R1065" s="13" t="str">
        <f>IF(Patient_Data!$L1065&lt;2,"Low Risk",IF(Patient_Data!$L1065&lt;4,"Moderate Risk","High Risk"))</f>
        <v>Moderate Risk</v>
      </c>
      <c r="S1065" s="12" t="str">
        <f>IF(Patient_Data[[#This Row],[Age]]&lt;=18,"Pediatric",IF(Patient_Data[[#This Row],[Age]]&lt;=64,"Adult","Geriatric"))</f>
        <v>Geriatric</v>
      </c>
    </row>
    <row r="1066" spans="1:19" ht="15.75" customHeight="1" x14ac:dyDescent="0.3">
      <c r="A1066" s="4" t="s">
        <v>2173</v>
      </c>
      <c r="B1066" s="5" t="str">
        <f>TEXT(Patient_Data!$E1066,"mmmm")</f>
        <v>June</v>
      </c>
      <c r="C1066" s="6" t="str">
        <f t="shared" si="8"/>
        <v>Jun</v>
      </c>
      <c r="D1066" s="6">
        <f>MONTH(Patient_Data!$E1066)</f>
        <v>6</v>
      </c>
      <c r="E1066" s="7">
        <v>45448</v>
      </c>
      <c r="F1066" s="55" t="str">
        <f>TEXT(Patient_Data[[#This Row],[Admission_Date]],"YYYY")</f>
        <v>2024</v>
      </c>
      <c r="G1066" s="8" t="s">
        <v>2174</v>
      </c>
      <c r="H1066" s="8" t="s">
        <v>49</v>
      </c>
      <c r="I1066" s="4" t="s">
        <v>29</v>
      </c>
      <c r="J1066" s="4">
        <v>81</v>
      </c>
      <c r="K1066" s="4" t="s">
        <v>45</v>
      </c>
      <c r="L1066" s="8">
        <v>5</v>
      </c>
      <c r="M1066" s="9" t="s">
        <v>46</v>
      </c>
      <c r="N1066" s="9" t="str">
        <f t="shared" si="9"/>
        <v>Ortho</v>
      </c>
      <c r="O1066" s="10">
        <v>10308.209999999999</v>
      </c>
      <c r="P1066" s="10">
        <v>6666.05</v>
      </c>
      <c r="Q1066" s="11">
        <v>8.6</v>
      </c>
      <c r="R1066" s="13" t="str">
        <f>IF(Patient_Data!$L1066&lt;2,"Low Risk",IF(Patient_Data!$L1066&lt;4,"Moderate Risk","High Risk"))</f>
        <v>High Risk</v>
      </c>
      <c r="S1066" s="12" t="str">
        <f>IF(Patient_Data[[#This Row],[Age]]&lt;=18,"Pediatric",IF(Patient_Data[[#This Row],[Age]]&lt;=64,"Adult","Geriatric"))</f>
        <v>Geriatric</v>
      </c>
    </row>
    <row r="1067" spans="1:19" ht="15.75" customHeight="1" x14ac:dyDescent="0.3">
      <c r="A1067" s="4" t="s">
        <v>2175</v>
      </c>
      <c r="B1067" s="5" t="str">
        <f>TEXT(Patient_Data!$E1067,"mmmm")</f>
        <v>April</v>
      </c>
      <c r="C1067" s="6" t="str">
        <f t="shared" si="8"/>
        <v>Apr</v>
      </c>
      <c r="D1067" s="6">
        <f>MONTH(Patient_Data!$E1067)</f>
        <v>4</v>
      </c>
      <c r="E1067" s="7">
        <v>45390</v>
      </c>
      <c r="F1067" s="55" t="str">
        <f>TEXT(Patient_Data[[#This Row],[Admission_Date]],"YYYY")</f>
        <v>2024</v>
      </c>
      <c r="G1067" s="8" t="s">
        <v>2103</v>
      </c>
      <c r="H1067" s="8" t="s">
        <v>98</v>
      </c>
      <c r="I1067" s="4" t="s">
        <v>29</v>
      </c>
      <c r="J1067" s="4">
        <v>74</v>
      </c>
      <c r="K1067" s="4" t="s">
        <v>45</v>
      </c>
      <c r="L1067" s="8">
        <v>5</v>
      </c>
      <c r="M1067" s="9" t="s">
        <v>50</v>
      </c>
      <c r="N1067" s="9" t="str">
        <f t="shared" si="9"/>
        <v>ICU</v>
      </c>
      <c r="O1067" s="10">
        <v>17908.39</v>
      </c>
      <c r="P1067" s="10">
        <v>12097.82</v>
      </c>
      <c r="Q1067" s="11">
        <v>12.4</v>
      </c>
      <c r="R1067" s="13" t="str">
        <f>IF(Patient_Data!$L1067&lt;2,"Low Risk",IF(Patient_Data!$L1067&lt;4,"Moderate Risk","High Risk"))</f>
        <v>High Risk</v>
      </c>
      <c r="S1067" s="12" t="str">
        <f>IF(Patient_Data[[#This Row],[Age]]&lt;=18,"Pediatric",IF(Patient_Data[[#This Row],[Age]]&lt;=64,"Adult","Geriatric"))</f>
        <v>Geriatric</v>
      </c>
    </row>
    <row r="1068" spans="1:19" ht="15.75" customHeight="1" x14ac:dyDescent="0.3">
      <c r="A1068" s="4" t="s">
        <v>2176</v>
      </c>
      <c r="B1068" s="5" t="str">
        <f>TEXT(Patient_Data!$E1068,"mmmm")</f>
        <v>December</v>
      </c>
      <c r="C1068" s="6" t="str">
        <f t="shared" si="8"/>
        <v>Dec</v>
      </c>
      <c r="D1068" s="6">
        <f>MONTH(Patient_Data!$E1068)</f>
        <v>12</v>
      </c>
      <c r="E1068" s="7">
        <v>45657</v>
      </c>
      <c r="F1068" s="55" t="str">
        <f>TEXT(Patient_Data[[#This Row],[Admission_Date]],"YYYY")</f>
        <v>2024</v>
      </c>
      <c r="G1068" s="8" t="s">
        <v>2177</v>
      </c>
      <c r="H1068" s="8" t="s">
        <v>34</v>
      </c>
      <c r="I1068" s="4" t="s">
        <v>35</v>
      </c>
      <c r="J1068" s="4">
        <v>68</v>
      </c>
      <c r="K1068" s="4" t="s">
        <v>54</v>
      </c>
      <c r="L1068" s="8">
        <v>5</v>
      </c>
      <c r="M1068" s="9" t="s">
        <v>50</v>
      </c>
      <c r="N1068" s="9" t="str">
        <f t="shared" si="9"/>
        <v>ICU</v>
      </c>
      <c r="O1068" s="10">
        <v>22282.37</v>
      </c>
      <c r="P1068" s="10">
        <v>15712.86</v>
      </c>
      <c r="Q1068" s="11">
        <v>14.4</v>
      </c>
      <c r="R1068" s="13" t="str">
        <f>IF(Patient_Data!$L1068&lt;2,"Low Risk",IF(Patient_Data!$L1068&lt;4,"Moderate Risk","High Risk"))</f>
        <v>High Risk</v>
      </c>
      <c r="S1068" s="12" t="str">
        <f>IF(Patient_Data[[#This Row],[Age]]&lt;=18,"Pediatric",IF(Patient_Data[[#This Row],[Age]]&lt;=64,"Adult","Geriatric"))</f>
        <v>Geriatric</v>
      </c>
    </row>
    <row r="1069" spans="1:19" ht="15.75" customHeight="1" x14ac:dyDescent="0.3">
      <c r="A1069" s="4" t="s">
        <v>2178</v>
      </c>
      <c r="B1069" s="5" t="str">
        <f>TEXT(Patient_Data!$E1069,"mmmm")</f>
        <v>January</v>
      </c>
      <c r="C1069" s="6" t="str">
        <f t="shared" si="8"/>
        <v>Jan</v>
      </c>
      <c r="D1069" s="6">
        <f>MONTH(Patient_Data!$E1069)</f>
        <v>1</v>
      </c>
      <c r="E1069" s="7">
        <v>45663</v>
      </c>
      <c r="F1069" s="55" t="str">
        <f>TEXT(Patient_Data[[#This Row],[Admission_Date]],"YYYY")</f>
        <v>2025</v>
      </c>
      <c r="G1069" s="8" t="s">
        <v>2179</v>
      </c>
      <c r="H1069" s="8" t="s">
        <v>132</v>
      </c>
      <c r="I1069" s="4" t="s">
        <v>35</v>
      </c>
      <c r="J1069" s="4">
        <v>72</v>
      </c>
      <c r="K1069" s="4" t="s">
        <v>45</v>
      </c>
      <c r="L1069" s="8">
        <v>5</v>
      </c>
      <c r="M1069" s="9" t="s">
        <v>46</v>
      </c>
      <c r="N1069" s="9" t="str">
        <f t="shared" si="9"/>
        <v>Ortho</v>
      </c>
      <c r="O1069" s="10">
        <v>7870.29</v>
      </c>
      <c r="P1069" s="10">
        <v>5782.11</v>
      </c>
      <c r="Q1069" s="11">
        <v>4.5999999999999996</v>
      </c>
      <c r="R1069" s="13" t="str">
        <f>IF(Patient_Data!$L1069&lt;2,"Low Risk",IF(Patient_Data!$L1069&lt;4,"Moderate Risk","High Risk"))</f>
        <v>High Risk</v>
      </c>
      <c r="S1069" s="12" t="str">
        <f>IF(Patient_Data[[#This Row],[Age]]&lt;=18,"Pediatric",IF(Patient_Data[[#This Row],[Age]]&lt;=64,"Adult","Geriatric"))</f>
        <v>Geriatric</v>
      </c>
    </row>
    <row r="1070" spans="1:19" ht="15.75" customHeight="1" x14ac:dyDescent="0.3">
      <c r="A1070" s="4" t="s">
        <v>2180</v>
      </c>
      <c r="B1070" s="5" t="str">
        <f>TEXT(Patient_Data!$E1070,"mmmm")</f>
        <v>December</v>
      </c>
      <c r="C1070" s="6" t="str">
        <f t="shared" si="8"/>
        <v>Dec</v>
      </c>
      <c r="D1070" s="6">
        <f>MONTH(Patient_Data!$E1070)</f>
        <v>12</v>
      </c>
      <c r="E1070" s="7">
        <v>45629</v>
      </c>
      <c r="F1070" s="55" t="str">
        <f>TEXT(Patient_Data[[#This Row],[Admission_Date]],"YYYY")</f>
        <v>2024</v>
      </c>
      <c r="G1070" s="8" t="s">
        <v>1662</v>
      </c>
      <c r="H1070" s="8" t="s">
        <v>34</v>
      </c>
      <c r="I1070" s="4" t="s">
        <v>35</v>
      </c>
      <c r="J1070" s="4">
        <v>39</v>
      </c>
      <c r="K1070" s="4" t="s">
        <v>45</v>
      </c>
      <c r="L1070" s="8">
        <v>4</v>
      </c>
      <c r="M1070" s="9" t="s">
        <v>72</v>
      </c>
      <c r="N1070" s="9" t="str">
        <f t="shared" si="9"/>
        <v>Surgery</v>
      </c>
      <c r="O1070" s="10">
        <v>19270.060000000001</v>
      </c>
      <c r="P1070" s="10">
        <v>14719.65</v>
      </c>
      <c r="Q1070" s="11">
        <v>9.3000000000000007</v>
      </c>
      <c r="R1070" s="13" t="str">
        <f>IF(Patient_Data!$L1070&lt;2,"Low Risk",IF(Patient_Data!$L1070&lt;4,"Moderate Risk","High Risk"))</f>
        <v>High Risk</v>
      </c>
      <c r="S1070" s="12" t="str">
        <f>IF(Patient_Data[[#This Row],[Age]]&lt;=18,"Pediatric",IF(Patient_Data[[#This Row],[Age]]&lt;=64,"Adult","Geriatric"))</f>
        <v>Adult</v>
      </c>
    </row>
    <row r="1071" spans="1:19" ht="15.75" customHeight="1" x14ac:dyDescent="0.3">
      <c r="A1071" s="4" t="s">
        <v>2181</v>
      </c>
      <c r="B1071" s="5" t="str">
        <f>TEXT(Patient_Data!$E1071,"mmmm")</f>
        <v>December</v>
      </c>
      <c r="C1071" s="6" t="str">
        <f t="shared" si="8"/>
        <v>Dec</v>
      </c>
      <c r="D1071" s="6">
        <f>MONTH(Patient_Data!$E1071)</f>
        <v>12</v>
      </c>
      <c r="E1071" s="7">
        <v>45643</v>
      </c>
      <c r="F1071" s="55" t="str">
        <f>TEXT(Patient_Data[[#This Row],[Admission_Date]],"YYYY")</f>
        <v>2024</v>
      </c>
      <c r="G1071" s="8" t="s">
        <v>2182</v>
      </c>
      <c r="H1071" s="8" t="s">
        <v>75</v>
      </c>
      <c r="I1071" s="4" t="s">
        <v>29</v>
      </c>
      <c r="J1071" s="4">
        <v>26</v>
      </c>
      <c r="K1071" s="4" t="s">
        <v>30</v>
      </c>
      <c r="L1071" s="8">
        <v>1</v>
      </c>
      <c r="M1071" s="9" t="s">
        <v>83</v>
      </c>
      <c r="N1071" s="9" t="str">
        <f t="shared" si="9"/>
        <v>ER</v>
      </c>
      <c r="O1071" s="10">
        <v>7790.8</v>
      </c>
      <c r="P1071" s="10">
        <v>4699.46</v>
      </c>
      <c r="Q1071" s="11">
        <v>22.6</v>
      </c>
      <c r="R1071" s="13" t="str">
        <f>IF(Patient_Data!$L1071&lt;2,"Low Risk",IF(Patient_Data!$L1071&lt;4,"Moderate Risk","High Risk"))</f>
        <v>Low Risk</v>
      </c>
      <c r="S1071" s="12" t="str">
        <f>IF(Patient_Data[[#This Row],[Age]]&lt;=18,"Pediatric",IF(Patient_Data[[#This Row],[Age]]&lt;=64,"Adult","Geriatric"))</f>
        <v>Adult</v>
      </c>
    </row>
    <row r="1072" spans="1:19" ht="15.75" customHeight="1" x14ac:dyDescent="0.3">
      <c r="A1072" s="4" t="s">
        <v>2183</v>
      </c>
      <c r="B1072" s="5" t="str">
        <f>TEXT(Patient_Data!$E1072,"mmmm")</f>
        <v>December</v>
      </c>
      <c r="C1072" s="6" t="str">
        <f t="shared" si="8"/>
        <v>Dec</v>
      </c>
      <c r="D1072" s="6">
        <f>MONTH(Patient_Data!$E1072)</f>
        <v>12</v>
      </c>
      <c r="E1072" s="7">
        <v>45274</v>
      </c>
      <c r="F1072" s="55" t="str">
        <f>TEXT(Patient_Data[[#This Row],[Admission_Date]],"YYYY")</f>
        <v>2023</v>
      </c>
      <c r="G1072" s="8" t="s">
        <v>2184</v>
      </c>
      <c r="H1072" s="8" t="s">
        <v>49</v>
      </c>
      <c r="I1072" s="4" t="s">
        <v>35</v>
      </c>
      <c r="J1072" s="4">
        <v>24</v>
      </c>
      <c r="K1072" s="4" t="s">
        <v>30</v>
      </c>
      <c r="L1072" s="8">
        <v>2</v>
      </c>
      <c r="M1072" s="9" t="s">
        <v>39</v>
      </c>
      <c r="N1072" s="9" t="str">
        <f t="shared" si="9"/>
        <v>GM</v>
      </c>
      <c r="O1072" s="10">
        <v>3631.2</v>
      </c>
      <c r="P1072" s="10">
        <v>2294.23</v>
      </c>
      <c r="Q1072" s="11">
        <v>9.9</v>
      </c>
      <c r="R1072" s="13" t="str">
        <f>IF(Patient_Data!$L1072&lt;2,"Low Risk",IF(Patient_Data!$L1072&lt;4,"Moderate Risk","High Risk"))</f>
        <v>Moderate Risk</v>
      </c>
      <c r="S1072" s="12" t="str">
        <f>IF(Patient_Data[[#This Row],[Age]]&lt;=18,"Pediatric",IF(Patient_Data[[#This Row],[Age]]&lt;=64,"Adult","Geriatric"))</f>
        <v>Adult</v>
      </c>
    </row>
    <row r="1073" spans="1:19" ht="15.75" customHeight="1" x14ac:dyDescent="0.3">
      <c r="A1073" s="4" t="s">
        <v>2185</v>
      </c>
      <c r="B1073" s="5" t="str">
        <f>TEXT(Patient_Data!$E1073,"mmmm")</f>
        <v>March</v>
      </c>
      <c r="C1073" s="6" t="str">
        <f t="shared" si="8"/>
        <v>Mar</v>
      </c>
      <c r="D1073" s="6">
        <f>MONTH(Patient_Data!$E1073)</f>
        <v>3</v>
      </c>
      <c r="E1073" s="7">
        <v>45372</v>
      </c>
      <c r="F1073" s="55" t="str">
        <f>TEXT(Patient_Data[[#This Row],[Admission_Date]],"YYYY")</f>
        <v>2024</v>
      </c>
      <c r="G1073" s="8" t="s">
        <v>1585</v>
      </c>
      <c r="H1073" s="8" t="s">
        <v>28</v>
      </c>
      <c r="I1073" s="4" t="s">
        <v>35</v>
      </c>
      <c r="J1073" s="4">
        <v>56</v>
      </c>
      <c r="K1073" s="4" t="s">
        <v>54</v>
      </c>
      <c r="L1073" s="8">
        <v>3</v>
      </c>
      <c r="M1073" s="9" t="s">
        <v>31</v>
      </c>
      <c r="N1073" s="9" t="str">
        <f t="shared" si="9"/>
        <v>Neuro</v>
      </c>
      <c r="O1073" s="10">
        <v>7446.38</v>
      </c>
      <c r="P1073" s="10">
        <v>4852.88</v>
      </c>
      <c r="Q1073" s="11">
        <v>10.9</v>
      </c>
      <c r="R1073" s="13" t="str">
        <f>IF(Patient_Data!$L1073&lt;2,"Low Risk",IF(Patient_Data!$L1073&lt;4,"Moderate Risk","High Risk"))</f>
        <v>Moderate Risk</v>
      </c>
      <c r="S1073" s="12" t="str">
        <f>IF(Patient_Data[[#This Row],[Age]]&lt;=18,"Pediatric",IF(Patient_Data[[#This Row],[Age]]&lt;=64,"Adult","Geriatric"))</f>
        <v>Adult</v>
      </c>
    </row>
    <row r="1074" spans="1:19" ht="15.75" customHeight="1" x14ac:dyDescent="0.3">
      <c r="A1074" s="4" t="s">
        <v>2186</v>
      </c>
      <c r="B1074" s="5" t="str">
        <f>TEXT(Patient_Data!$E1074,"mmmm")</f>
        <v>December</v>
      </c>
      <c r="C1074" s="6" t="str">
        <f t="shared" si="8"/>
        <v>Dec</v>
      </c>
      <c r="D1074" s="6">
        <f>MONTH(Patient_Data!$E1074)</f>
        <v>12</v>
      </c>
      <c r="E1074" s="7">
        <v>46013</v>
      </c>
      <c r="F1074" s="55" t="str">
        <f>TEXT(Patient_Data[[#This Row],[Admission_Date]],"YYYY")</f>
        <v>2025</v>
      </c>
      <c r="G1074" s="8" t="s">
        <v>2187</v>
      </c>
      <c r="H1074" s="8" t="s">
        <v>34</v>
      </c>
      <c r="I1074" s="4" t="s">
        <v>29</v>
      </c>
      <c r="J1074" s="4">
        <v>0</v>
      </c>
      <c r="K1074" s="4" t="s">
        <v>30</v>
      </c>
      <c r="L1074" s="8">
        <v>1</v>
      </c>
      <c r="M1074" s="9" t="s">
        <v>79</v>
      </c>
      <c r="N1074" s="9" t="str">
        <f t="shared" si="9"/>
        <v>PD</v>
      </c>
      <c r="O1074" s="10">
        <v>561.22</v>
      </c>
      <c r="P1074" s="10">
        <v>408.02</v>
      </c>
      <c r="Q1074" s="11">
        <v>4</v>
      </c>
      <c r="R1074" s="13" t="str">
        <f>IF(Patient_Data!$L1074&lt;2,"Low Risk",IF(Patient_Data!$L1074&lt;4,"Moderate Risk","High Risk"))</f>
        <v>Low Risk</v>
      </c>
      <c r="S1074" s="12" t="str">
        <f>IF(Patient_Data[[#This Row],[Age]]&lt;=18,"Pediatric",IF(Patient_Data[[#This Row],[Age]]&lt;=64,"Adult","Geriatric"))</f>
        <v>Pediatric</v>
      </c>
    </row>
    <row r="1075" spans="1:19" ht="15.75" customHeight="1" x14ac:dyDescent="0.3">
      <c r="A1075" s="4" t="s">
        <v>2188</v>
      </c>
      <c r="B1075" s="5" t="str">
        <f>TEXT(Patient_Data!$E1075,"mmmm")</f>
        <v>March</v>
      </c>
      <c r="C1075" s="6" t="str">
        <f t="shared" si="8"/>
        <v>Mar</v>
      </c>
      <c r="D1075" s="6">
        <f>MONTH(Patient_Data!$E1075)</f>
        <v>3</v>
      </c>
      <c r="E1075" s="7">
        <v>45372</v>
      </c>
      <c r="F1075" s="55" t="str">
        <f>TEXT(Patient_Data[[#This Row],[Admission_Date]],"YYYY")</f>
        <v>2024</v>
      </c>
      <c r="G1075" s="8" t="s">
        <v>2189</v>
      </c>
      <c r="H1075" s="8" t="s">
        <v>34</v>
      </c>
      <c r="I1075" s="4" t="s">
        <v>29</v>
      </c>
      <c r="J1075" s="4">
        <v>41</v>
      </c>
      <c r="K1075" s="4" t="s">
        <v>54</v>
      </c>
      <c r="L1075" s="8">
        <v>1</v>
      </c>
      <c r="M1075" s="9" t="s">
        <v>83</v>
      </c>
      <c r="N1075" s="9" t="str">
        <f t="shared" si="9"/>
        <v>ER</v>
      </c>
      <c r="O1075" s="10">
        <v>8073.45</v>
      </c>
      <c r="P1075" s="10">
        <v>5733.02</v>
      </c>
      <c r="Q1075" s="11">
        <v>10.199999999999999</v>
      </c>
      <c r="R1075" s="13" t="str">
        <f>IF(Patient_Data!$L1075&lt;2,"Low Risk",IF(Patient_Data!$L1075&lt;4,"Moderate Risk","High Risk"))</f>
        <v>Low Risk</v>
      </c>
      <c r="S1075" s="12" t="str">
        <f>IF(Patient_Data[[#This Row],[Age]]&lt;=18,"Pediatric",IF(Patient_Data[[#This Row],[Age]]&lt;=64,"Adult","Geriatric"))</f>
        <v>Adult</v>
      </c>
    </row>
    <row r="1076" spans="1:19" ht="15.75" customHeight="1" x14ac:dyDescent="0.3">
      <c r="A1076" s="4" t="s">
        <v>2190</v>
      </c>
      <c r="B1076" s="5" t="str">
        <f>TEXT(Patient_Data!$E1076,"mmmm")</f>
        <v>June</v>
      </c>
      <c r="C1076" s="6" t="str">
        <f t="shared" si="8"/>
        <v>Jun</v>
      </c>
      <c r="D1076" s="6">
        <f>MONTH(Patient_Data!$E1076)</f>
        <v>6</v>
      </c>
      <c r="E1076" s="7">
        <v>45448</v>
      </c>
      <c r="F1076" s="55" t="str">
        <f>TEXT(Patient_Data[[#This Row],[Admission_Date]],"YYYY")</f>
        <v>2024</v>
      </c>
      <c r="G1076" s="8" t="s">
        <v>2191</v>
      </c>
      <c r="H1076" s="8" t="s">
        <v>34</v>
      </c>
      <c r="I1076" s="4" t="s">
        <v>29</v>
      </c>
      <c r="J1076" s="4">
        <v>13</v>
      </c>
      <c r="K1076" s="4" t="s">
        <v>54</v>
      </c>
      <c r="L1076" s="8">
        <v>3</v>
      </c>
      <c r="M1076" s="9" t="s">
        <v>79</v>
      </c>
      <c r="N1076" s="9" t="str">
        <f t="shared" si="9"/>
        <v>PD</v>
      </c>
      <c r="O1076" s="10">
        <v>1029.77</v>
      </c>
      <c r="P1076" s="10">
        <v>770.13</v>
      </c>
      <c r="Q1076" s="11">
        <v>2.2999999999999998</v>
      </c>
      <c r="R1076" s="13" t="str">
        <f>IF(Patient_Data!$L1076&lt;2,"Low Risk",IF(Patient_Data!$L1076&lt;4,"Moderate Risk","High Risk"))</f>
        <v>Moderate Risk</v>
      </c>
      <c r="S1076" s="12" t="str">
        <f>IF(Patient_Data[[#This Row],[Age]]&lt;=18,"Pediatric",IF(Patient_Data[[#This Row],[Age]]&lt;=64,"Adult","Geriatric"))</f>
        <v>Pediatric</v>
      </c>
    </row>
    <row r="1077" spans="1:19" ht="15.75" customHeight="1" x14ac:dyDescent="0.3">
      <c r="A1077" s="4" t="s">
        <v>2192</v>
      </c>
      <c r="B1077" s="5" t="str">
        <f>TEXT(Patient_Data!$E1077,"mmmm")</f>
        <v>September</v>
      </c>
      <c r="C1077" s="6" t="str">
        <f t="shared" si="8"/>
        <v>Sep</v>
      </c>
      <c r="D1077" s="6">
        <f>MONTH(Patient_Data!$E1077)</f>
        <v>9</v>
      </c>
      <c r="E1077" s="7">
        <v>45177</v>
      </c>
      <c r="F1077" s="55" t="str">
        <f>TEXT(Patient_Data[[#This Row],[Admission_Date]],"YYYY")</f>
        <v>2023</v>
      </c>
      <c r="G1077" s="8" t="s">
        <v>2193</v>
      </c>
      <c r="H1077" s="8" t="s">
        <v>28</v>
      </c>
      <c r="I1077" s="4" t="s">
        <v>35</v>
      </c>
      <c r="J1077" s="4">
        <v>62</v>
      </c>
      <c r="K1077" s="4" t="s">
        <v>54</v>
      </c>
      <c r="L1077" s="8">
        <v>5</v>
      </c>
      <c r="M1077" s="9" t="s">
        <v>50</v>
      </c>
      <c r="N1077" s="9" t="str">
        <f t="shared" si="9"/>
        <v>ICU</v>
      </c>
      <c r="O1077" s="10">
        <v>21825.82</v>
      </c>
      <c r="P1077" s="10">
        <v>16712.419999999998</v>
      </c>
      <c r="Q1077" s="11">
        <v>15.6</v>
      </c>
      <c r="R1077" s="13" t="str">
        <f>IF(Patient_Data!$L1077&lt;2,"Low Risk",IF(Patient_Data!$L1077&lt;4,"Moderate Risk","High Risk"))</f>
        <v>High Risk</v>
      </c>
      <c r="S1077" s="12" t="str">
        <f>IF(Patient_Data[[#This Row],[Age]]&lt;=18,"Pediatric",IF(Patient_Data[[#This Row],[Age]]&lt;=64,"Adult","Geriatric"))</f>
        <v>Adult</v>
      </c>
    </row>
    <row r="1078" spans="1:19" ht="15.75" customHeight="1" x14ac:dyDescent="0.3">
      <c r="A1078" s="4" t="s">
        <v>2194</v>
      </c>
      <c r="B1078" s="5" t="str">
        <f>TEXT(Patient_Data!$E1078,"mmmm")</f>
        <v>July</v>
      </c>
      <c r="C1078" s="6" t="str">
        <f t="shared" si="8"/>
        <v>Jul</v>
      </c>
      <c r="D1078" s="6">
        <f>MONTH(Patient_Data!$E1078)</f>
        <v>7</v>
      </c>
      <c r="E1078" s="7">
        <v>45490</v>
      </c>
      <c r="F1078" s="55" t="str">
        <f>TEXT(Patient_Data[[#This Row],[Admission_Date]],"YYYY")</f>
        <v>2024</v>
      </c>
      <c r="G1078" s="8" t="s">
        <v>2195</v>
      </c>
      <c r="H1078" s="8" t="s">
        <v>49</v>
      </c>
      <c r="I1078" s="4" t="s">
        <v>35</v>
      </c>
      <c r="J1078" s="4">
        <v>37</v>
      </c>
      <c r="K1078" s="4" t="s">
        <v>45</v>
      </c>
      <c r="L1078" s="8">
        <v>1</v>
      </c>
      <c r="M1078" s="9" t="s">
        <v>36</v>
      </c>
      <c r="N1078" s="9" t="str">
        <f t="shared" si="9"/>
        <v>Cardio</v>
      </c>
      <c r="O1078" s="10">
        <v>9081.93</v>
      </c>
      <c r="P1078" s="10">
        <v>5301.12</v>
      </c>
      <c r="Q1078" s="11">
        <v>4.2</v>
      </c>
      <c r="R1078" s="13" t="str">
        <f>IF(Patient_Data!$L1078&lt;2,"Low Risk",IF(Patient_Data!$L1078&lt;4,"Moderate Risk","High Risk"))</f>
        <v>Low Risk</v>
      </c>
      <c r="S1078" s="12" t="str">
        <f>IF(Patient_Data[[#This Row],[Age]]&lt;=18,"Pediatric",IF(Patient_Data[[#This Row],[Age]]&lt;=64,"Adult","Geriatric"))</f>
        <v>Adult</v>
      </c>
    </row>
    <row r="1079" spans="1:19" ht="15.75" customHeight="1" x14ac:dyDescent="0.3">
      <c r="A1079" s="4" t="s">
        <v>2196</v>
      </c>
      <c r="B1079" s="5" t="str">
        <f>TEXT(Patient_Data!$E1079,"mmmm")</f>
        <v>December</v>
      </c>
      <c r="C1079" s="6" t="str">
        <f t="shared" si="8"/>
        <v>Dec</v>
      </c>
      <c r="D1079" s="6">
        <f>MONTH(Patient_Data!$E1079)</f>
        <v>12</v>
      </c>
      <c r="E1079" s="7">
        <v>46000</v>
      </c>
      <c r="F1079" s="55" t="str">
        <f>TEXT(Patient_Data[[#This Row],[Admission_Date]],"YYYY")</f>
        <v>2025</v>
      </c>
      <c r="G1079" s="8" t="s">
        <v>2197</v>
      </c>
      <c r="H1079" s="8" t="s">
        <v>28</v>
      </c>
      <c r="I1079" s="4" t="s">
        <v>35</v>
      </c>
      <c r="J1079" s="4">
        <v>81</v>
      </c>
      <c r="K1079" s="4" t="s">
        <v>45</v>
      </c>
      <c r="L1079" s="8">
        <v>4</v>
      </c>
      <c r="M1079" s="9" t="s">
        <v>50</v>
      </c>
      <c r="N1079" s="9" t="str">
        <f t="shared" si="9"/>
        <v>ICU</v>
      </c>
      <c r="O1079" s="10">
        <v>10094.11</v>
      </c>
      <c r="P1079" s="10">
        <v>6254.21</v>
      </c>
      <c r="Q1079" s="11">
        <v>12.1</v>
      </c>
      <c r="R1079" s="13" t="str">
        <f>IF(Patient_Data!$L1079&lt;2,"Low Risk",IF(Patient_Data!$L1079&lt;4,"Moderate Risk","High Risk"))</f>
        <v>High Risk</v>
      </c>
      <c r="S1079" s="12" t="str">
        <f>IF(Patient_Data[[#This Row],[Age]]&lt;=18,"Pediatric",IF(Patient_Data[[#This Row],[Age]]&lt;=64,"Adult","Geriatric"))</f>
        <v>Geriatric</v>
      </c>
    </row>
    <row r="1080" spans="1:19" ht="15.75" customHeight="1" x14ac:dyDescent="0.3">
      <c r="A1080" s="4" t="s">
        <v>2198</v>
      </c>
      <c r="B1080" s="5" t="str">
        <f>TEXT(Patient_Data!$E1080,"mmmm")</f>
        <v>April</v>
      </c>
      <c r="C1080" s="6" t="str">
        <f t="shared" si="8"/>
        <v>Apr</v>
      </c>
      <c r="D1080" s="6">
        <f>MONTH(Patient_Data!$E1080)</f>
        <v>4</v>
      </c>
      <c r="E1080" s="7">
        <v>46141</v>
      </c>
      <c r="F1080" s="55" t="str">
        <f>TEXT(Patient_Data[[#This Row],[Admission_Date]],"YYYY")</f>
        <v>2026</v>
      </c>
      <c r="G1080" s="8" t="s">
        <v>2199</v>
      </c>
      <c r="H1080" s="8" t="s">
        <v>28</v>
      </c>
      <c r="I1080" s="4" t="s">
        <v>29</v>
      </c>
      <c r="J1080" s="4">
        <v>6</v>
      </c>
      <c r="K1080" s="4" t="s">
        <v>30</v>
      </c>
      <c r="L1080" s="8">
        <v>3</v>
      </c>
      <c r="M1080" s="9" t="s">
        <v>79</v>
      </c>
      <c r="N1080" s="9" t="str">
        <f t="shared" si="9"/>
        <v>PD</v>
      </c>
      <c r="O1080" s="10">
        <v>800.48</v>
      </c>
      <c r="P1080" s="10">
        <v>559.51</v>
      </c>
      <c r="Q1080" s="11">
        <v>5.9</v>
      </c>
      <c r="R1080" s="13" t="str">
        <f>IF(Patient_Data!$L1080&lt;2,"Low Risk",IF(Patient_Data!$L1080&lt;4,"Moderate Risk","High Risk"))</f>
        <v>Moderate Risk</v>
      </c>
      <c r="S1080" s="12" t="str">
        <f>IF(Patient_Data[[#This Row],[Age]]&lt;=18,"Pediatric",IF(Patient_Data[[#This Row],[Age]]&lt;=64,"Adult","Geriatric"))</f>
        <v>Pediatric</v>
      </c>
    </row>
    <row r="1081" spans="1:19" ht="15.75" customHeight="1" x14ac:dyDescent="0.3">
      <c r="A1081" s="4" t="s">
        <v>2200</v>
      </c>
      <c r="B1081" s="5" t="str">
        <f>TEXT(Patient_Data!$E1081,"mmmm")</f>
        <v>April</v>
      </c>
      <c r="C1081" s="6" t="str">
        <f t="shared" si="8"/>
        <v>Apr</v>
      </c>
      <c r="D1081" s="6">
        <f>MONTH(Patient_Data!$E1081)</f>
        <v>4</v>
      </c>
      <c r="E1081" s="7">
        <v>45755</v>
      </c>
      <c r="F1081" s="55" t="str">
        <f>TEXT(Patient_Data[[#This Row],[Admission_Date]],"YYYY")</f>
        <v>2025</v>
      </c>
      <c r="G1081" s="8" t="s">
        <v>2201</v>
      </c>
      <c r="H1081" s="8" t="s">
        <v>34</v>
      </c>
      <c r="I1081" s="4" t="s">
        <v>35</v>
      </c>
      <c r="J1081" s="4">
        <v>63</v>
      </c>
      <c r="K1081" s="4" t="s">
        <v>54</v>
      </c>
      <c r="L1081" s="8">
        <v>3</v>
      </c>
      <c r="M1081" s="9" t="s">
        <v>36</v>
      </c>
      <c r="N1081" s="9" t="str">
        <f t="shared" si="9"/>
        <v>Cardio</v>
      </c>
      <c r="O1081" s="10">
        <v>11185.06</v>
      </c>
      <c r="P1081" s="10">
        <v>7542.79</v>
      </c>
      <c r="Q1081" s="11">
        <v>6.1</v>
      </c>
      <c r="R1081" s="13" t="str">
        <f>IF(Patient_Data!$L1081&lt;2,"Low Risk",IF(Patient_Data!$L1081&lt;4,"Moderate Risk","High Risk"))</f>
        <v>Moderate Risk</v>
      </c>
      <c r="S1081" s="12" t="str">
        <f>IF(Patient_Data[[#This Row],[Age]]&lt;=18,"Pediatric",IF(Patient_Data[[#This Row],[Age]]&lt;=64,"Adult","Geriatric"))</f>
        <v>Adult</v>
      </c>
    </row>
    <row r="1082" spans="1:19" ht="15.75" customHeight="1" x14ac:dyDescent="0.3">
      <c r="A1082" s="4" t="s">
        <v>2202</v>
      </c>
      <c r="B1082" s="5" t="str">
        <f>TEXT(Patient_Data!$E1082,"mmmm")</f>
        <v>June</v>
      </c>
      <c r="C1082" s="6" t="str">
        <f t="shared" si="8"/>
        <v>Jun</v>
      </c>
      <c r="D1082" s="6">
        <f>MONTH(Patient_Data!$E1082)</f>
        <v>6</v>
      </c>
      <c r="E1082" s="7">
        <v>45824</v>
      </c>
      <c r="F1082" s="55" t="str">
        <f>TEXT(Patient_Data[[#This Row],[Admission_Date]],"YYYY")</f>
        <v>2025</v>
      </c>
      <c r="G1082" s="8" t="s">
        <v>2203</v>
      </c>
      <c r="H1082" s="8" t="s">
        <v>132</v>
      </c>
      <c r="I1082" s="4" t="s">
        <v>35</v>
      </c>
      <c r="J1082" s="4">
        <v>64</v>
      </c>
      <c r="K1082" s="4" t="s">
        <v>54</v>
      </c>
      <c r="L1082" s="8">
        <v>4</v>
      </c>
      <c r="M1082" s="9" t="s">
        <v>50</v>
      </c>
      <c r="N1082" s="9" t="str">
        <f t="shared" si="9"/>
        <v>ICU</v>
      </c>
      <c r="O1082" s="10">
        <v>12686.59</v>
      </c>
      <c r="P1082" s="10">
        <v>8957.41</v>
      </c>
      <c r="Q1082" s="11">
        <v>9.6</v>
      </c>
      <c r="R1082" s="13" t="str">
        <f>IF(Patient_Data!$L1082&lt;2,"Low Risk",IF(Patient_Data!$L1082&lt;4,"Moderate Risk","High Risk"))</f>
        <v>High Risk</v>
      </c>
      <c r="S1082" s="12" t="str">
        <f>IF(Patient_Data[[#This Row],[Age]]&lt;=18,"Pediatric",IF(Patient_Data[[#This Row],[Age]]&lt;=64,"Adult","Geriatric"))</f>
        <v>Adult</v>
      </c>
    </row>
    <row r="1083" spans="1:19" ht="15.75" customHeight="1" x14ac:dyDescent="0.3">
      <c r="A1083" s="4" t="s">
        <v>2204</v>
      </c>
      <c r="B1083" s="5" t="str">
        <f>TEXT(Patient_Data!$E1083,"mmmm")</f>
        <v>April</v>
      </c>
      <c r="C1083" s="6" t="str">
        <f t="shared" si="8"/>
        <v>Apr</v>
      </c>
      <c r="D1083" s="6">
        <f>MONTH(Patient_Data!$E1083)</f>
        <v>4</v>
      </c>
      <c r="E1083" s="7">
        <v>45751</v>
      </c>
      <c r="F1083" s="55" t="str">
        <f>TEXT(Patient_Data[[#This Row],[Admission_Date]],"YYYY")</f>
        <v>2025</v>
      </c>
      <c r="G1083" s="8" t="s">
        <v>2205</v>
      </c>
      <c r="H1083" s="8" t="s">
        <v>28</v>
      </c>
      <c r="I1083" s="4" t="s">
        <v>29</v>
      </c>
      <c r="J1083" s="4">
        <v>54</v>
      </c>
      <c r="K1083" s="4" t="s">
        <v>54</v>
      </c>
      <c r="L1083" s="8">
        <v>1</v>
      </c>
      <c r="M1083" s="9" t="s">
        <v>36</v>
      </c>
      <c r="N1083" s="9" t="str">
        <f t="shared" si="9"/>
        <v>Cardio</v>
      </c>
      <c r="O1083" s="10">
        <v>10619.25</v>
      </c>
      <c r="P1083" s="10">
        <v>7836.85</v>
      </c>
      <c r="Q1083" s="11">
        <v>10.6</v>
      </c>
      <c r="R1083" s="13" t="str">
        <f>IF(Patient_Data!$L1083&lt;2,"Low Risk",IF(Patient_Data!$L1083&lt;4,"Moderate Risk","High Risk"))</f>
        <v>Low Risk</v>
      </c>
      <c r="S1083" s="12" t="str">
        <f>IF(Patient_Data[[#This Row],[Age]]&lt;=18,"Pediatric",IF(Patient_Data[[#This Row],[Age]]&lt;=64,"Adult","Geriatric"))</f>
        <v>Adult</v>
      </c>
    </row>
    <row r="1084" spans="1:19" ht="15.75" customHeight="1" x14ac:dyDescent="0.3">
      <c r="A1084" s="4" t="s">
        <v>2206</v>
      </c>
      <c r="B1084" s="5" t="str">
        <f>TEXT(Patient_Data!$E1084,"mmmm")</f>
        <v>December</v>
      </c>
      <c r="C1084" s="6" t="str">
        <f t="shared" si="8"/>
        <v>Dec</v>
      </c>
      <c r="D1084" s="6">
        <f>MONTH(Patient_Data!$E1084)</f>
        <v>12</v>
      </c>
      <c r="E1084" s="7">
        <v>45288</v>
      </c>
      <c r="F1084" s="55" t="str">
        <f>TEXT(Patient_Data[[#This Row],[Admission_Date]],"YYYY")</f>
        <v>2023</v>
      </c>
      <c r="G1084" s="8" t="s">
        <v>2207</v>
      </c>
      <c r="H1084" s="8" t="s">
        <v>28</v>
      </c>
      <c r="I1084" s="4" t="s">
        <v>29</v>
      </c>
      <c r="J1084" s="4">
        <v>45</v>
      </c>
      <c r="K1084" s="4" t="s">
        <v>54</v>
      </c>
      <c r="L1084" s="8">
        <v>5</v>
      </c>
      <c r="M1084" s="9" t="s">
        <v>36</v>
      </c>
      <c r="N1084" s="9" t="str">
        <f t="shared" si="9"/>
        <v>Cardio</v>
      </c>
      <c r="O1084" s="10">
        <v>19523.66</v>
      </c>
      <c r="P1084" s="10">
        <v>14871.58</v>
      </c>
      <c r="Q1084" s="11">
        <v>4.2</v>
      </c>
      <c r="R1084" s="13" t="str">
        <f>IF(Patient_Data!$L1084&lt;2,"Low Risk",IF(Patient_Data!$L1084&lt;4,"Moderate Risk","High Risk"))</f>
        <v>High Risk</v>
      </c>
      <c r="S1084" s="12" t="str">
        <f>IF(Patient_Data[[#This Row],[Age]]&lt;=18,"Pediatric",IF(Patient_Data[[#This Row],[Age]]&lt;=64,"Adult","Geriatric"))</f>
        <v>Adult</v>
      </c>
    </row>
    <row r="1085" spans="1:19" ht="15.75" customHeight="1" x14ac:dyDescent="0.3">
      <c r="A1085" s="4" t="s">
        <v>2208</v>
      </c>
      <c r="B1085" s="5" t="str">
        <f>TEXT(Patient_Data!$E1085,"mmmm")</f>
        <v>February</v>
      </c>
      <c r="C1085" s="6" t="str">
        <f t="shared" si="8"/>
        <v>Feb</v>
      </c>
      <c r="D1085" s="6">
        <f>MONTH(Patient_Data!$E1085)</f>
        <v>2</v>
      </c>
      <c r="E1085" s="7">
        <v>45350</v>
      </c>
      <c r="F1085" s="55" t="str">
        <f>TEXT(Patient_Data[[#This Row],[Admission_Date]],"YYYY")</f>
        <v>2024</v>
      </c>
      <c r="G1085" s="8" t="s">
        <v>2209</v>
      </c>
      <c r="H1085" s="8" t="s">
        <v>82</v>
      </c>
      <c r="I1085" s="4" t="s">
        <v>35</v>
      </c>
      <c r="J1085" s="4">
        <v>27</v>
      </c>
      <c r="K1085" s="4" t="s">
        <v>54</v>
      </c>
      <c r="L1085" s="8">
        <v>3</v>
      </c>
      <c r="M1085" s="9" t="s">
        <v>36</v>
      </c>
      <c r="N1085" s="9" t="str">
        <f t="shared" si="9"/>
        <v>Cardio</v>
      </c>
      <c r="O1085" s="10">
        <v>14270.5</v>
      </c>
      <c r="P1085" s="10">
        <v>8316.89</v>
      </c>
      <c r="Q1085" s="11">
        <v>5</v>
      </c>
      <c r="R1085" s="13" t="str">
        <f>IF(Patient_Data!$L1085&lt;2,"Low Risk",IF(Patient_Data!$L1085&lt;4,"Moderate Risk","High Risk"))</f>
        <v>Moderate Risk</v>
      </c>
      <c r="S1085" s="12" t="str">
        <f>IF(Patient_Data[[#This Row],[Age]]&lt;=18,"Pediatric",IF(Patient_Data[[#This Row],[Age]]&lt;=64,"Adult","Geriatric"))</f>
        <v>Adult</v>
      </c>
    </row>
    <row r="1086" spans="1:19" ht="15.75" customHeight="1" x14ac:dyDescent="0.3">
      <c r="A1086" s="4" t="s">
        <v>2210</v>
      </c>
      <c r="B1086" s="5" t="str">
        <f>TEXT(Patient_Data!$E1086,"mmmm")</f>
        <v>December</v>
      </c>
      <c r="C1086" s="6" t="str">
        <f t="shared" si="8"/>
        <v>Dec</v>
      </c>
      <c r="D1086" s="6">
        <f>MONTH(Patient_Data!$E1086)</f>
        <v>12</v>
      </c>
      <c r="E1086" s="7">
        <v>45642</v>
      </c>
      <c r="F1086" s="55" t="str">
        <f>TEXT(Patient_Data[[#This Row],[Admission_Date]],"YYYY")</f>
        <v>2024</v>
      </c>
      <c r="G1086" s="8" t="s">
        <v>2211</v>
      </c>
      <c r="H1086" s="8" t="s">
        <v>82</v>
      </c>
      <c r="I1086" s="4" t="s">
        <v>29</v>
      </c>
      <c r="J1086" s="4">
        <v>45</v>
      </c>
      <c r="K1086" s="4" t="s">
        <v>30</v>
      </c>
      <c r="L1086" s="8">
        <v>1</v>
      </c>
      <c r="M1086" s="9" t="s">
        <v>39</v>
      </c>
      <c r="N1086" s="9" t="str">
        <f t="shared" si="9"/>
        <v>GM</v>
      </c>
      <c r="O1086" s="10">
        <v>4591.05</v>
      </c>
      <c r="P1086" s="10">
        <v>2867.74</v>
      </c>
      <c r="Q1086" s="11">
        <v>8.4</v>
      </c>
      <c r="R1086" s="13" t="str">
        <f>IF(Patient_Data!$L1086&lt;2,"Low Risk",IF(Patient_Data!$L1086&lt;4,"Moderate Risk","High Risk"))</f>
        <v>Low Risk</v>
      </c>
      <c r="S1086" s="12" t="str">
        <f>IF(Patient_Data[[#This Row],[Age]]&lt;=18,"Pediatric",IF(Patient_Data[[#This Row],[Age]]&lt;=64,"Adult","Geriatric"))</f>
        <v>Adult</v>
      </c>
    </row>
    <row r="1087" spans="1:19" ht="15.75" customHeight="1" x14ac:dyDescent="0.3">
      <c r="A1087" s="4" t="s">
        <v>2212</v>
      </c>
      <c r="B1087" s="5" t="str">
        <f>TEXT(Patient_Data!$E1087,"mmmm")</f>
        <v>November</v>
      </c>
      <c r="C1087" s="6" t="str">
        <f t="shared" si="8"/>
        <v>Nov</v>
      </c>
      <c r="D1087" s="6">
        <f>MONTH(Patient_Data!$E1087)</f>
        <v>11</v>
      </c>
      <c r="E1087" s="7">
        <v>45243</v>
      </c>
      <c r="F1087" s="55" t="str">
        <f>TEXT(Patient_Data[[#This Row],[Admission_Date]],"YYYY")</f>
        <v>2023</v>
      </c>
      <c r="G1087" s="8" t="s">
        <v>2213</v>
      </c>
      <c r="H1087" s="8" t="s">
        <v>132</v>
      </c>
      <c r="I1087" s="4" t="s">
        <v>35</v>
      </c>
      <c r="J1087" s="4">
        <v>32</v>
      </c>
      <c r="K1087" s="4" t="s">
        <v>54</v>
      </c>
      <c r="L1087" s="8">
        <v>3</v>
      </c>
      <c r="M1087" s="9" t="s">
        <v>31</v>
      </c>
      <c r="N1087" s="9" t="str">
        <f t="shared" si="9"/>
        <v>Neuro</v>
      </c>
      <c r="O1087" s="10">
        <v>7725.5</v>
      </c>
      <c r="P1087" s="10">
        <v>4982.72</v>
      </c>
      <c r="Q1087" s="11">
        <v>4.8</v>
      </c>
      <c r="R1087" s="13" t="str">
        <f>IF(Patient_Data!$L1087&lt;2,"Low Risk",IF(Patient_Data!$L1087&lt;4,"Moderate Risk","High Risk"))</f>
        <v>Moderate Risk</v>
      </c>
      <c r="S1087" s="12" t="str">
        <f>IF(Patient_Data[[#This Row],[Age]]&lt;=18,"Pediatric",IF(Patient_Data[[#This Row],[Age]]&lt;=64,"Adult","Geriatric"))</f>
        <v>Adult</v>
      </c>
    </row>
    <row r="1088" spans="1:19" ht="15.75" customHeight="1" x14ac:dyDescent="0.3">
      <c r="A1088" s="4" t="s">
        <v>2214</v>
      </c>
      <c r="B1088" s="5" t="str">
        <f>TEXT(Patient_Data!$E1088,"mmmm")</f>
        <v>August</v>
      </c>
      <c r="C1088" s="6" t="str">
        <f t="shared" si="8"/>
        <v>Aug</v>
      </c>
      <c r="D1088" s="6">
        <f>MONTH(Patient_Data!$E1088)</f>
        <v>8</v>
      </c>
      <c r="E1088" s="7">
        <v>45525</v>
      </c>
      <c r="F1088" s="55" t="str">
        <f>TEXT(Patient_Data[[#This Row],[Admission_Date]],"YYYY")</f>
        <v>2024</v>
      </c>
      <c r="G1088" s="8" t="s">
        <v>2215</v>
      </c>
      <c r="H1088" s="8" t="s">
        <v>28</v>
      </c>
      <c r="I1088" s="4" t="s">
        <v>35</v>
      </c>
      <c r="J1088" s="4">
        <v>73</v>
      </c>
      <c r="K1088" s="4" t="s">
        <v>45</v>
      </c>
      <c r="L1088" s="8">
        <v>5</v>
      </c>
      <c r="M1088" s="9" t="s">
        <v>72</v>
      </c>
      <c r="N1088" s="9" t="str">
        <f t="shared" si="9"/>
        <v>Surgery</v>
      </c>
      <c r="O1088" s="10">
        <v>13688.29</v>
      </c>
      <c r="P1088" s="10">
        <v>9215.9500000000007</v>
      </c>
      <c r="Q1088" s="11">
        <v>5.6</v>
      </c>
      <c r="R1088" s="13" t="str">
        <f>IF(Patient_Data!$L1088&lt;2,"Low Risk",IF(Patient_Data!$L1088&lt;4,"Moderate Risk","High Risk"))</f>
        <v>High Risk</v>
      </c>
      <c r="S1088" s="12" t="str">
        <f>IF(Patient_Data[[#This Row],[Age]]&lt;=18,"Pediatric",IF(Patient_Data[[#This Row],[Age]]&lt;=64,"Adult","Geriatric"))</f>
        <v>Geriatric</v>
      </c>
    </row>
    <row r="1089" spans="1:19" ht="15.75" customHeight="1" x14ac:dyDescent="0.3">
      <c r="A1089" s="4" t="s">
        <v>2216</v>
      </c>
      <c r="B1089" s="5" t="str">
        <f>TEXT(Patient_Data!$E1089,"mmmm")</f>
        <v>December</v>
      </c>
      <c r="C1089" s="6" t="str">
        <f t="shared" si="8"/>
        <v>Dec</v>
      </c>
      <c r="D1089" s="6">
        <f>MONTH(Patient_Data!$E1089)</f>
        <v>12</v>
      </c>
      <c r="E1089" s="7">
        <v>46022</v>
      </c>
      <c r="F1089" s="55" t="str">
        <f>TEXT(Patient_Data[[#This Row],[Admission_Date]],"YYYY")</f>
        <v>2025</v>
      </c>
      <c r="G1089" s="8" t="s">
        <v>2217</v>
      </c>
      <c r="H1089" s="8" t="s">
        <v>53</v>
      </c>
      <c r="I1089" s="4" t="s">
        <v>35</v>
      </c>
      <c r="J1089" s="4">
        <v>74</v>
      </c>
      <c r="K1089" s="4" t="s">
        <v>45</v>
      </c>
      <c r="L1089" s="8">
        <v>4</v>
      </c>
      <c r="M1089" s="9" t="s">
        <v>50</v>
      </c>
      <c r="N1089" s="9" t="str">
        <f t="shared" si="9"/>
        <v>ICU</v>
      </c>
      <c r="O1089" s="10">
        <v>19646.7</v>
      </c>
      <c r="P1089" s="10">
        <v>13871.09</v>
      </c>
      <c r="Q1089" s="11">
        <v>14.8</v>
      </c>
      <c r="R1089" s="13" t="str">
        <f>IF(Patient_Data!$L1089&lt;2,"Low Risk",IF(Patient_Data!$L1089&lt;4,"Moderate Risk","High Risk"))</f>
        <v>High Risk</v>
      </c>
      <c r="S1089" s="12" t="str">
        <f>IF(Patient_Data[[#This Row],[Age]]&lt;=18,"Pediatric",IF(Patient_Data[[#This Row],[Age]]&lt;=64,"Adult","Geriatric"))</f>
        <v>Geriatric</v>
      </c>
    </row>
    <row r="1090" spans="1:19" ht="15.75" customHeight="1" x14ac:dyDescent="0.3">
      <c r="A1090" s="4" t="s">
        <v>2218</v>
      </c>
      <c r="B1090" s="5" t="str">
        <f>TEXT(Patient_Data!$E1090,"mmmm")</f>
        <v>August</v>
      </c>
      <c r="C1090" s="6" t="str">
        <f t="shared" si="8"/>
        <v>Aug</v>
      </c>
      <c r="D1090" s="6">
        <f>MONTH(Patient_Data!$E1090)</f>
        <v>8</v>
      </c>
      <c r="E1090" s="7">
        <v>45527</v>
      </c>
      <c r="F1090" s="55" t="str">
        <f>TEXT(Patient_Data[[#This Row],[Admission_Date]],"YYYY")</f>
        <v>2024</v>
      </c>
      <c r="G1090" s="8" t="s">
        <v>2219</v>
      </c>
      <c r="H1090" s="8" t="s">
        <v>75</v>
      </c>
      <c r="I1090" s="4" t="s">
        <v>35</v>
      </c>
      <c r="J1090" s="4">
        <v>47</v>
      </c>
      <c r="K1090" s="4" t="s">
        <v>54</v>
      </c>
      <c r="L1090" s="8">
        <v>4</v>
      </c>
      <c r="M1090" s="9" t="s">
        <v>72</v>
      </c>
      <c r="N1090" s="9" t="str">
        <f t="shared" si="9"/>
        <v>Surgery</v>
      </c>
      <c r="O1090" s="10">
        <v>19686.91</v>
      </c>
      <c r="P1090" s="10">
        <v>14442.64</v>
      </c>
      <c r="Q1090" s="11">
        <v>8.9</v>
      </c>
      <c r="R1090" s="13" t="str">
        <f>IF(Patient_Data!$L1090&lt;2,"Low Risk",IF(Patient_Data!$L1090&lt;4,"Moderate Risk","High Risk"))</f>
        <v>High Risk</v>
      </c>
      <c r="S1090" s="12" t="str">
        <f>IF(Patient_Data[[#This Row],[Age]]&lt;=18,"Pediatric",IF(Patient_Data[[#This Row],[Age]]&lt;=64,"Adult","Geriatric"))</f>
        <v>Adult</v>
      </c>
    </row>
    <row r="1091" spans="1:19" ht="15.75" customHeight="1" x14ac:dyDescent="0.3">
      <c r="A1091" s="4" t="s">
        <v>2220</v>
      </c>
      <c r="B1091" s="5" t="str">
        <f>TEXT(Patient_Data!$E1091,"mmmm")</f>
        <v>November</v>
      </c>
      <c r="C1091" s="6" t="str">
        <f t="shared" si="8"/>
        <v>Nov</v>
      </c>
      <c r="D1091" s="6">
        <f>MONTH(Patient_Data!$E1091)</f>
        <v>11</v>
      </c>
      <c r="E1091" s="7">
        <v>45980</v>
      </c>
      <c r="F1091" s="55" t="str">
        <f>TEXT(Patient_Data[[#This Row],[Admission_Date]],"YYYY")</f>
        <v>2025</v>
      </c>
      <c r="G1091" s="8" t="s">
        <v>2221</v>
      </c>
      <c r="H1091" s="8" t="s">
        <v>34</v>
      </c>
      <c r="I1091" s="4" t="s">
        <v>35</v>
      </c>
      <c r="J1091" s="4">
        <v>68</v>
      </c>
      <c r="K1091" s="4" t="s">
        <v>30</v>
      </c>
      <c r="L1091" s="8">
        <v>2</v>
      </c>
      <c r="M1091" s="9" t="s">
        <v>83</v>
      </c>
      <c r="N1091" s="9" t="str">
        <f t="shared" si="9"/>
        <v>ER</v>
      </c>
      <c r="O1091" s="10">
        <v>7729.21</v>
      </c>
      <c r="P1091" s="10">
        <v>6031</v>
      </c>
      <c r="Q1091" s="11">
        <v>19.600000000000001</v>
      </c>
      <c r="R1091" s="13" t="str">
        <f>IF(Patient_Data!$L1091&lt;2,"Low Risk",IF(Patient_Data!$L1091&lt;4,"Moderate Risk","High Risk"))</f>
        <v>Moderate Risk</v>
      </c>
      <c r="S1091" s="12" t="str">
        <f>IF(Patient_Data[[#This Row],[Age]]&lt;=18,"Pediatric",IF(Patient_Data[[#This Row],[Age]]&lt;=64,"Adult","Geriatric"))</f>
        <v>Geriatric</v>
      </c>
    </row>
    <row r="1092" spans="1:19" ht="15.75" customHeight="1" x14ac:dyDescent="0.3">
      <c r="A1092" s="4" t="s">
        <v>2222</v>
      </c>
      <c r="B1092" s="5" t="str">
        <f>TEXT(Patient_Data!$E1092,"mmmm")</f>
        <v>June</v>
      </c>
      <c r="C1092" s="6" t="str">
        <f t="shared" si="8"/>
        <v>Jun</v>
      </c>
      <c r="D1092" s="6">
        <f>MONTH(Patient_Data!$E1092)</f>
        <v>6</v>
      </c>
      <c r="E1092" s="7">
        <v>46181</v>
      </c>
      <c r="F1092" s="55" t="str">
        <f>TEXT(Patient_Data[[#This Row],[Admission_Date]],"YYYY")</f>
        <v>2026</v>
      </c>
      <c r="G1092" s="8" t="s">
        <v>2223</v>
      </c>
      <c r="H1092" s="8" t="s">
        <v>34</v>
      </c>
      <c r="I1092" s="4" t="s">
        <v>29</v>
      </c>
      <c r="J1092" s="4">
        <v>66</v>
      </c>
      <c r="K1092" s="4" t="s">
        <v>54</v>
      </c>
      <c r="L1092" s="8">
        <v>5</v>
      </c>
      <c r="M1092" s="9" t="s">
        <v>50</v>
      </c>
      <c r="N1092" s="9" t="str">
        <f t="shared" si="9"/>
        <v>ICU</v>
      </c>
      <c r="O1092" s="10">
        <v>22790.21</v>
      </c>
      <c r="P1092" s="10">
        <v>13355.92</v>
      </c>
      <c r="Q1092" s="11">
        <v>17.2</v>
      </c>
      <c r="R1092" s="13" t="str">
        <f>IF(Patient_Data!$L1092&lt;2,"Low Risk",IF(Patient_Data!$L1092&lt;4,"Moderate Risk","High Risk"))</f>
        <v>High Risk</v>
      </c>
      <c r="S1092" s="12" t="str">
        <f>IF(Patient_Data[[#This Row],[Age]]&lt;=18,"Pediatric",IF(Patient_Data[[#This Row],[Age]]&lt;=64,"Adult","Geriatric"))</f>
        <v>Geriatric</v>
      </c>
    </row>
    <row r="1093" spans="1:19" ht="15.75" customHeight="1" x14ac:dyDescent="0.3">
      <c r="A1093" s="4" t="s">
        <v>2224</v>
      </c>
      <c r="B1093" s="5" t="str">
        <f>TEXT(Patient_Data!$E1093,"mmmm")</f>
        <v>September</v>
      </c>
      <c r="C1093" s="6" t="str">
        <f t="shared" si="8"/>
        <v>Sep</v>
      </c>
      <c r="D1093" s="6">
        <f>MONTH(Patient_Data!$E1093)</f>
        <v>9</v>
      </c>
      <c r="E1093" s="7">
        <v>45548</v>
      </c>
      <c r="F1093" s="55" t="str">
        <f>TEXT(Patient_Data[[#This Row],[Admission_Date]],"YYYY")</f>
        <v>2024</v>
      </c>
      <c r="G1093" s="8" t="s">
        <v>2225</v>
      </c>
      <c r="H1093" s="8" t="s">
        <v>42</v>
      </c>
      <c r="I1093" s="4" t="s">
        <v>35</v>
      </c>
      <c r="J1093" s="4">
        <v>17</v>
      </c>
      <c r="K1093" s="4" t="s">
        <v>30</v>
      </c>
      <c r="L1093" s="8">
        <v>2</v>
      </c>
      <c r="M1093" s="9" t="s">
        <v>79</v>
      </c>
      <c r="N1093" s="9" t="str">
        <f t="shared" si="9"/>
        <v>PD</v>
      </c>
      <c r="O1093" s="10">
        <v>670.29</v>
      </c>
      <c r="P1093" s="10">
        <v>434.48</v>
      </c>
      <c r="Q1093" s="11">
        <v>3.2</v>
      </c>
      <c r="R1093" s="13" t="str">
        <f>IF(Patient_Data!$L1093&lt;2,"Low Risk",IF(Patient_Data!$L1093&lt;4,"Moderate Risk","High Risk"))</f>
        <v>Moderate Risk</v>
      </c>
      <c r="S1093" s="12" t="str">
        <f>IF(Patient_Data[[#This Row],[Age]]&lt;=18,"Pediatric",IF(Patient_Data[[#This Row],[Age]]&lt;=64,"Adult","Geriatric"))</f>
        <v>Pediatric</v>
      </c>
    </row>
    <row r="1094" spans="1:19" ht="15.75" customHeight="1" x14ac:dyDescent="0.3">
      <c r="A1094" s="4" t="s">
        <v>2226</v>
      </c>
      <c r="B1094" s="5" t="str">
        <f>TEXT(Patient_Data!$E1094,"mmmm")</f>
        <v>April</v>
      </c>
      <c r="C1094" s="6" t="str">
        <f t="shared" si="8"/>
        <v>Apr</v>
      </c>
      <c r="D1094" s="6">
        <f>MONTH(Patient_Data!$E1094)</f>
        <v>4</v>
      </c>
      <c r="E1094" s="7">
        <v>45386</v>
      </c>
      <c r="F1094" s="55" t="str">
        <f>TEXT(Patient_Data[[#This Row],[Admission_Date]],"YYYY")</f>
        <v>2024</v>
      </c>
      <c r="G1094" s="8" t="s">
        <v>2227</v>
      </c>
      <c r="H1094" s="8" t="s">
        <v>28</v>
      </c>
      <c r="I1094" s="4" t="s">
        <v>35</v>
      </c>
      <c r="J1094" s="4">
        <v>75</v>
      </c>
      <c r="K1094" s="4" t="s">
        <v>54</v>
      </c>
      <c r="L1094" s="8">
        <v>5</v>
      </c>
      <c r="M1094" s="9" t="s">
        <v>50</v>
      </c>
      <c r="N1094" s="9" t="str">
        <f t="shared" si="9"/>
        <v>ICU</v>
      </c>
      <c r="O1094" s="10">
        <v>15461.17</v>
      </c>
      <c r="P1094" s="10">
        <v>9982.35</v>
      </c>
      <c r="Q1094" s="11">
        <v>10.9</v>
      </c>
      <c r="R1094" s="13" t="str">
        <f>IF(Patient_Data!$L1094&lt;2,"Low Risk",IF(Patient_Data!$L1094&lt;4,"Moderate Risk","High Risk"))</f>
        <v>High Risk</v>
      </c>
      <c r="S1094" s="12" t="str">
        <f>IF(Patient_Data[[#This Row],[Age]]&lt;=18,"Pediatric",IF(Patient_Data[[#This Row],[Age]]&lt;=64,"Adult","Geriatric"))</f>
        <v>Geriatric</v>
      </c>
    </row>
    <row r="1095" spans="1:19" ht="15.75" customHeight="1" x14ac:dyDescent="0.3">
      <c r="A1095" s="4" t="s">
        <v>2228</v>
      </c>
      <c r="B1095" s="5" t="str">
        <f>TEXT(Patient_Data!$E1095,"mmmm")</f>
        <v>July</v>
      </c>
      <c r="C1095" s="6" t="str">
        <f t="shared" si="8"/>
        <v>Jul</v>
      </c>
      <c r="D1095" s="6">
        <f>MONTH(Patient_Data!$E1095)</f>
        <v>7</v>
      </c>
      <c r="E1095" s="7">
        <v>45853</v>
      </c>
      <c r="F1095" s="55" t="str">
        <f>TEXT(Patient_Data[[#This Row],[Admission_Date]],"YYYY")</f>
        <v>2025</v>
      </c>
      <c r="G1095" s="8" t="s">
        <v>2229</v>
      </c>
      <c r="H1095" s="8" t="s">
        <v>82</v>
      </c>
      <c r="I1095" s="4" t="s">
        <v>35</v>
      </c>
      <c r="J1095" s="4">
        <v>61</v>
      </c>
      <c r="K1095" s="4" t="s">
        <v>30</v>
      </c>
      <c r="L1095" s="8">
        <v>1</v>
      </c>
      <c r="M1095" s="9" t="s">
        <v>83</v>
      </c>
      <c r="N1095" s="9" t="str">
        <f t="shared" si="9"/>
        <v>ER</v>
      </c>
      <c r="O1095" s="10">
        <v>4029.45</v>
      </c>
      <c r="P1095" s="10">
        <v>2883.73</v>
      </c>
      <c r="Q1095" s="11">
        <v>23</v>
      </c>
      <c r="R1095" s="13" t="str">
        <f>IF(Patient_Data!$L1095&lt;2,"Low Risk",IF(Patient_Data!$L1095&lt;4,"Moderate Risk","High Risk"))</f>
        <v>Low Risk</v>
      </c>
      <c r="S1095" s="12" t="str">
        <f>IF(Patient_Data[[#This Row],[Age]]&lt;=18,"Pediatric",IF(Patient_Data[[#This Row],[Age]]&lt;=64,"Adult","Geriatric"))</f>
        <v>Adult</v>
      </c>
    </row>
    <row r="1096" spans="1:19" ht="15.75" customHeight="1" x14ac:dyDescent="0.3">
      <c r="A1096" s="4" t="s">
        <v>2230</v>
      </c>
      <c r="B1096" s="5" t="str">
        <f>TEXT(Patient_Data!$E1096,"mmmm")</f>
        <v>April</v>
      </c>
      <c r="C1096" s="6" t="str">
        <f t="shared" si="8"/>
        <v>Apr</v>
      </c>
      <c r="D1096" s="6">
        <f>MONTH(Patient_Data!$E1096)</f>
        <v>4</v>
      </c>
      <c r="E1096" s="7">
        <v>45749</v>
      </c>
      <c r="F1096" s="55" t="str">
        <f>TEXT(Patient_Data[[#This Row],[Admission_Date]],"YYYY")</f>
        <v>2025</v>
      </c>
      <c r="G1096" s="8" t="s">
        <v>2231</v>
      </c>
      <c r="H1096" s="8" t="s">
        <v>28</v>
      </c>
      <c r="I1096" s="4" t="s">
        <v>29</v>
      </c>
      <c r="J1096" s="4">
        <v>15</v>
      </c>
      <c r="K1096" s="4" t="s">
        <v>54</v>
      </c>
      <c r="L1096" s="8">
        <v>3</v>
      </c>
      <c r="M1096" s="9" t="s">
        <v>79</v>
      </c>
      <c r="N1096" s="9" t="str">
        <f t="shared" si="9"/>
        <v>PD</v>
      </c>
      <c r="O1096" s="10">
        <v>1419.56</v>
      </c>
      <c r="P1096" s="10">
        <v>1036.8900000000001</v>
      </c>
      <c r="Q1096" s="11">
        <v>5.4</v>
      </c>
      <c r="R1096" s="13" t="str">
        <f>IF(Patient_Data!$L1096&lt;2,"Low Risk",IF(Patient_Data!$L1096&lt;4,"Moderate Risk","High Risk"))</f>
        <v>Moderate Risk</v>
      </c>
      <c r="S1096" s="12" t="str">
        <f>IF(Patient_Data[[#This Row],[Age]]&lt;=18,"Pediatric",IF(Patient_Data[[#This Row],[Age]]&lt;=64,"Adult","Geriatric"))</f>
        <v>Pediatric</v>
      </c>
    </row>
    <row r="1097" spans="1:19" ht="15.75" customHeight="1" x14ac:dyDescent="0.3">
      <c r="A1097" s="4" t="s">
        <v>2232</v>
      </c>
      <c r="B1097" s="5" t="str">
        <f>TEXT(Patient_Data!$E1097,"mmmm")</f>
        <v>March</v>
      </c>
      <c r="C1097" s="6" t="str">
        <f t="shared" si="8"/>
        <v>Mar</v>
      </c>
      <c r="D1097" s="6">
        <f>MONTH(Patient_Data!$E1097)</f>
        <v>3</v>
      </c>
      <c r="E1097" s="7">
        <v>46097</v>
      </c>
      <c r="F1097" s="55" t="str">
        <f>TEXT(Patient_Data[[#This Row],[Admission_Date]],"YYYY")</f>
        <v>2026</v>
      </c>
      <c r="G1097" s="8" t="s">
        <v>2233</v>
      </c>
      <c r="H1097" s="8" t="s">
        <v>28</v>
      </c>
      <c r="I1097" s="4" t="s">
        <v>35</v>
      </c>
      <c r="J1097" s="4">
        <v>58</v>
      </c>
      <c r="K1097" s="4" t="s">
        <v>45</v>
      </c>
      <c r="L1097" s="8">
        <v>5</v>
      </c>
      <c r="M1097" s="9" t="s">
        <v>50</v>
      </c>
      <c r="N1097" s="9" t="str">
        <f t="shared" si="9"/>
        <v>ICU</v>
      </c>
      <c r="O1097" s="10">
        <v>24521.55</v>
      </c>
      <c r="P1097" s="10">
        <v>17967.13</v>
      </c>
      <c r="Q1097" s="11">
        <v>8.3000000000000007</v>
      </c>
      <c r="R1097" s="13" t="str">
        <f>IF(Patient_Data!$L1097&lt;2,"Low Risk",IF(Patient_Data!$L1097&lt;4,"Moderate Risk","High Risk"))</f>
        <v>High Risk</v>
      </c>
      <c r="S1097" s="12" t="str">
        <f>IF(Patient_Data[[#This Row],[Age]]&lt;=18,"Pediatric",IF(Patient_Data[[#This Row],[Age]]&lt;=64,"Adult","Geriatric"))</f>
        <v>Adult</v>
      </c>
    </row>
    <row r="1098" spans="1:19" ht="15.75" customHeight="1" x14ac:dyDescent="0.3">
      <c r="A1098" s="4" t="s">
        <v>2234</v>
      </c>
      <c r="B1098" s="5" t="str">
        <f>TEXT(Patient_Data!$E1098,"mmmm")</f>
        <v>June</v>
      </c>
      <c r="C1098" s="6" t="str">
        <f t="shared" si="8"/>
        <v>Jun</v>
      </c>
      <c r="D1098" s="6">
        <f>MONTH(Patient_Data!$E1098)</f>
        <v>6</v>
      </c>
      <c r="E1098" s="7">
        <v>46178</v>
      </c>
      <c r="F1098" s="55" t="str">
        <f>TEXT(Patient_Data[[#This Row],[Admission_Date]],"YYYY")</f>
        <v>2026</v>
      </c>
      <c r="G1098" s="8" t="s">
        <v>2235</v>
      </c>
      <c r="H1098" s="8" t="s">
        <v>42</v>
      </c>
      <c r="I1098" s="4" t="s">
        <v>29</v>
      </c>
      <c r="J1098" s="4">
        <v>25</v>
      </c>
      <c r="K1098" s="4" t="s">
        <v>54</v>
      </c>
      <c r="L1098" s="8">
        <v>5</v>
      </c>
      <c r="M1098" s="9" t="s">
        <v>72</v>
      </c>
      <c r="N1098" s="9" t="str">
        <f t="shared" si="9"/>
        <v>Surgery</v>
      </c>
      <c r="O1098" s="10">
        <v>21368.55</v>
      </c>
      <c r="P1098" s="10">
        <v>16327.3</v>
      </c>
      <c r="Q1098" s="11">
        <v>10.9</v>
      </c>
      <c r="R1098" s="13" t="str">
        <f>IF(Patient_Data!$L1098&lt;2,"Low Risk",IF(Patient_Data!$L1098&lt;4,"Moderate Risk","High Risk"))</f>
        <v>High Risk</v>
      </c>
      <c r="S1098" s="12" t="str">
        <f>IF(Patient_Data[[#This Row],[Age]]&lt;=18,"Pediatric",IF(Patient_Data[[#This Row],[Age]]&lt;=64,"Adult","Geriatric"))</f>
        <v>Adult</v>
      </c>
    </row>
    <row r="1099" spans="1:19" ht="15.75" customHeight="1" x14ac:dyDescent="0.3">
      <c r="A1099" s="4" t="s">
        <v>2236</v>
      </c>
      <c r="B1099" s="5" t="str">
        <f>TEXT(Patient_Data!$E1099,"mmmm")</f>
        <v>May</v>
      </c>
      <c r="C1099" s="6" t="str">
        <f t="shared" si="8"/>
        <v>May</v>
      </c>
      <c r="D1099" s="6">
        <f>MONTH(Patient_Data!$E1099)</f>
        <v>5</v>
      </c>
      <c r="E1099" s="7">
        <v>45441</v>
      </c>
      <c r="F1099" s="55" t="str">
        <f>TEXT(Patient_Data[[#This Row],[Admission_Date]],"YYYY")</f>
        <v>2024</v>
      </c>
      <c r="G1099" s="8" t="s">
        <v>2237</v>
      </c>
      <c r="H1099" s="8" t="s">
        <v>49</v>
      </c>
      <c r="I1099" s="4" t="s">
        <v>29</v>
      </c>
      <c r="J1099" s="4">
        <v>65</v>
      </c>
      <c r="K1099" s="4" t="s">
        <v>45</v>
      </c>
      <c r="L1099" s="8">
        <v>1</v>
      </c>
      <c r="M1099" s="9" t="s">
        <v>36</v>
      </c>
      <c r="N1099" s="9" t="str">
        <f t="shared" si="9"/>
        <v>Cardio</v>
      </c>
      <c r="O1099" s="10">
        <v>7336.65</v>
      </c>
      <c r="P1099" s="10">
        <v>4304.0600000000004</v>
      </c>
      <c r="Q1099" s="11">
        <v>6.1</v>
      </c>
      <c r="R1099" s="13" t="str">
        <f>IF(Patient_Data!$L1099&lt;2,"Low Risk",IF(Patient_Data!$L1099&lt;4,"Moderate Risk","High Risk"))</f>
        <v>Low Risk</v>
      </c>
      <c r="S1099" s="12" t="str">
        <f>IF(Patient_Data[[#This Row],[Age]]&lt;=18,"Pediatric",IF(Patient_Data[[#This Row],[Age]]&lt;=64,"Adult","Geriatric"))</f>
        <v>Geriatric</v>
      </c>
    </row>
    <row r="1100" spans="1:19" ht="15.75" customHeight="1" x14ac:dyDescent="0.3">
      <c r="A1100" s="4" t="s">
        <v>2238</v>
      </c>
      <c r="B1100" s="5" t="str">
        <f>TEXT(Patient_Data!$E1100,"mmmm")</f>
        <v>June</v>
      </c>
      <c r="C1100" s="6" t="str">
        <f t="shared" si="8"/>
        <v>Jun</v>
      </c>
      <c r="D1100" s="6">
        <f>MONTH(Patient_Data!$E1100)</f>
        <v>6</v>
      </c>
      <c r="E1100" s="7">
        <v>46199</v>
      </c>
      <c r="F1100" s="55" t="str">
        <f>TEXT(Patient_Data[[#This Row],[Admission_Date]],"YYYY")</f>
        <v>2026</v>
      </c>
      <c r="G1100" s="8" t="s">
        <v>2239</v>
      </c>
      <c r="H1100" s="8" t="s">
        <v>49</v>
      </c>
      <c r="I1100" s="4" t="s">
        <v>35</v>
      </c>
      <c r="J1100" s="4">
        <v>75</v>
      </c>
      <c r="K1100" s="4" t="s">
        <v>30</v>
      </c>
      <c r="L1100" s="8">
        <v>3</v>
      </c>
      <c r="M1100" s="9" t="s">
        <v>36</v>
      </c>
      <c r="N1100" s="9" t="str">
        <f t="shared" si="9"/>
        <v>Cardio</v>
      </c>
      <c r="O1100" s="10">
        <v>14837.52</v>
      </c>
      <c r="P1100" s="10">
        <v>9115.69</v>
      </c>
      <c r="Q1100" s="11">
        <v>8.1</v>
      </c>
      <c r="R1100" s="13" t="str">
        <f>IF(Patient_Data!$L1100&lt;2,"Low Risk",IF(Patient_Data!$L1100&lt;4,"Moderate Risk","High Risk"))</f>
        <v>Moderate Risk</v>
      </c>
      <c r="S1100" s="12" t="str">
        <f>IF(Patient_Data[[#This Row],[Age]]&lt;=18,"Pediatric",IF(Patient_Data[[#This Row],[Age]]&lt;=64,"Adult","Geriatric"))</f>
        <v>Geriatric</v>
      </c>
    </row>
    <row r="1101" spans="1:19" ht="15.75" customHeight="1" x14ac:dyDescent="0.3">
      <c r="A1101" s="4" t="s">
        <v>2240</v>
      </c>
      <c r="B1101" s="5" t="str">
        <f>TEXT(Patient_Data!$E1101,"mmmm")</f>
        <v>April</v>
      </c>
      <c r="C1101" s="6" t="str">
        <f t="shared" si="8"/>
        <v>Apr</v>
      </c>
      <c r="D1101" s="6">
        <f>MONTH(Patient_Data!$E1101)</f>
        <v>4</v>
      </c>
      <c r="E1101" s="7">
        <v>46125</v>
      </c>
      <c r="F1101" s="55" t="str">
        <f>TEXT(Patient_Data[[#This Row],[Admission_Date]],"YYYY")</f>
        <v>2026</v>
      </c>
      <c r="G1101" s="8" t="s">
        <v>2241</v>
      </c>
      <c r="H1101" s="8" t="s">
        <v>42</v>
      </c>
      <c r="I1101" s="4" t="s">
        <v>29</v>
      </c>
      <c r="J1101" s="4">
        <v>51</v>
      </c>
      <c r="K1101" s="4" t="s">
        <v>30</v>
      </c>
      <c r="L1101" s="8">
        <v>1</v>
      </c>
      <c r="M1101" s="9" t="s">
        <v>36</v>
      </c>
      <c r="N1101" s="9" t="str">
        <f t="shared" si="9"/>
        <v>Cardio</v>
      </c>
      <c r="O1101" s="10">
        <v>10432.64</v>
      </c>
      <c r="P1101" s="10">
        <v>6725.69</v>
      </c>
      <c r="Q1101" s="11">
        <v>6.1</v>
      </c>
      <c r="R1101" s="13" t="str">
        <f>IF(Patient_Data!$L1101&lt;2,"Low Risk",IF(Patient_Data!$L1101&lt;4,"Moderate Risk","High Risk"))</f>
        <v>Low Risk</v>
      </c>
      <c r="S1101" s="12" t="str">
        <f>IF(Patient_Data[[#This Row],[Age]]&lt;=18,"Pediatric",IF(Patient_Data[[#This Row],[Age]]&lt;=64,"Adult","Geriatric"))</f>
        <v>Adult</v>
      </c>
    </row>
    <row r="1102" spans="1:19" ht="15.75" customHeight="1" x14ac:dyDescent="0.3">
      <c r="A1102" s="4" t="s">
        <v>2242</v>
      </c>
      <c r="B1102" s="5" t="str">
        <f>TEXT(Patient_Data!$E1102,"mmmm")</f>
        <v>April</v>
      </c>
      <c r="C1102" s="6" t="str">
        <f t="shared" si="8"/>
        <v>Apr</v>
      </c>
      <c r="D1102" s="6">
        <f>MONTH(Patient_Data!$E1102)</f>
        <v>4</v>
      </c>
      <c r="E1102" s="7">
        <v>45397</v>
      </c>
      <c r="F1102" s="55" t="str">
        <f>TEXT(Patient_Data[[#This Row],[Admission_Date]],"YYYY")</f>
        <v>2024</v>
      </c>
      <c r="G1102" s="8" t="s">
        <v>2243</v>
      </c>
      <c r="H1102" s="8" t="s">
        <v>34</v>
      </c>
      <c r="I1102" s="4" t="s">
        <v>35</v>
      </c>
      <c r="J1102" s="4">
        <v>50</v>
      </c>
      <c r="K1102" s="4" t="s">
        <v>30</v>
      </c>
      <c r="L1102" s="8">
        <v>1</v>
      </c>
      <c r="M1102" s="9" t="s">
        <v>39</v>
      </c>
      <c r="N1102" s="9" t="str">
        <f t="shared" si="9"/>
        <v>GM</v>
      </c>
      <c r="O1102" s="10">
        <v>3483.91</v>
      </c>
      <c r="P1102" s="10">
        <v>2371.8200000000002</v>
      </c>
      <c r="Q1102" s="11">
        <v>4.7</v>
      </c>
      <c r="R1102" s="13" t="str">
        <f>IF(Patient_Data!$L1102&lt;2,"Low Risk",IF(Patient_Data!$L1102&lt;4,"Moderate Risk","High Risk"))</f>
        <v>Low Risk</v>
      </c>
      <c r="S1102" s="12" t="str">
        <f>IF(Patient_Data[[#This Row],[Age]]&lt;=18,"Pediatric",IF(Patient_Data[[#This Row],[Age]]&lt;=64,"Adult","Geriatric"))</f>
        <v>Adult</v>
      </c>
    </row>
    <row r="1103" spans="1:19" ht="15.75" customHeight="1" x14ac:dyDescent="0.3">
      <c r="A1103" s="4" t="s">
        <v>2244</v>
      </c>
      <c r="B1103" s="5" t="str">
        <f>TEXT(Patient_Data!$E1103,"mmmm")</f>
        <v>March</v>
      </c>
      <c r="C1103" s="6" t="str">
        <f t="shared" si="8"/>
        <v>Mar</v>
      </c>
      <c r="D1103" s="6">
        <f>MONTH(Patient_Data!$E1103)</f>
        <v>3</v>
      </c>
      <c r="E1103" s="7">
        <v>46106</v>
      </c>
      <c r="F1103" s="55" t="str">
        <f>TEXT(Patient_Data[[#This Row],[Admission_Date]],"YYYY")</f>
        <v>2026</v>
      </c>
      <c r="G1103" s="8" t="s">
        <v>2245</v>
      </c>
      <c r="H1103" s="8" t="s">
        <v>132</v>
      </c>
      <c r="I1103" s="4" t="s">
        <v>29</v>
      </c>
      <c r="J1103" s="4">
        <v>5</v>
      </c>
      <c r="K1103" s="4" t="s">
        <v>30</v>
      </c>
      <c r="L1103" s="8">
        <v>1</v>
      </c>
      <c r="M1103" s="9" t="s">
        <v>79</v>
      </c>
      <c r="N1103" s="9" t="str">
        <f t="shared" si="9"/>
        <v>PD</v>
      </c>
      <c r="O1103" s="10">
        <v>1374.1</v>
      </c>
      <c r="P1103" s="10">
        <v>982.67</v>
      </c>
      <c r="Q1103" s="11">
        <v>2.6</v>
      </c>
      <c r="R1103" s="13" t="str">
        <f>IF(Patient_Data!$L1103&lt;2,"Low Risk",IF(Patient_Data!$L1103&lt;4,"Moderate Risk","High Risk"))</f>
        <v>Low Risk</v>
      </c>
      <c r="S1103" s="12" t="str">
        <f>IF(Patient_Data[[#This Row],[Age]]&lt;=18,"Pediatric",IF(Patient_Data[[#This Row],[Age]]&lt;=64,"Adult","Geriatric"))</f>
        <v>Pediatric</v>
      </c>
    </row>
    <row r="1104" spans="1:19" ht="15.75" customHeight="1" x14ac:dyDescent="0.3">
      <c r="A1104" s="4" t="s">
        <v>2246</v>
      </c>
      <c r="B1104" s="5" t="str">
        <f>TEXT(Patient_Data!$E1104,"mmmm")</f>
        <v>February</v>
      </c>
      <c r="C1104" s="6" t="str">
        <f t="shared" si="8"/>
        <v>Feb</v>
      </c>
      <c r="D1104" s="6">
        <f>MONTH(Patient_Data!$E1104)</f>
        <v>2</v>
      </c>
      <c r="E1104" s="7">
        <v>45693</v>
      </c>
      <c r="F1104" s="55" t="str">
        <f>TEXT(Patient_Data[[#This Row],[Admission_Date]],"YYYY")</f>
        <v>2025</v>
      </c>
      <c r="G1104" s="8" t="s">
        <v>2247</v>
      </c>
      <c r="H1104" s="8" t="s">
        <v>53</v>
      </c>
      <c r="I1104" s="4" t="s">
        <v>29</v>
      </c>
      <c r="J1104" s="4">
        <v>59</v>
      </c>
      <c r="K1104" s="4" t="s">
        <v>54</v>
      </c>
      <c r="L1104" s="8">
        <v>5</v>
      </c>
      <c r="M1104" s="9" t="s">
        <v>83</v>
      </c>
      <c r="N1104" s="9" t="str">
        <f t="shared" si="9"/>
        <v>ER</v>
      </c>
      <c r="O1104" s="10">
        <v>12522.24</v>
      </c>
      <c r="P1104" s="10">
        <v>9222.0400000000009</v>
      </c>
      <c r="Q1104" s="11">
        <v>10.1</v>
      </c>
      <c r="R1104" s="13" t="str">
        <f>IF(Patient_Data!$L1104&lt;2,"Low Risk",IF(Patient_Data!$L1104&lt;4,"Moderate Risk","High Risk"))</f>
        <v>High Risk</v>
      </c>
      <c r="S1104" s="12" t="str">
        <f>IF(Patient_Data[[#This Row],[Age]]&lt;=18,"Pediatric",IF(Patient_Data[[#This Row],[Age]]&lt;=64,"Adult","Geriatric"))</f>
        <v>Adult</v>
      </c>
    </row>
    <row r="1105" spans="1:19" ht="15.75" customHeight="1" x14ac:dyDescent="0.3">
      <c r="A1105" s="4" t="s">
        <v>2248</v>
      </c>
      <c r="B1105" s="5" t="str">
        <f>TEXT(Patient_Data!$E1105,"mmmm")</f>
        <v>September</v>
      </c>
      <c r="C1105" s="6" t="str">
        <f t="shared" si="8"/>
        <v>Sep</v>
      </c>
      <c r="D1105" s="6">
        <f>MONTH(Patient_Data!$E1105)</f>
        <v>9</v>
      </c>
      <c r="E1105" s="7">
        <v>45548</v>
      </c>
      <c r="F1105" s="55" t="str">
        <f>TEXT(Patient_Data[[#This Row],[Admission_Date]],"YYYY")</f>
        <v>2024</v>
      </c>
      <c r="G1105" s="8" t="s">
        <v>2249</v>
      </c>
      <c r="H1105" s="8" t="s">
        <v>53</v>
      </c>
      <c r="I1105" s="4" t="s">
        <v>35</v>
      </c>
      <c r="J1105" s="4">
        <v>10</v>
      </c>
      <c r="K1105" s="4" t="s">
        <v>30</v>
      </c>
      <c r="L1105" s="8">
        <v>2</v>
      </c>
      <c r="M1105" s="9" t="s">
        <v>79</v>
      </c>
      <c r="N1105" s="9" t="str">
        <f t="shared" si="9"/>
        <v>PD</v>
      </c>
      <c r="O1105" s="10">
        <v>1312.31</v>
      </c>
      <c r="P1105" s="10">
        <v>1002.96</v>
      </c>
      <c r="Q1105" s="11">
        <v>0.7</v>
      </c>
      <c r="R1105" s="13" t="str">
        <f>IF(Patient_Data!$L1105&lt;2,"Low Risk",IF(Patient_Data!$L1105&lt;4,"Moderate Risk","High Risk"))</f>
        <v>Moderate Risk</v>
      </c>
      <c r="S1105" s="12" t="str">
        <f>IF(Patient_Data[[#This Row],[Age]]&lt;=18,"Pediatric",IF(Patient_Data[[#This Row],[Age]]&lt;=64,"Adult","Geriatric"))</f>
        <v>Pediatric</v>
      </c>
    </row>
    <row r="1106" spans="1:19" ht="15.75" customHeight="1" x14ac:dyDescent="0.3">
      <c r="A1106" s="4" t="s">
        <v>2250</v>
      </c>
      <c r="B1106" s="5" t="str">
        <f>TEXT(Patient_Data!$E1106,"mmmm")</f>
        <v>September</v>
      </c>
      <c r="C1106" s="6" t="str">
        <f t="shared" si="8"/>
        <v>Sep</v>
      </c>
      <c r="D1106" s="6">
        <f>MONTH(Patient_Data!$E1106)</f>
        <v>9</v>
      </c>
      <c r="E1106" s="7">
        <v>45195</v>
      </c>
      <c r="F1106" s="55" t="str">
        <f>TEXT(Patient_Data[[#This Row],[Admission_Date]],"YYYY")</f>
        <v>2023</v>
      </c>
      <c r="G1106" s="8" t="s">
        <v>2251</v>
      </c>
      <c r="H1106" s="8" t="s">
        <v>28</v>
      </c>
      <c r="I1106" s="4" t="s">
        <v>35</v>
      </c>
      <c r="J1106" s="4">
        <v>69</v>
      </c>
      <c r="K1106" s="4" t="s">
        <v>54</v>
      </c>
      <c r="L1106" s="8">
        <v>4</v>
      </c>
      <c r="M1106" s="9" t="s">
        <v>50</v>
      </c>
      <c r="N1106" s="9" t="str">
        <f t="shared" si="9"/>
        <v>ICU</v>
      </c>
      <c r="O1106" s="10">
        <v>15788.78</v>
      </c>
      <c r="P1106" s="10">
        <v>9288.69</v>
      </c>
      <c r="Q1106" s="11">
        <v>16.399999999999999</v>
      </c>
      <c r="R1106" s="13" t="str">
        <f>IF(Patient_Data!$L1106&lt;2,"Low Risk",IF(Patient_Data!$L1106&lt;4,"Moderate Risk","High Risk"))</f>
        <v>High Risk</v>
      </c>
      <c r="S1106" s="12" t="str">
        <f>IF(Patient_Data[[#This Row],[Age]]&lt;=18,"Pediatric",IF(Patient_Data[[#This Row],[Age]]&lt;=64,"Adult","Geriatric"))</f>
        <v>Geriatric</v>
      </c>
    </row>
    <row r="1107" spans="1:19" ht="15.75" customHeight="1" x14ac:dyDescent="0.3">
      <c r="A1107" s="4" t="s">
        <v>2252</v>
      </c>
      <c r="B1107" s="5" t="str">
        <f>TEXT(Patient_Data!$E1107,"mmmm")</f>
        <v>September</v>
      </c>
      <c r="C1107" s="6" t="str">
        <f t="shared" si="8"/>
        <v>Sep</v>
      </c>
      <c r="D1107" s="6">
        <f>MONTH(Patient_Data!$E1107)</f>
        <v>9</v>
      </c>
      <c r="E1107" s="7">
        <v>45562</v>
      </c>
      <c r="F1107" s="55" t="str">
        <f>TEXT(Patient_Data[[#This Row],[Admission_Date]],"YYYY")</f>
        <v>2024</v>
      </c>
      <c r="G1107" s="8" t="s">
        <v>2253</v>
      </c>
      <c r="H1107" s="8" t="s">
        <v>53</v>
      </c>
      <c r="I1107" s="4" t="s">
        <v>29</v>
      </c>
      <c r="J1107" s="4">
        <v>41</v>
      </c>
      <c r="K1107" s="4" t="s">
        <v>54</v>
      </c>
      <c r="L1107" s="8">
        <v>4</v>
      </c>
      <c r="M1107" s="9" t="s">
        <v>83</v>
      </c>
      <c r="N1107" s="9" t="str">
        <f t="shared" si="9"/>
        <v>ER</v>
      </c>
      <c r="O1107" s="10">
        <v>4452.8999999999996</v>
      </c>
      <c r="P1107" s="10">
        <v>2816.27</v>
      </c>
      <c r="Q1107" s="11">
        <v>12.5</v>
      </c>
      <c r="R1107" s="13" t="str">
        <f>IF(Patient_Data!$L1107&lt;2,"Low Risk",IF(Patient_Data!$L1107&lt;4,"Moderate Risk","High Risk"))</f>
        <v>High Risk</v>
      </c>
      <c r="S1107" s="12" t="str">
        <f>IF(Patient_Data[[#This Row],[Age]]&lt;=18,"Pediatric",IF(Patient_Data[[#This Row],[Age]]&lt;=64,"Adult","Geriatric"))</f>
        <v>Adult</v>
      </c>
    </row>
    <row r="1108" spans="1:19" ht="15.75" customHeight="1" x14ac:dyDescent="0.3">
      <c r="A1108" s="4" t="s">
        <v>2254</v>
      </c>
      <c r="B1108" s="5" t="str">
        <f>TEXT(Patient_Data!$E1108,"mmmm")</f>
        <v>August</v>
      </c>
      <c r="C1108" s="6" t="str">
        <f t="shared" si="8"/>
        <v>Aug</v>
      </c>
      <c r="D1108" s="6">
        <f>MONTH(Patient_Data!$E1108)</f>
        <v>8</v>
      </c>
      <c r="E1108" s="7">
        <v>45526</v>
      </c>
      <c r="F1108" s="55" t="str">
        <f>TEXT(Patient_Data[[#This Row],[Admission_Date]],"YYYY")</f>
        <v>2024</v>
      </c>
      <c r="G1108" s="8" t="s">
        <v>2255</v>
      </c>
      <c r="H1108" s="8" t="s">
        <v>53</v>
      </c>
      <c r="I1108" s="4" t="s">
        <v>29</v>
      </c>
      <c r="J1108" s="4">
        <v>18</v>
      </c>
      <c r="K1108" s="4" t="s">
        <v>30</v>
      </c>
      <c r="L1108" s="8">
        <v>2</v>
      </c>
      <c r="M1108" s="9" t="s">
        <v>36</v>
      </c>
      <c r="N1108" s="9" t="str">
        <f t="shared" si="9"/>
        <v>Cardio</v>
      </c>
      <c r="O1108" s="10">
        <v>12466.12</v>
      </c>
      <c r="P1108" s="10">
        <v>8000.72</v>
      </c>
      <c r="Q1108" s="11">
        <v>2.8</v>
      </c>
      <c r="R1108" s="13" t="str">
        <f>IF(Patient_Data!$L1108&lt;2,"Low Risk",IF(Patient_Data!$L1108&lt;4,"Moderate Risk","High Risk"))</f>
        <v>Moderate Risk</v>
      </c>
      <c r="S1108" s="12" t="str">
        <f>IF(Patient_Data[[#This Row],[Age]]&lt;=18,"Pediatric",IF(Patient_Data[[#This Row],[Age]]&lt;=64,"Adult","Geriatric"))</f>
        <v>Pediatric</v>
      </c>
    </row>
    <row r="1109" spans="1:19" ht="15.75" customHeight="1" x14ac:dyDescent="0.3">
      <c r="A1109" s="4" t="s">
        <v>2256</v>
      </c>
      <c r="B1109" s="5" t="str">
        <f>TEXT(Patient_Data!$E1109,"mmmm")</f>
        <v>November</v>
      </c>
      <c r="C1109" s="6" t="str">
        <f t="shared" si="8"/>
        <v>Nov</v>
      </c>
      <c r="D1109" s="6">
        <f>MONTH(Patient_Data!$E1109)</f>
        <v>11</v>
      </c>
      <c r="E1109" s="7">
        <v>45987</v>
      </c>
      <c r="F1109" s="55" t="str">
        <f>TEXT(Patient_Data[[#This Row],[Admission_Date]],"YYYY")</f>
        <v>2025</v>
      </c>
      <c r="G1109" s="8" t="s">
        <v>2257</v>
      </c>
      <c r="H1109" s="8" t="s">
        <v>132</v>
      </c>
      <c r="I1109" s="4" t="s">
        <v>35</v>
      </c>
      <c r="J1109" s="4">
        <v>67</v>
      </c>
      <c r="K1109" s="4" t="s">
        <v>54</v>
      </c>
      <c r="L1109" s="8">
        <v>4</v>
      </c>
      <c r="M1109" s="9" t="s">
        <v>31</v>
      </c>
      <c r="N1109" s="9" t="str">
        <f t="shared" si="9"/>
        <v>Neuro</v>
      </c>
      <c r="O1109" s="10">
        <v>10057.92</v>
      </c>
      <c r="P1109" s="10">
        <v>6756.41</v>
      </c>
      <c r="Q1109" s="11">
        <v>2.2000000000000002</v>
      </c>
      <c r="R1109" s="13" t="str">
        <f>IF(Patient_Data!$L1109&lt;2,"Low Risk",IF(Patient_Data!$L1109&lt;4,"Moderate Risk","High Risk"))</f>
        <v>High Risk</v>
      </c>
      <c r="S1109" s="12" t="str">
        <f>IF(Patient_Data[[#This Row],[Age]]&lt;=18,"Pediatric",IF(Patient_Data[[#This Row],[Age]]&lt;=64,"Adult","Geriatric"))</f>
        <v>Geriatric</v>
      </c>
    </row>
    <row r="1110" spans="1:19" ht="15.75" customHeight="1" x14ac:dyDescent="0.3">
      <c r="A1110" s="4" t="s">
        <v>2258</v>
      </c>
      <c r="B1110" s="5" t="str">
        <f>TEXT(Patient_Data!$E1110,"mmmm")</f>
        <v>March</v>
      </c>
      <c r="C1110" s="6" t="str">
        <f t="shared" si="8"/>
        <v>Mar</v>
      </c>
      <c r="D1110" s="6">
        <f>MONTH(Patient_Data!$E1110)</f>
        <v>3</v>
      </c>
      <c r="E1110" s="7">
        <v>45362</v>
      </c>
      <c r="F1110" s="55" t="str">
        <f>TEXT(Patient_Data[[#This Row],[Admission_Date]],"YYYY")</f>
        <v>2024</v>
      </c>
      <c r="G1110" s="8" t="s">
        <v>2259</v>
      </c>
      <c r="H1110" s="8" t="s">
        <v>53</v>
      </c>
      <c r="I1110" s="4" t="s">
        <v>29</v>
      </c>
      <c r="J1110" s="4">
        <v>47</v>
      </c>
      <c r="K1110" s="4" t="s">
        <v>54</v>
      </c>
      <c r="L1110" s="8">
        <v>1</v>
      </c>
      <c r="M1110" s="9" t="s">
        <v>46</v>
      </c>
      <c r="N1110" s="9" t="str">
        <f t="shared" si="9"/>
        <v>Ortho</v>
      </c>
      <c r="O1110" s="10">
        <v>6577.38</v>
      </c>
      <c r="P1110" s="10">
        <v>4623.37</v>
      </c>
      <c r="Q1110" s="11">
        <v>2.4</v>
      </c>
      <c r="R1110" s="13" t="str">
        <f>IF(Patient_Data!$L1110&lt;2,"Low Risk",IF(Patient_Data!$L1110&lt;4,"Moderate Risk","High Risk"))</f>
        <v>Low Risk</v>
      </c>
      <c r="S1110" s="12" t="str">
        <f>IF(Patient_Data[[#This Row],[Age]]&lt;=18,"Pediatric",IF(Patient_Data[[#This Row],[Age]]&lt;=64,"Adult","Geriatric"))</f>
        <v>Adult</v>
      </c>
    </row>
    <row r="1111" spans="1:19" ht="15.75" customHeight="1" x14ac:dyDescent="0.3">
      <c r="A1111" s="4" t="s">
        <v>2260</v>
      </c>
      <c r="B1111" s="5" t="str">
        <f>TEXT(Patient_Data!$E1111,"mmmm")</f>
        <v>September</v>
      </c>
      <c r="C1111" s="6" t="str">
        <f t="shared" si="8"/>
        <v>Sep</v>
      </c>
      <c r="D1111" s="6">
        <f>MONTH(Patient_Data!$E1111)</f>
        <v>9</v>
      </c>
      <c r="E1111" s="7">
        <v>45545</v>
      </c>
      <c r="F1111" s="55" t="str">
        <f>TEXT(Patient_Data[[#This Row],[Admission_Date]],"YYYY")</f>
        <v>2024</v>
      </c>
      <c r="G1111" s="8" t="s">
        <v>2261</v>
      </c>
      <c r="H1111" s="8" t="s">
        <v>49</v>
      </c>
      <c r="I1111" s="4" t="s">
        <v>29</v>
      </c>
      <c r="J1111" s="4">
        <v>78</v>
      </c>
      <c r="K1111" s="4" t="s">
        <v>30</v>
      </c>
      <c r="L1111" s="8">
        <v>1</v>
      </c>
      <c r="M1111" s="9" t="s">
        <v>31</v>
      </c>
      <c r="N1111" s="9" t="str">
        <f t="shared" si="9"/>
        <v>Neuro</v>
      </c>
      <c r="O1111" s="10">
        <v>9008.76</v>
      </c>
      <c r="P1111" s="10">
        <v>6593.99</v>
      </c>
      <c r="Q1111" s="11">
        <v>2.2000000000000002</v>
      </c>
      <c r="R1111" s="13" t="str">
        <f>IF(Patient_Data!$L1111&lt;2,"Low Risk",IF(Patient_Data!$L1111&lt;4,"Moderate Risk","High Risk"))</f>
        <v>Low Risk</v>
      </c>
      <c r="S1111" s="12" t="str">
        <f>IF(Patient_Data[[#This Row],[Age]]&lt;=18,"Pediatric",IF(Patient_Data[[#This Row],[Age]]&lt;=64,"Adult","Geriatric"))</f>
        <v>Geriatric</v>
      </c>
    </row>
    <row r="1112" spans="1:19" ht="15.75" customHeight="1" x14ac:dyDescent="0.3">
      <c r="A1112" s="4" t="s">
        <v>2262</v>
      </c>
      <c r="B1112" s="5" t="str">
        <f>TEXT(Patient_Data!$E1112,"mmmm")</f>
        <v>June</v>
      </c>
      <c r="C1112" s="6" t="str">
        <f t="shared" si="8"/>
        <v>Jun</v>
      </c>
      <c r="D1112" s="6">
        <f>MONTH(Patient_Data!$E1112)</f>
        <v>6</v>
      </c>
      <c r="E1112" s="7">
        <v>45454</v>
      </c>
      <c r="F1112" s="55" t="str">
        <f>TEXT(Patient_Data[[#This Row],[Admission_Date]],"YYYY")</f>
        <v>2024</v>
      </c>
      <c r="G1112" s="8" t="s">
        <v>2263</v>
      </c>
      <c r="H1112" s="8" t="s">
        <v>132</v>
      </c>
      <c r="I1112" s="4" t="s">
        <v>35</v>
      </c>
      <c r="J1112" s="4">
        <v>42</v>
      </c>
      <c r="K1112" s="4" t="s">
        <v>54</v>
      </c>
      <c r="L1112" s="8">
        <v>5</v>
      </c>
      <c r="M1112" s="9" t="s">
        <v>72</v>
      </c>
      <c r="N1112" s="9" t="str">
        <f t="shared" si="9"/>
        <v>Surgery</v>
      </c>
      <c r="O1112" s="10">
        <v>12990.5</v>
      </c>
      <c r="P1112" s="10">
        <v>9955.98</v>
      </c>
      <c r="Q1112" s="11">
        <v>10.4</v>
      </c>
      <c r="R1112" s="13" t="str">
        <f>IF(Patient_Data!$L1112&lt;2,"Low Risk",IF(Patient_Data!$L1112&lt;4,"Moderate Risk","High Risk"))</f>
        <v>High Risk</v>
      </c>
      <c r="S1112" s="12" t="str">
        <f>IF(Patient_Data[[#This Row],[Age]]&lt;=18,"Pediatric",IF(Patient_Data[[#This Row],[Age]]&lt;=64,"Adult","Geriatric"))</f>
        <v>Adult</v>
      </c>
    </row>
    <row r="1113" spans="1:19" ht="15.75" customHeight="1" x14ac:dyDescent="0.3">
      <c r="A1113" s="4" t="s">
        <v>2264</v>
      </c>
      <c r="B1113" s="5" t="str">
        <f>TEXT(Patient_Data!$E1113,"mmmm")</f>
        <v>January</v>
      </c>
      <c r="C1113" s="6" t="str">
        <f t="shared" si="8"/>
        <v>Jan</v>
      </c>
      <c r="D1113" s="6">
        <f>MONTH(Patient_Data!$E1113)</f>
        <v>1</v>
      </c>
      <c r="E1113" s="7">
        <v>45675</v>
      </c>
      <c r="F1113" s="55" t="str">
        <f>TEXT(Patient_Data[[#This Row],[Admission_Date]],"YYYY")</f>
        <v>2025</v>
      </c>
      <c r="G1113" s="8" t="s">
        <v>2265</v>
      </c>
      <c r="H1113" s="8" t="s">
        <v>82</v>
      </c>
      <c r="I1113" s="4" t="s">
        <v>29</v>
      </c>
      <c r="J1113" s="4">
        <v>56</v>
      </c>
      <c r="K1113" s="4" t="s">
        <v>30</v>
      </c>
      <c r="L1113" s="8">
        <v>4</v>
      </c>
      <c r="M1113" s="9" t="s">
        <v>39</v>
      </c>
      <c r="N1113" s="9" t="str">
        <f t="shared" si="9"/>
        <v>GM</v>
      </c>
      <c r="O1113" s="10">
        <v>6373.72</v>
      </c>
      <c r="P1113" s="10">
        <v>3765.56</v>
      </c>
      <c r="Q1113" s="11">
        <v>8.6</v>
      </c>
      <c r="R1113" s="13" t="str">
        <f>IF(Patient_Data!$L1113&lt;2,"Low Risk",IF(Patient_Data!$L1113&lt;4,"Moderate Risk","High Risk"))</f>
        <v>High Risk</v>
      </c>
      <c r="S1113" s="12" t="str">
        <f>IF(Patient_Data[[#This Row],[Age]]&lt;=18,"Pediatric",IF(Patient_Data[[#This Row],[Age]]&lt;=64,"Adult","Geriatric"))</f>
        <v>Adult</v>
      </c>
    </row>
    <row r="1114" spans="1:19" ht="15.75" customHeight="1" x14ac:dyDescent="0.3">
      <c r="A1114" s="4" t="s">
        <v>2266</v>
      </c>
      <c r="B1114" s="5" t="str">
        <f>TEXT(Patient_Data!$E1114,"mmmm")</f>
        <v>October</v>
      </c>
      <c r="C1114" s="6" t="str">
        <f t="shared" si="8"/>
        <v>Oct</v>
      </c>
      <c r="D1114" s="6">
        <f>MONTH(Patient_Data!$E1114)</f>
        <v>10</v>
      </c>
      <c r="E1114" s="7">
        <v>45952</v>
      </c>
      <c r="F1114" s="55" t="str">
        <f>TEXT(Patient_Data[[#This Row],[Admission_Date]],"YYYY")</f>
        <v>2025</v>
      </c>
      <c r="G1114" s="8" t="s">
        <v>2267</v>
      </c>
      <c r="H1114" s="8" t="s">
        <v>28</v>
      </c>
      <c r="I1114" s="4" t="s">
        <v>29</v>
      </c>
      <c r="J1114" s="4">
        <v>85</v>
      </c>
      <c r="K1114" s="4" t="s">
        <v>30</v>
      </c>
      <c r="L1114" s="8">
        <v>5</v>
      </c>
      <c r="M1114" s="9" t="s">
        <v>36</v>
      </c>
      <c r="N1114" s="9" t="str">
        <f t="shared" si="9"/>
        <v>Cardio</v>
      </c>
      <c r="O1114" s="10">
        <v>7839.93</v>
      </c>
      <c r="P1114" s="10">
        <v>4866.3599999999997</v>
      </c>
      <c r="Q1114" s="11">
        <v>10.5</v>
      </c>
      <c r="R1114" s="13" t="str">
        <f>IF(Patient_Data!$L1114&lt;2,"Low Risk",IF(Patient_Data!$L1114&lt;4,"Moderate Risk","High Risk"))</f>
        <v>High Risk</v>
      </c>
      <c r="S1114" s="12" t="str">
        <f>IF(Patient_Data[[#This Row],[Age]]&lt;=18,"Pediatric",IF(Patient_Data[[#This Row],[Age]]&lt;=64,"Adult","Geriatric"))</f>
        <v>Geriatric</v>
      </c>
    </row>
    <row r="1115" spans="1:19" ht="15.75" customHeight="1" x14ac:dyDescent="0.3">
      <c r="A1115" s="4" t="s">
        <v>2268</v>
      </c>
      <c r="B1115" s="5" t="str">
        <f>TEXT(Patient_Data!$E1115,"mmmm")</f>
        <v>December</v>
      </c>
      <c r="C1115" s="6" t="str">
        <f t="shared" si="8"/>
        <v>Dec</v>
      </c>
      <c r="D1115" s="6">
        <f>MONTH(Patient_Data!$E1115)</f>
        <v>12</v>
      </c>
      <c r="E1115" s="7">
        <v>45649</v>
      </c>
      <c r="F1115" s="55" t="str">
        <f>TEXT(Patient_Data[[#This Row],[Admission_Date]],"YYYY")</f>
        <v>2024</v>
      </c>
      <c r="G1115" s="8" t="s">
        <v>2269</v>
      </c>
      <c r="H1115" s="8" t="s">
        <v>53</v>
      </c>
      <c r="I1115" s="4" t="s">
        <v>29</v>
      </c>
      <c r="J1115" s="4">
        <v>73</v>
      </c>
      <c r="K1115" s="4" t="s">
        <v>30</v>
      </c>
      <c r="L1115" s="8">
        <v>2</v>
      </c>
      <c r="M1115" s="9" t="s">
        <v>31</v>
      </c>
      <c r="N1115" s="9" t="str">
        <f t="shared" si="9"/>
        <v>Neuro</v>
      </c>
      <c r="O1115" s="10">
        <v>9622.41</v>
      </c>
      <c r="P1115" s="10">
        <v>6247.14</v>
      </c>
      <c r="Q1115" s="11">
        <v>11.1</v>
      </c>
      <c r="R1115" s="13" t="str">
        <f>IF(Patient_Data!$L1115&lt;2,"Low Risk",IF(Patient_Data!$L1115&lt;4,"Moderate Risk","High Risk"))</f>
        <v>Moderate Risk</v>
      </c>
      <c r="S1115" s="12" t="str">
        <f>IF(Patient_Data[[#This Row],[Age]]&lt;=18,"Pediatric",IF(Patient_Data[[#This Row],[Age]]&lt;=64,"Adult","Geriatric"))</f>
        <v>Geriatric</v>
      </c>
    </row>
    <row r="1116" spans="1:19" ht="15.75" customHeight="1" x14ac:dyDescent="0.3">
      <c r="A1116" s="4" t="s">
        <v>2270</v>
      </c>
      <c r="B1116" s="5" t="str">
        <f>TEXT(Patient_Data!$E1116,"mmmm")</f>
        <v>July</v>
      </c>
      <c r="C1116" s="6" t="str">
        <f t="shared" si="8"/>
        <v>Jul</v>
      </c>
      <c r="D1116" s="6">
        <f>MONTH(Patient_Data!$E1116)</f>
        <v>7</v>
      </c>
      <c r="E1116" s="7">
        <v>45842</v>
      </c>
      <c r="F1116" s="55" t="str">
        <f>TEXT(Patient_Data[[#This Row],[Admission_Date]],"YYYY")</f>
        <v>2025</v>
      </c>
      <c r="G1116" s="8" t="s">
        <v>2271</v>
      </c>
      <c r="H1116" s="8" t="s">
        <v>132</v>
      </c>
      <c r="I1116" s="4" t="s">
        <v>29</v>
      </c>
      <c r="J1116" s="4">
        <v>30</v>
      </c>
      <c r="K1116" s="4" t="s">
        <v>30</v>
      </c>
      <c r="L1116" s="8">
        <v>1</v>
      </c>
      <c r="M1116" s="9" t="s">
        <v>36</v>
      </c>
      <c r="N1116" s="9" t="str">
        <f t="shared" si="9"/>
        <v>Cardio</v>
      </c>
      <c r="O1116" s="10">
        <v>11379.96</v>
      </c>
      <c r="P1116" s="10">
        <v>7676.57</v>
      </c>
      <c r="Q1116" s="11">
        <v>6.5</v>
      </c>
      <c r="R1116" s="13" t="str">
        <f>IF(Patient_Data!$L1116&lt;2,"Low Risk",IF(Patient_Data!$L1116&lt;4,"Moderate Risk","High Risk"))</f>
        <v>Low Risk</v>
      </c>
      <c r="S1116" s="12" t="str">
        <f>IF(Patient_Data[[#This Row],[Age]]&lt;=18,"Pediatric",IF(Patient_Data[[#This Row],[Age]]&lt;=64,"Adult","Geriatric"))</f>
        <v>Adult</v>
      </c>
    </row>
    <row r="1117" spans="1:19" ht="15.75" customHeight="1" x14ac:dyDescent="0.3">
      <c r="A1117" s="4" t="s">
        <v>2272</v>
      </c>
      <c r="B1117" s="5" t="str">
        <f>TEXT(Patient_Data!$E1117,"mmmm")</f>
        <v>May</v>
      </c>
      <c r="C1117" s="6" t="str">
        <f t="shared" si="8"/>
        <v>May</v>
      </c>
      <c r="D1117" s="6">
        <f>MONTH(Patient_Data!$E1117)</f>
        <v>5</v>
      </c>
      <c r="E1117" s="7">
        <v>45785</v>
      </c>
      <c r="F1117" s="55" t="str">
        <f>TEXT(Patient_Data[[#This Row],[Admission_Date]],"YYYY")</f>
        <v>2025</v>
      </c>
      <c r="G1117" s="8" t="s">
        <v>2273</v>
      </c>
      <c r="H1117" s="8" t="s">
        <v>34</v>
      </c>
      <c r="I1117" s="4" t="s">
        <v>29</v>
      </c>
      <c r="J1117" s="4">
        <v>70</v>
      </c>
      <c r="K1117" s="4" t="s">
        <v>30</v>
      </c>
      <c r="L1117" s="8">
        <v>2</v>
      </c>
      <c r="M1117" s="9" t="s">
        <v>31</v>
      </c>
      <c r="N1117" s="9" t="str">
        <f t="shared" si="9"/>
        <v>Neuro</v>
      </c>
      <c r="O1117" s="10">
        <v>11541.57</v>
      </c>
      <c r="P1117" s="10">
        <v>8103.1</v>
      </c>
      <c r="Q1117" s="11">
        <v>3</v>
      </c>
      <c r="R1117" s="13" t="str">
        <f>IF(Patient_Data!$L1117&lt;2,"Low Risk",IF(Patient_Data!$L1117&lt;4,"Moderate Risk","High Risk"))</f>
        <v>Moderate Risk</v>
      </c>
      <c r="S1117" s="12" t="str">
        <f>IF(Patient_Data[[#This Row],[Age]]&lt;=18,"Pediatric",IF(Patient_Data[[#This Row],[Age]]&lt;=64,"Adult","Geriatric"))</f>
        <v>Geriatric</v>
      </c>
    </row>
    <row r="1118" spans="1:19" ht="15.75" customHeight="1" x14ac:dyDescent="0.3">
      <c r="A1118" s="4" t="s">
        <v>2274</v>
      </c>
      <c r="B1118" s="5" t="str">
        <f>TEXT(Patient_Data!$E1118,"mmmm")</f>
        <v>September</v>
      </c>
      <c r="C1118" s="6" t="str">
        <f t="shared" si="8"/>
        <v>Sep</v>
      </c>
      <c r="D1118" s="6">
        <f>MONTH(Patient_Data!$E1118)</f>
        <v>9</v>
      </c>
      <c r="E1118" s="7">
        <v>45190</v>
      </c>
      <c r="F1118" s="55" t="str">
        <f>TEXT(Patient_Data[[#This Row],[Admission_Date]],"YYYY")</f>
        <v>2023</v>
      </c>
      <c r="G1118" s="8" t="s">
        <v>2275</v>
      </c>
      <c r="H1118" s="8" t="s">
        <v>132</v>
      </c>
      <c r="I1118" s="4" t="s">
        <v>29</v>
      </c>
      <c r="J1118" s="4">
        <v>29</v>
      </c>
      <c r="K1118" s="4" t="s">
        <v>30</v>
      </c>
      <c r="L1118" s="8">
        <v>1</v>
      </c>
      <c r="M1118" s="9" t="s">
        <v>36</v>
      </c>
      <c r="N1118" s="9" t="str">
        <f t="shared" si="9"/>
        <v>Cardio</v>
      </c>
      <c r="O1118" s="10">
        <v>6795.2</v>
      </c>
      <c r="P1118" s="10">
        <v>5000.5</v>
      </c>
      <c r="Q1118" s="11">
        <v>5</v>
      </c>
      <c r="R1118" s="13" t="str">
        <f>IF(Patient_Data!$L1118&lt;2,"Low Risk",IF(Patient_Data!$L1118&lt;4,"Moderate Risk","High Risk"))</f>
        <v>Low Risk</v>
      </c>
      <c r="S1118" s="12" t="str">
        <f>IF(Patient_Data[[#This Row],[Age]]&lt;=18,"Pediatric",IF(Patient_Data[[#This Row],[Age]]&lt;=64,"Adult","Geriatric"))</f>
        <v>Adult</v>
      </c>
    </row>
    <row r="1119" spans="1:19" ht="15.75" customHeight="1" x14ac:dyDescent="0.3">
      <c r="A1119" s="4" t="s">
        <v>2276</v>
      </c>
      <c r="B1119" s="5" t="str">
        <f>TEXT(Patient_Data!$E1119,"mmmm")</f>
        <v>February</v>
      </c>
      <c r="C1119" s="6" t="str">
        <f t="shared" si="8"/>
        <v>Feb</v>
      </c>
      <c r="D1119" s="6">
        <f>MONTH(Patient_Data!$E1119)</f>
        <v>2</v>
      </c>
      <c r="E1119" s="7">
        <v>45702</v>
      </c>
      <c r="F1119" s="55" t="str">
        <f>TEXT(Patient_Data[[#This Row],[Admission_Date]],"YYYY")</f>
        <v>2025</v>
      </c>
      <c r="G1119" s="8" t="s">
        <v>2277</v>
      </c>
      <c r="H1119" s="8" t="s">
        <v>42</v>
      </c>
      <c r="I1119" s="4" t="s">
        <v>29</v>
      </c>
      <c r="J1119" s="4">
        <v>81</v>
      </c>
      <c r="K1119" s="4" t="s">
        <v>45</v>
      </c>
      <c r="L1119" s="8">
        <v>4</v>
      </c>
      <c r="M1119" s="9" t="s">
        <v>72</v>
      </c>
      <c r="N1119" s="9" t="str">
        <f t="shared" si="9"/>
        <v>Surgery</v>
      </c>
      <c r="O1119" s="10">
        <v>18744.169999999998</v>
      </c>
      <c r="P1119" s="10">
        <v>14285.57</v>
      </c>
      <c r="Q1119" s="11">
        <v>5</v>
      </c>
      <c r="R1119" s="13" t="str">
        <f>IF(Patient_Data!$L1119&lt;2,"Low Risk",IF(Patient_Data!$L1119&lt;4,"Moderate Risk","High Risk"))</f>
        <v>High Risk</v>
      </c>
      <c r="S1119" s="12" t="str">
        <f>IF(Patient_Data[[#This Row],[Age]]&lt;=18,"Pediatric",IF(Patient_Data[[#This Row],[Age]]&lt;=64,"Adult","Geriatric"))</f>
        <v>Geriatric</v>
      </c>
    </row>
    <row r="1120" spans="1:19" ht="15.75" customHeight="1" x14ac:dyDescent="0.3">
      <c r="A1120" s="4" t="s">
        <v>2278</v>
      </c>
      <c r="B1120" s="5" t="str">
        <f>TEXT(Patient_Data!$E1120,"mmmm")</f>
        <v>September</v>
      </c>
      <c r="C1120" s="6" t="str">
        <f t="shared" si="8"/>
        <v>Sep</v>
      </c>
      <c r="D1120" s="6">
        <f>MONTH(Patient_Data!$E1120)</f>
        <v>9</v>
      </c>
      <c r="E1120" s="7">
        <v>45903</v>
      </c>
      <c r="F1120" s="55" t="str">
        <f>TEXT(Patient_Data[[#This Row],[Admission_Date]],"YYYY")</f>
        <v>2025</v>
      </c>
      <c r="G1120" s="8" t="s">
        <v>2279</v>
      </c>
      <c r="H1120" s="8" t="s">
        <v>82</v>
      </c>
      <c r="I1120" s="4" t="s">
        <v>29</v>
      </c>
      <c r="J1120" s="4">
        <v>62</v>
      </c>
      <c r="K1120" s="4" t="s">
        <v>30</v>
      </c>
      <c r="L1120" s="8">
        <v>4</v>
      </c>
      <c r="M1120" s="9" t="s">
        <v>72</v>
      </c>
      <c r="N1120" s="9" t="str">
        <f t="shared" si="9"/>
        <v>Surgery</v>
      </c>
      <c r="O1120" s="10">
        <v>16784.009999999998</v>
      </c>
      <c r="P1120" s="10">
        <v>9805.93</v>
      </c>
      <c r="Q1120" s="11">
        <v>8.9</v>
      </c>
      <c r="R1120" s="13" t="str">
        <f>IF(Patient_Data!$L1120&lt;2,"Low Risk",IF(Patient_Data!$L1120&lt;4,"Moderate Risk","High Risk"))</f>
        <v>High Risk</v>
      </c>
      <c r="S1120" s="12" t="str">
        <f>IF(Patient_Data[[#This Row],[Age]]&lt;=18,"Pediatric",IF(Patient_Data[[#This Row],[Age]]&lt;=64,"Adult","Geriatric"))</f>
        <v>Adult</v>
      </c>
    </row>
    <row r="1121" spans="1:19" ht="15.75" customHeight="1" x14ac:dyDescent="0.3">
      <c r="A1121" s="4" t="s">
        <v>2280</v>
      </c>
      <c r="B1121" s="5" t="str">
        <f>TEXT(Patient_Data!$E1121,"mmmm")</f>
        <v>December</v>
      </c>
      <c r="C1121" s="6" t="str">
        <f t="shared" si="8"/>
        <v>Dec</v>
      </c>
      <c r="D1121" s="6">
        <f>MONTH(Patient_Data!$E1121)</f>
        <v>12</v>
      </c>
      <c r="E1121" s="7">
        <v>45650</v>
      </c>
      <c r="F1121" s="55" t="str">
        <f>TEXT(Patient_Data[[#This Row],[Admission_Date]],"YYYY")</f>
        <v>2024</v>
      </c>
      <c r="G1121" s="8" t="s">
        <v>2281</v>
      </c>
      <c r="H1121" s="8" t="s">
        <v>132</v>
      </c>
      <c r="I1121" s="4" t="s">
        <v>29</v>
      </c>
      <c r="J1121" s="4">
        <v>57</v>
      </c>
      <c r="K1121" s="4" t="s">
        <v>45</v>
      </c>
      <c r="L1121" s="8">
        <v>4</v>
      </c>
      <c r="M1121" s="9" t="s">
        <v>72</v>
      </c>
      <c r="N1121" s="9" t="str">
        <f t="shared" si="9"/>
        <v>Surgery</v>
      </c>
      <c r="O1121" s="10">
        <v>11531.59</v>
      </c>
      <c r="P1121" s="10">
        <v>7112.67</v>
      </c>
      <c r="Q1121" s="11">
        <v>9.8000000000000007</v>
      </c>
      <c r="R1121" s="13" t="str">
        <f>IF(Patient_Data!$L1121&lt;2,"Low Risk",IF(Patient_Data!$L1121&lt;4,"Moderate Risk","High Risk"))</f>
        <v>High Risk</v>
      </c>
      <c r="S1121" s="12" t="str">
        <f>IF(Patient_Data[[#This Row],[Age]]&lt;=18,"Pediatric",IF(Patient_Data[[#This Row],[Age]]&lt;=64,"Adult","Geriatric"))</f>
        <v>Adult</v>
      </c>
    </row>
    <row r="1122" spans="1:19" ht="15.75" customHeight="1" x14ac:dyDescent="0.3">
      <c r="A1122" s="4" t="s">
        <v>2282</v>
      </c>
      <c r="B1122" s="5" t="str">
        <f>TEXT(Patient_Data!$E1122,"mmmm")</f>
        <v>January</v>
      </c>
      <c r="C1122" s="6" t="str">
        <f t="shared" si="8"/>
        <v>Jan</v>
      </c>
      <c r="D1122" s="6">
        <f>MONTH(Patient_Data!$E1122)</f>
        <v>1</v>
      </c>
      <c r="E1122" s="7">
        <v>45294</v>
      </c>
      <c r="F1122" s="55" t="str">
        <f>TEXT(Patient_Data[[#This Row],[Admission_Date]],"YYYY")</f>
        <v>2024</v>
      </c>
      <c r="G1122" s="8" t="s">
        <v>2283</v>
      </c>
      <c r="H1122" s="8" t="s">
        <v>34</v>
      </c>
      <c r="I1122" s="4" t="s">
        <v>29</v>
      </c>
      <c r="J1122" s="4">
        <v>54</v>
      </c>
      <c r="K1122" s="4" t="s">
        <v>30</v>
      </c>
      <c r="L1122" s="8">
        <v>2</v>
      </c>
      <c r="M1122" s="9" t="s">
        <v>39</v>
      </c>
      <c r="N1122" s="9" t="str">
        <f t="shared" si="9"/>
        <v>GM</v>
      </c>
      <c r="O1122" s="10">
        <v>4171.57</v>
      </c>
      <c r="P1122" s="10">
        <v>2719.4</v>
      </c>
      <c r="Q1122" s="11">
        <v>6.2</v>
      </c>
      <c r="R1122" s="13" t="str">
        <f>IF(Patient_Data!$L1122&lt;2,"Low Risk",IF(Patient_Data!$L1122&lt;4,"Moderate Risk","High Risk"))</f>
        <v>Moderate Risk</v>
      </c>
      <c r="S1122" s="12" t="str">
        <f>IF(Patient_Data[[#This Row],[Age]]&lt;=18,"Pediatric",IF(Patient_Data[[#This Row],[Age]]&lt;=64,"Adult","Geriatric"))</f>
        <v>Adult</v>
      </c>
    </row>
    <row r="1123" spans="1:19" ht="15.75" customHeight="1" x14ac:dyDescent="0.3">
      <c r="A1123" s="4" t="s">
        <v>2284</v>
      </c>
      <c r="B1123" s="5" t="str">
        <f>TEXT(Patient_Data!$E1123,"mmmm")</f>
        <v>June</v>
      </c>
      <c r="C1123" s="6" t="str">
        <f t="shared" si="8"/>
        <v>Jun</v>
      </c>
      <c r="D1123" s="6">
        <f>MONTH(Patient_Data!$E1123)</f>
        <v>6</v>
      </c>
      <c r="E1123" s="7">
        <v>46196</v>
      </c>
      <c r="F1123" s="55" t="str">
        <f>TEXT(Patient_Data[[#This Row],[Admission_Date]],"YYYY")</f>
        <v>2026</v>
      </c>
      <c r="G1123" s="8" t="s">
        <v>2285</v>
      </c>
      <c r="H1123" s="8" t="s">
        <v>98</v>
      </c>
      <c r="I1123" s="4" t="s">
        <v>35</v>
      </c>
      <c r="J1123" s="4">
        <v>84</v>
      </c>
      <c r="K1123" s="4" t="s">
        <v>54</v>
      </c>
      <c r="L1123" s="8">
        <v>4</v>
      </c>
      <c r="M1123" s="9" t="s">
        <v>72</v>
      </c>
      <c r="N1123" s="9" t="str">
        <f t="shared" si="9"/>
        <v>Surgery</v>
      </c>
      <c r="O1123" s="10">
        <v>12619.96</v>
      </c>
      <c r="P1123" s="10">
        <v>8538.57</v>
      </c>
      <c r="Q1123" s="11">
        <v>10.4</v>
      </c>
      <c r="R1123" s="13" t="str">
        <f>IF(Patient_Data!$L1123&lt;2,"Low Risk",IF(Patient_Data!$L1123&lt;4,"Moderate Risk","High Risk"))</f>
        <v>High Risk</v>
      </c>
      <c r="S1123" s="12" t="str">
        <f>IF(Patient_Data[[#This Row],[Age]]&lt;=18,"Pediatric",IF(Patient_Data[[#This Row],[Age]]&lt;=64,"Adult","Geriatric"))</f>
        <v>Geriatric</v>
      </c>
    </row>
    <row r="1124" spans="1:19" ht="15.75" customHeight="1" x14ac:dyDescent="0.3">
      <c r="A1124" s="4" t="s">
        <v>2286</v>
      </c>
      <c r="B1124" s="5" t="str">
        <f>TEXT(Patient_Data!$E1124,"mmmm")</f>
        <v>May</v>
      </c>
      <c r="C1124" s="6" t="str">
        <f t="shared" si="8"/>
        <v>May</v>
      </c>
      <c r="D1124" s="6">
        <f>MONTH(Patient_Data!$E1124)</f>
        <v>5</v>
      </c>
      <c r="E1124" s="7">
        <v>45803</v>
      </c>
      <c r="F1124" s="55" t="str">
        <f>TEXT(Patient_Data[[#This Row],[Admission_Date]],"YYYY")</f>
        <v>2025</v>
      </c>
      <c r="G1124" s="8" t="s">
        <v>2287</v>
      </c>
      <c r="H1124" s="8" t="s">
        <v>132</v>
      </c>
      <c r="I1124" s="4" t="s">
        <v>35</v>
      </c>
      <c r="J1124" s="4">
        <v>85</v>
      </c>
      <c r="K1124" s="4" t="s">
        <v>30</v>
      </c>
      <c r="L1124" s="8">
        <v>2</v>
      </c>
      <c r="M1124" s="9" t="s">
        <v>46</v>
      </c>
      <c r="N1124" s="9" t="str">
        <f t="shared" si="9"/>
        <v>Ortho</v>
      </c>
      <c r="O1124" s="10">
        <v>10324.59</v>
      </c>
      <c r="P1124" s="10">
        <v>7293.61</v>
      </c>
      <c r="Q1124" s="11">
        <v>8.3000000000000007</v>
      </c>
      <c r="R1124" s="13" t="str">
        <f>IF(Patient_Data!$L1124&lt;2,"Low Risk",IF(Patient_Data!$L1124&lt;4,"Moderate Risk","High Risk"))</f>
        <v>Moderate Risk</v>
      </c>
      <c r="S1124" s="12" t="str">
        <f>IF(Patient_Data[[#This Row],[Age]]&lt;=18,"Pediatric",IF(Patient_Data[[#This Row],[Age]]&lt;=64,"Adult","Geriatric"))</f>
        <v>Geriatric</v>
      </c>
    </row>
    <row r="1125" spans="1:19" ht="15.75" customHeight="1" x14ac:dyDescent="0.3">
      <c r="A1125" s="4" t="s">
        <v>2288</v>
      </c>
      <c r="B1125" s="5" t="str">
        <f>TEXT(Patient_Data!$E1125,"mmmm")</f>
        <v>April</v>
      </c>
      <c r="C1125" s="6" t="str">
        <f t="shared" si="8"/>
        <v>Apr</v>
      </c>
      <c r="D1125" s="6">
        <f>MONTH(Patient_Data!$E1125)</f>
        <v>4</v>
      </c>
      <c r="E1125" s="7">
        <v>45407</v>
      </c>
      <c r="F1125" s="55" t="str">
        <f>TEXT(Patient_Data[[#This Row],[Admission_Date]],"YYYY")</f>
        <v>2024</v>
      </c>
      <c r="G1125" s="8" t="s">
        <v>2289</v>
      </c>
      <c r="H1125" s="8" t="s">
        <v>82</v>
      </c>
      <c r="I1125" s="4" t="s">
        <v>29</v>
      </c>
      <c r="J1125" s="4">
        <v>40</v>
      </c>
      <c r="K1125" s="4" t="s">
        <v>30</v>
      </c>
      <c r="L1125" s="8">
        <v>2</v>
      </c>
      <c r="M1125" s="9" t="s">
        <v>31</v>
      </c>
      <c r="N1125" s="9" t="str">
        <f t="shared" si="9"/>
        <v>Neuro</v>
      </c>
      <c r="O1125" s="10">
        <v>5765.58</v>
      </c>
      <c r="P1125" s="10">
        <v>4226.47</v>
      </c>
      <c r="Q1125" s="11">
        <v>2.2000000000000002</v>
      </c>
      <c r="R1125" s="13" t="str">
        <f>IF(Patient_Data!$L1125&lt;2,"Low Risk",IF(Patient_Data!$L1125&lt;4,"Moderate Risk","High Risk"))</f>
        <v>Moderate Risk</v>
      </c>
      <c r="S1125" s="12" t="str">
        <f>IF(Patient_Data[[#This Row],[Age]]&lt;=18,"Pediatric",IF(Patient_Data[[#This Row],[Age]]&lt;=64,"Adult","Geriatric"))</f>
        <v>Adult</v>
      </c>
    </row>
    <row r="1126" spans="1:19" ht="15.75" customHeight="1" x14ac:dyDescent="0.3">
      <c r="A1126" s="4" t="s">
        <v>2290</v>
      </c>
      <c r="B1126" s="5" t="str">
        <f>TEXT(Patient_Data!$E1126,"mmmm")</f>
        <v>April</v>
      </c>
      <c r="C1126" s="6" t="str">
        <f t="shared" si="8"/>
        <v>Apr</v>
      </c>
      <c r="D1126" s="6">
        <f>MONTH(Patient_Data!$E1126)</f>
        <v>4</v>
      </c>
      <c r="E1126" s="7">
        <v>45771</v>
      </c>
      <c r="F1126" s="55" t="str">
        <f>TEXT(Patient_Data[[#This Row],[Admission_Date]],"YYYY")</f>
        <v>2025</v>
      </c>
      <c r="G1126" s="8" t="s">
        <v>2291</v>
      </c>
      <c r="H1126" s="8" t="s">
        <v>98</v>
      </c>
      <c r="I1126" s="4" t="s">
        <v>35</v>
      </c>
      <c r="J1126" s="4">
        <v>78</v>
      </c>
      <c r="K1126" s="4" t="s">
        <v>54</v>
      </c>
      <c r="L1126" s="8">
        <v>4</v>
      </c>
      <c r="M1126" s="9" t="s">
        <v>72</v>
      </c>
      <c r="N1126" s="9" t="str">
        <f t="shared" si="9"/>
        <v>Surgery</v>
      </c>
      <c r="O1126" s="10">
        <v>20757.080000000002</v>
      </c>
      <c r="P1126" s="10">
        <v>15833.78</v>
      </c>
      <c r="Q1126" s="11">
        <v>7.3</v>
      </c>
      <c r="R1126" s="13" t="str">
        <f>IF(Patient_Data!$L1126&lt;2,"Low Risk",IF(Patient_Data!$L1126&lt;4,"Moderate Risk","High Risk"))</f>
        <v>High Risk</v>
      </c>
      <c r="S1126" s="12" t="str">
        <f>IF(Patient_Data[[#This Row],[Age]]&lt;=18,"Pediatric",IF(Patient_Data[[#This Row],[Age]]&lt;=64,"Adult","Geriatric"))</f>
        <v>Geriatric</v>
      </c>
    </row>
    <row r="1127" spans="1:19" ht="15.75" customHeight="1" x14ac:dyDescent="0.3">
      <c r="A1127" s="4" t="s">
        <v>2292</v>
      </c>
      <c r="B1127" s="5" t="str">
        <f>TEXT(Patient_Data!$E1127,"mmmm")</f>
        <v>September</v>
      </c>
      <c r="C1127" s="6" t="str">
        <f t="shared" si="8"/>
        <v>Sep</v>
      </c>
      <c r="D1127" s="6">
        <f>MONTH(Patient_Data!$E1127)</f>
        <v>9</v>
      </c>
      <c r="E1127" s="7">
        <v>45919</v>
      </c>
      <c r="F1127" s="55" t="str">
        <f>TEXT(Patient_Data[[#This Row],[Admission_Date]],"YYYY")</f>
        <v>2025</v>
      </c>
      <c r="G1127" s="8" t="s">
        <v>2293</v>
      </c>
      <c r="H1127" s="8" t="s">
        <v>53</v>
      </c>
      <c r="I1127" s="4" t="s">
        <v>29</v>
      </c>
      <c r="J1127" s="4">
        <v>76</v>
      </c>
      <c r="K1127" s="4" t="s">
        <v>54</v>
      </c>
      <c r="L1127" s="8">
        <v>5</v>
      </c>
      <c r="M1127" s="9" t="s">
        <v>83</v>
      </c>
      <c r="N1127" s="9" t="str">
        <f t="shared" si="9"/>
        <v>ER</v>
      </c>
      <c r="O1127" s="10">
        <v>13957.53</v>
      </c>
      <c r="P1127" s="10">
        <v>8201.77</v>
      </c>
      <c r="Q1127" s="11">
        <v>13.3</v>
      </c>
      <c r="R1127" s="13" t="str">
        <f>IF(Patient_Data!$L1127&lt;2,"Low Risk",IF(Patient_Data!$L1127&lt;4,"Moderate Risk","High Risk"))</f>
        <v>High Risk</v>
      </c>
      <c r="S1127" s="12" t="str">
        <f>IF(Patient_Data[[#This Row],[Age]]&lt;=18,"Pediatric",IF(Patient_Data[[#This Row],[Age]]&lt;=64,"Adult","Geriatric"))</f>
        <v>Geriatric</v>
      </c>
    </row>
    <row r="1128" spans="1:19" ht="15.75" customHeight="1" x14ac:dyDescent="0.3">
      <c r="A1128" s="4" t="s">
        <v>2294</v>
      </c>
      <c r="B1128" s="5" t="str">
        <f>TEXT(Patient_Data!$E1128,"mmmm")</f>
        <v>May</v>
      </c>
      <c r="C1128" s="6" t="str">
        <f t="shared" si="8"/>
        <v>May</v>
      </c>
      <c r="D1128" s="6">
        <f>MONTH(Patient_Data!$E1128)</f>
        <v>5</v>
      </c>
      <c r="E1128" s="7">
        <v>45440</v>
      </c>
      <c r="F1128" s="55" t="str">
        <f>TEXT(Patient_Data[[#This Row],[Admission_Date]],"YYYY")</f>
        <v>2024</v>
      </c>
      <c r="G1128" s="8" t="s">
        <v>2295</v>
      </c>
      <c r="H1128" s="8" t="s">
        <v>98</v>
      </c>
      <c r="I1128" s="4" t="s">
        <v>29</v>
      </c>
      <c r="J1128" s="4">
        <v>63</v>
      </c>
      <c r="K1128" s="4" t="s">
        <v>54</v>
      </c>
      <c r="L1128" s="8">
        <v>2</v>
      </c>
      <c r="M1128" s="9" t="s">
        <v>36</v>
      </c>
      <c r="N1128" s="9" t="str">
        <f t="shared" si="9"/>
        <v>Cardio</v>
      </c>
      <c r="O1128" s="10">
        <v>11363.46</v>
      </c>
      <c r="P1128" s="10">
        <v>6953.31</v>
      </c>
      <c r="Q1128" s="11">
        <v>2.7</v>
      </c>
      <c r="R1128" s="13" t="str">
        <f>IF(Patient_Data!$L1128&lt;2,"Low Risk",IF(Patient_Data!$L1128&lt;4,"Moderate Risk","High Risk"))</f>
        <v>Moderate Risk</v>
      </c>
      <c r="S1128" s="12" t="str">
        <f>IF(Patient_Data[[#This Row],[Age]]&lt;=18,"Pediatric",IF(Patient_Data[[#This Row],[Age]]&lt;=64,"Adult","Geriatric"))</f>
        <v>Adult</v>
      </c>
    </row>
    <row r="1129" spans="1:19" ht="15.75" customHeight="1" x14ac:dyDescent="0.3">
      <c r="A1129" s="4" t="s">
        <v>2296</v>
      </c>
      <c r="B1129" s="5" t="str">
        <f>TEXT(Patient_Data!$E1129,"mmmm")</f>
        <v>May</v>
      </c>
      <c r="C1129" s="6" t="str">
        <f t="shared" si="8"/>
        <v>May</v>
      </c>
      <c r="D1129" s="6">
        <f>MONTH(Patient_Data!$E1129)</f>
        <v>5</v>
      </c>
      <c r="E1129" s="7">
        <v>46146</v>
      </c>
      <c r="F1129" s="55" t="str">
        <f>TEXT(Patient_Data[[#This Row],[Admission_Date]],"YYYY")</f>
        <v>2026</v>
      </c>
      <c r="G1129" s="8" t="s">
        <v>2297</v>
      </c>
      <c r="H1129" s="8" t="s">
        <v>34</v>
      </c>
      <c r="I1129" s="4" t="s">
        <v>29</v>
      </c>
      <c r="J1129" s="4">
        <v>82</v>
      </c>
      <c r="K1129" s="4" t="s">
        <v>30</v>
      </c>
      <c r="L1129" s="8">
        <v>3</v>
      </c>
      <c r="M1129" s="9" t="s">
        <v>39</v>
      </c>
      <c r="N1129" s="9" t="str">
        <f t="shared" si="9"/>
        <v>GM</v>
      </c>
      <c r="O1129" s="10">
        <v>2617.0300000000002</v>
      </c>
      <c r="P1129" s="10">
        <v>1739.7</v>
      </c>
      <c r="Q1129" s="11">
        <v>8.1</v>
      </c>
      <c r="R1129" s="13" t="str">
        <f>IF(Patient_Data!$L1129&lt;2,"Low Risk",IF(Patient_Data!$L1129&lt;4,"Moderate Risk","High Risk"))</f>
        <v>Moderate Risk</v>
      </c>
      <c r="S1129" s="12" t="str">
        <f>IF(Patient_Data[[#This Row],[Age]]&lt;=18,"Pediatric",IF(Patient_Data[[#This Row],[Age]]&lt;=64,"Adult","Geriatric"))</f>
        <v>Geriatric</v>
      </c>
    </row>
    <row r="1130" spans="1:19" ht="15.75" customHeight="1" x14ac:dyDescent="0.3">
      <c r="A1130" s="4" t="s">
        <v>2298</v>
      </c>
      <c r="B1130" s="5" t="str">
        <f>TEXT(Patient_Data!$E1130,"mmmm")</f>
        <v>October</v>
      </c>
      <c r="C1130" s="6" t="str">
        <f t="shared" si="8"/>
        <v>Oct</v>
      </c>
      <c r="D1130" s="6">
        <f>MONTH(Patient_Data!$E1130)</f>
        <v>10</v>
      </c>
      <c r="E1130" s="7">
        <v>45932</v>
      </c>
      <c r="F1130" s="55" t="str">
        <f>TEXT(Patient_Data[[#This Row],[Admission_Date]],"YYYY")</f>
        <v>2025</v>
      </c>
      <c r="G1130" s="8" t="s">
        <v>2299</v>
      </c>
      <c r="H1130" s="8" t="s">
        <v>53</v>
      </c>
      <c r="I1130" s="4" t="s">
        <v>35</v>
      </c>
      <c r="J1130" s="4">
        <v>57</v>
      </c>
      <c r="K1130" s="4" t="s">
        <v>30</v>
      </c>
      <c r="L1130" s="8">
        <v>2</v>
      </c>
      <c r="M1130" s="9" t="s">
        <v>36</v>
      </c>
      <c r="N1130" s="9" t="str">
        <f t="shared" si="9"/>
        <v>Cardio</v>
      </c>
      <c r="O1130" s="10">
        <v>11800.79</v>
      </c>
      <c r="P1130" s="10">
        <v>7951.33</v>
      </c>
      <c r="Q1130" s="11">
        <v>5.6</v>
      </c>
      <c r="R1130" s="13" t="str">
        <f>IF(Patient_Data!$L1130&lt;2,"Low Risk",IF(Patient_Data!$L1130&lt;4,"Moderate Risk","High Risk"))</f>
        <v>Moderate Risk</v>
      </c>
      <c r="S1130" s="12" t="str">
        <f>IF(Patient_Data[[#This Row],[Age]]&lt;=18,"Pediatric",IF(Patient_Data[[#This Row],[Age]]&lt;=64,"Adult","Geriatric"))</f>
        <v>Adult</v>
      </c>
    </row>
    <row r="1131" spans="1:19" ht="15.75" customHeight="1" x14ac:dyDescent="0.3">
      <c r="A1131" s="4" t="s">
        <v>2300</v>
      </c>
      <c r="B1131" s="5" t="str">
        <f>TEXT(Patient_Data!$E1131,"mmmm")</f>
        <v>November</v>
      </c>
      <c r="C1131" s="6" t="str">
        <f t="shared" si="8"/>
        <v>Nov</v>
      </c>
      <c r="D1131" s="6">
        <f>MONTH(Patient_Data!$E1131)</f>
        <v>11</v>
      </c>
      <c r="E1131" s="7">
        <v>45614</v>
      </c>
      <c r="F1131" s="55" t="str">
        <f>TEXT(Patient_Data[[#This Row],[Admission_Date]],"YYYY")</f>
        <v>2024</v>
      </c>
      <c r="G1131" s="8" t="s">
        <v>2301</v>
      </c>
      <c r="H1131" s="8" t="s">
        <v>49</v>
      </c>
      <c r="I1131" s="4" t="s">
        <v>29</v>
      </c>
      <c r="J1131" s="4">
        <v>29</v>
      </c>
      <c r="K1131" s="4" t="s">
        <v>30</v>
      </c>
      <c r="L1131" s="8">
        <v>2</v>
      </c>
      <c r="M1131" s="9" t="s">
        <v>39</v>
      </c>
      <c r="N1131" s="9" t="str">
        <f t="shared" si="9"/>
        <v>GM</v>
      </c>
      <c r="O1131" s="10">
        <v>2759.62</v>
      </c>
      <c r="P1131" s="10">
        <v>1974.93</v>
      </c>
      <c r="Q1131" s="11">
        <v>5.4</v>
      </c>
      <c r="R1131" s="13" t="str">
        <f>IF(Patient_Data!$L1131&lt;2,"Low Risk",IF(Patient_Data!$L1131&lt;4,"Moderate Risk","High Risk"))</f>
        <v>Moderate Risk</v>
      </c>
      <c r="S1131" s="12" t="str">
        <f>IF(Patient_Data[[#This Row],[Age]]&lt;=18,"Pediatric",IF(Patient_Data[[#This Row],[Age]]&lt;=64,"Adult","Geriatric"))</f>
        <v>Adult</v>
      </c>
    </row>
    <row r="1132" spans="1:19" ht="15.75" customHeight="1" x14ac:dyDescent="0.3">
      <c r="A1132" s="4" t="s">
        <v>2302</v>
      </c>
      <c r="B1132" s="5" t="str">
        <f>TEXT(Patient_Data!$E1132,"mmmm")</f>
        <v>January</v>
      </c>
      <c r="C1132" s="6" t="str">
        <f t="shared" si="8"/>
        <v>Jan</v>
      </c>
      <c r="D1132" s="6">
        <f>MONTH(Patient_Data!$E1132)</f>
        <v>1</v>
      </c>
      <c r="E1132" s="7">
        <v>45673</v>
      </c>
      <c r="F1132" s="55" t="str">
        <f>TEXT(Patient_Data[[#This Row],[Admission_Date]],"YYYY")</f>
        <v>2025</v>
      </c>
      <c r="G1132" s="8" t="s">
        <v>2303</v>
      </c>
      <c r="H1132" s="8" t="s">
        <v>82</v>
      </c>
      <c r="I1132" s="4" t="s">
        <v>35</v>
      </c>
      <c r="J1132" s="4">
        <v>43</v>
      </c>
      <c r="K1132" s="4" t="s">
        <v>54</v>
      </c>
      <c r="L1132" s="8">
        <v>4</v>
      </c>
      <c r="M1132" s="9" t="s">
        <v>72</v>
      </c>
      <c r="N1132" s="9" t="str">
        <f t="shared" si="9"/>
        <v>Surgery</v>
      </c>
      <c r="O1132" s="10">
        <v>14731.77</v>
      </c>
      <c r="P1132" s="10">
        <v>10782.19</v>
      </c>
      <c r="Q1132" s="11">
        <v>3.5</v>
      </c>
      <c r="R1132" s="13" t="str">
        <f>IF(Patient_Data!$L1132&lt;2,"Low Risk",IF(Patient_Data!$L1132&lt;4,"Moderate Risk","High Risk"))</f>
        <v>High Risk</v>
      </c>
      <c r="S1132" s="12" t="str">
        <f>IF(Patient_Data[[#This Row],[Age]]&lt;=18,"Pediatric",IF(Patient_Data[[#This Row],[Age]]&lt;=64,"Adult","Geriatric"))</f>
        <v>Adult</v>
      </c>
    </row>
    <row r="1133" spans="1:19" ht="15.75" customHeight="1" x14ac:dyDescent="0.3">
      <c r="A1133" s="4" t="s">
        <v>2304</v>
      </c>
      <c r="B1133" s="5" t="str">
        <f>TEXT(Patient_Data!$E1133,"mmmm")</f>
        <v>February</v>
      </c>
      <c r="C1133" s="6" t="str">
        <f t="shared" si="8"/>
        <v>Feb</v>
      </c>
      <c r="D1133" s="6">
        <f>MONTH(Patient_Data!$E1133)</f>
        <v>2</v>
      </c>
      <c r="E1133" s="7">
        <v>45334</v>
      </c>
      <c r="F1133" s="55" t="str">
        <f>TEXT(Patient_Data[[#This Row],[Admission_Date]],"YYYY")</f>
        <v>2024</v>
      </c>
      <c r="G1133" s="8" t="s">
        <v>144</v>
      </c>
      <c r="H1133" s="8" t="s">
        <v>28</v>
      </c>
      <c r="I1133" s="4" t="s">
        <v>29</v>
      </c>
      <c r="J1133" s="4">
        <v>2</v>
      </c>
      <c r="K1133" s="4" t="s">
        <v>30</v>
      </c>
      <c r="L1133" s="8">
        <v>1</v>
      </c>
      <c r="M1133" s="9" t="s">
        <v>79</v>
      </c>
      <c r="N1133" s="9" t="str">
        <f t="shared" si="9"/>
        <v>PD</v>
      </c>
      <c r="O1133" s="10">
        <v>733.31</v>
      </c>
      <c r="P1133" s="10">
        <v>603.72</v>
      </c>
      <c r="Q1133" s="11">
        <v>5.8</v>
      </c>
      <c r="R1133" s="13" t="str">
        <f>IF(Patient_Data!$L1133&lt;2,"Low Risk",IF(Patient_Data!$L1133&lt;4,"Moderate Risk","High Risk"))</f>
        <v>Low Risk</v>
      </c>
      <c r="S1133" s="12" t="str">
        <f>IF(Patient_Data[[#This Row],[Age]]&lt;=18,"Pediatric",IF(Patient_Data[[#This Row],[Age]]&lt;=64,"Adult","Geriatric"))</f>
        <v>Pediatric</v>
      </c>
    </row>
    <row r="1134" spans="1:19" ht="15.75" customHeight="1" x14ac:dyDescent="0.3">
      <c r="A1134" s="4" t="s">
        <v>2305</v>
      </c>
      <c r="B1134" s="5" t="str">
        <f>TEXT(Patient_Data!$E1134,"mmmm")</f>
        <v>September</v>
      </c>
      <c r="C1134" s="6" t="str">
        <f t="shared" si="8"/>
        <v>Sep</v>
      </c>
      <c r="D1134" s="6">
        <f>MONTH(Patient_Data!$E1134)</f>
        <v>9</v>
      </c>
      <c r="E1134" s="7">
        <v>45907</v>
      </c>
      <c r="F1134" s="55" t="str">
        <f>TEXT(Patient_Data[[#This Row],[Admission_Date]],"YYYY")</f>
        <v>2025</v>
      </c>
      <c r="G1134" s="8" t="s">
        <v>2211</v>
      </c>
      <c r="H1134" s="8" t="s">
        <v>42</v>
      </c>
      <c r="I1134" s="4" t="s">
        <v>35</v>
      </c>
      <c r="J1134" s="4">
        <v>30</v>
      </c>
      <c r="K1134" s="4" t="s">
        <v>45</v>
      </c>
      <c r="L1134" s="8">
        <v>5</v>
      </c>
      <c r="M1134" s="9" t="s">
        <v>72</v>
      </c>
      <c r="N1134" s="9" t="str">
        <f t="shared" si="9"/>
        <v>Surgery</v>
      </c>
      <c r="O1134" s="10">
        <v>22051.85</v>
      </c>
      <c r="P1134" s="10">
        <v>12861.27</v>
      </c>
      <c r="Q1134" s="11">
        <v>8.9</v>
      </c>
      <c r="R1134" s="13" t="str">
        <f>IF(Patient_Data!$L1134&lt;2,"Low Risk",IF(Patient_Data!$L1134&lt;4,"Moderate Risk","High Risk"))</f>
        <v>High Risk</v>
      </c>
      <c r="S1134" s="12" t="str">
        <f>IF(Patient_Data[[#This Row],[Age]]&lt;=18,"Pediatric",IF(Patient_Data[[#This Row],[Age]]&lt;=64,"Adult","Geriatric"))</f>
        <v>Adult</v>
      </c>
    </row>
    <row r="1135" spans="1:19" ht="15.75" customHeight="1" x14ac:dyDescent="0.3">
      <c r="A1135" s="4" t="s">
        <v>2306</v>
      </c>
      <c r="B1135" s="5" t="str">
        <f>TEXT(Patient_Data!$E1135,"mmmm")</f>
        <v>April</v>
      </c>
      <c r="C1135" s="6" t="str">
        <f t="shared" si="8"/>
        <v>Apr</v>
      </c>
      <c r="D1135" s="6">
        <f>MONTH(Patient_Data!$E1135)</f>
        <v>4</v>
      </c>
      <c r="E1135" s="7">
        <v>45396</v>
      </c>
      <c r="F1135" s="55" t="str">
        <f>TEXT(Patient_Data[[#This Row],[Admission_Date]],"YYYY")</f>
        <v>2024</v>
      </c>
      <c r="G1135" s="8" t="s">
        <v>2307</v>
      </c>
      <c r="H1135" s="8" t="s">
        <v>98</v>
      </c>
      <c r="I1135" s="4" t="s">
        <v>35</v>
      </c>
      <c r="J1135" s="4">
        <v>76</v>
      </c>
      <c r="K1135" s="4" t="s">
        <v>45</v>
      </c>
      <c r="L1135" s="8">
        <v>2</v>
      </c>
      <c r="M1135" s="9" t="s">
        <v>83</v>
      </c>
      <c r="N1135" s="9" t="str">
        <f t="shared" si="9"/>
        <v>ER</v>
      </c>
      <c r="O1135" s="10">
        <v>5618.28</v>
      </c>
      <c r="P1135" s="10">
        <v>3606.35</v>
      </c>
      <c r="Q1135" s="11">
        <v>22.4</v>
      </c>
      <c r="R1135" s="13" t="str">
        <f>IF(Patient_Data!$L1135&lt;2,"Low Risk",IF(Patient_Data!$L1135&lt;4,"Moderate Risk","High Risk"))</f>
        <v>Moderate Risk</v>
      </c>
      <c r="S1135" s="12" t="str">
        <f>IF(Patient_Data[[#This Row],[Age]]&lt;=18,"Pediatric",IF(Patient_Data[[#This Row],[Age]]&lt;=64,"Adult","Geriatric"))</f>
        <v>Geriatric</v>
      </c>
    </row>
    <row r="1136" spans="1:19" ht="15.75" customHeight="1" x14ac:dyDescent="0.3">
      <c r="A1136" s="4" t="s">
        <v>2308</v>
      </c>
      <c r="B1136" s="5" t="str">
        <f>TEXT(Patient_Data!$E1136,"mmmm")</f>
        <v>June</v>
      </c>
      <c r="C1136" s="6" t="str">
        <f t="shared" si="8"/>
        <v>Jun</v>
      </c>
      <c r="D1136" s="6">
        <f>MONTH(Patient_Data!$E1136)</f>
        <v>6</v>
      </c>
      <c r="E1136" s="7">
        <v>46202</v>
      </c>
      <c r="F1136" s="55" t="str">
        <f>TEXT(Patient_Data[[#This Row],[Admission_Date]],"YYYY")</f>
        <v>2026</v>
      </c>
      <c r="G1136" s="8" t="s">
        <v>2309</v>
      </c>
      <c r="H1136" s="8" t="s">
        <v>28</v>
      </c>
      <c r="I1136" s="4" t="s">
        <v>35</v>
      </c>
      <c r="J1136" s="4">
        <v>53</v>
      </c>
      <c r="K1136" s="4" t="s">
        <v>54</v>
      </c>
      <c r="L1136" s="8">
        <v>1</v>
      </c>
      <c r="M1136" s="9" t="s">
        <v>39</v>
      </c>
      <c r="N1136" s="9" t="str">
        <f t="shared" si="9"/>
        <v>GM</v>
      </c>
      <c r="O1136" s="10">
        <v>4221.16</v>
      </c>
      <c r="P1136" s="10">
        <v>2762.34</v>
      </c>
      <c r="Q1136" s="11">
        <v>7.6</v>
      </c>
      <c r="R1136" s="13" t="str">
        <f>IF(Patient_Data!$L1136&lt;2,"Low Risk",IF(Patient_Data!$L1136&lt;4,"Moderate Risk","High Risk"))</f>
        <v>Low Risk</v>
      </c>
      <c r="S1136" s="12" t="str">
        <f>IF(Patient_Data[[#This Row],[Age]]&lt;=18,"Pediatric",IF(Patient_Data[[#This Row],[Age]]&lt;=64,"Adult","Geriatric"))</f>
        <v>Adult</v>
      </c>
    </row>
    <row r="1137" spans="1:19" ht="15.75" customHeight="1" x14ac:dyDescent="0.3">
      <c r="A1137" s="4" t="s">
        <v>2310</v>
      </c>
      <c r="B1137" s="5" t="str">
        <f>TEXT(Patient_Data!$E1137,"mmmm")</f>
        <v>October</v>
      </c>
      <c r="C1137" s="6" t="str">
        <f t="shared" si="8"/>
        <v>Oct</v>
      </c>
      <c r="D1137" s="6">
        <f>MONTH(Patient_Data!$E1137)</f>
        <v>10</v>
      </c>
      <c r="E1137" s="7">
        <v>45581</v>
      </c>
      <c r="F1137" s="55" t="str">
        <f>TEXT(Patient_Data[[#This Row],[Admission_Date]],"YYYY")</f>
        <v>2024</v>
      </c>
      <c r="G1137" s="8" t="s">
        <v>2311</v>
      </c>
      <c r="H1137" s="8" t="s">
        <v>34</v>
      </c>
      <c r="I1137" s="4" t="s">
        <v>29</v>
      </c>
      <c r="J1137" s="4">
        <v>77</v>
      </c>
      <c r="K1137" s="4" t="s">
        <v>30</v>
      </c>
      <c r="L1137" s="8">
        <v>3</v>
      </c>
      <c r="M1137" s="9" t="s">
        <v>83</v>
      </c>
      <c r="N1137" s="9" t="str">
        <f t="shared" si="9"/>
        <v>ER</v>
      </c>
      <c r="O1137" s="10">
        <v>6085.76</v>
      </c>
      <c r="P1137" s="10">
        <v>4240.66</v>
      </c>
      <c r="Q1137" s="11">
        <v>20.399999999999999</v>
      </c>
      <c r="R1137" s="13" t="str">
        <f>IF(Patient_Data!$L1137&lt;2,"Low Risk",IF(Patient_Data!$L1137&lt;4,"Moderate Risk","High Risk"))</f>
        <v>Moderate Risk</v>
      </c>
      <c r="S1137" s="12" t="str">
        <f>IF(Patient_Data[[#This Row],[Age]]&lt;=18,"Pediatric",IF(Patient_Data[[#This Row],[Age]]&lt;=64,"Adult","Geriatric"))</f>
        <v>Geriatric</v>
      </c>
    </row>
    <row r="1138" spans="1:19" ht="15.75" customHeight="1" x14ac:dyDescent="0.3">
      <c r="A1138" s="4" t="s">
        <v>2312</v>
      </c>
      <c r="B1138" s="5" t="str">
        <f>TEXT(Patient_Data!$E1138,"mmmm")</f>
        <v>February</v>
      </c>
      <c r="C1138" s="6" t="str">
        <f t="shared" si="8"/>
        <v>Feb</v>
      </c>
      <c r="D1138" s="6">
        <f>MONTH(Patient_Data!$E1138)</f>
        <v>2</v>
      </c>
      <c r="E1138" s="7">
        <v>46071</v>
      </c>
      <c r="F1138" s="55" t="str">
        <f>TEXT(Patient_Data[[#This Row],[Admission_Date]],"YYYY")</f>
        <v>2026</v>
      </c>
      <c r="G1138" s="8" t="s">
        <v>2313</v>
      </c>
      <c r="H1138" s="8" t="s">
        <v>132</v>
      </c>
      <c r="I1138" s="4" t="s">
        <v>29</v>
      </c>
      <c r="J1138" s="4">
        <v>5</v>
      </c>
      <c r="K1138" s="4" t="s">
        <v>30</v>
      </c>
      <c r="L1138" s="8">
        <v>2</v>
      </c>
      <c r="M1138" s="9" t="s">
        <v>79</v>
      </c>
      <c r="N1138" s="9" t="str">
        <f t="shared" si="9"/>
        <v>PD</v>
      </c>
      <c r="O1138" s="10">
        <v>2718.32</v>
      </c>
      <c r="P1138" s="10">
        <v>1926.02</v>
      </c>
      <c r="Q1138" s="11">
        <v>2.9</v>
      </c>
      <c r="R1138" s="13" t="str">
        <f>IF(Patient_Data!$L1138&lt;2,"Low Risk",IF(Patient_Data!$L1138&lt;4,"Moderate Risk","High Risk"))</f>
        <v>Moderate Risk</v>
      </c>
      <c r="S1138" s="12" t="str">
        <f>IF(Patient_Data[[#This Row],[Age]]&lt;=18,"Pediatric",IF(Patient_Data[[#This Row],[Age]]&lt;=64,"Adult","Geriatric"))</f>
        <v>Pediatric</v>
      </c>
    </row>
    <row r="1139" spans="1:19" ht="15.75" customHeight="1" x14ac:dyDescent="0.3">
      <c r="A1139" s="4" t="s">
        <v>2314</v>
      </c>
      <c r="B1139" s="5" t="str">
        <f>TEXT(Patient_Data!$E1139,"mmmm")</f>
        <v>April</v>
      </c>
      <c r="C1139" s="6" t="str">
        <f t="shared" si="8"/>
        <v>Apr</v>
      </c>
      <c r="D1139" s="6">
        <f>MONTH(Patient_Data!$E1139)</f>
        <v>4</v>
      </c>
      <c r="E1139" s="7">
        <v>45405</v>
      </c>
      <c r="F1139" s="55" t="str">
        <f>TEXT(Patient_Data[[#This Row],[Admission_Date]],"YYYY")</f>
        <v>2024</v>
      </c>
      <c r="G1139" s="8" t="s">
        <v>1880</v>
      </c>
      <c r="H1139" s="8" t="s">
        <v>28</v>
      </c>
      <c r="I1139" s="4" t="s">
        <v>35</v>
      </c>
      <c r="J1139" s="4">
        <v>56</v>
      </c>
      <c r="K1139" s="4" t="s">
        <v>30</v>
      </c>
      <c r="L1139" s="8">
        <v>3</v>
      </c>
      <c r="M1139" s="9" t="s">
        <v>50</v>
      </c>
      <c r="N1139" s="9" t="str">
        <f t="shared" si="9"/>
        <v>ICU</v>
      </c>
      <c r="O1139" s="10">
        <v>11154.07</v>
      </c>
      <c r="P1139" s="10">
        <v>8230.4699999999993</v>
      </c>
      <c r="Q1139" s="11">
        <v>11</v>
      </c>
      <c r="R1139" s="13" t="str">
        <f>IF(Patient_Data!$L1139&lt;2,"Low Risk",IF(Patient_Data!$L1139&lt;4,"Moderate Risk","High Risk"))</f>
        <v>Moderate Risk</v>
      </c>
      <c r="S1139" s="12" t="str">
        <f>IF(Patient_Data[[#This Row],[Age]]&lt;=18,"Pediatric",IF(Patient_Data[[#This Row],[Age]]&lt;=64,"Adult","Geriatric"))</f>
        <v>Adult</v>
      </c>
    </row>
    <row r="1140" spans="1:19" ht="15.75" customHeight="1" x14ac:dyDescent="0.3">
      <c r="A1140" s="4" t="s">
        <v>2315</v>
      </c>
      <c r="B1140" s="5" t="str">
        <f>TEXT(Patient_Data!$E1140,"mmmm")</f>
        <v>October</v>
      </c>
      <c r="C1140" s="6" t="str">
        <f t="shared" si="8"/>
        <v>Oct</v>
      </c>
      <c r="D1140" s="6">
        <f>MONTH(Patient_Data!$E1140)</f>
        <v>10</v>
      </c>
      <c r="E1140" s="7">
        <v>45587</v>
      </c>
      <c r="F1140" s="55" t="str">
        <f>TEXT(Patient_Data[[#This Row],[Admission_Date]],"YYYY")</f>
        <v>2024</v>
      </c>
      <c r="G1140" s="8" t="s">
        <v>2316</v>
      </c>
      <c r="H1140" s="8" t="s">
        <v>28</v>
      </c>
      <c r="I1140" s="4" t="s">
        <v>29</v>
      </c>
      <c r="J1140" s="4">
        <v>37</v>
      </c>
      <c r="K1140" s="4" t="s">
        <v>54</v>
      </c>
      <c r="L1140" s="8">
        <v>4</v>
      </c>
      <c r="M1140" s="9" t="s">
        <v>72</v>
      </c>
      <c r="N1140" s="9" t="str">
        <f t="shared" si="9"/>
        <v>Surgery</v>
      </c>
      <c r="O1140" s="10">
        <v>20666.689999999999</v>
      </c>
      <c r="P1140" s="10">
        <v>15761.08</v>
      </c>
      <c r="Q1140" s="11">
        <v>6.8</v>
      </c>
      <c r="R1140" s="13" t="str">
        <f>IF(Patient_Data!$L1140&lt;2,"Low Risk",IF(Patient_Data!$L1140&lt;4,"Moderate Risk","High Risk"))</f>
        <v>High Risk</v>
      </c>
      <c r="S1140" s="12" t="str">
        <f>IF(Patient_Data[[#This Row],[Age]]&lt;=18,"Pediatric",IF(Patient_Data[[#This Row],[Age]]&lt;=64,"Adult","Geriatric"))</f>
        <v>Adult</v>
      </c>
    </row>
    <row r="1141" spans="1:19" ht="15.75" customHeight="1" x14ac:dyDescent="0.3">
      <c r="A1141" s="4" t="s">
        <v>2317</v>
      </c>
      <c r="B1141" s="5" t="str">
        <f>TEXT(Patient_Data!$E1141,"mmmm")</f>
        <v>May</v>
      </c>
      <c r="C1141" s="6" t="str">
        <f t="shared" si="8"/>
        <v>May</v>
      </c>
      <c r="D1141" s="6">
        <f>MONTH(Patient_Data!$E1141)</f>
        <v>5</v>
      </c>
      <c r="E1141" s="7">
        <v>46168</v>
      </c>
      <c r="F1141" s="55" t="str">
        <f>TEXT(Patient_Data[[#This Row],[Admission_Date]],"YYYY")</f>
        <v>2026</v>
      </c>
      <c r="G1141" s="8" t="s">
        <v>2318</v>
      </c>
      <c r="H1141" s="8" t="s">
        <v>82</v>
      </c>
      <c r="I1141" s="4" t="s">
        <v>35</v>
      </c>
      <c r="J1141" s="4">
        <v>79</v>
      </c>
      <c r="K1141" s="4" t="s">
        <v>30</v>
      </c>
      <c r="L1141" s="8">
        <v>3</v>
      </c>
      <c r="M1141" s="9" t="s">
        <v>36</v>
      </c>
      <c r="N1141" s="9" t="str">
        <f t="shared" si="9"/>
        <v>Cardio</v>
      </c>
      <c r="O1141" s="10">
        <v>11694.33</v>
      </c>
      <c r="P1141" s="10">
        <v>6808.31</v>
      </c>
      <c r="Q1141" s="11">
        <v>3.2</v>
      </c>
      <c r="R1141" s="13" t="str">
        <f>IF(Patient_Data!$L1141&lt;2,"Low Risk",IF(Patient_Data!$L1141&lt;4,"Moderate Risk","High Risk"))</f>
        <v>Moderate Risk</v>
      </c>
      <c r="S1141" s="12" t="str">
        <f>IF(Patient_Data[[#This Row],[Age]]&lt;=18,"Pediatric",IF(Patient_Data[[#This Row],[Age]]&lt;=64,"Adult","Geriatric"))</f>
        <v>Geriatric</v>
      </c>
    </row>
    <row r="1142" spans="1:19" ht="15.75" customHeight="1" x14ac:dyDescent="0.3">
      <c r="A1142" s="4" t="s">
        <v>2319</v>
      </c>
      <c r="B1142" s="5" t="str">
        <f>TEXT(Patient_Data!$E1142,"mmmm")</f>
        <v>February</v>
      </c>
      <c r="C1142" s="6" t="str">
        <f t="shared" si="8"/>
        <v>Feb</v>
      </c>
      <c r="D1142" s="6">
        <f>MONTH(Patient_Data!$E1142)</f>
        <v>2</v>
      </c>
      <c r="E1142" s="7">
        <v>46079</v>
      </c>
      <c r="F1142" s="55" t="str">
        <f>TEXT(Patient_Data[[#This Row],[Admission_Date]],"YYYY")</f>
        <v>2026</v>
      </c>
      <c r="G1142" s="8" t="s">
        <v>2320</v>
      </c>
      <c r="H1142" s="8" t="s">
        <v>75</v>
      </c>
      <c r="I1142" s="4" t="s">
        <v>35</v>
      </c>
      <c r="J1142" s="4">
        <v>93</v>
      </c>
      <c r="K1142" s="4" t="s">
        <v>54</v>
      </c>
      <c r="L1142" s="8">
        <v>5</v>
      </c>
      <c r="M1142" s="9" t="s">
        <v>50</v>
      </c>
      <c r="N1142" s="9" t="str">
        <f t="shared" si="9"/>
        <v>ICU</v>
      </c>
      <c r="O1142" s="10">
        <v>14619.02</v>
      </c>
      <c r="P1142" s="10">
        <v>9050.4</v>
      </c>
      <c r="Q1142" s="11">
        <v>16.600000000000001</v>
      </c>
      <c r="R1142" s="13" t="str">
        <f>IF(Patient_Data!$L1142&lt;2,"Low Risk",IF(Patient_Data!$L1142&lt;4,"Moderate Risk","High Risk"))</f>
        <v>High Risk</v>
      </c>
      <c r="S1142" s="12" t="str">
        <f>IF(Patient_Data[[#This Row],[Age]]&lt;=18,"Pediatric",IF(Patient_Data[[#This Row],[Age]]&lt;=64,"Adult","Geriatric"))</f>
        <v>Geriatric</v>
      </c>
    </row>
    <row r="1143" spans="1:19" ht="15.75" customHeight="1" x14ac:dyDescent="0.3">
      <c r="A1143" s="4" t="s">
        <v>2321</v>
      </c>
      <c r="B1143" s="5" t="str">
        <f>TEXT(Patient_Data!$E1143,"mmmm")</f>
        <v>December</v>
      </c>
      <c r="C1143" s="6" t="str">
        <f t="shared" si="8"/>
        <v>Dec</v>
      </c>
      <c r="D1143" s="6">
        <f>MONTH(Patient_Data!$E1143)</f>
        <v>12</v>
      </c>
      <c r="E1143" s="7">
        <v>45280</v>
      </c>
      <c r="F1143" s="55" t="str">
        <f>TEXT(Patient_Data[[#This Row],[Admission_Date]],"YYYY")</f>
        <v>2023</v>
      </c>
      <c r="G1143" s="8" t="s">
        <v>2322</v>
      </c>
      <c r="H1143" s="8" t="s">
        <v>42</v>
      </c>
      <c r="I1143" s="4" t="s">
        <v>29</v>
      </c>
      <c r="J1143" s="4">
        <v>23</v>
      </c>
      <c r="K1143" s="4" t="s">
        <v>30</v>
      </c>
      <c r="L1143" s="8">
        <v>1</v>
      </c>
      <c r="M1143" s="9" t="s">
        <v>83</v>
      </c>
      <c r="N1143" s="9" t="str">
        <f t="shared" si="9"/>
        <v>ER</v>
      </c>
      <c r="O1143" s="10">
        <v>5322.75</v>
      </c>
      <c r="P1143" s="10">
        <v>3566.56</v>
      </c>
      <c r="Q1143" s="11">
        <v>20</v>
      </c>
      <c r="R1143" s="13" t="str">
        <f>IF(Patient_Data!$L1143&lt;2,"Low Risk",IF(Patient_Data!$L1143&lt;4,"Moderate Risk","High Risk"))</f>
        <v>Low Risk</v>
      </c>
      <c r="S1143" s="12" t="str">
        <f>IF(Patient_Data[[#This Row],[Age]]&lt;=18,"Pediatric",IF(Patient_Data[[#This Row],[Age]]&lt;=64,"Adult","Geriatric"))</f>
        <v>Adult</v>
      </c>
    </row>
    <row r="1144" spans="1:19" ht="15.75" customHeight="1" x14ac:dyDescent="0.3">
      <c r="A1144" s="4" t="s">
        <v>2323</v>
      </c>
      <c r="B1144" s="5" t="str">
        <f>TEXT(Patient_Data!$E1144,"mmmm")</f>
        <v>March</v>
      </c>
      <c r="C1144" s="6" t="str">
        <f t="shared" si="8"/>
        <v>Mar</v>
      </c>
      <c r="D1144" s="6">
        <f>MONTH(Patient_Data!$E1144)</f>
        <v>3</v>
      </c>
      <c r="E1144" s="7">
        <v>46095</v>
      </c>
      <c r="F1144" s="55" t="str">
        <f>TEXT(Patient_Data[[#This Row],[Admission_Date]],"YYYY")</f>
        <v>2026</v>
      </c>
      <c r="G1144" s="8" t="s">
        <v>2324</v>
      </c>
      <c r="H1144" s="8" t="s">
        <v>75</v>
      </c>
      <c r="I1144" s="4" t="s">
        <v>35</v>
      </c>
      <c r="J1144" s="4">
        <v>66</v>
      </c>
      <c r="K1144" s="4" t="s">
        <v>45</v>
      </c>
      <c r="L1144" s="8">
        <v>4</v>
      </c>
      <c r="M1144" s="9" t="s">
        <v>72</v>
      </c>
      <c r="N1144" s="9" t="str">
        <f t="shared" si="9"/>
        <v>Surgery</v>
      </c>
      <c r="O1144" s="10">
        <v>11412.24</v>
      </c>
      <c r="P1144" s="10">
        <v>7700.6</v>
      </c>
      <c r="Q1144" s="11">
        <v>6.8</v>
      </c>
      <c r="R1144" s="13" t="str">
        <f>IF(Patient_Data!$L1144&lt;2,"Low Risk",IF(Patient_Data!$L1144&lt;4,"Moderate Risk","High Risk"))</f>
        <v>High Risk</v>
      </c>
      <c r="S1144" s="12" t="str">
        <f>IF(Patient_Data[[#This Row],[Age]]&lt;=18,"Pediatric",IF(Patient_Data[[#This Row],[Age]]&lt;=64,"Adult","Geriatric"))</f>
        <v>Geriatric</v>
      </c>
    </row>
    <row r="1145" spans="1:19" ht="15.75" customHeight="1" x14ac:dyDescent="0.3">
      <c r="A1145" s="4" t="s">
        <v>2325</v>
      </c>
      <c r="B1145" s="5" t="str">
        <f>TEXT(Patient_Data!$E1145,"mmmm")</f>
        <v>December</v>
      </c>
      <c r="C1145" s="6" t="str">
        <f t="shared" si="8"/>
        <v>Dec</v>
      </c>
      <c r="D1145" s="6">
        <f>MONTH(Patient_Data!$E1145)</f>
        <v>12</v>
      </c>
      <c r="E1145" s="7">
        <v>46017</v>
      </c>
      <c r="F1145" s="55" t="str">
        <f>TEXT(Patient_Data[[#This Row],[Admission_Date]],"YYYY")</f>
        <v>2025</v>
      </c>
      <c r="G1145" s="8" t="s">
        <v>2326</v>
      </c>
      <c r="H1145" s="8" t="s">
        <v>34</v>
      </c>
      <c r="I1145" s="4" t="s">
        <v>35</v>
      </c>
      <c r="J1145" s="4">
        <v>78</v>
      </c>
      <c r="K1145" s="4" t="s">
        <v>54</v>
      </c>
      <c r="L1145" s="8">
        <v>2</v>
      </c>
      <c r="M1145" s="9" t="s">
        <v>36</v>
      </c>
      <c r="N1145" s="9" t="str">
        <f t="shared" si="9"/>
        <v>Cardio</v>
      </c>
      <c r="O1145" s="10">
        <v>6744.55</v>
      </c>
      <c r="P1145" s="10">
        <v>4740.38</v>
      </c>
      <c r="Q1145" s="11">
        <v>2.4</v>
      </c>
      <c r="R1145" s="13" t="str">
        <f>IF(Patient_Data!$L1145&lt;2,"Low Risk",IF(Patient_Data!$L1145&lt;4,"Moderate Risk","High Risk"))</f>
        <v>Moderate Risk</v>
      </c>
      <c r="S1145" s="12" t="str">
        <f>IF(Patient_Data[[#This Row],[Age]]&lt;=18,"Pediatric",IF(Patient_Data[[#This Row],[Age]]&lt;=64,"Adult","Geriatric"))</f>
        <v>Geriatric</v>
      </c>
    </row>
    <row r="1146" spans="1:19" ht="15.75" customHeight="1" x14ac:dyDescent="0.3">
      <c r="A1146" s="4" t="s">
        <v>2327</v>
      </c>
      <c r="B1146" s="5" t="str">
        <f>TEXT(Patient_Data!$E1146,"mmmm")</f>
        <v>April</v>
      </c>
      <c r="C1146" s="6" t="str">
        <f t="shared" si="8"/>
        <v>Apr</v>
      </c>
      <c r="D1146" s="6">
        <f>MONTH(Patient_Data!$E1146)</f>
        <v>4</v>
      </c>
      <c r="E1146" s="7">
        <v>46113</v>
      </c>
      <c r="F1146" s="55" t="str">
        <f>TEXT(Patient_Data[[#This Row],[Admission_Date]],"YYYY")</f>
        <v>2026</v>
      </c>
      <c r="G1146" s="8" t="s">
        <v>74</v>
      </c>
      <c r="H1146" s="8" t="s">
        <v>28</v>
      </c>
      <c r="I1146" s="4" t="s">
        <v>29</v>
      </c>
      <c r="J1146" s="4">
        <v>49</v>
      </c>
      <c r="K1146" s="4" t="s">
        <v>54</v>
      </c>
      <c r="L1146" s="8">
        <v>3</v>
      </c>
      <c r="M1146" s="9" t="s">
        <v>31</v>
      </c>
      <c r="N1146" s="9" t="str">
        <f t="shared" si="9"/>
        <v>Neuro</v>
      </c>
      <c r="O1146" s="10">
        <v>7815.63</v>
      </c>
      <c r="P1146" s="10">
        <v>5752.61</v>
      </c>
      <c r="Q1146" s="11">
        <v>5.9</v>
      </c>
      <c r="R1146" s="13" t="str">
        <f>IF(Patient_Data!$L1146&lt;2,"Low Risk",IF(Patient_Data!$L1146&lt;4,"Moderate Risk","High Risk"))</f>
        <v>Moderate Risk</v>
      </c>
      <c r="S1146" s="12" t="str">
        <f>IF(Patient_Data[[#This Row],[Age]]&lt;=18,"Pediatric",IF(Patient_Data[[#This Row],[Age]]&lt;=64,"Adult","Geriatric"))</f>
        <v>Adult</v>
      </c>
    </row>
    <row r="1147" spans="1:19" ht="15.75" customHeight="1" x14ac:dyDescent="0.3">
      <c r="A1147" s="4" t="s">
        <v>2328</v>
      </c>
      <c r="B1147" s="5" t="str">
        <f>TEXT(Patient_Data!$E1147,"mmmm")</f>
        <v>May</v>
      </c>
      <c r="C1147" s="6" t="str">
        <f t="shared" si="8"/>
        <v>May</v>
      </c>
      <c r="D1147" s="6">
        <f>MONTH(Patient_Data!$E1147)</f>
        <v>5</v>
      </c>
      <c r="E1147" s="7">
        <v>45798</v>
      </c>
      <c r="F1147" s="55" t="str">
        <f>TEXT(Patient_Data[[#This Row],[Admission_Date]],"YYYY")</f>
        <v>2025</v>
      </c>
      <c r="G1147" s="8" t="s">
        <v>2329</v>
      </c>
      <c r="H1147" s="8" t="s">
        <v>98</v>
      </c>
      <c r="I1147" s="4" t="s">
        <v>35</v>
      </c>
      <c r="J1147" s="4">
        <v>50</v>
      </c>
      <c r="K1147" s="4" t="s">
        <v>45</v>
      </c>
      <c r="L1147" s="8">
        <v>4</v>
      </c>
      <c r="M1147" s="9" t="s">
        <v>72</v>
      </c>
      <c r="N1147" s="9" t="str">
        <f t="shared" si="9"/>
        <v>Surgery</v>
      </c>
      <c r="O1147" s="10">
        <v>12747.28</v>
      </c>
      <c r="P1147" s="10">
        <v>9775.1299999999992</v>
      </c>
      <c r="Q1147" s="11">
        <v>10.9</v>
      </c>
      <c r="R1147" s="13" t="str">
        <f>IF(Patient_Data!$L1147&lt;2,"Low Risk",IF(Patient_Data!$L1147&lt;4,"Moderate Risk","High Risk"))</f>
        <v>High Risk</v>
      </c>
      <c r="S1147" s="12" t="str">
        <f>IF(Patient_Data[[#This Row],[Age]]&lt;=18,"Pediatric",IF(Patient_Data[[#This Row],[Age]]&lt;=64,"Adult","Geriatric"))</f>
        <v>Adult</v>
      </c>
    </row>
    <row r="1148" spans="1:19" ht="15.75" customHeight="1" x14ac:dyDescent="0.3">
      <c r="A1148" s="4" t="s">
        <v>2330</v>
      </c>
      <c r="B1148" s="5" t="str">
        <f>TEXT(Patient_Data!$E1148,"mmmm")</f>
        <v>October</v>
      </c>
      <c r="C1148" s="6" t="str">
        <f t="shared" si="8"/>
        <v>Oct</v>
      </c>
      <c r="D1148" s="6">
        <f>MONTH(Patient_Data!$E1148)</f>
        <v>10</v>
      </c>
      <c r="E1148" s="7">
        <v>45211</v>
      </c>
      <c r="F1148" s="55" t="str">
        <f>TEXT(Patient_Data[[#This Row],[Admission_Date]],"YYYY")</f>
        <v>2023</v>
      </c>
      <c r="G1148" s="8" t="s">
        <v>2331</v>
      </c>
      <c r="H1148" s="8" t="s">
        <v>34</v>
      </c>
      <c r="I1148" s="4" t="s">
        <v>35</v>
      </c>
      <c r="J1148" s="4">
        <v>53</v>
      </c>
      <c r="K1148" s="4" t="s">
        <v>45</v>
      </c>
      <c r="L1148" s="8">
        <v>3</v>
      </c>
      <c r="M1148" s="9" t="s">
        <v>36</v>
      </c>
      <c r="N1148" s="9" t="str">
        <f t="shared" si="9"/>
        <v>Cardio</v>
      </c>
      <c r="O1148" s="10">
        <v>9744.99</v>
      </c>
      <c r="P1148" s="10">
        <v>5675.29</v>
      </c>
      <c r="Q1148" s="11">
        <v>2.9</v>
      </c>
      <c r="R1148" s="13" t="str">
        <f>IF(Patient_Data!$L1148&lt;2,"Low Risk",IF(Patient_Data!$L1148&lt;4,"Moderate Risk","High Risk"))</f>
        <v>Moderate Risk</v>
      </c>
      <c r="S1148" s="12" t="str">
        <f>IF(Patient_Data[[#This Row],[Age]]&lt;=18,"Pediatric",IF(Patient_Data[[#This Row],[Age]]&lt;=64,"Adult","Geriatric"))</f>
        <v>Adult</v>
      </c>
    </row>
    <row r="1149" spans="1:19" ht="15.75" customHeight="1" x14ac:dyDescent="0.3">
      <c r="A1149" s="4" t="s">
        <v>2332</v>
      </c>
      <c r="B1149" s="5" t="str">
        <f>TEXT(Patient_Data!$E1149,"mmmm")</f>
        <v>September</v>
      </c>
      <c r="C1149" s="6" t="str">
        <f t="shared" si="8"/>
        <v>Sep</v>
      </c>
      <c r="D1149" s="6">
        <f>MONTH(Patient_Data!$E1149)</f>
        <v>9</v>
      </c>
      <c r="E1149" s="7">
        <v>45173</v>
      </c>
      <c r="F1149" s="55" t="str">
        <f>TEXT(Patient_Data[[#This Row],[Admission_Date]],"YYYY")</f>
        <v>2023</v>
      </c>
      <c r="G1149" s="8" t="s">
        <v>2333</v>
      </c>
      <c r="H1149" s="8" t="s">
        <v>28</v>
      </c>
      <c r="I1149" s="4" t="s">
        <v>29</v>
      </c>
      <c r="J1149" s="4">
        <v>58</v>
      </c>
      <c r="K1149" s="4" t="s">
        <v>30</v>
      </c>
      <c r="L1149" s="8">
        <v>1</v>
      </c>
      <c r="M1149" s="9" t="s">
        <v>83</v>
      </c>
      <c r="N1149" s="9" t="str">
        <f t="shared" si="9"/>
        <v>ER</v>
      </c>
      <c r="O1149" s="10">
        <v>8859.43</v>
      </c>
      <c r="P1149" s="10">
        <v>5583.45</v>
      </c>
      <c r="Q1149" s="11">
        <v>22.4</v>
      </c>
      <c r="R1149" s="13" t="str">
        <f>IF(Patient_Data!$L1149&lt;2,"Low Risk",IF(Patient_Data!$L1149&lt;4,"Moderate Risk","High Risk"))</f>
        <v>Low Risk</v>
      </c>
      <c r="S1149" s="12" t="str">
        <f>IF(Patient_Data[[#This Row],[Age]]&lt;=18,"Pediatric",IF(Patient_Data[[#This Row],[Age]]&lt;=64,"Adult","Geriatric"))</f>
        <v>Adult</v>
      </c>
    </row>
    <row r="1150" spans="1:19" ht="15.75" customHeight="1" x14ac:dyDescent="0.3">
      <c r="A1150" s="4" t="s">
        <v>2334</v>
      </c>
      <c r="B1150" s="5" t="str">
        <f>TEXT(Patient_Data!$E1150,"mmmm")</f>
        <v>November</v>
      </c>
      <c r="C1150" s="6" t="str">
        <f t="shared" si="8"/>
        <v>Nov</v>
      </c>
      <c r="D1150" s="6">
        <f>MONTH(Patient_Data!$E1150)</f>
        <v>11</v>
      </c>
      <c r="E1150" s="7">
        <v>45259</v>
      </c>
      <c r="F1150" s="55" t="str">
        <f>TEXT(Patient_Data[[#This Row],[Admission_Date]],"YYYY")</f>
        <v>2023</v>
      </c>
      <c r="G1150" s="8" t="s">
        <v>2335</v>
      </c>
      <c r="H1150" s="8" t="s">
        <v>53</v>
      </c>
      <c r="I1150" s="4" t="s">
        <v>35</v>
      </c>
      <c r="J1150" s="4">
        <v>63</v>
      </c>
      <c r="K1150" s="4" t="s">
        <v>54</v>
      </c>
      <c r="L1150" s="8">
        <v>2</v>
      </c>
      <c r="M1150" s="9" t="s">
        <v>39</v>
      </c>
      <c r="N1150" s="9" t="str">
        <f t="shared" si="9"/>
        <v>GM</v>
      </c>
      <c r="O1150" s="10">
        <v>5526.57</v>
      </c>
      <c r="P1150" s="10">
        <v>3608.2</v>
      </c>
      <c r="Q1150" s="11">
        <v>8.9</v>
      </c>
      <c r="R1150" s="13" t="str">
        <f>IF(Patient_Data!$L1150&lt;2,"Low Risk",IF(Patient_Data!$L1150&lt;4,"Moderate Risk","High Risk"))</f>
        <v>Moderate Risk</v>
      </c>
      <c r="S1150" s="12" t="str">
        <f>IF(Patient_Data[[#This Row],[Age]]&lt;=18,"Pediatric",IF(Patient_Data[[#This Row],[Age]]&lt;=64,"Adult","Geriatric"))</f>
        <v>Adult</v>
      </c>
    </row>
    <row r="1151" spans="1:19" ht="15.75" customHeight="1" x14ac:dyDescent="0.3">
      <c r="A1151" s="4" t="s">
        <v>2336</v>
      </c>
      <c r="B1151" s="5" t="str">
        <f>TEXT(Patient_Data!$E1151,"mmmm")</f>
        <v>January</v>
      </c>
      <c r="C1151" s="6" t="str">
        <f t="shared" si="8"/>
        <v>Jan</v>
      </c>
      <c r="D1151" s="6">
        <f>MONTH(Patient_Data!$E1151)</f>
        <v>1</v>
      </c>
      <c r="E1151" s="7">
        <v>46034</v>
      </c>
      <c r="F1151" s="55" t="str">
        <f>TEXT(Patient_Data[[#This Row],[Admission_Date]],"YYYY")</f>
        <v>2026</v>
      </c>
      <c r="G1151" s="8" t="s">
        <v>2337</v>
      </c>
      <c r="H1151" s="8" t="s">
        <v>28</v>
      </c>
      <c r="I1151" s="4" t="s">
        <v>35</v>
      </c>
      <c r="J1151" s="4">
        <v>52</v>
      </c>
      <c r="K1151" s="4" t="s">
        <v>30</v>
      </c>
      <c r="L1151" s="8">
        <v>1</v>
      </c>
      <c r="M1151" s="9" t="s">
        <v>46</v>
      </c>
      <c r="N1151" s="9" t="str">
        <f t="shared" si="9"/>
        <v>Ortho</v>
      </c>
      <c r="O1151" s="10">
        <v>5776.44</v>
      </c>
      <c r="P1151" s="10">
        <v>3902.21</v>
      </c>
      <c r="Q1151" s="11">
        <v>4</v>
      </c>
      <c r="R1151" s="13" t="str">
        <f>IF(Patient_Data!$L1151&lt;2,"Low Risk",IF(Patient_Data!$L1151&lt;4,"Moderate Risk","High Risk"))</f>
        <v>Low Risk</v>
      </c>
      <c r="S1151" s="12" t="str">
        <f>IF(Patient_Data[[#This Row],[Age]]&lt;=18,"Pediatric",IF(Patient_Data[[#This Row],[Age]]&lt;=64,"Adult","Geriatric"))</f>
        <v>Adult</v>
      </c>
    </row>
    <row r="1152" spans="1:19" ht="15.75" customHeight="1" x14ac:dyDescent="0.3">
      <c r="A1152" s="4" t="s">
        <v>2338</v>
      </c>
      <c r="B1152" s="5" t="str">
        <f>TEXT(Patient_Data!$E1152,"mmmm")</f>
        <v>January</v>
      </c>
      <c r="C1152" s="6" t="str">
        <f t="shared" si="8"/>
        <v>Jan</v>
      </c>
      <c r="D1152" s="6">
        <f>MONTH(Patient_Data!$E1152)</f>
        <v>1</v>
      </c>
      <c r="E1152" s="7">
        <v>45308</v>
      </c>
      <c r="F1152" s="55" t="str">
        <f>TEXT(Patient_Data[[#This Row],[Admission_Date]],"YYYY")</f>
        <v>2024</v>
      </c>
      <c r="G1152" s="8" t="s">
        <v>1410</v>
      </c>
      <c r="H1152" s="8" t="s">
        <v>28</v>
      </c>
      <c r="I1152" s="4" t="s">
        <v>35</v>
      </c>
      <c r="J1152" s="4">
        <v>36</v>
      </c>
      <c r="K1152" s="4" t="s">
        <v>30</v>
      </c>
      <c r="L1152" s="8">
        <v>3</v>
      </c>
      <c r="M1152" s="9" t="s">
        <v>36</v>
      </c>
      <c r="N1152" s="9" t="str">
        <f t="shared" si="9"/>
        <v>Cardio</v>
      </c>
      <c r="O1152" s="10">
        <v>8995.25</v>
      </c>
      <c r="P1152" s="10">
        <v>6316.67</v>
      </c>
      <c r="Q1152" s="11">
        <v>2.5</v>
      </c>
      <c r="R1152" s="13" t="str">
        <f>IF(Patient_Data!$L1152&lt;2,"Low Risk",IF(Patient_Data!$L1152&lt;4,"Moderate Risk","High Risk"))</f>
        <v>Moderate Risk</v>
      </c>
      <c r="S1152" s="12" t="str">
        <f>IF(Patient_Data[[#This Row],[Age]]&lt;=18,"Pediatric",IF(Patient_Data[[#This Row],[Age]]&lt;=64,"Adult","Geriatric"))</f>
        <v>Adult</v>
      </c>
    </row>
    <row r="1153" spans="1:19" ht="15.75" customHeight="1" x14ac:dyDescent="0.3">
      <c r="A1153" s="4" t="s">
        <v>2339</v>
      </c>
      <c r="B1153" s="5" t="str">
        <f>TEXT(Patient_Data!$E1153,"mmmm")</f>
        <v>April</v>
      </c>
      <c r="C1153" s="6" t="str">
        <f t="shared" si="8"/>
        <v>Apr</v>
      </c>
      <c r="D1153" s="6">
        <f>MONTH(Patient_Data!$E1153)</f>
        <v>4</v>
      </c>
      <c r="E1153" s="7">
        <v>46133</v>
      </c>
      <c r="F1153" s="55" t="str">
        <f>TEXT(Patient_Data[[#This Row],[Admission_Date]],"YYYY")</f>
        <v>2026</v>
      </c>
      <c r="G1153" s="8" t="s">
        <v>2340</v>
      </c>
      <c r="H1153" s="8" t="s">
        <v>53</v>
      </c>
      <c r="I1153" s="4" t="s">
        <v>35</v>
      </c>
      <c r="J1153" s="4">
        <v>81</v>
      </c>
      <c r="K1153" s="4" t="s">
        <v>45</v>
      </c>
      <c r="L1153" s="8">
        <v>4</v>
      </c>
      <c r="M1153" s="9" t="s">
        <v>46</v>
      </c>
      <c r="N1153" s="9" t="str">
        <f t="shared" si="9"/>
        <v>Ortho</v>
      </c>
      <c r="O1153" s="10">
        <v>12777.64</v>
      </c>
      <c r="P1153" s="10">
        <v>9412.48</v>
      </c>
      <c r="Q1153" s="11">
        <v>10.6</v>
      </c>
      <c r="R1153" s="13" t="str">
        <f>IF(Patient_Data!$L1153&lt;2,"Low Risk",IF(Patient_Data!$L1153&lt;4,"Moderate Risk","High Risk"))</f>
        <v>High Risk</v>
      </c>
      <c r="S1153" s="12" t="str">
        <f>IF(Patient_Data[[#This Row],[Age]]&lt;=18,"Pediatric",IF(Patient_Data[[#This Row],[Age]]&lt;=64,"Adult","Geriatric"))</f>
        <v>Geriatric</v>
      </c>
    </row>
    <row r="1154" spans="1:19" ht="15.75" customHeight="1" x14ac:dyDescent="0.3">
      <c r="A1154" s="4" t="s">
        <v>2341</v>
      </c>
      <c r="B1154" s="5" t="str">
        <f>TEXT(Patient_Data!$E1154,"mmmm")</f>
        <v>November</v>
      </c>
      <c r="C1154" s="6" t="str">
        <f t="shared" si="8"/>
        <v>Nov</v>
      </c>
      <c r="D1154" s="6">
        <f>MONTH(Patient_Data!$E1154)</f>
        <v>11</v>
      </c>
      <c r="E1154" s="7">
        <v>45231</v>
      </c>
      <c r="F1154" s="55" t="str">
        <f>TEXT(Patient_Data[[#This Row],[Admission_Date]],"YYYY")</f>
        <v>2023</v>
      </c>
      <c r="G1154" s="8" t="s">
        <v>2342</v>
      </c>
      <c r="H1154" s="8" t="s">
        <v>28</v>
      </c>
      <c r="I1154" s="4" t="s">
        <v>29</v>
      </c>
      <c r="J1154" s="4">
        <v>23</v>
      </c>
      <c r="K1154" s="4" t="s">
        <v>30</v>
      </c>
      <c r="L1154" s="8">
        <v>2</v>
      </c>
      <c r="M1154" s="9" t="s">
        <v>39</v>
      </c>
      <c r="N1154" s="9" t="str">
        <f t="shared" si="9"/>
        <v>GM</v>
      </c>
      <c r="O1154" s="10">
        <v>3390.91</v>
      </c>
      <c r="P1154" s="10">
        <v>2612.29</v>
      </c>
      <c r="Q1154" s="11">
        <v>4.4000000000000004</v>
      </c>
      <c r="R1154" s="13" t="str">
        <f>IF(Patient_Data!$L1154&lt;2,"Low Risk",IF(Patient_Data!$L1154&lt;4,"Moderate Risk","High Risk"))</f>
        <v>Moderate Risk</v>
      </c>
      <c r="S1154" s="12" t="str">
        <f>IF(Patient_Data[[#This Row],[Age]]&lt;=18,"Pediatric",IF(Patient_Data[[#This Row],[Age]]&lt;=64,"Adult","Geriatric"))</f>
        <v>Adult</v>
      </c>
    </row>
    <row r="1155" spans="1:19" ht="15.75" customHeight="1" x14ac:dyDescent="0.3">
      <c r="A1155" s="4" t="s">
        <v>2343</v>
      </c>
      <c r="B1155" s="5" t="str">
        <f>TEXT(Patient_Data!$E1155,"mmmm")</f>
        <v>April</v>
      </c>
      <c r="C1155" s="6" t="str">
        <f t="shared" si="8"/>
        <v>Apr</v>
      </c>
      <c r="D1155" s="6">
        <f>MONTH(Patient_Data!$E1155)</f>
        <v>4</v>
      </c>
      <c r="E1155" s="7">
        <v>45754</v>
      </c>
      <c r="F1155" s="55" t="str">
        <f>TEXT(Patient_Data[[#This Row],[Admission_Date]],"YYYY")</f>
        <v>2025</v>
      </c>
      <c r="G1155" s="8" t="s">
        <v>2344</v>
      </c>
      <c r="H1155" s="8" t="s">
        <v>28</v>
      </c>
      <c r="I1155" s="4" t="s">
        <v>35</v>
      </c>
      <c r="J1155" s="4">
        <v>60</v>
      </c>
      <c r="K1155" s="4" t="s">
        <v>30</v>
      </c>
      <c r="L1155" s="8">
        <v>2</v>
      </c>
      <c r="M1155" s="9" t="s">
        <v>39</v>
      </c>
      <c r="N1155" s="9" t="str">
        <f t="shared" si="9"/>
        <v>GM</v>
      </c>
      <c r="O1155" s="10">
        <v>4954.25</v>
      </c>
      <c r="P1155" s="10">
        <v>2946.26</v>
      </c>
      <c r="Q1155" s="11">
        <v>9.1</v>
      </c>
      <c r="R1155" s="13" t="str">
        <f>IF(Patient_Data!$L1155&lt;2,"Low Risk",IF(Patient_Data!$L1155&lt;4,"Moderate Risk","High Risk"))</f>
        <v>Moderate Risk</v>
      </c>
      <c r="S1155" s="12" t="str">
        <f>IF(Patient_Data[[#This Row],[Age]]&lt;=18,"Pediatric",IF(Patient_Data[[#This Row],[Age]]&lt;=64,"Adult","Geriatric"))</f>
        <v>Adult</v>
      </c>
    </row>
    <row r="1156" spans="1:19" ht="15.75" customHeight="1" x14ac:dyDescent="0.3">
      <c r="A1156" s="4" t="s">
        <v>2345</v>
      </c>
      <c r="B1156" s="5" t="str">
        <f>TEXT(Patient_Data!$E1156,"mmmm")</f>
        <v>January</v>
      </c>
      <c r="C1156" s="6" t="str">
        <f t="shared" si="8"/>
        <v>Jan</v>
      </c>
      <c r="D1156" s="6">
        <f>MONTH(Patient_Data!$E1156)</f>
        <v>1</v>
      </c>
      <c r="E1156" s="7">
        <v>46027</v>
      </c>
      <c r="F1156" s="55" t="str">
        <f>TEXT(Patient_Data[[#This Row],[Admission_Date]],"YYYY")</f>
        <v>2026</v>
      </c>
      <c r="G1156" s="8" t="s">
        <v>2346</v>
      </c>
      <c r="H1156" s="8" t="s">
        <v>34</v>
      </c>
      <c r="I1156" s="4" t="s">
        <v>35</v>
      </c>
      <c r="J1156" s="4">
        <v>73</v>
      </c>
      <c r="K1156" s="4" t="s">
        <v>54</v>
      </c>
      <c r="L1156" s="8">
        <v>5</v>
      </c>
      <c r="M1156" s="9" t="s">
        <v>83</v>
      </c>
      <c r="N1156" s="9" t="str">
        <f t="shared" si="9"/>
        <v>ER</v>
      </c>
      <c r="O1156" s="10">
        <v>10440.08</v>
      </c>
      <c r="P1156" s="10">
        <v>6458.85</v>
      </c>
      <c r="Q1156" s="11">
        <v>11.3</v>
      </c>
      <c r="R1156" s="13" t="str">
        <f>IF(Patient_Data!$L1156&lt;2,"Low Risk",IF(Patient_Data!$L1156&lt;4,"Moderate Risk","High Risk"))</f>
        <v>High Risk</v>
      </c>
      <c r="S1156" s="12" t="str">
        <f>IF(Patient_Data[[#This Row],[Age]]&lt;=18,"Pediatric",IF(Patient_Data[[#This Row],[Age]]&lt;=64,"Adult","Geriatric"))</f>
        <v>Geriatric</v>
      </c>
    </row>
    <row r="1157" spans="1:19" ht="15.75" customHeight="1" x14ac:dyDescent="0.3">
      <c r="A1157" s="4" t="s">
        <v>2347</v>
      </c>
      <c r="B1157" s="5" t="str">
        <f>TEXT(Patient_Data!$E1157,"mmmm")</f>
        <v>October</v>
      </c>
      <c r="C1157" s="6" t="str">
        <f t="shared" si="8"/>
        <v>Oct</v>
      </c>
      <c r="D1157" s="6">
        <f>MONTH(Patient_Data!$E1157)</f>
        <v>10</v>
      </c>
      <c r="E1157" s="7">
        <v>45933</v>
      </c>
      <c r="F1157" s="55" t="str">
        <f>TEXT(Patient_Data[[#This Row],[Admission_Date]],"YYYY")</f>
        <v>2025</v>
      </c>
      <c r="G1157" s="8" t="s">
        <v>2348</v>
      </c>
      <c r="H1157" s="8" t="s">
        <v>98</v>
      </c>
      <c r="I1157" s="4" t="s">
        <v>29</v>
      </c>
      <c r="J1157" s="4">
        <v>72</v>
      </c>
      <c r="K1157" s="4" t="s">
        <v>54</v>
      </c>
      <c r="L1157" s="8">
        <v>1</v>
      </c>
      <c r="M1157" s="9" t="s">
        <v>83</v>
      </c>
      <c r="N1157" s="9" t="str">
        <f t="shared" si="9"/>
        <v>ER</v>
      </c>
      <c r="O1157" s="10">
        <v>5159.04</v>
      </c>
      <c r="P1157" s="10">
        <v>3404.19</v>
      </c>
      <c r="Q1157" s="11">
        <v>12.8</v>
      </c>
      <c r="R1157" s="13" t="str">
        <f>IF(Patient_Data!$L1157&lt;2,"Low Risk",IF(Patient_Data!$L1157&lt;4,"Moderate Risk","High Risk"))</f>
        <v>Low Risk</v>
      </c>
      <c r="S1157" s="12" t="str">
        <f>IF(Patient_Data[[#This Row],[Age]]&lt;=18,"Pediatric",IF(Patient_Data[[#This Row],[Age]]&lt;=64,"Adult","Geriatric"))</f>
        <v>Geriatric</v>
      </c>
    </row>
    <row r="1158" spans="1:19" ht="15.75" customHeight="1" x14ac:dyDescent="0.3">
      <c r="A1158" s="4" t="s">
        <v>2349</v>
      </c>
      <c r="B1158" s="5" t="str">
        <f>TEXT(Patient_Data!$E1158,"mmmm")</f>
        <v>October</v>
      </c>
      <c r="C1158" s="6" t="str">
        <f t="shared" si="8"/>
        <v>Oct</v>
      </c>
      <c r="D1158" s="6">
        <f>MONTH(Patient_Data!$E1158)</f>
        <v>10</v>
      </c>
      <c r="E1158" s="7">
        <v>45950</v>
      </c>
      <c r="F1158" s="55" t="str">
        <f>TEXT(Patient_Data[[#This Row],[Admission_Date]],"YYYY")</f>
        <v>2025</v>
      </c>
      <c r="G1158" s="8" t="s">
        <v>2350</v>
      </c>
      <c r="H1158" s="8" t="s">
        <v>28</v>
      </c>
      <c r="I1158" s="4" t="s">
        <v>35</v>
      </c>
      <c r="J1158" s="4">
        <v>74</v>
      </c>
      <c r="K1158" s="4" t="s">
        <v>30</v>
      </c>
      <c r="L1158" s="8">
        <v>2</v>
      </c>
      <c r="M1158" s="9" t="s">
        <v>39</v>
      </c>
      <c r="N1158" s="9" t="str">
        <f t="shared" si="9"/>
        <v>GM</v>
      </c>
      <c r="O1158" s="10">
        <v>4566.1099999999997</v>
      </c>
      <c r="P1158" s="10">
        <v>3092.89</v>
      </c>
      <c r="Q1158" s="11">
        <v>4.2</v>
      </c>
      <c r="R1158" s="13" t="str">
        <f>IF(Patient_Data!$L1158&lt;2,"Low Risk",IF(Patient_Data!$L1158&lt;4,"Moderate Risk","High Risk"))</f>
        <v>Moderate Risk</v>
      </c>
      <c r="S1158" s="12" t="str">
        <f>IF(Patient_Data[[#This Row],[Age]]&lt;=18,"Pediatric",IF(Patient_Data[[#This Row],[Age]]&lt;=64,"Adult","Geriatric"))</f>
        <v>Geriatric</v>
      </c>
    </row>
    <row r="1159" spans="1:19" ht="15.75" customHeight="1" x14ac:dyDescent="0.3">
      <c r="A1159" s="4" t="s">
        <v>2351</v>
      </c>
      <c r="B1159" s="5" t="str">
        <f>TEXT(Patient_Data!$E1159,"mmmm")</f>
        <v>March</v>
      </c>
      <c r="C1159" s="6" t="str">
        <f t="shared" si="8"/>
        <v>Mar</v>
      </c>
      <c r="D1159" s="6">
        <f>MONTH(Patient_Data!$E1159)</f>
        <v>3</v>
      </c>
      <c r="E1159" s="7">
        <v>46085</v>
      </c>
      <c r="F1159" s="55" t="str">
        <f>TEXT(Patient_Data[[#This Row],[Admission_Date]],"YYYY")</f>
        <v>2026</v>
      </c>
      <c r="G1159" s="8" t="s">
        <v>2352</v>
      </c>
      <c r="H1159" s="8" t="s">
        <v>53</v>
      </c>
      <c r="I1159" s="4" t="s">
        <v>35</v>
      </c>
      <c r="J1159" s="4">
        <v>53</v>
      </c>
      <c r="K1159" s="4" t="s">
        <v>30</v>
      </c>
      <c r="L1159" s="8">
        <v>1</v>
      </c>
      <c r="M1159" s="9" t="s">
        <v>36</v>
      </c>
      <c r="N1159" s="9" t="str">
        <f t="shared" si="9"/>
        <v>Cardio</v>
      </c>
      <c r="O1159" s="10">
        <v>5137.84</v>
      </c>
      <c r="P1159" s="10">
        <v>3668.49</v>
      </c>
      <c r="Q1159" s="11">
        <v>9</v>
      </c>
      <c r="R1159" s="13" t="str">
        <f>IF(Patient_Data!$L1159&lt;2,"Low Risk",IF(Patient_Data!$L1159&lt;4,"Moderate Risk","High Risk"))</f>
        <v>Low Risk</v>
      </c>
      <c r="S1159" s="12" t="str">
        <f>IF(Patient_Data[[#This Row],[Age]]&lt;=18,"Pediatric",IF(Patient_Data[[#This Row],[Age]]&lt;=64,"Adult","Geriatric"))</f>
        <v>Adult</v>
      </c>
    </row>
    <row r="1160" spans="1:19" ht="15.75" customHeight="1" x14ac:dyDescent="0.3">
      <c r="A1160" s="4" t="s">
        <v>2353</v>
      </c>
      <c r="B1160" s="5" t="str">
        <f>TEXT(Patient_Data!$E1160,"mmmm")</f>
        <v>October</v>
      </c>
      <c r="C1160" s="6" t="str">
        <f t="shared" si="8"/>
        <v>Oct</v>
      </c>
      <c r="D1160" s="6">
        <f>MONTH(Patient_Data!$E1160)</f>
        <v>10</v>
      </c>
      <c r="E1160" s="7">
        <v>45940</v>
      </c>
      <c r="F1160" s="55" t="str">
        <f>TEXT(Patient_Data[[#This Row],[Admission_Date]],"YYYY")</f>
        <v>2025</v>
      </c>
      <c r="G1160" s="8" t="s">
        <v>2354</v>
      </c>
      <c r="H1160" s="8" t="s">
        <v>42</v>
      </c>
      <c r="I1160" s="4" t="s">
        <v>35</v>
      </c>
      <c r="J1160" s="4">
        <v>1</v>
      </c>
      <c r="K1160" s="4" t="s">
        <v>30</v>
      </c>
      <c r="L1160" s="8">
        <v>1</v>
      </c>
      <c r="M1160" s="9" t="s">
        <v>79</v>
      </c>
      <c r="N1160" s="9" t="str">
        <f t="shared" si="9"/>
        <v>PD</v>
      </c>
      <c r="O1160" s="10">
        <v>2278.9499999999998</v>
      </c>
      <c r="P1160" s="10">
        <v>1696.43</v>
      </c>
      <c r="Q1160" s="11">
        <v>4.0999999999999996</v>
      </c>
      <c r="R1160" s="13" t="str">
        <f>IF(Patient_Data!$L1160&lt;2,"Low Risk",IF(Patient_Data!$L1160&lt;4,"Moderate Risk","High Risk"))</f>
        <v>Low Risk</v>
      </c>
      <c r="S1160" s="12" t="str">
        <f>IF(Patient_Data[[#This Row],[Age]]&lt;=18,"Pediatric",IF(Patient_Data[[#This Row],[Age]]&lt;=64,"Adult","Geriatric"))</f>
        <v>Pediatric</v>
      </c>
    </row>
    <row r="1161" spans="1:19" ht="15.75" customHeight="1" x14ac:dyDescent="0.3">
      <c r="A1161" s="4" t="s">
        <v>2355</v>
      </c>
      <c r="B1161" s="5" t="str">
        <f>TEXT(Patient_Data!$E1161,"mmmm")</f>
        <v>October</v>
      </c>
      <c r="C1161" s="6" t="str">
        <f t="shared" si="8"/>
        <v>Oct</v>
      </c>
      <c r="D1161" s="6">
        <f>MONTH(Patient_Data!$E1161)</f>
        <v>10</v>
      </c>
      <c r="E1161" s="7">
        <v>45936</v>
      </c>
      <c r="F1161" s="55" t="str">
        <f>TEXT(Patient_Data[[#This Row],[Admission_Date]],"YYYY")</f>
        <v>2025</v>
      </c>
      <c r="G1161" s="8" t="s">
        <v>2356</v>
      </c>
      <c r="H1161" s="8" t="s">
        <v>28</v>
      </c>
      <c r="I1161" s="4" t="s">
        <v>29</v>
      </c>
      <c r="J1161" s="4">
        <v>61</v>
      </c>
      <c r="K1161" s="4" t="s">
        <v>54</v>
      </c>
      <c r="L1161" s="8">
        <v>1</v>
      </c>
      <c r="M1161" s="9" t="s">
        <v>39</v>
      </c>
      <c r="N1161" s="9" t="str">
        <f t="shared" si="9"/>
        <v>GM</v>
      </c>
      <c r="O1161" s="10">
        <v>1872.49</v>
      </c>
      <c r="P1161" s="10">
        <v>1477.49</v>
      </c>
      <c r="Q1161" s="11">
        <v>6.8</v>
      </c>
      <c r="R1161" s="13" t="str">
        <f>IF(Patient_Data!$L1161&lt;2,"Low Risk",IF(Patient_Data!$L1161&lt;4,"Moderate Risk","High Risk"))</f>
        <v>Low Risk</v>
      </c>
      <c r="S1161" s="12" t="str">
        <f>IF(Patient_Data[[#This Row],[Age]]&lt;=18,"Pediatric",IF(Patient_Data[[#This Row],[Age]]&lt;=64,"Adult","Geriatric"))</f>
        <v>Adult</v>
      </c>
    </row>
    <row r="1162" spans="1:19" ht="15.75" customHeight="1" x14ac:dyDescent="0.3">
      <c r="A1162" s="4" t="s">
        <v>2357</v>
      </c>
      <c r="B1162" s="5" t="str">
        <f>TEXT(Patient_Data!$E1162,"mmmm")</f>
        <v>February</v>
      </c>
      <c r="C1162" s="6" t="str">
        <f t="shared" si="8"/>
        <v>Feb</v>
      </c>
      <c r="D1162" s="6">
        <f>MONTH(Patient_Data!$E1162)</f>
        <v>2</v>
      </c>
      <c r="E1162" s="7">
        <v>45331</v>
      </c>
      <c r="F1162" s="55" t="str">
        <f>TEXT(Patient_Data[[#This Row],[Admission_Date]],"YYYY")</f>
        <v>2024</v>
      </c>
      <c r="G1162" s="8" t="s">
        <v>2358</v>
      </c>
      <c r="H1162" s="8" t="s">
        <v>132</v>
      </c>
      <c r="I1162" s="4" t="s">
        <v>35</v>
      </c>
      <c r="J1162" s="4">
        <v>1</v>
      </c>
      <c r="K1162" s="4" t="s">
        <v>30</v>
      </c>
      <c r="L1162" s="8">
        <v>2</v>
      </c>
      <c r="M1162" s="9" t="s">
        <v>79</v>
      </c>
      <c r="N1162" s="9" t="str">
        <f t="shared" si="9"/>
        <v>PD</v>
      </c>
      <c r="O1162" s="10">
        <v>1721.28</v>
      </c>
      <c r="P1162" s="10">
        <v>1035.1400000000001</v>
      </c>
      <c r="Q1162" s="11">
        <v>4.5999999999999996</v>
      </c>
      <c r="R1162" s="13" t="str">
        <f>IF(Patient_Data!$L1162&lt;2,"Low Risk",IF(Patient_Data!$L1162&lt;4,"Moderate Risk","High Risk"))</f>
        <v>Moderate Risk</v>
      </c>
      <c r="S1162" s="12" t="str">
        <f>IF(Patient_Data[[#This Row],[Age]]&lt;=18,"Pediatric",IF(Patient_Data[[#This Row],[Age]]&lt;=64,"Adult","Geriatric"))</f>
        <v>Pediatric</v>
      </c>
    </row>
    <row r="1163" spans="1:19" ht="15.75" customHeight="1" x14ac:dyDescent="0.3">
      <c r="A1163" s="4" t="s">
        <v>2359</v>
      </c>
      <c r="B1163" s="5" t="str">
        <f>TEXT(Patient_Data!$E1163,"mmmm")</f>
        <v>May</v>
      </c>
      <c r="C1163" s="6" t="str">
        <f t="shared" si="8"/>
        <v>May</v>
      </c>
      <c r="D1163" s="6">
        <f>MONTH(Patient_Data!$E1163)</f>
        <v>5</v>
      </c>
      <c r="E1163" s="7">
        <v>45439</v>
      </c>
      <c r="F1163" s="55" t="str">
        <f>TEXT(Patient_Data[[#This Row],[Admission_Date]],"YYYY")</f>
        <v>2024</v>
      </c>
      <c r="G1163" s="8" t="s">
        <v>2360</v>
      </c>
      <c r="H1163" s="8" t="s">
        <v>28</v>
      </c>
      <c r="I1163" s="4" t="s">
        <v>35</v>
      </c>
      <c r="J1163" s="4">
        <v>58</v>
      </c>
      <c r="K1163" s="4" t="s">
        <v>30</v>
      </c>
      <c r="L1163" s="8">
        <v>2</v>
      </c>
      <c r="M1163" s="9" t="s">
        <v>31</v>
      </c>
      <c r="N1163" s="9" t="str">
        <f t="shared" si="9"/>
        <v>Neuro</v>
      </c>
      <c r="O1163" s="10">
        <v>10150.01</v>
      </c>
      <c r="P1163" s="10">
        <v>6285.91</v>
      </c>
      <c r="Q1163" s="11">
        <v>11.8</v>
      </c>
      <c r="R1163" s="13" t="str">
        <f>IF(Patient_Data!$L1163&lt;2,"Low Risk",IF(Patient_Data!$L1163&lt;4,"Moderate Risk","High Risk"))</f>
        <v>Moderate Risk</v>
      </c>
      <c r="S1163" s="12" t="str">
        <f>IF(Patient_Data[[#This Row],[Age]]&lt;=18,"Pediatric",IF(Patient_Data[[#This Row],[Age]]&lt;=64,"Adult","Geriatric"))</f>
        <v>Adult</v>
      </c>
    </row>
    <row r="1164" spans="1:19" ht="15.75" customHeight="1" x14ac:dyDescent="0.3">
      <c r="A1164" s="4" t="s">
        <v>2361</v>
      </c>
      <c r="B1164" s="5" t="str">
        <f>TEXT(Patient_Data!$E1164,"mmmm")</f>
        <v>August</v>
      </c>
      <c r="C1164" s="6" t="str">
        <f t="shared" si="8"/>
        <v>Aug</v>
      </c>
      <c r="D1164" s="6">
        <f>MONTH(Patient_Data!$E1164)</f>
        <v>8</v>
      </c>
      <c r="E1164" s="7">
        <v>45879</v>
      </c>
      <c r="F1164" s="55" t="str">
        <f>TEXT(Patient_Data[[#This Row],[Admission_Date]],"YYYY")</f>
        <v>2025</v>
      </c>
      <c r="G1164" s="8" t="s">
        <v>2362</v>
      </c>
      <c r="H1164" s="8" t="s">
        <v>82</v>
      </c>
      <c r="I1164" s="4" t="s">
        <v>35</v>
      </c>
      <c r="J1164" s="4">
        <v>76</v>
      </c>
      <c r="K1164" s="4" t="s">
        <v>54</v>
      </c>
      <c r="L1164" s="8">
        <v>3</v>
      </c>
      <c r="M1164" s="9" t="s">
        <v>39</v>
      </c>
      <c r="N1164" s="9" t="str">
        <f t="shared" si="9"/>
        <v>GM</v>
      </c>
      <c r="O1164" s="10">
        <v>2148.4299999999998</v>
      </c>
      <c r="P1164" s="10">
        <v>1448.6</v>
      </c>
      <c r="Q1164" s="11">
        <v>9.1999999999999993</v>
      </c>
      <c r="R1164" s="13" t="str">
        <f>IF(Patient_Data!$L1164&lt;2,"Low Risk",IF(Patient_Data!$L1164&lt;4,"Moderate Risk","High Risk"))</f>
        <v>Moderate Risk</v>
      </c>
      <c r="S1164" s="12" t="str">
        <f>IF(Patient_Data[[#This Row],[Age]]&lt;=18,"Pediatric",IF(Patient_Data[[#This Row],[Age]]&lt;=64,"Adult","Geriatric"))</f>
        <v>Geriatric</v>
      </c>
    </row>
    <row r="1165" spans="1:19" ht="15.75" customHeight="1" x14ac:dyDescent="0.3">
      <c r="A1165" s="4" t="s">
        <v>2363</v>
      </c>
      <c r="B1165" s="5" t="str">
        <f>TEXT(Patient_Data!$E1165,"mmmm")</f>
        <v>November</v>
      </c>
      <c r="C1165" s="6" t="str">
        <f t="shared" si="8"/>
        <v>Nov</v>
      </c>
      <c r="D1165" s="6">
        <f>MONTH(Patient_Data!$E1165)</f>
        <v>11</v>
      </c>
      <c r="E1165" s="7">
        <v>45971</v>
      </c>
      <c r="F1165" s="55" t="str">
        <f>TEXT(Patient_Data[[#This Row],[Admission_Date]],"YYYY")</f>
        <v>2025</v>
      </c>
      <c r="G1165" s="8" t="s">
        <v>2364</v>
      </c>
      <c r="H1165" s="8" t="s">
        <v>28</v>
      </c>
      <c r="I1165" s="4" t="s">
        <v>29</v>
      </c>
      <c r="J1165" s="4">
        <v>20</v>
      </c>
      <c r="K1165" s="4" t="s">
        <v>45</v>
      </c>
      <c r="L1165" s="8">
        <v>2</v>
      </c>
      <c r="M1165" s="9" t="s">
        <v>83</v>
      </c>
      <c r="N1165" s="9" t="str">
        <f t="shared" si="9"/>
        <v>ER</v>
      </c>
      <c r="O1165" s="10">
        <v>3954.87</v>
      </c>
      <c r="P1165" s="10">
        <v>2838.56</v>
      </c>
      <c r="Q1165" s="11">
        <v>23.6</v>
      </c>
      <c r="R1165" s="13" t="str">
        <f>IF(Patient_Data!$L1165&lt;2,"Low Risk",IF(Patient_Data!$L1165&lt;4,"Moderate Risk","High Risk"))</f>
        <v>Moderate Risk</v>
      </c>
      <c r="S1165" s="12" t="str">
        <f>IF(Patient_Data[[#This Row],[Age]]&lt;=18,"Pediatric",IF(Patient_Data[[#This Row],[Age]]&lt;=64,"Adult","Geriatric"))</f>
        <v>Adult</v>
      </c>
    </row>
    <row r="1166" spans="1:19" ht="15.75" customHeight="1" x14ac:dyDescent="0.3">
      <c r="A1166" s="4" t="s">
        <v>2365</v>
      </c>
      <c r="B1166" s="5" t="str">
        <f>TEXT(Patient_Data!$E1166,"mmmm")</f>
        <v>May</v>
      </c>
      <c r="C1166" s="6" t="str">
        <f t="shared" si="8"/>
        <v>May</v>
      </c>
      <c r="D1166" s="6">
        <f>MONTH(Patient_Data!$E1166)</f>
        <v>5</v>
      </c>
      <c r="E1166" s="7">
        <v>45427</v>
      </c>
      <c r="F1166" s="55" t="str">
        <f>TEXT(Patient_Data[[#This Row],[Admission_Date]],"YYYY")</f>
        <v>2024</v>
      </c>
      <c r="G1166" s="8" t="s">
        <v>2366</v>
      </c>
      <c r="H1166" s="8" t="s">
        <v>82</v>
      </c>
      <c r="I1166" s="4" t="s">
        <v>29</v>
      </c>
      <c r="J1166" s="4">
        <v>35</v>
      </c>
      <c r="K1166" s="4" t="s">
        <v>30</v>
      </c>
      <c r="L1166" s="8">
        <v>1</v>
      </c>
      <c r="M1166" s="9" t="s">
        <v>39</v>
      </c>
      <c r="N1166" s="9" t="str">
        <f t="shared" si="9"/>
        <v>GM</v>
      </c>
      <c r="O1166" s="10">
        <v>1708.36</v>
      </c>
      <c r="P1166" s="10">
        <v>1253.45</v>
      </c>
      <c r="Q1166" s="11">
        <v>7.2</v>
      </c>
      <c r="R1166" s="13" t="str">
        <f>IF(Patient_Data!$L1166&lt;2,"Low Risk",IF(Patient_Data!$L1166&lt;4,"Moderate Risk","High Risk"))</f>
        <v>Low Risk</v>
      </c>
      <c r="S1166" s="12" t="str">
        <f>IF(Patient_Data[[#This Row],[Age]]&lt;=18,"Pediatric",IF(Patient_Data[[#This Row],[Age]]&lt;=64,"Adult","Geriatric"))</f>
        <v>Adult</v>
      </c>
    </row>
    <row r="1167" spans="1:19" ht="15.75" customHeight="1" x14ac:dyDescent="0.3">
      <c r="A1167" s="4" t="s">
        <v>2367</v>
      </c>
      <c r="B1167" s="5" t="str">
        <f>TEXT(Patient_Data!$E1167,"mmmm")</f>
        <v>November</v>
      </c>
      <c r="C1167" s="6" t="str">
        <f t="shared" si="8"/>
        <v>Nov</v>
      </c>
      <c r="D1167" s="6">
        <f>MONTH(Patient_Data!$E1167)</f>
        <v>11</v>
      </c>
      <c r="E1167" s="7">
        <v>45623</v>
      </c>
      <c r="F1167" s="55" t="str">
        <f>TEXT(Patient_Data[[#This Row],[Admission_Date]],"YYYY")</f>
        <v>2024</v>
      </c>
      <c r="G1167" s="8" t="s">
        <v>2368</v>
      </c>
      <c r="H1167" s="8" t="s">
        <v>53</v>
      </c>
      <c r="I1167" s="4" t="s">
        <v>35</v>
      </c>
      <c r="J1167" s="4">
        <v>32</v>
      </c>
      <c r="K1167" s="4" t="s">
        <v>45</v>
      </c>
      <c r="L1167" s="8">
        <v>5</v>
      </c>
      <c r="M1167" s="9" t="s">
        <v>72</v>
      </c>
      <c r="N1167" s="9" t="str">
        <f t="shared" si="9"/>
        <v>Surgery</v>
      </c>
      <c r="O1167" s="10">
        <v>12688</v>
      </c>
      <c r="P1167" s="10">
        <v>9335.0400000000009</v>
      </c>
      <c r="Q1167" s="11">
        <v>9.1</v>
      </c>
      <c r="R1167" s="13" t="str">
        <f>IF(Patient_Data!$L1167&lt;2,"Low Risk",IF(Patient_Data!$L1167&lt;4,"Moderate Risk","High Risk"))</f>
        <v>High Risk</v>
      </c>
      <c r="S1167" s="12" t="str">
        <f>IF(Patient_Data[[#This Row],[Age]]&lt;=18,"Pediatric",IF(Patient_Data[[#This Row],[Age]]&lt;=64,"Adult","Geriatric"))</f>
        <v>Adult</v>
      </c>
    </row>
    <row r="1168" spans="1:19" ht="15.75" customHeight="1" x14ac:dyDescent="0.3">
      <c r="A1168" s="4" t="s">
        <v>2369</v>
      </c>
      <c r="B1168" s="5" t="str">
        <f>TEXT(Patient_Data!$E1168,"mmmm")</f>
        <v>September</v>
      </c>
      <c r="C1168" s="6" t="str">
        <f t="shared" si="8"/>
        <v>Sep</v>
      </c>
      <c r="D1168" s="6">
        <f>MONTH(Patient_Data!$E1168)</f>
        <v>9</v>
      </c>
      <c r="E1168" s="7">
        <v>45174</v>
      </c>
      <c r="F1168" s="55" t="str">
        <f>TEXT(Patient_Data[[#This Row],[Admission_Date]],"YYYY")</f>
        <v>2023</v>
      </c>
      <c r="G1168" s="8" t="s">
        <v>2370</v>
      </c>
      <c r="H1168" s="8" t="s">
        <v>28</v>
      </c>
      <c r="I1168" s="4" t="s">
        <v>29</v>
      </c>
      <c r="J1168" s="4">
        <v>51</v>
      </c>
      <c r="K1168" s="4" t="s">
        <v>30</v>
      </c>
      <c r="L1168" s="8">
        <v>1</v>
      </c>
      <c r="M1168" s="9" t="s">
        <v>83</v>
      </c>
      <c r="N1168" s="9" t="str">
        <f t="shared" si="9"/>
        <v>ER</v>
      </c>
      <c r="O1168" s="10">
        <v>4792.33</v>
      </c>
      <c r="P1168" s="10">
        <v>3828.57</v>
      </c>
      <c r="Q1168" s="11">
        <v>23.3</v>
      </c>
      <c r="R1168" s="13" t="str">
        <f>IF(Patient_Data!$L1168&lt;2,"Low Risk",IF(Patient_Data!$L1168&lt;4,"Moderate Risk","High Risk"))</f>
        <v>Low Risk</v>
      </c>
      <c r="S1168" s="12" t="str">
        <f>IF(Patient_Data[[#This Row],[Age]]&lt;=18,"Pediatric",IF(Patient_Data[[#This Row],[Age]]&lt;=64,"Adult","Geriatric"))</f>
        <v>Adult</v>
      </c>
    </row>
    <row r="1169" spans="1:19" ht="15.75" customHeight="1" x14ac:dyDescent="0.3">
      <c r="A1169" s="4" t="s">
        <v>2371</v>
      </c>
      <c r="B1169" s="5" t="str">
        <f>TEXT(Patient_Data!$E1169,"mmmm")</f>
        <v>April</v>
      </c>
      <c r="C1169" s="6" t="str">
        <f t="shared" si="8"/>
        <v>Apr</v>
      </c>
      <c r="D1169" s="6">
        <f>MONTH(Patient_Data!$E1169)</f>
        <v>4</v>
      </c>
      <c r="E1169" s="7">
        <v>46115</v>
      </c>
      <c r="F1169" s="55" t="str">
        <f>TEXT(Patient_Data[[#This Row],[Admission_Date]],"YYYY")</f>
        <v>2026</v>
      </c>
      <c r="G1169" s="8" t="s">
        <v>2372</v>
      </c>
      <c r="H1169" s="8" t="s">
        <v>82</v>
      </c>
      <c r="I1169" s="4" t="s">
        <v>35</v>
      </c>
      <c r="J1169" s="4">
        <v>41</v>
      </c>
      <c r="K1169" s="4" t="s">
        <v>30</v>
      </c>
      <c r="L1169" s="8">
        <v>2</v>
      </c>
      <c r="M1169" s="9" t="s">
        <v>36</v>
      </c>
      <c r="N1169" s="9" t="str">
        <f t="shared" si="9"/>
        <v>Cardio</v>
      </c>
      <c r="O1169" s="10">
        <v>10522.35</v>
      </c>
      <c r="P1169" s="10">
        <v>6180.56</v>
      </c>
      <c r="Q1169" s="11">
        <v>9.6999999999999993</v>
      </c>
      <c r="R1169" s="13" t="str">
        <f>IF(Patient_Data!$L1169&lt;2,"Low Risk",IF(Patient_Data!$L1169&lt;4,"Moderate Risk","High Risk"))</f>
        <v>Moderate Risk</v>
      </c>
      <c r="S1169" s="12" t="str">
        <f>IF(Patient_Data[[#This Row],[Age]]&lt;=18,"Pediatric",IF(Patient_Data[[#This Row],[Age]]&lt;=64,"Adult","Geriatric"))</f>
        <v>Adult</v>
      </c>
    </row>
    <row r="1170" spans="1:19" ht="15.75" customHeight="1" x14ac:dyDescent="0.3">
      <c r="A1170" s="4" t="s">
        <v>2373</v>
      </c>
      <c r="B1170" s="5" t="str">
        <f>TEXT(Patient_Data!$E1170,"mmmm")</f>
        <v>January</v>
      </c>
      <c r="C1170" s="6" t="str">
        <f t="shared" si="8"/>
        <v>Jan</v>
      </c>
      <c r="D1170" s="6">
        <f>MONTH(Patient_Data!$E1170)</f>
        <v>1</v>
      </c>
      <c r="E1170" s="7">
        <v>46035</v>
      </c>
      <c r="F1170" s="55" t="str">
        <f>TEXT(Patient_Data[[#This Row],[Admission_Date]],"YYYY")</f>
        <v>2026</v>
      </c>
      <c r="G1170" s="8" t="s">
        <v>2374</v>
      </c>
      <c r="H1170" s="8" t="s">
        <v>82</v>
      </c>
      <c r="I1170" s="4" t="s">
        <v>35</v>
      </c>
      <c r="J1170" s="4">
        <v>76</v>
      </c>
      <c r="K1170" s="4" t="s">
        <v>30</v>
      </c>
      <c r="L1170" s="8">
        <v>2</v>
      </c>
      <c r="M1170" s="9" t="s">
        <v>36</v>
      </c>
      <c r="N1170" s="9" t="str">
        <f t="shared" si="9"/>
        <v>Cardio</v>
      </c>
      <c r="O1170" s="10">
        <v>5938.77</v>
      </c>
      <c r="P1170" s="10">
        <v>3665.85</v>
      </c>
      <c r="Q1170" s="11">
        <v>5.4</v>
      </c>
      <c r="R1170" s="13" t="str">
        <f>IF(Patient_Data!$L1170&lt;2,"Low Risk",IF(Patient_Data!$L1170&lt;4,"Moderate Risk","High Risk"))</f>
        <v>Moderate Risk</v>
      </c>
      <c r="S1170" s="12" t="str">
        <f>IF(Patient_Data[[#This Row],[Age]]&lt;=18,"Pediatric",IF(Patient_Data[[#This Row],[Age]]&lt;=64,"Adult","Geriatric"))</f>
        <v>Geriatric</v>
      </c>
    </row>
    <row r="1171" spans="1:19" ht="15.75" customHeight="1" x14ac:dyDescent="0.3">
      <c r="A1171" s="4" t="s">
        <v>2375</v>
      </c>
      <c r="B1171" s="5" t="str">
        <f>TEXT(Patient_Data!$E1171,"mmmm")</f>
        <v>October</v>
      </c>
      <c r="C1171" s="6" t="str">
        <f t="shared" si="8"/>
        <v>Oct</v>
      </c>
      <c r="D1171" s="6">
        <f>MONTH(Patient_Data!$E1171)</f>
        <v>10</v>
      </c>
      <c r="E1171" s="7">
        <v>45943</v>
      </c>
      <c r="F1171" s="55" t="str">
        <f>TEXT(Patient_Data[[#This Row],[Admission_Date]],"YYYY")</f>
        <v>2025</v>
      </c>
      <c r="G1171" s="8" t="s">
        <v>2376</v>
      </c>
      <c r="H1171" s="8" t="s">
        <v>132</v>
      </c>
      <c r="I1171" s="4" t="s">
        <v>29</v>
      </c>
      <c r="J1171" s="4">
        <v>28</v>
      </c>
      <c r="K1171" s="4" t="s">
        <v>45</v>
      </c>
      <c r="L1171" s="8">
        <v>4</v>
      </c>
      <c r="M1171" s="9" t="s">
        <v>72</v>
      </c>
      <c r="N1171" s="9" t="str">
        <f t="shared" si="9"/>
        <v>Surgery</v>
      </c>
      <c r="O1171" s="10">
        <v>16526.77</v>
      </c>
      <c r="P1171" s="10">
        <v>10641.93</v>
      </c>
      <c r="Q1171" s="11">
        <v>8.1</v>
      </c>
      <c r="R1171" s="13" t="str">
        <f>IF(Patient_Data!$L1171&lt;2,"Low Risk",IF(Patient_Data!$L1171&lt;4,"Moderate Risk","High Risk"))</f>
        <v>High Risk</v>
      </c>
      <c r="S1171" s="12" t="str">
        <f>IF(Patient_Data[[#This Row],[Age]]&lt;=18,"Pediatric",IF(Patient_Data[[#This Row],[Age]]&lt;=64,"Adult","Geriatric"))</f>
        <v>Adult</v>
      </c>
    </row>
    <row r="1172" spans="1:19" ht="15.75" customHeight="1" x14ac:dyDescent="0.3">
      <c r="A1172" s="4" t="s">
        <v>2377</v>
      </c>
      <c r="B1172" s="5" t="str">
        <f>TEXT(Patient_Data!$E1172,"mmmm")</f>
        <v>December</v>
      </c>
      <c r="C1172" s="6" t="str">
        <f t="shared" si="8"/>
        <v>Dec</v>
      </c>
      <c r="D1172" s="6">
        <f>MONTH(Patient_Data!$E1172)</f>
        <v>12</v>
      </c>
      <c r="E1172" s="7">
        <v>45637</v>
      </c>
      <c r="F1172" s="55" t="str">
        <f>TEXT(Patient_Data[[#This Row],[Admission_Date]],"YYYY")</f>
        <v>2024</v>
      </c>
      <c r="G1172" s="8" t="s">
        <v>2378</v>
      </c>
      <c r="H1172" s="8" t="s">
        <v>28</v>
      </c>
      <c r="I1172" s="4" t="s">
        <v>29</v>
      </c>
      <c r="J1172" s="4">
        <v>54</v>
      </c>
      <c r="K1172" s="4" t="s">
        <v>30</v>
      </c>
      <c r="L1172" s="8">
        <v>1</v>
      </c>
      <c r="M1172" s="9" t="s">
        <v>46</v>
      </c>
      <c r="N1172" s="9" t="str">
        <f t="shared" si="9"/>
        <v>Ortho</v>
      </c>
      <c r="O1172" s="10">
        <v>4213.6099999999997</v>
      </c>
      <c r="P1172" s="10">
        <v>2878.32</v>
      </c>
      <c r="Q1172" s="11">
        <v>6.9</v>
      </c>
      <c r="R1172" s="13" t="str">
        <f>IF(Patient_Data!$L1172&lt;2,"Low Risk",IF(Patient_Data!$L1172&lt;4,"Moderate Risk","High Risk"))</f>
        <v>Low Risk</v>
      </c>
      <c r="S1172" s="12" t="str">
        <f>IF(Patient_Data[[#This Row],[Age]]&lt;=18,"Pediatric",IF(Patient_Data[[#This Row],[Age]]&lt;=64,"Adult","Geriatric"))</f>
        <v>Adult</v>
      </c>
    </row>
    <row r="1173" spans="1:19" ht="15.75" customHeight="1" x14ac:dyDescent="0.3">
      <c r="A1173" s="4" t="s">
        <v>2379</v>
      </c>
      <c r="B1173" s="5" t="str">
        <f>TEXT(Patient_Data!$E1173,"mmmm")</f>
        <v>January</v>
      </c>
      <c r="C1173" s="6" t="str">
        <f t="shared" si="8"/>
        <v>Jan</v>
      </c>
      <c r="D1173" s="6">
        <f>MONTH(Patient_Data!$E1173)</f>
        <v>1</v>
      </c>
      <c r="E1173" s="7">
        <v>45673</v>
      </c>
      <c r="F1173" s="55" t="str">
        <f>TEXT(Patient_Data[[#This Row],[Admission_Date]],"YYYY")</f>
        <v>2025</v>
      </c>
      <c r="G1173" s="8" t="s">
        <v>2380</v>
      </c>
      <c r="H1173" s="8" t="s">
        <v>49</v>
      </c>
      <c r="I1173" s="4" t="s">
        <v>35</v>
      </c>
      <c r="J1173" s="4">
        <v>3</v>
      </c>
      <c r="K1173" s="4" t="s">
        <v>30</v>
      </c>
      <c r="L1173" s="8">
        <v>2</v>
      </c>
      <c r="M1173" s="9" t="s">
        <v>79</v>
      </c>
      <c r="N1173" s="9" t="str">
        <f t="shared" si="9"/>
        <v>PD</v>
      </c>
      <c r="O1173" s="10">
        <v>1451.78</v>
      </c>
      <c r="P1173" s="10">
        <v>1051.45</v>
      </c>
      <c r="Q1173" s="11">
        <v>4.4000000000000004</v>
      </c>
      <c r="R1173" s="13" t="str">
        <f>IF(Patient_Data!$L1173&lt;2,"Low Risk",IF(Patient_Data!$L1173&lt;4,"Moderate Risk","High Risk"))</f>
        <v>Moderate Risk</v>
      </c>
      <c r="S1173" s="12" t="str">
        <f>IF(Patient_Data[[#This Row],[Age]]&lt;=18,"Pediatric",IF(Patient_Data[[#This Row],[Age]]&lt;=64,"Adult","Geriatric"))</f>
        <v>Pediatric</v>
      </c>
    </row>
    <row r="1174" spans="1:19" ht="15.75" customHeight="1" x14ac:dyDescent="0.3">
      <c r="A1174" s="4" t="s">
        <v>2381</v>
      </c>
      <c r="B1174" s="5" t="str">
        <f>TEXT(Patient_Data!$E1174,"mmmm")</f>
        <v>April</v>
      </c>
      <c r="C1174" s="6" t="str">
        <f t="shared" si="8"/>
        <v>Apr</v>
      </c>
      <c r="D1174" s="6">
        <f>MONTH(Patient_Data!$E1174)</f>
        <v>4</v>
      </c>
      <c r="E1174" s="7">
        <v>45398</v>
      </c>
      <c r="F1174" s="55" t="str">
        <f>TEXT(Patient_Data[[#This Row],[Admission_Date]],"YYYY")</f>
        <v>2024</v>
      </c>
      <c r="G1174" s="8" t="s">
        <v>2382</v>
      </c>
      <c r="H1174" s="8" t="s">
        <v>82</v>
      </c>
      <c r="I1174" s="4" t="s">
        <v>35</v>
      </c>
      <c r="J1174" s="4">
        <v>61</v>
      </c>
      <c r="K1174" s="4" t="s">
        <v>54</v>
      </c>
      <c r="L1174" s="8">
        <v>4</v>
      </c>
      <c r="M1174" s="9" t="s">
        <v>50</v>
      </c>
      <c r="N1174" s="9" t="str">
        <f t="shared" si="9"/>
        <v>ICU</v>
      </c>
      <c r="O1174" s="10">
        <v>12834.59</v>
      </c>
      <c r="P1174" s="10">
        <v>9505.25</v>
      </c>
      <c r="Q1174" s="11">
        <v>17</v>
      </c>
      <c r="R1174" s="13" t="str">
        <f>IF(Patient_Data!$L1174&lt;2,"Low Risk",IF(Patient_Data!$L1174&lt;4,"Moderate Risk","High Risk"))</f>
        <v>High Risk</v>
      </c>
      <c r="S1174" s="12" t="str">
        <f>IF(Patient_Data[[#This Row],[Age]]&lt;=18,"Pediatric",IF(Patient_Data[[#This Row],[Age]]&lt;=64,"Adult","Geriatric"))</f>
        <v>Adult</v>
      </c>
    </row>
    <row r="1175" spans="1:19" ht="15.75" customHeight="1" x14ac:dyDescent="0.3">
      <c r="A1175" s="4" t="s">
        <v>2383</v>
      </c>
      <c r="B1175" s="5" t="str">
        <f>TEXT(Patient_Data!$E1175,"mmmm")</f>
        <v>November</v>
      </c>
      <c r="C1175" s="6" t="str">
        <f t="shared" si="8"/>
        <v>Nov</v>
      </c>
      <c r="D1175" s="6">
        <f>MONTH(Patient_Data!$E1175)</f>
        <v>11</v>
      </c>
      <c r="E1175" s="7">
        <v>45232</v>
      </c>
      <c r="F1175" s="55" t="str">
        <f>TEXT(Patient_Data[[#This Row],[Admission_Date]],"YYYY")</f>
        <v>2023</v>
      </c>
      <c r="G1175" s="8" t="s">
        <v>2384</v>
      </c>
      <c r="H1175" s="8" t="s">
        <v>34</v>
      </c>
      <c r="I1175" s="4" t="s">
        <v>29</v>
      </c>
      <c r="J1175" s="4">
        <v>43</v>
      </c>
      <c r="K1175" s="4" t="s">
        <v>54</v>
      </c>
      <c r="L1175" s="8">
        <v>2</v>
      </c>
      <c r="M1175" s="9" t="s">
        <v>36</v>
      </c>
      <c r="N1175" s="9" t="str">
        <f t="shared" si="9"/>
        <v>Cardio</v>
      </c>
      <c r="O1175" s="10">
        <v>10742.18</v>
      </c>
      <c r="P1175" s="10">
        <v>8182.46</v>
      </c>
      <c r="Q1175" s="11">
        <v>2.2999999999999998</v>
      </c>
      <c r="R1175" s="13" t="str">
        <f>IF(Patient_Data!$L1175&lt;2,"Low Risk",IF(Patient_Data!$L1175&lt;4,"Moderate Risk","High Risk"))</f>
        <v>Moderate Risk</v>
      </c>
      <c r="S1175" s="12" t="str">
        <f>IF(Patient_Data[[#This Row],[Age]]&lt;=18,"Pediatric",IF(Patient_Data[[#This Row],[Age]]&lt;=64,"Adult","Geriatric"))</f>
        <v>Adult</v>
      </c>
    </row>
    <row r="1176" spans="1:19" ht="15.75" customHeight="1" x14ac:dyDescent="0.3">
      <c r="A1176" s="4" t="s">
        <v>2385</v>
      </c>
      <c r="B1176" s="5" t="str">
        <f>TEXT(Patient_Data!$E1176,"mmmm")</f>
        <v>January</v>
      </c>
      <c r="C1176" s="6" t="str">
        <f t="shared" si="8"/>
        <v>Jan</v>
      </c>
      <c r="D1176" s="6">
        <f>MONTH(Patient_Data!$E1176)</f>
        <v>1</v>
      </c>
      <c r="E1176" s="7">
        <v>45304</v>
      </c>
      <c r="F1176" s="55" t="str">
        <f>TEXT(Patient_Data[[#This Row],[Admission_Date]],"YYYY")</f>
        <v>2024</v>
      </c>
      <c r="G1176" s="8" t="s">
        <v>2386</v>
      </c>
      <c r="H1176" s="8" t="s">
        <v>132</v>
      </c>
      <c r="I1176" s="4" t="s">
        <v>29</v>
      </c>
      <c r="J1176" s="4">
        <v>7</v>
      </c>
      <c r="K1176" s="4" t="s">
        <v>30</v>
      </c>
      <c r="L1176" s="8">
        <v>2</v>
      </c>
      <c r="M1176" s="9" t="s">
        <v>79</v>
      </c>
      <c r="N1176" s="9" t="str">
        <f t="shared" si="9"/>
        <v>PD</v>
      </c>
      <c r="O1176" s="10">
        <v>2756.04</v>
      </c>
      <c r="P1176" s="10">
        <v>1609.7</v>
      </c>
      <c r="Q1176" s="11">
        <v>1.4</v>
      </c>
      <c r="R1176" s="13" t="str">
        <f>IF(Patient_Data!$L1176&lt;2,"Low Risk",IF(Patient_Data!$L1176&lt;4,"Moderate Risk","High Risk"))</f>
        <v>Moderate Risk</v>
      </c>
      <c r="S1176" s="12" t="str">
        <f>IF(Patient_Data[[#This Row],[Age]]&lt;=18,"Pediatric",IF(Patient_Data[[#This Row],[Age]]&lt;=64,"Adult","Geriatric"))</f>
        <v>Pediatric</v>
      </c>
    </row>
    <row r="1177" spans="1:19" ht="15.75" customHeight="1" x14ac:dyDescent="0.3">
      <c r="A1177" s="4" t="s">
        <v>2387</v>
      </c>
      <c r="B1177" s="5" t="str">
        <f>TEXT(Patient_Data!$E1177,"mmmm")</f>
        <v>December</v>
      </c>
      <c r="C1177" s="6" t="str">
        <f t="shared" si="8"/>
        <v>Dec</v>
      </c>
      <c r="D1177" s="6">
        <f>MONTH(Patient_Data!$E1177)</f>
        <v>12</v>
      </c>
      <c r="E1177" s="7">
        <v>45266</v>
      </c>
      <c r="F1177" s="55" t="str">
        <f>TEXT(Patient_Data[[#This Row],[Admission_Date]],"YYYY")</f>
        <v>2023</v>
      </c>
      <c r="G1177" s="8" t="s">
        <v>2388</v>
      </c>
      <c r="H1177" s="8" t="s">
        <v>42</v>
      </c>
      <c r="I1177" s="4" t="s">
        <v>29</v>
      </c>
      <c r="J1177" s="4">
        <v>56</v>
      </c>
      <c r="K1177" s="4" t="s">
        <v>54</v>
      </c>
      <c r="L1177" s="8">
        <v>5</v>
      </c>
      <c r="M1177" s="9" t="s">
        <v>72</v>
      </c>
      <c r="N1177" s="9" t="str">
        <f t="shared" si="9"/>
        <v>Surgery</v>
      </c>
      <c r="O1177" s="10">
        <v>18911.669999999998</v>
      </c>
      <c r="P1177" s="10">
        <v>11564.92</v>
      </c>
      <c r="Q1177" s="11">
        <v>3.6</v>
      </c>
      <c r="R1177" s="13" t="str">
        <f>IF(Patient_Data!$L1177&lt;2,"Low Risk",IF(Patient_Data!$L1177&lt;4,"Moderate Risk","High Risk"))</f>
        <v>High Risk</v>
      </c>
      <c r="S1177" s="12" t="str">
        <f>IF(Patient_Data[[#This Row],[Age]]&lt;=18,"Pediatric",IF(Patient_Data[[#This Row],[Age]]&lt;=64,"Adult","Geriatric"))</f>
        <v>Adult</v>
      </c>
    </row>
    <row r="1178" spans="1:19" ht="15.75" customHeight="1" x14ac:dyDescent="0.3">
      <c r="A1178" s="4" t="s">
        <v>2389</v>
      </c>
      <c r="B1178" s="5" t="str">
        <f>TEXT(Patient_Data!$E1178,"mmmm")</f>
        <v>November</v>
      </c>
      <c r="C1178" s="6" t="str">
        <f t="shared" si="8"/>
        <v>Nov</v>
      </c>
      <c r="D1178" s="6">
        <f>MONTH(Patient_Data!$E1178)</f>
        <v>11</v>
      </c>
      <c r="E1178" s="7">
        <v>45611</v>
      </c>
      <c r="F1178" s="55" t="str">
        <f>TEXT(Patient_Data[[#This Row],[Admission_Date]],"YYYY")</f>
        <v>2024</v>
      </c>
      <c r="G1178" s="8" t="s">
        <v>2390</v>
      </c>
      <c r="H1178" s="8" t="s">
        <v>28</v>
      </c>
      <c r="I1178" s="4" t="s">
        <v>29</v>
      </c>
      <c r="J1178" s="4">
        <v>28</v>
      </c>
      <c r="K1178" s="4" t="s">
        <v>30</v>
      </c>
      <c r="L1178" s="8">
        <v>2</v>
      </c>
      <c r="M1178" s="9" t="s">
        <v>36</v>
      </c>
      <c r="N1178" s="9" t="str">
        <f t="shared" si="9"/>
        <v>Cardio</v>
      </c>
      <c r="O1178" s="10">
        <v>11808.76</v>
      </c>
      <c r="P1178" s="10">
        <v>7636.81</v>
      </c>
      <c r="Q1178" s="11">
        <v>9.9</v>
      </c>
      <c r="R1178" s="13" t="str">
        <f>IF(Patient_Data!$L1178&lt;2,"Low Risk",IF(Patient_Data!$L1178&lt;4,"Moderate Risk","High Risk"))</f>
        <v>Moderate Risk</v>
      </c>
      <c r="S1178" s="12" t="str">
        <f>IF(Patient_Data[[#This Row],[Age]]&lt;=18,"Pediatric",IF(Patient_Data[[#This Row],[Age]]&lt;=64,"Adult","Geriatric"))</f>
        <v>Adult</v>
      </c>
    </row>
    <row r="1179" spans="1:19" ht="15.75" customHeight="1" x14ac:dyDescent="0.3">
      <c r="A1179" s="4" t="s">
        <v>2391</v>
      </c>
      <c r="B1179" s="5" t="str">
        <f>TEXT(Patient_Data!$E1179,"mmmm")</f>
        <v>December</v>
      </c>
      <c r="C1179" s="6" t="str">
        <f t="shared" si="8"/>
        <v>Dec</v>
      </c>
      <c r="D1179" s="6">
        <f>MONTH(Patient_Data!$E1179)</f>
        <v>12</v>
      </c>
      <c r="E1179" s="7">
        <v>45282</v>
      </c>
      <c r="F1179" s="55" t="str">
        <f>TEXT(Patient_Data[[#This Row],[Admission_Date]],"YYYY")</f>
        <v>2023</v>
      </c>
      <c r="G1179" s="8" t="s">
        <v>2392</v>
      </c>
      <c r="H1179" s="8" t="s">
        <v>132</v>
      </c>
      <c r="I1179" s="4" t="s">
        <v>35</v>
      </c>
      <c r="J1179" s="4">
        <v>70</v>
      </c>
      <c r="K1179" s="4" t="s">
        <v>30</v>
      </c>
      <c r="L1179" s="8">
        <v>2</v>
      </c>
      <c r="M1179" s="9" t="s">
        <v>83</v>
      </c>
      <c r="N1179" s="9" t="str">
        <f t="shared" si="9"/>
        <v>ER</v>
      </c>
      <c r="O1179" s="10">
        <v>3658.23</v>
      </c>
      <c r="P1179" s="10">
        <v>2586.21</v>
      </c>
      <c r="Q1179" s="11">
        <v>16.899999999999999</v>
      </c>
      <c r="R1179" s="13" t="str">
        <f>IF(Patient_Data!$L1179&lt;2,"Low Risk",IF(Patient_Data!$L1179&lt;4,"Moderate Risk","High Risk"))</f>
        <v>Moderate Risk</v>
      </c>
      <c r="S1179" s="12" t="str">
        <f>IF(Patient_Data[[#This Row],[Age]]&lt;=18,"Pediatric",IF(Patient_Data[[#This Row],[Age]]&lt;=64,"Adult","Geriatric"))</f>
        <v>Geriatric</v>
      </c>
    </row>
    <row r="1180" spans="1:19" ht="15.75" customHeight="1" x14ac:dyDescent="0.3">
      <c r="A1180" s="4" t="s">
        <v>2393</v>
      </c>
      <c r="B1180" s="5" t="str">
        <f>TEXT(Patient_Data!$E1180,"mmmm")</f>
        <v>June</v>
      </c>
      <c r="C1180" s="6" t="str">
        <f t="shared" si="8"/>
        <v>Jun</v>
      </c>
      <c r="D1180" s="6">
        <f>MONTH(Patient_Data!$E1180)</f>
        <v>6</v>
      </c>
      <c r="E1180" s="7">
        <v>45453</v>
      </c>
      <c r="F1180" s="55" t="str">
        <f>TEXT(Patient_Data[[#This Row],[Admission_Date]],"YYYY")</f>
        <v>2024</v>
      </c>
      <c r="G1180" s="8" t="s">
        <v>2394</v>
      </c>
      <c r="H1180" s="8" t="s">
        <v>28</v>
      </c>
      <c r="I1180" s="4" t="s">
        <v>35</v>
      </c>
      <c r="J1180" s="4">
        <v>34</v>
      </c>
      <c r="K1180" s="4" t="s">
        <v>54</v>
      </c>
      <c r="L1180" s="8">
        <v>3</v>
      </c>
      <c r="M1180" s="9" t="s">
        <v>39</v>
      </c>
      <c r="N1180" s="9" t="str">
        <f t="shared" si="9"/>
        <v>GM</v>
      </c>
      <c r="O1180" s="10">
        <v>2614.66</v>
      </c>
      <c r="P1180" s="10">
        <v>1903.86</v>
      </c>
      <c r="Q1180" s="11">
        <v>9.1999999999999993</v>
      </c>
      <c r="R1180" s="13" t="str">
        <f>IF(Patient_Data!$L1180&lt;2,"Low Risk",IF(Patient_Data!$L1180&lt;4,"Moderate Risk","High Risk"))</f>
        <v>Moderate Risk</v>
      </c>
      <c r="S1180" s="12" t="str">
        <f>IF(Patient_Data[[#This Row],[Age]]&lt;=18,"Pediatric",IF(Patient_Data[[#This Row],[Age]]&lt;=64,"Adult","Geriatric"))</f>
        <v>Adult</v>
      </c>
    </row>
    <row r="1181" spans="1:19" ht="15.75" customHeight="1" x14ac:dyDescent="0.3">
      <c r="A1181" s="4" t="s">
        <v>2395</v>
      </c>
      <c r="B1181" s="5" t="str">
        <f>TEXT(Patient_Data!$E1181,"mmmm")</f>
        <v>June</v>
      </c>
      <c r="C1181" s="6" t="str">
        <f t="shared" si="8"/>
        <v>Jun</v>
      </c>
      <c r="D1181" s="6">
        <f>MONTH(Patient_Data!$E1181)</f>
        <v>6</v>
      </c>
      <c r="E1181" s="7">
        <v>46198</v>
      </c>
      <c r="F1181" s="55" t="str">
        <f>TEXT(Patient_Data[[#This Row],[Admission_Date]],"YYYY")</f>
        <v>2026</v>
      </c>
      <c r="G1181" s="8" t="s">
        <v>2396</v>
      </c>
      <c r="H1181" s="8" t="s">
        <v>28</v>
      </c>
      <c r="I1181" s="4" t="s">
        <v>29</v>
      </c>
      <c r="J1181" s="4">
        <v>29</v>
      </c>
      <c r="K1181" s="4" t="s">
        <v>30</v>
      </c>
      <c r="L1181" s="8">
        <v>2</v>
      </c>
      <c r="M1181" s="9" t="s">
        <v>83</v>
      </c>
      <c r="N1181" s="9" t="str">
        <f t="shared" si="9"/>
        <v>ER</v>
      </c>
      <c r="O1181" s="10">
        <v>9356.11</v>
      </c>
      <c r="P1181" s="10">
        <v>6913.16</v>
      </c>
      <c r="Q1181" s="11">
        <v>10.4</v>
      </c>
      <c r="R1181" s="13" t="str">
        <f>IF(Patient_Data!$L1181&lt;2,"Low Risk",IF(Patient_Data!$L1181&lt;4,"Moderate Risk","High Risk"))</f>
        <v>Moderate Risk</v>
      </c>
      <c r="S1181" s="12" t="str">
        <f>IF(Patient_Data[[#This Row],[Age]]&lt;=18,"Pediatric",IF(Patient_Data[[#This Row],[Age]]&lt;=64,"Adult","Geriatric"))</f>
        <v>Adult</v>
      </c>
    </row>
    <row r="1182" spans="1:19" ht="15.75" customHeight="1" x14ac:dyDescent="0.3">
      <c r="A1182" s="4" t="s">
        <v>2397</v>
      </c>
      <c r="B1182" s="5" t="str">
        <f>TEXT(Patient_Data!$E1182,"mmmm")</f>
        <v>June</v>
      </c>
      <c r="C1182" s="6" t="str">
        <f t="shared" si="8"/>
        <v>Jun</v>
      </c>
      <c r="D1182" s="6">
        <f>MONTH(Patient_Data!$E1182)</f>
        <v>6</v>
      </c>
      <c r="E1182" s="7">
        <v>45820</v>
      </c>
      <c r="F1182" s="55" t="str">
        <f>TEXT(Patient_Data[[#This Row],[Admission_Date]],"YYYY")</f>
        <v>2025</v>
      </c>
      <c r="G1182" s="8" t="s">
        <v>2398</v>
      </c>
      <c r="H1182" s="8" t="s">
        <v>28</v>
      </c>
      <c r="I1182" s="4" t="s">
        <v>29</v>
      </c>
      <c r="J1182" s="4">
        <v>34</v>
      </c>
      <c r="K1182" s="4" t="s">
        <v>45</v>
      </c>
      <c r="L1182" s="8">
        <v>3</v>
      </c>
      <c r="M1182" s="9" t="s">
        <v>83</v>
      </c>
      <c r="N1182" s="9" t="str">
        <f t="shared" si="9"/>
        <v>ER</v>
      </c>
      <c r="O1182" s="10">
        <v>7965.27</v>
      </c>
      <c r="P1182" s="10">
        <v>6135.21</v>
      </c>
      <c r="Q1182" s="11">
        <v>10.199999999999999</v>
      </c>
      <c r="R1182" s="13" t="str">
        <f>IF(Patient_Data!$L1182&lt;2,"Low Risk",IF(Patient_Data!$L1182&lt;4,"Moderate Risk","High Risk"))</f>
        <v>Moderate Risk</v>
      </c>
      <c r="S1182" s="12" t="str">
        <f>IF(Patient_Data[[#This Row],[Age]]&lt;=18,"Pediatric",IF(Patient_Data[[#This Row],[Age]]&lt;=64,"Adult","Geriatric"))</f>
        <v>Adult</v>
      </c>
    </row>
    <row r="1183" spans="1:19" ht="15.75" customHeight="1" x14ac:dyDescent="0.3">
      <c r="A1183" s="4" t="s">
        <v>2399</v>
      </c>
      <c r="B1183" s="5" t="str">
        <f>TEXT(Patient_Data!$E1183,"mmmm")</f>
        <v>June</v>
      </c>
      <c r="C1183" s="6" t="str">
        <f t="shared" si="8"/>
        <v>Jun</v>
      </c>
      <c r="D1183" s="6">
        <f>MONTH(Patient_Data!$E1183)</f>
        <v>6</v>
      </c>
      <c r="E1183" s="7">
        <v>45460</v>
      </c>
      <c r="F1183" s="55" t="str">
        <f>TEXT(Patient_Data[[#This Row],[Admission_Date]],"YYYY")</f>
        <v>2024</v>
      </c>
      <c r="G1183" s="8" t="s">
        <v>2400</v>
      </c>
      <c r="H1183" s="8" t="s">
        <v>49</v>
      </c>
      <c r="I1183" s="4" t="s">
        <v>35</v>
      </c>
      <c r="J1183" s="4">
        <v>41</v>
      </c>
      <c r="K1183" s="4" t="s">
        <v>54</v>
      </c>
      <c r="L1183" s="8">
        <v>3</v>
      </c>
      <c r="M1183" s="9" t="s">
        <v>36</v>
      </c>
      <c r="N1183" s="9" t="str">
        <f t="shared" si="9"/>
        <v>Cardio</v>
      </c>
      <c r="O1183" s="10">
        <v>8047.5</v>
      </c>
      <c r="P1183" s="10">
        <v>4747.55</v>
      </c>
      <c r="Q1183" s="11">
        <v>10</v>
      </c>
      <c r="R1183" s="13" t="str">
        <f>IF(Patient_Data!$L1183&lt;2,"Low Risk",IF(Patient_Data!$L1183&lt;4,"Moderate Risk","High Risk"))</f>
        <v>Moderate Risk</v>
      </c>
      <c r="S1183" s="12" t="str">
        <f>IF(Patient_Data[[#This Row],[Age]]&lt;=18,"Pediatric",IF(Patient_Data[[#This Row],[Age]]&lt;=64,"Adult","Geriatric"))</f>
        <v>Adult</v>
      </c>
    </row>
    <row r="1184" spans="1:19" ht="15.75" customHeight="1" x14ac:dyDescent="0.3">
      <c r="A1184" s="4" t="s">
        <v>2401</v>
      </c>
      <c r="B1184" s="5" t="str">
        <f>TEXT(Patient_Data!$E1184,"mmmm")</f>
        <v>March</v>
      </c>
      <c r="C1184" s="6" t="str">
        <f t="shared" si="8"/>
        <v>Mar</v>
      </c>
      <c r="D1184" s="6">
        <f>MONTH(Patient_Data!$E1184)</f>
        <v>3</v>
      </c>
      <c r="E1184" s="7">
        <v>45730</v>
      </c>
      <c r="F1184" s="55" t="str">
        <f>TEXT(Patient_Data[[#This Row],[Admission_Date]],"YYYY")</f>
        <v>2025</v>
      </c>
      <c r="G1184" s="8" t="s">
        <v>2402</v>
      </c>
      <c r="H1184" s="8" t="s">
        <v>49</v>
      </c>
      <c r="I1184" s="4" t="s">
        <v>35</v>
      </c>
      <c r="J1184" s="4">
        <v>55</v>
      </c>
      <c r="K1184" s="4" t="s">
        <v>54</v>
      </c>
      <c r="L1184" s="8">
        <v>4</v>
      </c>
      <c r="M1184" s="9" t="s">
        <v>50</v>
      </c>
      <c r="N1184" s="9" t="str">
        <f t="shared" si="9"/>
        <v>ICU</v>
      </c>
      <c r="O1184" s="10">
        <v>20798.849999999999</v>
      </c>
      <c r="P1184" s="10">
        <v>12752.9</v>
      </c>
      <c r="Q1184" s="11">
        <v>8.1999999999999993</v>
      </c>
      <c r="R1184" s="13" t="str">
        <f>IF(Patient_Data!$L1184&lt;2,"Low Risk",IF(Patient_Data!$L1184&lt;4,"Moderate Risk","High Risk"))</f>
        <v>High Risk</v>
      </c>
      <c r="S1184" s="12" t="str">
        <f>IF(Patient_Data[[#This Row],[Age]]&lt;=18,"Pediatric",IF(Patient_Data[[#This Row],[Age]]&lt;=64,"Adult","Geriatric"))</f>
        <v>Adult</v>
      </c>
    </row>
    <row r="1185" spans="1:19" ht="15.75" customHeight="1" x14ac:dyDescent="0.3">
      <c r="A1185" s="4" t="s">
        <v>2403</v>
      </c>
      <c r="B1185" s="5" t="str">
        <f>TEXT(Patient_Data!$E1185,"mmmm")</f>
        <v>August</v>
      </c>
      <c r="C1185" s="6" t="str">
        <f t="shared" si="8"/>
        <v>Aug</v>
      </c>
      <c r="D1185" s="6">
        <f>MONTH(Patient_Data!$E1185)</f>
        <v>8</v>
      </c>
      <c r="E1185" s="7">
        <v>45525</v>
      </c>
      <c r="F1185" s="55" t="str">
        <f>TEXT(Patient_Data[[#This Row],[Admission_Date]],"YYYY")</f>
        <v>2024</v>
      </c>
      <c r="G1185" s="8" t="s">
        <v>2404</v>
      </c>
      <c r="H1185" s="8" t="s">
        <v>34</v>
      </c>
      <c r="I1185" s="4" t="s">
        <v>35</v>
      </c>
      <c r="J1185" s="4">
        <v>87</v>
      </c>
      <c r="K1185" s="4" t="s">
        <v>45</v>
      </c>
      <c r="L1185" s="8">
        <v>4</v>
      </c>
      <c r="M1185" s="9" t="s">
        <v>50</v>
      </c>
      <c r="N1185" s="9" t="str">
        <f t="shared" si="9"/>
        <v>ICU</v>
      </c>
      <c r="O1185" s="10">
        <v>11814.93</v>
      </c>
      <c r="P1185" s="10">
        <v>7653.56</v>
      </c>
      <c r="Q1185" s="11">
        <v>11.5</v>
      </c>
      <c r="R1185" s="13" t="str">
        <f>IF(Patient_Data!$L1185&lt;2,"Low Risk",IF(Patient_Data!$L1185&lt;4,"Moderate Risk","High Risk"))</f>
        <v>High Risk</v>
      </c>
      <c r="S1185" s="12" t="str">
        <f>IF(Patient_Data[[#This Row],[Age]]&lt;=18,"Pediatric",IF(Patient_Data[[#This Row],[Age]]&lt;=64,"Adult","Geriatric"))</f>
        <v>Geriatric</v>
      </c>
    </row>
    <row r="1186" spans="1:19" ht="15.75" customHeight="1" x14ac:dyDescent="0.3">
      <c r="A1186" s="4" t="s">
        <v>2405</v>
      </c>
      <c r="B1186" s="5" t="str">
        <f>TEXT(Patient_Data!$E1186,"mmmm")</f>
        <v>January</v>
      </c>
      <c r="C1186" s="6" t="str">
        <f t="shared" si="8"/>
        <v>Jan</v>
      </c>
      <c r="D1186" s="6">
        <f>MONTH(Patient_Data!$E1186)</f>
        <v>1</v>
      </c>
      <c r="E1186" s="7">
        <v>46041</v>
      </c>
      <c r="F1186" s="55" t="str">
        <f>TEXT(Patient_Data[[#This Row],[Admission_Date]],"YYYY")</f>
        <v>2026</v>
      </c>
      <c r="G1186" s="8" t="s">
        <v>2406</v>
      </c>
      <c r="H1186" s="8" t="s">
        <v>49</v>
      </c>
      <c r="I1186" s="4" t="s">
        <v>35</v>
      </c>
      <c r="J1186" s="4">
        <v>23</v>
      </c>
      <c r="K1186" s="4" t="s">
        <v>45</v>
      </c>
      <c r="L1186" s="8">
        <v>1</v>
      </c>
      <c r="M1186" s="9" t="s">
        <v>39</v>
      </c>
      <c r="N1186" s="9" t="str">
        <f t="shared" si="9"/>
        <v>GM</v>
      </c>
      <c r="O1186" s="10">
        <v>2859.83</v>
      </c>
      <c r="P1186" s="10">
        <v>1981.69</v>
      </c>
      <c r="Q1186" s="11">
        <v>8.1999999999999993</v>
      </c>
      <c r="R1186" s="13" t="str">
        <f>IF(Patient_Data!$L1186&lt;2,"Low Risk",IF(Patient_Data!$L1186&lt;4,"Moderate Risk","High Risk"))</f>
        <v>Low Risk</v>
      </c>
      <c r="S1186" s="12" t="str">
        <f>IF(Patient_Data[[#This Row],[Age]]&lt;=18,"Pediatric",IF(Patient_Data[[#This Row],[Age]]&lt;=64,"Adult","Geriatric"))</f>
        <v>Adult</v>
      </c>
    </row>
    <row r="1187" spans="1:19" ht="15.75" customHeight="1" x14ac:dyDescent="0.3">
      <c r="A1187" s="4" t="s">
        <v>2407</v>
      </c>
      <c r="B1187" s="5" t="str">
        <f>TEXT(Patient_Data!$E1187,"mmmm")</f>
        <v>June</v>
      </c>
      <c r="C1187" s="6" t="str">
        <f t="shared" si="8"/>
        <v>Jun</v>
      </c>
      <c r="D1187" s="6">
        <f>MONTH(Patient_Data!$E1187)</f>
        <v>6</v>
      </c>
      <c r="E1187" s="7">
        <v>46182</v>
      </c>
      <c r="F1187" s="55" t="str">
        <f>TEXT(Patient_Data[[#This Row],[Admission_Date]],"YYYY")</f>
        <v>2026</v>
      </c>
      <c r="G1187" s="8" t="s">
        <v>2408</v>
      </c>
      <c r="H1187" s="8" t="s">
        <v>49</v>
      </c>
      <c r="I1187" s="4" t="s">
        <v>35</v>
      </c>
      <c r="J1187" s="4">
        <v>65</v>
      </c>
      <c r="K1187" s="4" t="s">
        <v>54</v>
      </c>
      <c r="L1187" s="8">
        <v>4</v>
      </c>
      <c r="M1187" s="9" t="s">
        <v>83</v>
      </c>
      <c r="N1187" s="9" t="str">
        <f t="shared" si="9"/>
        <v>ER</v>
      </c>
      <c r="O1187" s="10">
        <v>11469.44</v>
      </c>
      <c r="P1187" s="10">
        <v>8205.41</v>
      </c>
      <c r="Q1187" s="11">
        <v>22.1</v>
      </c>
      <c r="R1187" s="13" t="str">
        <f>IF(Patient_Data!$L1187&lt;2,"Low Risk",IF(Patient_Data!$L1187&lt;4,"Moderate Risk","High Risk"))</f>
        <v>High Risk</v>
      </c>
      <c r="S1187" s="12" t="str">
        <f>IF(Patient_Data[[#This Row],[Age]]&lt;=18,"Pediatric",IF(Patient_Data[[#This Row],[Age]]&lt;=64,"Adult","Geriatric"))</f>
        <v>Geriatric</v>
      </c>
    </row>
    <row r="1188" spans="1:19" ht="15.75" customHeight="1" x14ac:dyDescent="0.3">
      <c r="A1188" s="4" t="s">
        <v>2409</v>
      </c>
      <c r="B1188" s="5" t="str">
        <f>TEXT(Patient_Data!$E1188,"mmmm")</f>
        <v>October</v>
      </c>
      <c r="C1188" s="6" t="str">
        <f t="shared" si="8"/>
        <v>Oct</v>
      </c>
      <c r="D1188" s="6">
        <f>MONTH(Patient_Data!$E1188)</f>
        <v>10</v>
      </c>
      <c r="E1188" s="7">
        <v>45947</v>
      </c>
      <c r="F1188" s="55" t="str">
        <f>TEXT(Patient_Data[[#This Row],[Admission_Date]],"YYYY")</f>
        <v>2025</v>
      </c>
      <c r="G1188" s="8" t="s">
        <v>2410</v>
      </c>
      <c r="H1188" s="8" t="s">
        <v>49</v>
      </c>
      <c r="I1188" s="4" t="s">
        <v>29</v>
      </c>
      <c r="J1188" s="4">
        <v>46</v>
      </c>
      <c r="K1188" s="4" t="s">
        <v>30</v>
      </c>
      <c r="L1188" s="8">
        <v>2</v>
      </c>
      <c r="M1188" s="9" t="s">
        <v>83</v>
      </c>
      <c r="N1188" s="9" t="str">
        <f t="shared" si="9"/>
        <v>ER</v>
      </c>
      <c r="O1188" s="10">
        <v>9611.2900000000009</v>
      </c>
      <c r="P1188" s="10">
        <v>7116.24</v>
      </c>
      <c r="Q1188" s="11">
        <v>12.5</v>
      </c>
      <c r="R1188" s="13" t="str">
        <f>IF(Patient_Data!$L1188&lt;2,"Low Risk",IF(Patient_Data!$L1188&lt;4,"Moderate Risk","High Risk"))</f>
        <v>Moderate Risk</v>
      </c>
      <c r="S1188" s="12" t="str">
        <f>IF(Patient_Data[[#This Row],[Age]]&lt;=18,"Pediatric",IF(Patient_Data[[#This Row],[Age]]&lt;=64,"Adult","Geriatric"))</f>
        <v>Adult</v>
      </c>
    </row>
    <row r="1189" spans="1:19" ht="15.75" customHeight="1" x14ac:dyDescent="0.3">
      <c r="A1189" s="4" t="s">
        <v>2411</v>
      </c>
      <c r="B1189" s="5" t="str">
        <f>TEXT(Patient_Data!$E1189,"mmmm")</f>
        <v>June</v>
      </c>
      <c r="C1189" s="6" t="str">
        <f t="shared" si="8"/>
        <v>Jun</v>
      </c>
      <c r="D1189" s="6">
        <f>MONTH(Patient_Data!$E1189)</f>
        <v>6</v>
      </c>
      <c r="E1189" s="7">
        <v>45819</v>
      </c>
      <c r="F1189" s="55" t="str">
        <f>TEXT(Patient_Data[[#This Row],[Admission_Date]],"YYYY")</f>
        <v>2025</v>
      </c>
      <c r="G1189" s="8" t="s">
        <v>2412</v>
      </c>
      <c r="H1189" s="8" t="s">
        <v>82</v>
      </c>
      <c r="I1189" s="4" t="s">
        <v>35</v>
      </c>
      <c r="J1189" s="4">
        <v>69</v>
      </c>
      <c r="K1189" s="4" t="s">
        <v>30</v>
      </c>
      <c r="L1189" s="8">
        <v>3</v>
      </c>
      <c r="M1189" s="9" t="s">
        <v>83</v>
      </c>
      <c r="N1189" s="9" t="str">
        <f t="shared" si="9"/>
        <v>ER</v>
      </c>
      <c r="O1189" s="10">
        <v>12244.46</v>
      </c>
      <c r="P1189" s="10">
        <v>9438.59</v>
      </c>
      <c r="Q1189" s="11">
        <v>16.600000000000001</v>
      </c>
      <c r="R1189" s="13" t="str">
        <f>IF(Patient_Data!$L1189&lt;2,"Low Risk",IF(Patient_Data!$L1189&lt;4,"Moderate Risk","High Risk"))</f>
        <v>Moderate Risk</v>
      </c>
      <c r="S1189" s="12" t="str">
        <f>IF(Patient_Data[[#This Row],[Age]]&lt;=18,"Pediatric",IF(Patient_Data[[#This Row],[Age]]&lt;=64,"Adult","Geriatric"))</f>
        <v>Geriatric</v>
      </c>
    </row>
    <row r="1190" spans="1:19" ht="15.75" customHeight="1" x14ac:dyDescent="0.3">
      <c r="A1190" s="4" t="s">
        <v>2413</v>
      </c>
      <c r="B1190" s="5" t="str">
        <f>TEXT(Patient_Data!$E1190,"mmmm")</f>
        <v>April</v>
      </c>
      <c r="C1190" s="6" t="str">
        <f t="shared" si="8"/>
        <v>Apr</v>
      </c>
      <c r="D1190" s="6">
        <f>MONTH(Patient_Data!$E1190)</f>
        <v>4</v>
      </c>
      <c r="E1190" s="7">
        <v>46136</v>
      </c>
      <c r="F1190" s="55" t="str">
        <f>TEXT(Patient_Data[[#This Row],[Admission_Date]],"YYYY")</f>
        <v>2026</v>
      </c>
      <c r="G1190" s="8" t="s">
        <v>2414</v>
      </c>
      <c r="H1190" s="8" t="s">
        <v>132</v>
      </c>
      <c r="I1190" s="4" t="s">
        <v>35</v>
      </c>
      <c r="J1190" s="4">
        <v>78</v>
      </c>
      <c r="K1190" s="4" t="s">
        <v>30</v>
      </c>
      <c r="L1190" s="8">
        <v>3</v>
      </c>
      <c r="M1190" s="9" t="s">
        <v>46</v>
      </c>
      <c r="N1190" s="9" t="str">
        <f t="shared" si="9"/>
        <v>Ortho</v>
      </c>
      <c r="O1190" s="10">
        <v>9186.17</v>
      </c>
      <c r="P1190" s="10">
        <v>5407.98</v>
      </c>
      <c r="Q1190" s="11">
        <v>10</v>
      </c>
      <c r="R1190" s="13" t="str">
        <f>IF(Patient_Data!$L1190&lt;2,"Low Risk",IF(Patient_Data!$L1190&lt;4,"Moderate Risk","High Risk"))</f>
        <v>Moderate Risk</v>
      </c>
      <c r="S1190" s="12" t="str">
        <f>IF(Patient_Data[[#This Row],[Age]]&lt;=18,"Pediatric",IF(Patient_Data[[#This Row],[Age]]&lt;=64,"Adult","Geriatric"))</f>
        <v>Geriatric</v>
      </c>
    </row>
    <row r="1191" spans="1:19" ht="15.75" customHeight="1" x14ac:dyDescent="0.3">
      <c r="A1191" s="4" t="s">
        <v>2415</v>
      </c>
      <c r="B1191" s="5" t="str">
        <f>TEXT(Patient_Data!$E1191,"mmmm")</f>
        <v>January</v>
      </c>
      <c r="C1191" s="6" t="str">
        <f t="shared" si="8"/>
        <v>Jan</v>
      </c>
      <c r="D1191" s="6">
        <f>MONTH(Patient_Data!$E1191)</f>
        <v>1</v>
      </c>
      <c r="E1191" s="7">
        <v>45660</v>
      </c>
      <c r="F1191" s="55" t="str">
        <f>TEXT(Patient_Data[[#This Row],[Admission_Date]],"YYYY")</f>
        <v>2025</v>
      </c>
      <c r="G1191" s="8" t="s">
        <v>2416</v>
      </c>
      <c r="H1191" s="8" t="s">
        <v>34</v>
      </c>
      <c r="I1191" s="4" t="s">
        <v>29</v>
      </c>
      <c r="J1191" s="4">
        <v>21</v>
      </c>
      <c r="K1191" s="4" t="s">
        <v>30</v>
      </c>
      <c r="L1191" s="8">
        <v>1</v>
      </c>
      <c r="M1191" s="9" t="s">
        <v>31</v>
      </c>
      <c r="N1191" s="9" t="str">
        <f t="shared" si="9"/>
        <v>Neuro</v>
      </c>
      <c r="O1191" s="10">
        <v>9309.69</v>
      </c>
      <c r="P1191" s="10">
        <v>5748.51</v>
      </c>
      <c r="Q1191" s="11">
        <v>8.6999999999999993</v>
      </c>
      <c r="R1191" s="13" t="str">
        <f>IF(Patient_Data!$L1191&lt;2,"Low Risk",IF(Patient_Data!$L1191&lt;4,"Moderate Risk","High Risk"))</f>
        <v>Low Risk</v>
      </c>
      <c r="S1191" s="12" t="str">
        <f>IF(Patient_Data[[#This Row],[Age]]&lt;=18,"Pediatric",IF(Patient_Data[[#This Row],[Age]]&lt;=64,"Adult","Geriatric"))</f>
        <v>Adult</v>
      </c>
    </row>
    <row r="1192" spans="1:19" ht="15.75" customHeight="1" x14ac:dyDescent="0.3">
      <c r="A1192" s="4" t="s">
        <v>2417</v>
      </c>
      <c r="B1192" s="5" t="str">
        <f>TEXT(Patient_Data!$E1192,"mmmm")</f>
        <v>December</v>
      </c>
      <c r="C1192" s="6" t="str">
        <f t="shared" si="8"/>
        <v>Dec</v>
      </c>
      <c r="D1192" s="6">
        <f>MONTH(Patient_Data!$E1192)</f>
        <v>12</v>
      </c>
      <c r="E1192" s="7">
        <v>45628</v>
      </c>
      <c r="F1192" s="55" t="str">
        <f>TEXT(Patient_Data[[#This Row],[Admission_Date]],"YYYY")</f>
        <v>2024</v>
      </c>
      <c r="G1192" s="8" t="s">
        <v>2418</v>
      </c>
      <c r="H1192" s="8" t="s">
        <v>34</v>
      </c>
      <c r="I1192" s="4" t="s">
        <v>29</v>
      </c>
      <c r="J1192" s="4">
        <v>79</v>
      </c>
      <c r="K1192" s="4" t="s">
        <v>45</v>
      </c>
      <c r="L1192" s="8">
        <v>4</v>
      </c>
      <c r="M1192" s="9" t="s">
        <v>31</v>
      </c>
      <c r="N1192" s="9" t="str">
        <f t="shared" si="9"/>
        <v>Neuro</v>
      </c>
      <c r="O1192" s="10">
        <v>7752.24</v>
      </c>
      <c r="P1192" s="10">
        <v>4987.03</v>
      </c>
      <c r="Q1192" s="11">
        <v>3.2</v>
      </c>
      <c r="R1192" s="13" t="str">
        <f>IF(Patient_Data!$L1192&lt;2,"Low Risk",IF(Patient_Data!$L1192&lt;4,"Moderate Risk","High Risk"))</f>
        <v>High Risk</v>
      </c>
      <c r="S1192" s="12" t="str">
        <f>IF(Patient_Data[[#This Row],[Age]]&lt;=18,"Pediatric",IF(Patient_Data[[#This Row],[Age]]&lt;=64,"Adult","Geriatric"))</f>
        <v>Geriatric</v>
      </c>
    </row>
    <row r="1193" spans="1:19" ht="15.75" customHeight="1" x14ac:dyDescent="0.3">
      <c r="A1193" s="4" t="s">
        <v>2419</v>
      </c>
      <c r="B1193" s="5" t="str">
        <f>TEXT(Patient_Data!$E1193,"mmmm")</f>
        <v>May</v>
      </c>
      <c r="C1193" s="6" t="str">
        <f t="shared" si="8"/>
        <v>May</v>
      </c>
      <c r="D1193" s="6">
        <f>MONTH(Patient_Data!$E1193)</f>
        <v>5</v>
      </c>
      <c r="E1193" s="7">
        <v>45782</v>
      </c>
      <c r="F1193" s="55" t="str">
        <f>TEXT(Patient_Data[[#This Row],[Admission_Date]],"YYYY")</f>
        <v>2025</v>
      </c>
      <c r="G1193" s="8" t="s">
        <v>2420</v>
      </c>
      <c r="H1193" s="8" t="s">
        <v>28</v>
      </c>
      <c r="I1193" s="4" t="s">
        <v>35</v>
      </c>
      <c r="J1193" s="4">
        <v>58</v>
      </c>
      <c r="K1193" s="4" t="s">
        <v>30</v>
      </c>
      <c r="L1193" s="8">
        <v>2</v>
      </c>
      <c r="M1193" s="9" t="s">
        <v>83</v>
      </c>
      <c r="N1193" s="9" t="str">
        <f t="shared" si="9"/>
        <v>ER</v>
      </c>
      <c r="O1193" s="10">
        <v>9289.59</v>
      </c>
      <c r="P1193" s="10">
        <v>6372.03</v>
      </c>
      <c r="Q1193" s="11">
        <v>18.5</v>
      </c>
      <c r="R1193" s="13" t="str">
        <f>IF(Patient_Data!$L1193&lt;2,"Low Risk",IF(Patient_Data!$L1193&lt;4,"Moderate Risk","High Risk"))</f>
        <v>Moderate Risk</v>
      </c>
      <c r="S1193" s="12" t="str">
        <f>IF(Patient_Data[[#This Row],[Age]]&lt;=18,"Pediatric",IF(Patient_Data[[#This Row],[Age]]&lt;=64,"Adult","Geriatric"))</f>
        <v>Adult</v>
      </c>
    </row>
    <row r="1194" spans="1:19" ht="15.75" customHeight="1" x14ac:dyDescent="0.3">
      <c r="A1194" s="4" t="s">
        <v>2421</v>
      </c>
      <c r="B1194" s="5" t="str">
        <f>TEXT(Patient_Data!$E1194,"mmmm")</f>
        <v>June</v>
      </c>
      <c r="C1194" s="6" t="str">
        <f t="shared" si="8"/>
        <v>Jun</v>
      </c>
      <c r="D1194" s="6">
        <f>MONTH(Patient_Data!$E1194)</f>
        <v>6</v>
      </c>
      <c r="E1194" s="7">
        <v>45462</v>
      </c>
      <c r="F1194" s="55" t="str">
        <f>TEXT(Patient_Data[[#This Row],[Admission_Date]],"YYYY")</f>
        <v>2024</v>
      </c>
      <c r="G1194" s="8" t="s">
        <v>2422</v>
      </c>
      <c r="H1194" s="8" t="s">
        <v>132</v>
      </c>
      <c r="I1194" s="4" t="s">
        <v>35</v>
      </c>
      <c r="J1194" s="4">
        <v>11</v>
      </c>
      <c r="K1194" s="4" t="s">
        <v>54</v>
      </c>
      <c r="L1194" s="8">
        <v>2</v>
      </c>
      <c r="M1194" s="9" t="s">
        <v>79</v>
      </c>
      <c r="N1194" s="9" t="str">
        <f t="shared" si="9"/>
        <v>PD</v>
      </c>
      <c r="O1194" s="10">
        <v>904.7</v>
      </c>
      <c r="P1194" s="10">
        <v>651.69000000000005</v>
      </c>
      <c r="Q1194" s="11">
        <v>2.2999999999999998</v>
      </c>
      <c r="R1194" s="13" t="str">
        <f>IF(Patient_Data!$L1194&lt;2,"Low Risk",IF(Patient_Data!$L1194&lt;4,"Moderate Risk","High Risk"))</f>
        <v>Moderate Risk</v>
      </c>
      <c r="S1194" s="12" t="str">
        <f>IF(Patient_Data[[#This Row],[Age]]&lt;=18,"Pediatric",IF(Patient_Data[[#This Row],[Age]]&lt;=64,"Adult","Geriatric"))</f>
        <v>Pediatric</v>
      </c>
    </row>
    <row r="1195" spans="1:19" ht="15.75" customHeight="1" x14ac:dyDescent="0.3">
      <c r="A1195" s="4" t="s">
        <v>2423</v>
      </c>
      <c r="B1195" s="5" t="str">
        <f>TEXT(Patient_Data!$E1195,"mmmm")</f>
        <v>April</v>
      </c>
      <c r="C1195" s="6" t="str">
        <f t="shared" si="8"/>
        <v>Apr</v>
      </c>
      <c r="D1195" s="6">
        <f>MONTH(Patient_Data!$E1195)</f>
        <v>4</v>
      </c>
      <c r="E1195" s="7">
        <v>46115</v>
      </c>
      <c r="F1195" s="55" t="str">
        <f>TEXT(Patient_Data[[#This Row],[Admission_Date]],"YYYY")</f>
        <v>2026</v>
      </c>
      <c r="G1195" s="8" t="s">
        <v>2424</v>
      </c>
      <c r="H1195" s="8" t="s">
        <v>98</v>
      </c>
      <c r="I1195" s="4" t="s">
        <v>35</v>
      </c>
      <c r="J1195" s="4">
        <v>93</v>
      </c>
      <c r="K1195" s="4" t="s">
        <v>54</v>
      </c>
      <c r="L1195" s="8">
        <v>3</v>
      </c>
      <c r="M1195" s="9" t="s">
        <v>50</v>
      </c>
      <c r="N1195" s="9" t="str">
        <f t="shared" si="9"/>
        <v>ICU</v>
      </c>
      <c r="O1195" s="10">
        <v>13689.29</v>
      </c>
      <c r="P1195" s="10">
        <v>10089.98</v>
      </c>
      <c r="Q1195" s="11">
        <v>12.1</v>
      </c>
      <c r="R1195" s="13" t="str">
        <f>IF(Patient_Data!$L1195&lt;2,"Low Risk",IF(Patient_Data!$L1195&lt;4,"Moderate Risk","High Risk"))</f>
        <v>Moderate Risk</v>
      </c>
      <c r="S1195" s="12" t="str">
        <f>IF(Patient_Data[[#This Row],[Age]]&lt;=18,"Pediatric",IF(Patient_Data[[#This Row],[Age]]&lt;=64,"Adult","Geriatric"))</f>
        <v>Geriatric</v>
      </c>
    </row>
    <row r="1196" spans="1:19" ht="15.75" customHeight="1" x14ac:dyDescent="0.3">
      <c r="A1196" s="4" t="s">
        <v>2425</v>
      </c>
      <c r="B1196" s="5" t="str">
        <f>TEXT(Patient_Data!$E1196,"mmmm")</f>
        <v>December</v>
      </c>
      <c r="C1196" s="6" t="str">
        <f t="shared" si="8"/>
        <v>Dec</v>
      </c>
      <c r="D1196" s="6">
        <f>MONTH(Patient_Data!$E1196)</f>
        <v>12</v>
      </c>
      <c r="E1196" s="7">
        <v>45285</v>
      </c>
      <c r="F1196" s="55" t="str">
        <f>TEXT(Patient_Data[[#This Row],[Admission_Date]],"YYYY")</f>
        <v>2023</v>
      </c>
      <c r="G1196" s="8" t="s">
        <v>2426</v>
      </c>
      <c r="H1196" s="8" t="s">
        <v>28</v>
      </c>
      <c r="I1196" s="4" t="s">
        <v>29</v>
      </c>
      <c r="J1196" s="4">
        <v>69</v>
      </c>
      <c r="K1196" s="4" t="s">
        <v>54</v>
      </c>
      <c r="L1196" s="8">
        <v>3</v>
      </c>
      <c r="M1196" s="9" t="s">
        <v>50</v>
      </c>
      <c r="N1196" s="9" t="str">
        <f t="shared" si="9"/>
        <v>ICU</v>
      </c>
      <c r="O1196" s="10">
        <v>14529.47</v>
      </c>
      <c r="P1196" s="10">
        <v>11176.8</v>
      </c>
      <c r="Q1196" s="11">
        <v>16.8</v>
      </c>
      <c r="R1196" s="13" t="str">
        <f>IF(Patient_Data!$L1196&lt;2,"Low Risk",IF(Patient_Data!$L1196&lt;4,"Moderate Risk","High Risk"))</f>
        <v>Moderate Risk</v>
      </c>
      <c r="S1196" s="12" t="str">
        <f>IF(Patient_Data[[#This Row],[Age]]&lt;=18,"Pediatric",IF(Patient_Data[[#This Row],[Age]]&lt;=64,"Adult","Geriatric"))</f>
        <v>Geriatric</v>
      </c>
    </row>
    <row r="1197" spans="1:19" ht="15.75" customHeight="1" x14ac:dyDescent="0.3">
      <c r="A1197" s="4" t="s">
        <v>2427</v>
      </c>
      <c r="B1197" s="5" t="str">
        <f>TEXT(Patient_Data!$E1197,"mmmm")</f>
        <v>May</v>
      </c>
      <c r="C1197" s="6" t="str">
        <f t="shared" si="8"/>
        <v>May</v>
      </c>
      <c r="D1197" s="6">
        <f>MONTH(Patient_Data!$E1197)</f>
        <v>5</v>
      </c>
      <c r="E1197" s="7">
        <v>45441</v>
      </c>
      <c r="F1197" s="55" t="str">
        <f>TEXT(Patient_Data[[#This Row],[Admission_Date]],"YYYY")</f>
        <v>2024</v>
      </c>
      <c r="G1197" s="8" t="s">
        <v>2428</v>
      </c>
      <c r="H1197" s="8" t="s">
        <v>75</v>
      </c>
      <c r="I1197" s="4" t="s">
        <v>29</v>
      </c>
      <c r="J1197" s="4">
        <v>27</v>
      </c>
      <c r="K1197" s="4" t="s">
        <v>30</v>
      </c>
      <c r="L1197" s="8">
        <v>2</v>
      </c>
      <c r="M1197" s="9" t="s">
        <v>83</v>
      </c>
      <c r="N1197" s="9" t="str">
        <f t="shared" si="9"/>
        <v>ER</v>
      </c>
      <c r="O1197" s="10">
        <v>4281.55</v>
      </c>
      <c r="P1197" s="10">
        <v>2588.1</v>
      </c>
      <c r="Q1197" s="11">
        <v>13.1</v>
      </c>
      <c r="R1197" s="13" t="str">
        <f>IF(Patient_Data!$L1197&lt;2,"Low Risk",IF(Patient_Data!$L1197&lt;4,"Moderate Risk","High Risk"))</f>
        <v>Moderate Risk</v>
      </c>
      <c r="S1197" s="12" t="str">
        <f>IF(Patient_Data[[#This Row],[Age]]&lt;=18,"Pediatric",IF(Patient_Data[[#This Row],[Age]]&lt;=64,"Adult","Geriatric"))</f>
        <v>Adult</v>
      </c>
    </row>
    <row r="1198" spans="1:19" ht="15.75" customHeight="1" x14ac:dyDescent="0.3">
      <c r="A1198" s="4" t="s">
        <v>2429</v>
      </c>
      <c r="B1198" s="5" t="str">
        <f>TEXT(Patient_Data!$E1198,"mmmm")</f>
        <v>October</v>
      </c>
      <c r="C1198" s="6" t="str">
        <f t="shared" si="8"/>
        <v>Oct</v>
      </c>
      <c r="D1198" s="6">
        <f>MONTH(Patient_Data!$E1198)</f>
        <v>10</v>
      </c>
      <c r="E1198" s="7">
        <v>45583</v>
      </c>
      <c r="F1198" s="55" t="str">
        <f>TEXT(Patient_Data[[#This Row],[Admission_Date]],"YYYY")</f>
        <v>2024</v>
      </c>
      <c r="G1198" s="8" t="s">
        <v>2430</v>
      </c>
      <c r="H1198" s="8" t="s">
        <v>42</v>
      </c>
      <c r="I1198" s="4" t="s">
        <v>29</v>
      </c>
      <c r="J1198" s="4">
        <v>29</v>
      </c>
      <c r="K1198" s="4" t="s">
        <v>30</v>
      </c>
      <c r="L1198" s="8">
        <v>3</v>
      </c>
      <c r="M1198" s="9" t="s">
        <v>39</v>
      </c>
      <c r="N1198" s="9" t="str">
        <f t="shared" si="9"/>
        <v>GM</v>
      </c>
      <c r="O1198" s="10">
        <v>3756.87</v>
      </c>
      <c r="P1198" s="10">
        <v>2361.29</v>
      </c>
      <c r="Q1198" s="11">
        <v>8.6999999999999993</v>
      </c>
      <c r="R1198" s="13" t="str">
        <f>IF(Patient_Data!$L1198&lt;2,"Low Risk",IF(Patient_Data!$L1198&lt;4,"Moderate Risk","High Risk"))</f>
        <v>Moderate Risk</v>
      </c>
      <c r="S1198" s="12" t="str">
        <f>IF(Patient_Data[[#This Row],[Age]]&lt;=18,"Pediatric",IF(Patient_Data[[#This Row],[Age]]&lt;=64,"Adult","Geriatric"))</f>
        <v>Adult</v>
      </c>
    </row>
    <row r="1199" spans="1:19" ht="15.75" customHeight="1" x14ac:dyDescent="0.3">
      <c r="A1199" s="4" t="s">
        <v>2431</v>
      </c>
      <c r="B1199" s="5" t="str">
        <f>TEXT(Patient_Data!$E1199,"mmmm")</f>
        <v>March</v>
      </c>
      <c r="C1199" s="6" t="str">
        <f t="shared" si="8"/>
        <v>Mar</v>
      </c>
      <c r="D1199" s="6">
        <f>MONTH(Patient_Data!$E1199)</f>
        <v>3</v>
      </c>
      <c r="E1199" s="7">
        <v>45356</v>
      </c>
      <c r="F1199" s="55" t="str">
        <f>TEXT(Patient_Data[[#This Row],[Admission_Date]],"YYYY")</f>
        <v>2024</v>
      </c>
      <c r="G1199" s="8" t="s">
        <v>2432</v>
      </c>
      <c r="H1199" s="8" t="s">
        <v>28</v>
      </c>
      <c r="I1199" s="4" t="s">
        <v>29</v>
      </c>
      <c r="J1199" s="4">
        <v>28</v>
      </c>
      <c r="K1199" s="4" t="s">
        <v>54</v>
      </c>
      <c r="L1199" s="8">
        <v>4</v>
      </c>
      <c r="M1199" s="9" t="s">
        <v>31</v>
      </c>
      <c r="N1199" s="9" t="str">
        <f t="shared" si="9"/>
        <v>Neuro</v>
      </c>
      <c r="O1199" s="10">
        <v>15024.33</v>
      </c>
      <c r="P1199" s="10">
        <v>9686.77</v>
      </c>
      <c r="Q1199" s="11">
        <v>8.9</v>
      </c>
      <c r="R1199" s="13" t="str">
        <f>IF(Patient_Data!$L1199&lt;2,"Low Risk",IF(Patient_Data!$L1199&lt;4,"Moderate Risk","High Risk"))</f>
        <v>High Risk</v>
      </c>
      <c r="S1199" s="12" t="str">
        <f>IF(Patient_Data[[#This Row],[Age]]&lt;=18,"Pediatric",IF(Patient_Data[[#This Row],[Age]]&lt;=64,"Adult","Geriatric"))</f>
        <v>Adult</v>
      </c>
    </row>
    <row r="1200" spans="1:19" ht="15.75" customHeight="1" x14ac:dyDescent="0.3">
      <c r="A1200" s="4" t="s">
        <v>2433</v>
      </c>
      <c r="B1200" s="5" t="str">
        <f>TEXT(Patient_Data!$E1200,"mmmm")</f>
        <v>September</v>
      </c>
      <c r="C1200" s="6" t="str">
        <f t="shared" si="8"/>
        <v>Sep</v>
      </c>
      <c r="D1200" s="6">
        <f>MONTH(Patient_Data!$E1200)</f>
        <v>9</v>
      </c>
      <c r="E1200" s="7">
        <v>45557</v>
      </c>
      <c r="F1200" s="55" t="str">
        <f>TEXT(Patient_Data[[#This Row],[Admission_Date]],"YYYY")</f>
        <v>2024</v>
      </c>
      <c r="G1200" s="8" t="s">
        <v>2434</v>
      </c>
      <c r="H1200" s="8" t="s">
        <v>49</v>
      </c>
      <c r="I1200" s="4" t="s">
        <v>35</v>
      </c>
      <c r="J1200" s="4">
        <v>94</v>
      </c>
      <c r="K1200" s="4" t="s">
        <v>54</v>
      </c>
      <c r="L1200" s="8">
        <v>4</v>
      </c>
      <c r="M1200" s="9" t="s">
        <v>50</v>
      </c>
      <c r="N1200" s="9" t="str">
        <f t="shared" si="9"/>
        <v>ICU</v>
      </c>
      <c r="O1200" s="10">
        <v>19936.45</v>
      </c>
      <c r="P1200" s="10">
        <v>13423.82</v>
      </c>
      <c r="Q1200" s="11">
        <v>8.3000000000000007</v>
      </c>
      <c r="R1200" s="13" t="str">
        <f>IF(Patient_Data!$L1200&lt;2,"Low Risk",IF(Patient_Data!$L1200&lt;4,"Moderate Risk","High Risk"))</f>
        <v>High Risk</v>
      </c>
      <c r="S1200" s="12" t="str">
        <f>IF(Patient_Data[[#This Row],[Age]]&lt;=18,"Pediatric",IF(Patient_Data[[#This Row],[Age]]&lt;=64,"Adult","Geriatric"))</f>
        <v>Geriatric</v>
      </c>
    </row>
    <row r="1201" spans="1:19" ht="15.75" customHeight="1" x14ac:dyDescent="0.3">
      <c r="A1201" s="4" t="s">
        <v>2435</v>
      </c>
      <c r="B1201" s="5" t="str">
        <f>TEXT(Patient_Data!$E1201,"mmmm")</f>
        <v>October</v>
      </c>
      <c r="C1201" s="6" t="str">
        <f t="shared" si="8"/>
        <v>Oct</v>
      </c>
      <c r="D1201" s="6">
        <f>MONTH(Patient_Data!$E1201)</f>
        <v>10</v>
      </c>
      <c r="E1201" s="7">
        <v>45939</v>
      </c>
      <c r="F1201" s="55" t="str">
        <f>TEXT(Patient_Data[[#This Row],[Admission_Date]],"YYYY")</f>
        <v>2025</v>
      </c>
      <c r="G1201" s="8" t="s">
        <v>2436</v>
      </c>
      <c r="H1201" s="8" t="s">
        <v>34</v>
      </c>
      <c r="I1201" s="4" t="s">
        <v>29</v>
      </c>
      <c r="J1201" s="4">
        <v>58</v>
      </c>
      <c r="K1201" s="4" t="s">
        <v>30</v>
      </c>
      <c r="L1201" s="8">
        <v>3</v>
      </c>
      <c r="M1201" s="9" t="s">
        <v>50</v>
      </c>
      <c r="N1201" s="9" t="str">
        <f t="shared" si="9"/>
        <v>ICU</v>
      </c>
      <c r="O1201" s="10">
        <v>18197.57</v>
      </c>
      <c r="P1201" s="10">
        <v>12835.1</v>
      </c>
      <c r="Q1201" s="11">
        <v>12.1</v>
      </c>
      <c r="R1201" s="13" t="str">
        <f>IF(Patient_Data!$L1201&lt;2,"Low Risk",IF(Patient_Data!$L1201&lt;4,"Moderate Risk","High Risk"))</f>
        <v>Moderate Risk</v>
      </c>
      <c r="S1201" s="12" t="str">
        <f>IF(Patient_Data[[#This Row],[Age]]&lt;=18,"Pediatric",IF(Patient_Data[[#This Row],[Age]]&lt;=64,"Adult","Geriatric"))</f>
        <v>Adult</v>
      </c>
    </row>
    <row r="1202" spans="1:19" ht="15.75" customHeight="1" x14ac:dyDescent="0.3">
      <c r="A1202" s="4" t="s">
        <v>2437</v>
      </c>
      <c r="B1202" s="5" t="str">
        <f>TEXT(Patient_Data!$E1202,"mmmm")</f>
        <v>November</v>
      </c>
      <c r="C1202" s="6" t="str">
        <f t="shared" si="8"/>
        <v>Nov</v>
      </c>
      <c r="D1202" s="6">
        <f>MONTH(Patient_Data!$E1202)</f>
        <v>11</v>
      </c>
      <c r="E1202" s="7">
        <v>45247</v>
      </c>
      <c r="F1202" s="55" t="str">
        <f>TEXT(Patient_Data[[#This Row],[Admission_Date]],"YYYY")</f>
        <v>2023</v>
      </c>
      <c r="G1202" s="8" t="s">
        <v>2438</v>
      </c>
      <c r="H1202" s="8" t="s">
        <v>28</v>
      </c>
      <c r="I1202" s="4" t="s">
        <v>35</v>
      </c>
      <c r="J1202" s="4">
        <v>38</v>
      </c>
      <c r="K1202" s="4" t="s">
        <v>30</v>
      </c>
      <c r="L1202" s="8">
        <v>1</v>
      </c>
      <c r="M1202" s="9" t="s">
        <v>83</v>
      </c>
      <c r="N1202" s="9" t="str">
        <f t="shared" si="9"/>
        <v>ER</v>
      </c>
      <c r="O1202" s="10">
        <v>7391.81</v>
      </c>
      <c r="P1202" s="10">
        <v>5519.22</v>
      </c>
      <c r="Q1202" s="11">
        <v>15.4</v>
      </c>
      <c r="R1202" s="13" t="str">
        <f>IF(Patient_Data!$L1202&lt;2,"Low Risk",IF(Patient_Data!$L1202&lt;4,"Moderate Risk","High Risk"))</f>
        <v>Low Risk</v>
      </c>
      <c r="S1202" s="12" t="str">
        <f>IF(Patient_Data[[#This Row],[Age]]&lt;=18,"Pediatric",IF(Patient_Data[[#This Row],[Age]]&lt;=64,"Adult","Geriatric"))</f>
        <v>Adult</v>
      </c>
    </row>
    <row r="1203" spans="1:19" ht="15.75" customHeight="1" x14ac:dyDescent="0.3">
      <c r="A1203" s="4" t="s">
        <v>2439</v>
      </c>
      <c r="B1203" s="5" t="str">
        <f>TEXT(Patient_Data!$E1203,"mmmm")</f>
        <v>January</v>
      </c>
      <c r="C1203" s="6" t="str">
        <f t="shared" si="8"/>
        <v>Jan</v>
      </c>
      <c r="D1203" s="6">
        <f>MONTH(Patient_Data!$E1203)</f>
        <v>1</v>
      </c>
      <c r="E1203" s="7">
        <v>45316</v>
      </c>
      <c r="F1203" s="55" t="str">
        <f>TEXT(Patient_Data[[#This Row],[Admission_Date]],"YYYY")</f>
        <v>2024</v>
      </c>
      <c r="G1203" s="8" t="s">
        <v>2440</v>
      </c>
      <c r="H1203" s="8" t="s">
        <v>34</v>
      </c>
      <c r="I1203" s="4" t="s">
        <v>29</v>
      </c>
      <c r="J1203" s="4">
        <v>73</v>
      </c>
      <c r="K1203" s="4" t="s">
        <v>30</v>
      </c>
      <c r="L1203" s="8">
        <v>3</v>
      </c>
      <c r="M1203" s="9" t="s">
        <v>83</v>
      </c>
      <c r="N1203" s="9" t="str">
        <f t="shared" si="9"/>
        <v>ER</v>
      </c>
      <c r="O1203" s="10">
        <v>8158.77</v>
      </c>
      <c r="P1203" s="10">
        <v>6353.47</v>
      </c>
      <c r="Q1203" s="11">
        <v>19.100000000000001</v>
      </c>
      <c r="R1203" s="13" t="str">
        <f>IF(Patient_Data!$L1203&lt;2,"Low Risk",IF(Patient_Data!$L1203&lt;4,"Moderate Risk","High Risk"))</f>
        <v>Moderate Risk</v>
      </c>
      <c r="S1203" s="12" t="str">
        <f>IF(Patient_Data[[#This Row],[Age]]&lt;=18,"Pediatric",IF(Patient_Data[[#This Row],[Age]]&lt;=64,"Adult","Geriatric"))</f>
        <v>Geriatric</v>
      </c>
    </row>
    <row r="1204" spans="1:19" ht="15.75" customHeight="1" x14ac:dyDescent="0.3">
      <c r="A1204" s="4" t="s">
        <v>2441</v>
      </c>
      <c r="B1204" s="5" t="str">
        <f>TEXT(Patient_Data!$E1204,"mmmm")</f>
        <v>September</v>
      </c>
      <c r="C1204" s="6" t="str">
        <f t="shared" si="8"/>
        <v>Sep</v>
      </c>
      <c r="D1204" s="6">
        <f>MONTH(Patient_Data!$E1204)</f>
        <v>9</v>
      </c>
      <c r="E1204" s="7">
        <v>45552</v>
      </c>
      <c r="F1204" s="55" t="str">
        <f>TEXT(Patient_Data[[#This Row],[Admission_Date]],"YYYY")</f>
        <v>2024</v>
      </c>
      <c r="G1204" s="8" t="s">
        <v>2442</v>
      </c>
      <c r="H1204" s="8" t="s">
        <v>34</v>
      </c>
      <c r="I1204" s="4" t="s">
        <v>29</v>
      </c>
      <c r="J1204" s="4">
        <v>84</v>
      </c>
      <c r="K1204" s="4" t="s">
        <v>30</v>
      </c>
      <c r="L1204" s="8">
        <v>2</v>
      </c>
      <c r="M1204" s="9" t="s">
        <v>83</v>
      </c>
      <c r="N1204" s="9" t="str">
        <f t="shared" si="9"/>
        <v>ER</v>
      </c>
      <c r="O1204" s="10">
        <v>10222.700000000001</v>
      </c>
      <c r="P1204" s="10">
        <v>6096.37</v>
      </c>
      <c r="Q1204" s="11">
        <v>20.9</v>
      </c>
      <c r="R1204" s="13" t="str">
        <f>IF(Patient_Data!$L1204&lt;2,"Low Risk",IF(Patient_Data!$L1204&lt;4,"Moderate Risk","High Risk"))</f>
        <v>Moderate Risk</v>
      </c>
      <c r="S1204" s="12" t="str">
        <f>IF(Patient_Data[[#This Row],[Age]]&lt;=18,"Pediatric",IF(Patient_Data[[#This Row],[Age]]&lt;=64,"Adult","Geriatric"))</f>
        <v>Geriatric</v>
      </c>
    </row>
    <row r="1205" spans="1:19" ht="15.75" customHeight="1" x14ac:dyDescent="0.3">
      <c r="A1205" s="4" t="s">
        <v>2443</v>
      </c>
      <c r="B1205" s="5" t="str">
        <f>TEXT(Patient_Data!$E1205,"mmmm")</f>
        <v>November</v>
      </c>
      <c r="C1205" s="6" t="str">
        <f t="shared" si="8"/>
        <v>Nov</v>
      </c>
      <c r="D1205" s="6">
        <f>MONTH(Patient_Data!$E1205)</f>
        <v>11</v>
      </c>
      <c r="E1205" s="7">
        <v>45611</v>
      </c>
      <c r="F1205" s="55" t="str">
        <f>TEXT(Patient_Data[[#This Row],[Admission_Date]],"YYYY")</f>
        <v>2024</v>
      </c>
      <c r="G1205" s="8" t="s">
        <v>2444</v>
      </c>
      <c r="H1205" s="8" t="s">
        <v>49</v>
      </c>
      <c r="I1205" s="4" t="s">
        <v>29</v>
      </c>
      <c r="J1205" s="4">
        <v>76</v>
      </c>
      <c r="K1205" s="4" t="s">
        <v>54</v>
      </c>
      <c r="L1205" s="8">
        <v>4</v>
      </c>
      <c r="M1205" s="9" t="s">
        <v>50</v>
      </c>
      <c r="N1205" s="9" t="str">
        <f t="shared" si="9"/>
        <v>ICU</v>
      </c>
      <c r="O1205" s="10">
        <v>21408.85</v>
      </c>
      <c r="P1205" s="10">
        <v>13152.2</v>
      </c>
      <c r="Q1205" s="11">
        <v>11.6</v>
      </c>
      <c r="R1205" s="13" t="str">
        <f>IF(Patient_Data!$L1205&lt;2,"Low Risk",IF(Patient_Data!$L1205&lt;4,"Moderate Risk","High Risk"))</f>
        <v>High Risk</v>
      </c>
      <c r="S1205" s="12" t="str">
        <f>IF(Patient_Data[[#This Row],[Age]]&lt;=18,"Pediatric",IF(Patient_Data[[#This Row],[Age]]&lt;=64,"Adult","Geriatric"))</f>
        <v>Geriatric</v>
      </c>
    </row>
    <row r="1206" spans="1:19" ht="15.75" customHeight="1" x14ac:dyDescent="0.3">
      <c r="A1206" s="4" t="s">
        <v>2445</v>
      </c>
      <c r="B1206" s="5" t="str">
        <f>TEXT(Patient_Data!$E1206,"mmmm")</f>
        <v>May</v>
      </c>
      <c r="C1206" s="6" t="str">
        <f t="shared" si="8"/>
        <v>May</v>
      </c>
      <c r="D1206" s="6">
        <f>MONTH(Patient_Data!$E1206)</f>
        <v>5</v>
      </c>
      <c r="E1206" s="7">
        <v>46148</v>
      </c>
      <c r="F1206" s="55" t="str">
        <f>TEXT(Patient_Data[[#This Row],[Admission_Date]],"YYYY")</f>
        <v>2026</v>
      </c>
      <c r="G1206" s="8" t="s">
        <v>2446</v>
      </c>
      <c r="H1206" s="8" t="s">
        <v>28</v>
      </c>
      <c r="I1206" s="4" t="s">
        <v>29</v>
      </c>
      <c r="J1206" s="4">
        <v>52</v>
      </c>
      <c r="K1206" s="4" t="s">
        <v>54</v>
      </c>
      <c r="L1206" s="8">
        <v>1</v>
      </c>
      <c r="M1206" s="9" t="s">
        <v>31</v>
      </c>
      <c r="N1206" s="9" t="str">
        <f t="shared" si="9"/>
        <v>Neuro</v>
      </c>
      <c r="O1206" s="10">
        <v>6089.71</v>
      </c>
      <c r="P1206" s="10">
        <v>3972.61</v>
      </c>
      <c r="Q1206" s="11">
        <v>9.4</v>
      </c>
      <c r="R1206" s="13" t="str">
        <f>IF(Patient_Data!$L1206&lt;2,"Low Risk",IF(Patient_Data!$L1206&lt;4,"Moderate Risk","High Risk"))</f>
        <v>Low Risk</v>
      </c>
      <c r="S1206" s="12" t="str">
        <f>IF(Patient_Data[[#This Row],[Age]]&lt;=18,"Pediatric",IF(Patient_Data[[#This Row],[Age]]&lt;=64,"Adult","Geriatric"))</f>
        <v>Adult</v>
      </c>
    </row>
    <row r="1207" spans="1:19" ht="15.75" customHeight="1" x14ac:dyDescent="0.3">
      <c r="A1207" s="4" t="s">
        <v>2447</v>
      </c>
      <c r="B1207" s="5" t="str">
        <f>TEXT(Patient_Data!$E1207,"mmmm")</f>
        <v>October</v>
      </c>
      <c r="C1207" s="6" t="str">
        <f t="shared" si="8"/>
        <v>Oct</v>
      </c>
      <c r="D1207" s="6">
        <f>MONTH(Patient_Data!$E1207)</f>
        <v>10</v>
      </c>
      <c r="E1207" s="7">
        <v>45594</v>
      </c>
      <c r="F1207" s="55" t="str">
        <f>TEXT(Patient_Data[[#This Row],[Admission_Date]],"YYYY")</f>
        <v>2024</v>
      </c>
      <c r="G1207" s="8" t="s">
        <v>2448</v>
      </c>
      <c r="H1207" s="8" t="s">
        <v>132</v>
      </c>
      <c r="I1207" s="4" t="s">
        <v>35</v>
      </c>
      <c r="J1207" s="4">
        <v>31</v>
      </c>
      <c r="K1207" s="4" t="s">
        <v>30</v>
      </c>
      <c r="L1207" s="8">
        <v>1</v>
      </c>
      <c r="M1207" s="9" t="s">
        <v>39</v>
      </c>
      <c r="N1207" s="9" t="str">
        <f t="shared" si="9"/>
        <v>GM</v>
      </c>
      <c r="O1207" s="10">
        <v>3482.49</v>
      </c>
      <c r="P1207" s="10">
        <v>2393.27</v>
      </c>
      <c r="Q1207" s="11">
        <v>7.5</v>
      </c>
      <c r="R1207" s="13" t="str">
        <f>IF(Patient_Data!$L1207&lt;2,"Low Risk",IF(Patient_Data!$L1207&lt;4,"Moderate Risk","High Risk"))</f>
        <v>Low Risk</v>
      </c>
      <c r="S1207" s="12" t="str">
        <f>IF(Patient_Data[[#This Row],[Age]]&lt;=18,"Pediatric",IF(Patient_Data[[#This Row],[Age]]&lt;=64,"Adult","Geriatric"))</f>
        <v>Adult</v>
      </c>
    </row>
    <row r="1208" spans="1:19" ht="15.75" customHeight="1" x14ac:dyDescent="0.3">
      <c r="A1208" s="4" t="s">
        <v>2449</v>
      </c>
      <c r="B1208" s="5" t="str">
        <f>TEXT(Patient_Data!$E1208,"mmmm")</f>
        <v>July</v>
      </c>
      <c r="C1208" s="6" t="str">
        <f t="shared" si="8"/>
        <v>Jul</v>
      </c>
      <c r="D1208" s="6">
        <f>MONTH(Patient_Data!$E1208)</f>
        <v>7</v>
      </c>
      <c r="E1208" s="7">
        <v>45848</v>
      </c>
      <c r="F1208" s="55" t="str">
        <f>TEXT(Patient_Data[[#This Row],[Admission_Date]],"YYYY")</f>
        <v>2025</v>
      </c>
      <c r="G1208" s="8" t="s">
        <v>2450</v>
      </c>
      <c r="H1208" s="8" t="s">
        <v>82</v>
      </c>
      <c r="I1208" s="4" t="s">
        <v>35</v>
      </c>
      <c r="J1208" s="4">
        <v>32</v>
      </c>
      <c r="K1208" s="4" t="s">
        <v>30</v>
      </c>
      <c r="L1208" s="8">
        <v>1</v>
      </c>
      <c r="M1208" s="9" t="s">
        <v>31</v>
      </c>
      <c r="N1208" s="9" t="str">
        <f t="shared" si="9"/>
        <v>Neuro</v>
      </c>
      <c r="O1208" s="10">
        <v>8005.09</v>
      </c>
      <c r="P1208" s="10">
        <v>5636.36</v>
      </c>
      <c r="Q1208" s="11">
        <v>4.0999999999999996</v>
      </c>
      <c r="R1208" s="13" t="str">
        <f>IF(Patient_Data!$L1208&lt;2,"Low Risk",IF(Patient_Data!$L1208&lt;4,"Moderate Risk","High Risk"))</f>
        <v>Low Risk</v>
      </c>
      <c r="S1208" s="12" t="str">
        <f>IF(Patient_Data[[#This Row],[Age]]&lt;=18,"Pediatric",IF(Patient_Data[[#This Row],[Age]]&lt;=64,"Adult","Geriatric"))</f>
        <v>Adult</v>
      </c>
    </row>
    <row r="1209" spans="1:19" ht="15.75" customHeight="1" x14ac:dyDescent="0.3">
      <c r="A1209" s="4" t="s">
        <v>2451</v>
      </c>
      <c r="B1209" s="5" t="str">
        <f>TEXT(Patient_Data!$E1209,"mmmm")</f>
        <v>September</v>
      </c>
      <c r="C1209" s="6" t="str">
        <f t="shared" si="8"/>
        <v>Sep</v>
      </c>
      <c r="D1209" s="6">
        <f>MONTH(Patient_Data!$E1209)</f>
        <v>9</v>
      </c>
      <c r="E1209" s="7">
        <v>45198</v>
      </c>
      <c r="F1209" s="55" t="str">
        <f>TEXT(Patient_Data[[#This Row],[Admission_Date]],"YYYY")</f>
        <v>2023</v>
      </c>
      <c r="G1209" s="8" t="s">
        <v>2452</v>
      </c>
      <c r="H1209" s="8" t="s">
        <v>82</v>
      </c>
      <c r="I1209" s="4" t="s">
        <v>35</v>
      </c>
      <c r="J1209" s="4">
        <v>78</v>
      </c>
      <c r="K1209" s="4" t="s">
        <v>54</v>
      </c>
      <c r="L1209" s="8">
        <v>5</v>
      </c>
      <c r="M1209" s="9" t="s">
        <v>50</v>
      </c>
      <c r="N1209" s="9" t="str">
        <f t="shared" si="9"/>
        <v>ICU</v>
      </c>
      <c r="O1209" s="10">
        <v>21262.69</v>
      </c>
      <c r="P1209" s="10">
        <v>15589.76</v>
      </c>
      <c r="Q1209" s="11">
        <v>8.5</v>
      </c>
      <c r="R1209" s="13" t="str">
        <f>IF(Patient_Data!$L1209&lt;2,"Low Risk",IF(Patient_Data!$L1209&lt;4,"Moderate Risk","High Risk"))</f>
        <v>High Risk</v>
      </c>
      <c r="S1209" s="12" t="str">
        <f>IF(Patient_Data[[#This Row],[Age]]&lt;=18,"Pediatric",IF(Patient_Data[[#This Row],[Age]]&lt;=64,"Adult","Geriatric"))</f>
        <v>Geriatric</v>
      </c>
    </row>
    <row r="1210" spans="1:19" ht="15.75" customHeight="1" x14ac:dyDescent="0.3">
      <c r="A1210" s="4" t="s">
        <v>2453</v>
      </c>
      <c r="B1210" s="5" t="str">
        <f>TEXT(Patient_Data!$E1210,"mmmm")</f>
        <v>November</v>
      </c>
      <c r="C1210" s="6" t="str">
        <f t="shared" si="8"/>
        <v>Nov</v>
      </c>
      <c r="D1210" s="6">
        <f>MONTH(Patient_Data!$E1210)</f>
        <v>11</v>
      </c>
      <c r="E1210" s="7">
        <v>45600</v>
      </c>
      <c r="F1210" s="55" t="str">
        <f>TEXT(Patient_Data[[#This Row],[Admission_Date]],"YYYY")</f>
        <v>2024</v>
      </c>
      <c r="G1210" s="8" t="s">
        <v>2454</v>
      </c>
      <c r="H1210" s="8" t="s">
        <v>34</v>
      </c>
      <c r="I1210" s="4" t="s">
        <v>35</v>
      </c>
      <c r="J1210" s="4">
        <v>94</v>
      </c>
      <c r="K1210" s="4" t="s">
        <v>30</v>
      </c>
      <c r="L1210" s="8">
        <v>2</v>
      </c>
      <c r="M1210" s="9" t="s">
        <v>46</v>
      </c>
      <c r="N1210" s="9" t="str">
        <f t="shared" si="9"/>
        <v>Ortho</v>
      </c>
      <c r="O1210" s="10">
        <v>10027.84</v>
      </c>
      <c r="P1210" s="10">
        <v>7675.56</v>
      </c>
      <c r="Q1210" s="11">
        <v>6.8</v>
      </c>
      <c r="R1210" s="13" t="str">
        <f>IF(Patient_Data!$L1210&lt;2,"Low Risk",IF(Patient_Data!$L1210&lt;4,"Moderate Risk","High Risk"))</f>
        <v>Moderate Risk</v>
      </c>
      <c r="S1210" s="12" t="str">
        <f>IF(Patient_Data[[#This Row],[Age]]&lt;=18,"Pediatric",IF(Patient_Data[[#This Row],[Age]]&lt;=64,"Adult","Geriatric"))</f>
        <v>Geriatric</v>
      </c>
    </row>
    <row r="1211" spans="1:19" ht="15.75" customHeight="1" x14ac:dyDescent="0.3">
      <c r="A1211" s="4" t="s">
        <v>2455</v>
      </c>
      <c r="B1211" s="5" t="str">
        <f>TEXT(Patient_Data!$E1211,"mmmm")</f>
        <v>April</v>
      </c>
      <c r="C1211" s="6" t="str">
        <f t="shared" si="8"/>
        <v>Apr</v>
      </c>
      <c r="D1211" s="6">
        <f>MONTH(Patient_Data!$E1211)</f>
        <v>4</v>
      </c>
      <c r="E1211" s="7">
        <v>45407</v>
      </c>
      <c r="F1211" s="55" t="str">
        <f>TEXT(Patient_Data[[#This Row],[Admission_Date]],"YYYY")</f>
        <v>2024</v>
      </c>
      <c r="G1211" s="8" t="s">
        <v>2456</v>
      </c>
      <c r="H1211" s="8" t="s">
        <v>82</v>
      </c>
      <c r="I1211" s="4" t="s">
        <v>29</v>
      </c>
      <c r="J1211" s="4">
        <v>56</v>
      </c>
      <c r="K1211" s="4" t="s">
        <v>30</v>
      </c>
      <c r="L1211" s="8">
        <v>4</v>
      </c>
      <c r="M1211" s="9" t="s">
        <v>31</v>
      </c>
      <c r="N1211" s="9" t="str">
        <f t="shared" si="9"/>
        <v>Neuro</v>
      </c>
      <c r="O1211" s="10">
        <v>8090.45</v>
      </c>
      <c r="P1211" s="10">
        <v>4712.46</v>
      </c>
      <c r="Q1211" s="11">
        <v>2.5</v>
      </c>
      <c r="R1211" s="13" t="str">
        <f>IF(Patient_Data!$L1211&lt;2,"Low Risk",IF(Patient_Data!$L1211&lt;4,"Moderate Risk","High Risk"))</f>
        <v>High Risk</v>
      </c>
      <c r="S1211" s="12" t="str">
        <f>IF(Patient_Data[[#This Row],[Age]]&lt;=18,"Pediatric",IF(Patient_Data[[#This Row],[Age]]&lt;=64,"Adult","Geriatric"))</f>
        <v>Adult</v>
      </c>
    </row>
    <row r="1212" spans="1:19" ht="15.75" customHeight="1" x14ac:dyDescent="0.3">
      <c r="A1212" s="4" t="s">
        <v>2457</v>
      </c>
      <c r="B1212" s="5" t="str">
        <f>TEXT(Patient_Data!$E1212,"mmmm")</f>
        <v>May</v>
      </c>
      <c r="C1212" s="6" t="str">
        <f t="shared" si="8"/>
        <v>May</v>
      </c>
      <c r="D1212" s="6">
        <f>MONTH(Patient_Data!$E1212)</f>
        <v>5</v>
      </c>
      <c r="E1212" s="7">
        <v>46147</v>
      </c>
      <c r="F1212" s="55" t="str">
        <f>TEXT(Patient_Data[[#This Row],[Admission_Date]],"YYYY")</f>
        <v>2026</v>
      </c>
      <c r="G1212" s="8" t="s">
        <v>2458</v>
      </c>
      <c r="H1212" s="8" t="s">
        <v>132</v>
      </c>
      <c r="I1212" s="4" t="s">
        <v>29</v>
      </c>
      <c r="J1212" s="4">
        <v>76</v>
      </c>
      <c r="K1212" s="4" t="s">
        <v>30</v>
      </c>
      <c r="L1212" s="8">
        <v>1</v>
      </c>
      <c r="M1212" s="9" t="s">
        <v>46</v>
      </c>
      <c r="N1212" s="9" t="str">
        <f t="shared" si="9"/>
        <v>Ortho</v>
      </c>
      <c r="O1212" s="10">
        <v>6117.84</v>
      </c>
      <c r="P1212" s="10">
        <v>3753.48</v>
      </c>
      <c r="Q1212" s="11">
        <v>2.7</v>
      </c>
      <c r="R1212" s="13" t="str">
        <f>IF(Patient_Data!$L1212&lt;2,"Low Risk",IF(Patient_Data!$L1212&lt;4,"Moderate Risk","High Risk"))</f>
        <v>Low Risk</v>
      </c>
      <c r="S1212" s="12" t="str">
        <f>IF(Patient_Data[[#This Row],[Age]]&lt;=18,"Pediatric",IF(Patient_Data[[#This Row],[Age]]&lt;=64,"Adult","Geriatric"))</f>
        <v>Geriatric</v>
      </c>
    </row>
    <row r="1213" spans="1:19" ht="15.75" customHeight="1" x14ac:dyDescent="0.3">
      <c r="A1213" s="4" t="s">
        <v>2459</v>
      </c>
      <c r="B1213" s="5" t="str">
        <f>TEXT(Patient_Data!$E1213,"mmmm")</f>
        <v>January</v>
      </c>
      <c r="C1213" s="6" t="str">
        <f t="shared" si="8"/>
        <v>Jan</v>
      </c>
      <c r="D1213" s="6">
        <f>MONTH(Patient_Data!$E1213)</f>
        <v>1</v>
      </c>
      <c r="E1213" s="7">
        <v>45663</v>
      </c>
      <c r="F1213" s="55" t="str">
        <f>TEXT(Patient_Data[[#This Row],[Admission_Date]],"YYYY")</f>
        <v>2025</v>
      </c>
      <c r="G1213" s="8" t="s">
        <v>2460</v>
      </c>
      <c r="H1213" s="8" t="s">
        <v>49</v>
      </c>
      <c r="I1213" s="4" t="s">
        <v>35</v>
      </c>
      <c r="J1213" s="4">
        <v>91</v>
      </c>
      <c r="K1213" s="4" t="s">
        <v>54</v>
      </c>
      <c r="L1213" s="8">
        <v>4</v>
      </c>
      <c r="M1213" s="9" t="s">
        <v>50</v>
      </c>
      <c r="N1213" s="9" t="str">
        <f t="shared" si="9"/>
        <v>ICU</v>
      </c>
      <c r="O1213" s="10">
        <v>18324.25</v>
      </c>
      <c r="P1213" s="10">
        <v>11816.32</v>
      </c>
      <c r="Q1213" s="11">
        <v>11.1</v>
      </c>
      <c r="R1213" s="13" t="str">
        <f>IF(Patient_Data!$L1213&lt;2,"Low Risk",IF(Patient_Data!$L1213&lt;4,"Moderate Risk","High Risk"))</f>
        <v>High Risk</v>
      </c>
      <c r="S1213" s="12" t="str">
        <f>IF(Patient_Data[[#This Row],[Age]]&lt;=18,"Pediatric",IF(Patient_Data[[#This Row],[Age]]&lt;=64,"Adult","Geriatric"))</f>
        <v>Geriatric</v>
      </c>
    </row>
    <row r="1214" spans="1:19" ht="15.75" customHeight="1" x14ac:dyDescent="0.3">
      <c r="A1214" s="4" t="s">
        <v>2461</v>
      </c>
      <c r="B1214" s="5" t="str">
        <f>TEXT(Patient_Data!$E1214,"mmmm")</f>
        <v>December</v>
      </c>
      <c r="C1214" s="6" t="str">
        <f t="shared" si="8"/>
        <v>Dec</v>
      </c>
      <c r="D1214" s="6">
        <f>MONTH(Patient_Data!$E1214)</f>
        <v>12</v>
      </c>
      <c r="E1214" s="7">
        <v>45657</v>
      </c>
      <c r="F1214" s="55" t="str">
        <f>TEXT(Patient_Data[[#This Row],[Admission_Date]],"YYYY")</f>
        <v>2024</v>
      </c>
      <c r="G1214" s="8" t="s">
        <v>2462</v>
      </c>
      <c r="H1214" s="8" t="s">
        <v>34</v>
      </c>
      <c r="I1214" s="4" t="s">
        <v>29</v>
      </c>
      <c r="J1214" s="4">
        <v>86</v>
      </c>
      <c r="K1214" s="4" t="s">
        <v>54</v>
      </c>
      <c r="L1214" s="8">
        <v>4</v>
      </c>
      <c r="M1214" s="9" t="s">
        <v>72</v>
      </c>
      <c r="N1214" s="9" t="str">
        <f t="shared" si="9"/>
        <v>Surgery</v>
      </c>
      <c r="O1214" s="10">
        <v>17391.259999999998</v>
      </c>
      <c r="P1214" s="10">
        <v>11686.54</v>
      </c>
      <c r="Q1214" s="11">
        <v>4.3</v>
      </c>
      <c r="R1214" s="13" t="str">
        <f>IF(Patient_Data!$L1214&lt;2,"Low Risk",IF(Patient_Data!$L1214&lt;4,"Moderate Risk","High Risk"))</f>
        <v>High Risk</v>
      </c>
      <c r="S1214" s="12" t="str">
        <f>IF(Patient_Data[[#This Row],[Age]]&lt;=18,"Pediatric",IF(Patient_Data[[#This Row],[Age]]&lt;=64,"Adult","Geriatric"))</f>
        <v>Geriatric</v>
      </c>
    </row>
    <row r="1215" spans="1:19" ht="15.75" customHeight="1" x14ac:dyDescent="0.3">
      <c r="A1215" s="4" t="s">
        <v>2463</v>
      </c>
      <c r="B1215" s="5" t="str">
        <f>TEXT(Patient_Data!$E1215,"mmmm")</f>
        <v>June</v>
      </c>
      <c r="C1215" s="6" t="str">
        <f t="shared" si="8"/>
        <v>Jun</v>
      </c>
      <c r="D1215" s="6">
        <f>MONTH(Patient_Data!$E1215)</f>
        <v>6</v>
      </c>
      <c r="E1215" s="7">
        <v>45825</v>
      </c>
      <c r="F1215" s="55" t="str">
        <f>TEXT(Patient_Data[[#This Row],[Admission_Date]],"YYYY")</f>
        <v>2025</v>
      </c>
      <c r="G1215" s="8" t="s">
        <v>2464</v>
      </c>
      <c r="H1215" s="8" t="s">
        <v>49</v>
      </c>
      <c r="I1215" s="4" t="s">
        <v>35</v>
      </c>
      <c r="J1215" s="4">
        <v>80</v>
      </c>
      <c r="K1215" s="4" t="s">
        <v>54</v>
      </c>
      <c r="L1215" s="8">
        <v>4</v>
      </c>
      <c r="M1215" s="9" t="s">
        <v>72</v>
      </c>
      <c r="N1215" s="9" t="str">
        <f t="shared" si="9"/>
        <v>Surgery</v>
      </c>
      <c r="O1215" s="10">
        <v>11419.62</v>
      </c>
      <c r="P1215" s="10">
        <v>8040.93</v>
      </c>
      <c r="Q1215" s="11">
        <v>5.9</v>
      </c>
      <c r="R1215" s="13" t="str">
        <f>IF(Patient_Data!$L1215&lt;2,"Low Risk",IF(Patient_Data!$L1215&lt;4,"Moderate Risk","High Risk"))</f>
        <v>High Risk</v>
      </c>
      <c r="S1215" s="12" t="str">
        <f>IF(Patient_Data[[#This Row],[Age]]&lt;=18,"Pediatric",IF(Patient_Data[[#This Row],[Age]]&lt;=64,"Adult","Geriatric"))</f>
        <v>Geriatric</v>
      </c>
    </row>
    <row r="1216" spans="1:19" ht="15.75" customHeight="1" x14ac:dyDescent="0.3">
      <c r="A1216" s="4" t="s">
        <v>2465</v>
      </c>
      <c r="B1216" s="5" t="str">
        <f>TEXT(Patient_Data!$E1216,"mmmm")</f>
        <v>September</v>
      </c>
      <c r="C1216" s="6" t="str">
        <f t="shared" si="8"/>
        <v>Sep</v>
      </c>
      <c r="D1216" s="6">
        <f>MONTH(Patient_Data!$E1216)</f>
        <v>9</v>
      </c>
      <c r="E1216" s="7">
        <v>45902</v>
      </c>
      <c r="F1216" s="55" t="str">
        <f>TEXT(Patient_Data[[#This Row],[Admission_Date]],"YYYY")</f>
        <v>2025</v>
      </c>
      <c r="G1216" s="8" t="s">
        <v>2466</v>
      </c>
      <c r="H1216" s="8" t="s">
        <v>28</v>
      </c>
      <c r="I1216" s="4" t="s">
        <v>29</v>
      </c>
      <c r="J1216" s="4">
        <v>59</v>
      </c>
      <c r="K1216" s="4" t="s">
        <v>54</v>
      </c>
      <c r="L1216" s="8">
        <v>4</v>
      </c>
      <c r="M1216" s="9" t="s">
        <v>36</v>
      </c>
      <c r="N1216" s="9" t="str">
        <f t="shared" si="9"/>
        <v>Cardio</v>
      </c>
      <c r="O1216" s="10">
        <v>11072.95</v>
      </c>
      <c r="P1216" s="10">
        <v>8108.85</v>
      </c>
      <c r="Q1216" s="11">
        <v>3.2</v>
      </c>
      <c r="R1216" s="13" t="str">
        <f>IF(Patient_Data!$L1216&lt;2,"Low Risk",IF(Patient_Data!$L1216&lt;4,"Moderate Risk","High Risk"))</f>
        <v>High Risk</v>
      </c>
      <c r="S1216" s="12" t="str">
        <f>IF(Patient_Data[[#This Row],[Age]]&lt;=18,"Pediatric",IF(Patient_Data[[#This Row],[Age]]&lt;=64,"Adult","Geriatric"))</f>
        <v>Adult</v>
      </c>
    </row>
    <row r="1217" spans="1:19" ht="15.75" customHeight="1" x14ac:dyDescent="0.3">
      <c r="A1217" s="4" t="s">
        <v>2467</v>
      </c>
      <c r="B1217" s="5" t="str">
        <f>TEXT(Patient_Data!$E1217,"mmmm")</f>
        <v>May</v>
      </c>
      <c r="C1217" s="6" t="str">
        <f t="shared" si="8"/>
        <v>May</v>
      </c>
      <c r="D1217" s="6">
        <f>MONTH(Patient_Data!$E1217)</f>
        <v>5</v>
      </c>
      <c r="E1217" s="7">
        <v>45798</v>
      </c>
      <c r="F1217" s="55" t="str">
        <f>TEXT(Patient_Data[[#This Row],[Admission_Date]],"YYYY")</f>
        <v>2025</v>
      </c>
      <c r="G1217" s="8" t="s">
        <v>2468</v>
      </c>
      <c r="H1217" s="8" t="s">
        <v>42</v>
      </c>
      <c r="I1217" s="4" t="s">
        <v>29</v>
      </c>
      <c r="J1217" s="4">
        <v>72</v>
      </c>
      <c r="K1217" s="4" t="s">
        <v>30</v>
      </c>
      <c r="L1217" s="8">
        <v>2</v>
      </c>
      <c r="M1217" s="9" t="s">
        <v>46</v>
      </c>
      <c r="N1217" s="9" t="str">
        <f t="shared" si="9"/>
        <v>Ortho</v>
      </c>
      <c r="O1217" s="10">
        <v>9089.8700000000008</v>
      </c>
      <c r="P1217" s="10">
        <v>6934.7</v>
      </c>
      <c r="Q1217" s="11">
        <v>3.3</v>
      </c>
      <c r="R1217" s="13" t="str">
        <f>IF(Patient_Data!$L1217&lt;2,"Low Risk",IF(Patient_Data!$L1217&lt;4,"Moderate Risk","High Risk"))</f>
        <v>Moderate Risk</v>
      </c>
      <c r="S1217" s="12" t="str">
        <f>IF(Patient_Data[[#This Row],[Age]]&lt;=18,"Pediatric",IF(Patient_Data[[#This Row],[Age]]&lt;=64,"Adult","Geriatric"))</f>
        <v>Geriatric</v>
      </c>
    </row>
    <row r="1218" spans="1:19" ht="15.75" customHeight="1" x14ac:dyDescent="0.3">
      <c r="A1218" s="4" t="s">
        <v>2469</v>
      </c>
      <c r="B1218" s="5" t="str">
        <f>TEXT(Patient_Data!$E1218,"mmmm")</f>
        <v>February</v>
      </c>
      <c r="C1218" s="6" t="str">
        <f t="shared" si="8"/>
        <v>Feb</v>
      </c>
      <c r="D1218" s="6">
        <f>MONTH(Patient_Data!$E1218)</f>
        <v>2</v>
      </c>
      <c r="E1218" s="7">
        <v>45702</v>
      </c>
      <c r="F1218" s="55" t="str">
        <f>TEXT(Patient_Data[[#This Row],[Admission_Date]],"YYYY")</f>
        <v>2025</v>
      </c>
      <c r="G1218" s="8" t="s">
        <v>2470</v>
      </c>
      <c r="H1218" s="8" t="s">
        <v>75</v>
      </c>
      <c r="I1218" s="4" t="s">
        <v>29</v>
      </c>
      <c r="J1218" s="4">
        <v>42</v>
      </c>
      <c r="K1218" s="4" t="s">
        <v>54</v>
      </c>
      <c r="L1218" s="8">
        <v>3</v>
      </c>
      <c r="M1218" s="9" t="s">
        <v>36</v>
      </c>
      <c r="N1218" s="9" t="str">
        <f t="shared" si="9"/>
        <v>Cardio</v>
      </c>
      <c r="O1218" s="10">
        <v>8057.24</v>
      </c>
      <c r="P1218" s="10">
        <v>4728.3999999999996</v>
      </c>
      <c r="Q1218" s="11">
        <v>6.9</v>
      </c>
      <c r="R1218" s="13" t="str">
        <f>IF(Patient_Data!$L1218&lt;2,"Low Risk",IF(Patient_Data!$L1218&lt;4,"Moderate Risk","High Risk"))</f>
        <v>Moderate Risk</v>
      </c>
      <c r="S1218" s="12" t="str">
        <f>IF(Patient_Data[[#This Row],[Age]]&lt;=18,"Pediatric",IF(Patient_Data[[#This Row],[Age]]&lt;=64,"Adult","Geriatric"))</f>
        <v>Adult</v>
      </c>
    </row>
    <row r="1219" spans="1:19" ht="15.75" customHeight="1" x14ac:dyDescent="0.3">
      <c r="A1219" s="4" t="s">
        <v>2471</v>
      </c>
      <c r="B1219" s="5" t="str">
        <f>TEXT(Patient_Data!$E1219,"mmmm")</f>
        <v>September</v>
      </c>
      <c r="C1219" s="6" t="str">
        <f t="shared" si="8"/>
        <v>Sep</v>
      </c>
      <c r="D1219" s="6">
        <f>MONTH(Patient_Data!$E1219)</f>
        <v>9</v>
      </c>
      <c r="E1219" s="7">
        <v>45903</v>
      </c>
      <c r="F1219" s="55" t="str">
        <f>TEXT(Patient_Data[[#This Row],[Admission_Date]],"YYYY")</f>
        <v>2025</v>
      </c>
      <c r="G1219" s="8" t="s">
        <v>2472</v>
      </c>
      <c r="H1219" s="8" t="s">
        <v>49</v>
      </c>
      <c r="I1219" s="4" t="s">
        <v>35</v>
      </c>
      <c r="J1219" s="4">
        <v>18</v>
      </c>
      <c r="K1219" s="4" t="s">
        <v>30</v>
      </c>
      <c r="L1219" s="8">
        <v>1</v>
      </c>
      <c r="M1219" s="9" t="s">
        <v>39</v>
      </c>
      <c r="N1219" s="9" t="str">
        <f t="shared" si="9"/>
        <v>GM</v>
      </c>
      <c r="O1219" s="10">
        <v>3970.3</v>
      </c>
      <c r="P1219" s="10">
        <v>2477.88</v>
      </c>
      <c r="Q1219" s="11">
        <v>7</v>
      </c>
      <c r="R1219" s="13" t="str">
        <f>IF(Patient_Data!$L1219&lt;2,"Low Risk",IF(Patient_Data!$L1219&lt;4,"Moderate Risk","High Risk"))</f>
        <v>Low Risk</v>
      </c>
      <c r="S1219" s="12" t="str">
        <f>IF(Patient_Data[[#This Row],[Age]]&lt;=18,"Pediatric",IF(Patient_Data[[#This Row],[Age]]&lt;=64,"Adult","Geriatric"))</f>
        <v>Pediatric</v>
      </c>
    </row>
    <row r="1220" spans="1:19" ht="15.75" customHeight="1" x14ac:dyDescent="0.3">
      <c r="A1220" s="4" t="s">
        <v>2473</v>
      </c>
      <c r="B1220" s="5" t="str">
        <f>TEXT(Patient_Data!$E1220,"mmmm")</f>
        <v>July</v>
      </c>
      <c r="C1220" s="6" t="str">
        <f t="shared" si="8"/>
        <v>Jul</v>
      </c>
      <c r="D1220" s="6">
        <f>MONTH(Patient_Data!$E1220)</f>
        <v>7</v>
      </c>
      <c r="E1220" s="7">
        <v>46217</v>
      </c>
      <c r="F1220" s="55" t="str">
        <f>TEXT(Patient_Data[[#This Row],[Admission_Date]],"YYYY")</f>
        <v>2026</v>
      </c>
      <c r="G1220" s="8" t="s">
        <v>2474</v>
      </c>
      <c r="H1220" s="8" t="s">
        <v>28</v>
      </c>
      <c r="I1220" s="4" t="s">
        <v>35</v>
      </c>
      <c r="J1220" s="4">
        <v>93</v>
      </c>
      <c r="K1220" s="4" t="s">
        <v>54</v>
      </c>
      <c r="L1220" s="8">
        <v>4</v>
      </c>
      <c r="M1220" s="9" t="s">
        <v>50</v>
      </c>
      <c r="N1220" s="9" t="str">
        <f t="shared" si="9"/>
        <v>ICU</v>
      </c>
      <c r="O1220" s="10">
        <v>10529.6</v>
      </c>
      <c r="P1220" s="10">
        <v>6825.34</v>
      </c>
      <c r="Q1220" s="11">
        <v>10.8</v>
      </c>
      <c r="R1220" s="13" t="str">
        <f>IF(Patient_Data!$L1220&lt;2,"Low Risk",IF(Patient_Data!$L1220&lt;4,"Moderate Risk","High Risk"))</f>
        <v>High Risk</v>
      </c>
      <c r="S1220" s="12" t="str">
        <f>IF(Patient_Data[[#This Row],[Age]]&lt;=18,"Pediatric",IF(Patient_Data[[#This Row],[Age]]&lt;=64,"Adult","Geriatric"))</f>
        <v>Geriatric</v>
      </c>
    </row>
    <row r="1221" spans="1:19" ht="15.75" customHeight="1" x14ac:dyDescent="0.3">
      <c r="A1221" s="4" t="s">
        <v>2475</v>
      </c>
      <c r="B1221" s="5" t="str">
        <f>TEXT(Patient_Data!$E1221,"mmmm")</f>
        <v>June</v>
      </c>
      <c r="C1221" s="6" t="str">
        <f t="shared" si="8"/>
        <v>Jun</v>
      </c>
      <c r="D1221" s="6">
        <f>MONTH(Patient_Data!$E1221)</f>
        <v>6</v>
      </c>
      <c r="E1221" s="7">
        <v>46185</v>
      </c>
      <c r="F1221" s="55" t="str">
        <f>TEXT(Patient_Data[[#This Row],[Admission_Date]],"YYYY")</f>
        <v>2026</v>
      </c>
      <c r="G1221" s="8" t="s">
        <v>2476</v>
      </c>
      <c r="H1221" s="8" t="s">
        <v>82</v>
      </c>
      <c r="I1221" s="4" t="s">
        <v>29</v>
      </c>
      <c r="J1221" s="4">
        <v>65</v>
      </c>
      <c r="K1221" s="4" t="s">
        <v>54</v>
      </c>
      <c r="L1221" s="8">
        <v>3</v>
      </c>
      <c r="M1221" s="9" t="s">
        <v>46</v>
      </c>
      <c r="N1221" s="9" t="str">
        <f t="shared" si="9"/>
        <v>Ortho</v>
      </c>
      <c r="O1221" s="10">
        <v>7081.54</v>
      </c>
      <c r="P1221" s="10">
        <v>4787.83</v>
      </c>
      <c r="Q1221" s="11">
        <v>5.4</v>
      </c>
      <c r="R1221" s="13" t="str">
        <f>IF(Patient_Data!$L1221&lt;2,"Low Risk",IF(Patient_Data!$L1221&lt;4,"Moderate Risk","High Risk"))</f>
        <v>Moderate Risk</v>
      </c>
      <c r="S1221" s="12" t="str">
        <f>IF(Patient_Data[[#This Row],[Age]]&lt;=18,"Pediatric",IF(Patient_Data[[#This Row],[Age]]&lt;=64,"Adult","Geriatric"))</f>
        <v>Geriatric</v>
      </c>
    </row>
    <row r="1222" spans="1:19" ht="15.75" customHeight="1" x14ac:dyDescent="0.3">
      <c r="A1222" s="4" t="s">
        <v>2477</v>
      </c>
      <c r="B1222" s="5" t="str">
        <f>TEXT(Patient_Data!$E1222,"mmmm")</f>
        <v>April</v>
      </c>
      <c r="C1222" s="6" t="str">
        <f t="shared" si="8"/>
        <v>Apr</v>
      </c>
      <c r="D1222" s="6">
        <f>MONTH(Patient_Data!$E1222)</f>
        <v>4</v>
      </c>
      <c r="E1222" s="7">
        <v>46121</v>
      </c>
      <c r="F1222" s="55" t="str">
        <f>TEXT(Patient_Data[[#This Row],[Admission_Date]],"YYYY")</f>
        <v>2026</v>
      </c>
      <c r="G1222" s="8" t="s">
        <v>2478</v>
      </c>
      <c r="H1222" s="8" t="s">
        <v>34</v>
      </c>
      <c r="I1222" s="4" t="s">
        <v>35</v>
      </c>
      <c r="J1222" s="4">
        <v>82</v>
      </c>
      <c r="K1222" s="4" t="s">
        <v>54</v>
      </c>
      <c r="L1222" s="8">
        <v>3</v>
      </c>
      <c r="M1222" s="9" t="s">
        <v>83</v>
      </c>
      <c r="N1222" s="9" t="str">
        <f t="shared" si="9"/>
        <v>ER</v>
      </c>
      <c r="O1222" s="10">
        <v>10082.049999999999</v>
      </c>
      <c r="P1222" s="10">
        <v>7225.43</v>
      </c>
      <c r="Q1222" s="11">
        <v>21</v>
      </c>
      <c r="R1222" s="13" t="str">
        <f>IF(Patient_Data!$L1222&lt;2,"Low Risk",IF(Patient_Data!$L1222&lt;4,"Moderate Risk","High Risk"))</f>
        <v>Moderate Risk</v>
      </c>
      <c r="S1222" s="12" t="str">
        <f>IF(Patient_Data[[#This Row],[Age]]&lt;=18,"Pediatric",IF(Patient_Data[[#This Row],[Age]]&lt;=64,"Adult","Geriatric"))</f>
        <v>Geriatric</v>
      </c>
    </row>
    <row r="1223" spans="1:19" ht="15.75" customHeight="1" x14ac:dyDescent="0.3">
      <c r="A1223" s="4" t="s">
        <v>2479</v>
      </c>
      <c r="B1223" s="5" t="str">
        <f>TEXT(Patient_Data!$E1223,"mmmm")</f>
        <v>April</v>
      </c>
      <c r="C1223" s="6" t="str">
        <f t="shared" si="8"/>
        <v>Apr</v>
      </c>
      <c r="D1223" s="6">
        <f>MONTH(Patient_Data!$E1223)</f>
        <v>4</v>
      </c>
      <c r="E1223" s="7">
        <v>46128</v>
      </c>
      <c r="F1223" s="55" t="str">
        <f>TEXT(Patient_Data[[#This Row],[Admission_Date]],"YYYY")</f>
        <v>2026</v>
      </c>
      <c r="G1223" s="8" t="s">
        <v>2480</v>
      </c>
      <c r="H1223" s="8" t="s">
        <v>34</v>
      </c>
      <c r="I1223" s="4" t="s">
        <v>29</v>
      </c>
      <c r="J1223" s="4">
        <v>11</v>
      </c>
      <c r="K1223" s="4" t="s">
        <v>45</v>
      </c>
      <c r="L1223" s="8">
        <v>4</v>
      </c>
      <c r="M1223" s="9" t="s">
        <v>79</v>
      </c>
      <c r="N1223" s="9" t="str">
        <f t="shared" si="9"/>
        <v>PD</v>
      </c>
      <c r="O1223" s="10">
        <v>2712.25</v>
      </c>
      <c r="P1223" s="10">
        <v>1994.34</v>
      </c>
      <c r="Q1223" s="11">
        <v>1.8</v>
      </c>
      <c r="R1223" s="13" t="str">
        <f>IF(Patient_Data!$L1223&lt;2,"Low Risk",IF(Patient_Data!$L1223&lt;4,"Moderate Risk","High Risk"))</f>
        <v>High Risk</v>
      </c>
      <c r="S1223" s="12" t="str">
        <f>IF(Patient_Data[[#This Row],[Age]]&lt;=18,"Pediatric",IF(Patient_Data[[#This Row],[Age]]&lt;=64,"Adult","Geriatric"))</f>
        <v>Pediatric</v>
      </c>
    </row>
    <row r="1224" spans="1:19" ht="15.75" customHeight="1" x14ac:dyDescent="0.3">
      <c r="A1224" s="4" t="s">
        <v>2481</v>
      </c>
      <c r="B1224" s="5" t="str">
        <f>TEXT(Patient_Data!$E1224,"mmmm")</f>
        <v>September</v>
      </c>
      <c r="C1224" s="6" t="str">
        <f t="shared" si="8"/>
        <v>Sep</v>
      </c>
      <c r="D1224" s="6">
        <f>MONTH(Patient_Data!$E1224)</f>
        <v>9</v>
      </c>
      <c r="E1224" s="7">
        <v>45926</v>
      </c>
      <c r="F1224" s="55" t="str">
        <f>TEXT(Patient_Data[[#This Row],[Admission_Date]],"YYYY")</f>
        <v>2025</v>
      </c>
      <c r="G1224" s="8" t="s">
        <v>2482</v>
      </c>
      <c r="H1224" s="8" t="s">
        <v>75</v>
      </c>
      <c r="I1224" s="4" t="s">
        <v>29</v>
      </c>
      <c r="J1224" s="4">
        <v>5</v>
      </c>
      <c r="K1224" s="4" t="s">
        <v>30</v>
      </c>
      <c r="L1224" s="8">
        <v>1</v>
      </c>
      <c r="M1224" s="9" t="s">
        <v>79</v>
      </c>
      <c r="N1224" s="9" t="str">
        <f t="shared" si="9"/>
        <v>PD</v>
      </c>
      <c r="O1224" s="10">
        <v>776.35</v>
      </c>
      <c r="P1224" s="10">
        <v>594.03</v>
      </c>
      <c r="Q1224" s="11">
        <v>0.5</v>
      </c>
      <c r="R1224" s="13" t="str">
        <f>IF(Patient_Data!$L1224&lt;2,"Low Risk",IF(Patient_Data!$L1224&lt;4,"Moderate Risk","High Risk"))</f>
        <v>Low Risk</v>
      </c>
      <c r="S1224" s="12" t="str">
        <f>IF(Patient_Data[[#This Row],[Age]]&lt;=18,"Pediatric",IF(Patient_Data[[#This Row],[Age]]&lt;=64,"Adult","Geriatric"))</f>
        <v>Pediatric</v>
      </c>
    </row>
    <row r="1225" spans="1:19" ht="15.75" customHeight="1" x14ac:dyDescent="0.3">
      <c r="A1225" s="4" t="s">
        <v>2483</v>
      </c>
      <c r="B1225" s="5" t="str">
        <f>TEXT(Patient_Data!$E1225,"mmmm")</f>
        <v>May</v>
      </c>
      <c r="C1225" s="6" t="str">
        <f t="shared" si="8"/>
        <v>May</v>
      </c>
      <c r="D1225" s="6">
        <f>MONTH(Patient_Data!$E1225)</f>
        <v>5</v>
      </c>
      <c r="E1225" s="7">
        <v>45807</v>
      </c>
      <c r="F1225" s="55" t="str">
        <f>TEXT(Patient_Data[[#This Row],[Admission_Date]],"YYYY")</f>
        <v>2025</v>
      </c>
      <c r="G1225" s="8" t="s">
        <v>2484</v>
      </c>
      <c r="H1225" s="8" t="s">
        <v>42</v>
      </c>
      <c r="I1225" s="4" t="s">
        <v>35</v>
      </c>
      <c r="J1225" s="4">
        <v>60</v>
      </c>
      <c r="K1225" s="4" t="s">
        <v>54</v>
      </c>
      <c r="L1225" s="8">
        <v>1</v>
      </c>
      <c r="M1225" s="9" t="s">
        <v>83</v>
      </c>
      <c r="N1225" s="9" t="str">
        <f t="shared" si="9"/>
        <v>ER</v>
      </c>
      <c r="O1225" s="10">
        <v>3914.81</v>
      </c>
      <c r="P1225" s="10">
        <v>2383.39</v>
      </c>
      <c r="Q1225" s="11">
        <v>14.1</v>
      </c>
      <c r="R1225" s="13" t="str">
        <f>IF(Patient_Data!$L1225&lt;2,"Low Risk",IF(Patient_Data!$L1225&lt;4,"Moderate Risk","High Risk"))</f>
        <v>Low Risk</v>
      </c>
      <c r="S1225" s="12" t="str">
        <f>IF(Patient_Data[[#This Row],[Age]]&lt;=18,"Pediatric",IF(Patient_Data[[#This Row],[Age]]&lt;=64,"Adult","Geriatric"))</f>
        <v>Adult</v>
      </c>
    </row>
    <row r="1226" spans="1:19" ht="15.75" customHeight="1" x14ac:dyDescent="0.3">
      <c r="A1226" s="4" t="s">
        <v>2485</v>
      </c>
      <c r="B1226" s="5" t="str">
        <f>TEXT(Patient_Data!$E1226,"mmmm")</f>
        <v>December</v>
      </c>
      <c r="C1226" s="6" t="str">
        <f t="shared" si="8"/>
        <v>Dec</v>
      </c>
      <c r="D1226" s="6">
        <f>MONTH(Patient_Data!$E1226)</f>
        <v>12</v>
      </c>
      <c r="E1226" s="7">
        <v>46014</v>
      </c>
      <c r="F1226" s="55" t="str">
        <f>TEXT(Patient_Data[[#This Row],[Admission_Date]],"YYYY")</f>
        <v>2025</v>
      </c>
      <c r="G1226" s="8" t="s">
        <v>2486</v>
      </c>
      <c r="H1226" s="8" t="s">
        <v>82</v>
      </c>
      <c r="I1226" s="4" t="s">
        <v>29</v>
      </c>
      <c r="J1226" s="4">
        <v>30</v>
      </c>
      <c r="K1226" s="4" t="s">
        <v>30</v>
      </c>
      <c r="L1226" s="8">
        <v>1</v>
      </c>
      <c r="M1226" s="9" t="s">
        <v>31</v>
      </c>
      <c r="N1226" s="9" t="str">
        <f t="shared" si="9"/>
        <v>Neuro</v>
      </c>
      <c r="O1226" s="10">
        <v>5612.4</v>
      </c>
      <c r="P1226" s="10">
        <v>3448.36</v>
      </c>
      <c r="Q1226" s="11">
        <v>3.1</v>
      </c>
      <c r="R1226" s="13" t="str">
        <f>IF(Patient_Data!$L1226&lt;2,"Low Risk",IF(Patient_Data!$L1226&lt;4,"Moderate Risk","High Risk"))</f>
        <v>Low Risk</v>
      </c>
      <c r="S1226" s="12" t="str">
        <f>IF(Patient_Data[[#This Row],[Age]]&lt;=18,"Pediatric",IF(Patient_Data[[#This Row],[Age]]&lt;=64,"Adult","Geriatric"))</f>
        <v>Adult</v>
      </c>
    </row>
    <row r="1227" spans="1:19" ht="15.75" customHeight="1" x14ac:dyDescent="0.3">
      <c r="A1227" s="4" t="s">
        <v>2487</v>
      </c>
      <c r="B1227" s="5" t="str">
        <f>TEXT(Patient_Data!$E1227,"mmmm")</f>
        <v>November</v>
      </c>
      <c r="C1227" s="6" t="str">
        <f t="shared" si="8"/>
        <v>Nov</v>
      </c>
      <c r="D1227" s="6">
        <f>MONTH(Patient_Data!$E1227)</f>
        <v>11</v>
      </c>
      <c r="E1227" s="7">
        <v>45260</v>
      </c>
      <c r="F1227" s="55" t="str">
        <f>TEXT(Patient_Data[[#This Row],[Admission_Date]],"YYYY")</f>
        <v>2023</v>
      </c>
      <c r="G1227" s="8" t="s">
        <v>2488</v>
      </c>
      <c r="H1227" s="8" t="s">
        <v>82</v>
      </c>
      <c r="I1227" s="4" t="s">
        <v>35</v>
      </c>
      <c r="J1227" s="4">
        <v>65</v>
      </c>
      <c r="K1227" s="4" t="s">
        <v>45</v>
      </c>
      <c r="L1227" s="8">
        <v>4</v>
      </c>
      <c r="M1227" s="9" t="s">
        <v>72</v>
      </c>
      <c r="N1227" s="9" t="str">
        <f t="shared" si="9"/>
        <v>Surgery</v>
      </c>
      <c r="O1227" s="10">
        <v>12173.03</v>
      </c>
      <c r="P1227" s="10">
        <v>7825.94</v>
      </c>
      <c r="Q1227" s="11">
        <v>4.4000000000000004</v>
      </c>
      <c r="R1227" s="13" t="str">
        <f>IF(Patient_Data!$L1227&lt;2,"Low Risk",IF(Patient_Data!$L1227&lt;4,"Moderate Risk","High Risk"))</f>
        <v>High Risk</v>
      </c>
      <c r="S1227" s="12" t="str">
        <f>IF(Patient_Data[[#This Row],[Age]]&lt;=18,"Pediatric",IF(Patient_Data[[#This Row],[Age]]&lt;=64,"Adult","Geriatric"))</f>
        <v>Geriatric</v>
      </c>
    </row>
    <row r="1228" spans="1:19" ht="15.75" customHeight="1" x14ac:dyDescent="0.3">
      <c r="A1228" s="4" t="s">
        <v>2489</v>
      </c>
      <c r="B1228" s="5" t="str">
        <f>TEXT(Patient_Data!$E1228,"mmmm")</f>
        <v>December</v>
      </c>
      <c r="C1228" s="6" t="str">
        <f t="shared" si="8"/>
        <v>Dec</v>
      </c>
      <c r="D1228" s="6">
        <f>MONTH(Patient_Data!$E1228)</f>
        <v>12</v>
      </c>
      <c r="E1228" s="7">
        <v>46022</v>
      </c>
      <c r="F1228" s="55" t="str">
        <f>TEXT(Patient_Data[[#This Row],[Admission_Date]],"YYYY")</f>
        <v>2025</v>
      </c>
      <c r="G1228" s="8" t="s">
        <v>2490</v>
      </c>
      <c r="H1228" s="8" t="s">
        <v>132</v>
      </c>
      <c r="I1228" s="4" t="s">
        <v>35</v>
      </c>
      <c r="J1228" s="4">
        <v>78</v>
      </c>
      <c r="K1228" s="4" t="s">
        <v>30</v>
      </c>
      <c r="L1228" s="8">
        <v>2</v>
      </c>
      <c r="M1228" s="9" t="s">
        <v>31</v>
      </c>
      <c r="N1228" s="9" t="str">
        <f t="shared" si="9"/>
        <v>Neuro</v>
      </c>
      <c r="O1228" s="10">
        <v>6445.29</v>
      </c>
      <c r="P1228" s="10">
        <v>4362.34</v>
      </c>
      <c r="Q1228" s="11">
        <v>5.5</v>
      </c>
      <c r="R1228" s="13" t="str">
        <f>IF(Patient_Data!$L1228&lt;2,"Low Risk",IF(Patient_Data!$L1228&lt;4,"Moderate Risk","High Risk"))</f>
        <v>Moderate Risk</v>
      </c>
      <c r="S1228" s="12" t="str">
        <f>IF(Patient_Data[[#This Row],[Age]]&lt;=18,"Pediatric",IF(Patient_Data[[#This Row],[Age]]&lt;=64,"Adult","Geriatric"))</f>
        <v>Geriatric</v>
      </c>
    </row>
    <row r="1229" spans="1:19" ht="15.75" customHeight="1" x14ac:dyDescent="0.3">
      <c r="A1229" s="4" t="s">
        <v>2491</v>
      </c>
      <c r="B1229" s="5" t="str">
        <f>TEXT(Patient_Data!$E1229,"mmmm")</f>
        <v>April</v>
      </c>
      <c r="C1229" s="6" t="str">
        <f t="shared" si="8"/>
        <v>Apr</v>
      </c>
      <c r="D1229" s="6">
        <f>MONTH(Patient_Data!$E1229)</f>
        <v>4</v>
      </c>
      <c r="E1229" s="7">
        <v>45771</v>
      </c>
      <c r="F1229" s="55" t="str">
        <f>TEXT(Patient_Data[[#This Row],[Admission_Date]],"YYYY")</f>
        <v>2025</v>
      </c>
      <c r="G1229" s="8" t="s">
        <v>2492</v>
      </c>
      <c r="H1229" s="8" t="s">
        <v>53</v>
      </c>
      <c r="I1229" s="4" t="s">
        <v>35</v>
      </c>
      <c r="J1229" s="4">
        <v>84</v>
      </c>
      <c r="K1229" s="4" t="s">
        <v>54</v>
      </c>
      <c r="L1229" s="8">
        <v>4</v>
      </c>
      <c r="M1229" s="9" t="s">
        <v>50</v>
      </c>
      <c r="N1229" s="9" t="str">
        <f t="shared" si="9"/>
        <v>ICU</v>
      </c>
      <c r="O1229" s="10">
        <v>10220.469999999999</v>
      </c>
      <c r="P1229" s="10">
        <v>7221.53</v>
      </c>
      <c r="Q1229" s="11">
        <v>8.4</v>
      </c>
      <c r="R1229" s="13" t="str">
        <f>IF(Patient_Data!$L1229&lt;2,"Low Risk",IF(Patient_Data!$L1229&lt;4,"Moderate Risk","High Risk"))</f>
        <v>High Risk</v>
      </c>
      <c r="S1229" s="12" t="str">
        <f>IF(Patient_Data[[#This Row],[Age]]&lt;=18,"Pediatric",IF(Patient_Data[[#This Row],[Age]]&lt;=64,"Adult","Geriatric"))</f>
        <v>Geriatric</v>
      </c>
    </row>
    <row r="1230" spans="1:19" ht="15.75" customHeight="1" x14ac:dyDescent="0.3">
      <c r="A1230" s="4" t="s">
        <v>2493</v>
      </c>
      <c r="B1230" s="5" t="str">
        <f>TEXT(Patient_Data!$E1230,"mmmm")</f>
        <v>December</v>
      </c>
      <c r="C1230" s="6" t="str">
        <f t="shared" si="8"/>
        <v>Dec</v>
      </c>
      <c r="D1230" s="6">
        <f>MONTH(Patient_Data!$E1230)</f>
        <v>12</v>
      </c>
      <c r="E1230" s="7">
        <v>45638</v>
      </c>
      <c r="F1230" s="55" t="str">
        <f>TEXT(Patient_Data[[#This Row],[Admission_Date]],"YYYY")</f>
        <v>2024</v>
      </c>
      <c r="G1230" s="8" t="s">
        <v>2494</v>
      </c>
      <c r="H1230" s="8" t="s">
        <v>49</v>
      </c>
      <c r="I1230" s="4" t="s">
        <v>35</v>
      </c>
      <c r="J1230" s="4">
        <v>17</v>
      </c>
      <c r="K1230" s="4" t="s">
        <v>30</v>
      </c>
      <c r="L1230" s="8">
        <v>1</v>
      </c>
      <c r="M1230" s="9" t="s">
        <v>79</v>
      </c>
      <c r="N1230" s="9" t="str">
        <f t="shared" si="9"/>
        <v>PD</v>
      </c>
      <c r="O1230" s="10">
        <v>2230.75</v>
      </c>
      <c r="P1230" s="10">
        <v>1648.45</v>
      </c>
      <c r="Q1230" s="11">
        <v>2.5</v>
      </c>
      <c r="R1230" s="13" t="str">
        <f>IF(Patient_Data!$L1230&lt;2,"Low Risk",IF(Patient_Data!$L1230&lt;4,"Moderate Risk","High Risk"))</f>
        <v>Low Risk</v>
      </c>
      <c r="S1230" s="12" t="str">
        <f>IF(Patient_Data[[#This Row],[Age]]&lt;=18,"Pediatric",IF(Patient_Data[[#This Row],[Age]]&lt;=64,"Adult","Geriatric"))</f>
        <v>Pediatric</v>
      </c>
    </row>
    <row r="1231" spans="1:19" ht="15.75" customHeight="1" x14ac:dyDescent="0.3">
      <c r="A1231" s="4" t="s">
        <v>2495</v>
      </c>
      <c r="B1231" s="5" t="str">
        <f>TEXT(Patient_Data!$E1231,"mmmm")</f>
        <v>October</v>
      </c>
      <c r="C1231" s="6" t="str">
        <f t="shared" si="8"/>
        <v>Oct</v>
      </c>
      <c r="D1231" s="6">
        <f>MONTH(Patient_Data!$E1231)</f>
        <v>10</v>
      </c>
      <c r="E1231" s="7">
        <v>45944</v>
      </c>
      <c r="F1231" s="55" t="str">
        <f>TEXT(Patient_Data[[#This Row],[Admission_Date]],"YYYY")</f>
        <v>2025</v>
      </c>
      <c r="G1231" s="8" t="s">
        <v>2496</v>
      </c>
      <c r="H1231" s="8" t="s">
        <v>49</v>
      </c>
      <c r="I1231" s="4" t="s">
        <v>35</v>
      </c>
      <c r="J1231" s="4">
        <v>38</v>
      </c>
      <c r="K1231" s="4" t="s">
        <v>30</v>
      </c>
      <c r="L1231" s="8">
        <v>3</v>
      </c>
      <c r="M1231" s="9" t="s">
        <v>36</v>
      </c>
      <c r="N1231" s="9" t="str">
        <f t="shared" si="9"/>
        <v>Cardio</v>
      </c>
      <c r="O1231" s="10">
        <v>7959.81</v>
      </c>
      <c r="P1231" s="10">
        <v>6068.66</v>
      </c>
      <c r="Q1231" s="11">
        <v>2.4</v>
      </c>
      <c r="R1231" s="13" t="str">
        <f>IF(Patient_Data!$L1231&lt;2,"Low Risk",IF(Patient_Data!$L1231&lt;4,"Moderate Risk","High Risk"))</f>
        <v>Moderate Risk</v>
      </c>
      <c r="S1231" s="12" t="str">
        <f>IF(Patient_Data[[#This Row],[Age]]&lt;=18,"Pediatric",IF(Patient_Data[[#This Row],[Age]]&lt;=64,"Adult","Geriatric"))</f>
        <v>Adult</v>
      </c>
    </row>
    <row r="1232" spans="1:19" ht="15.75" customHeight="1" x14ac:dyDescent="0.3">
      <c r="A1232" s="4" t="s">
        <v>2497</v>
      </c>
      <c r="B1232" s="5" t="str">
        <f>TEXT(Patient_Data!$E1232,"mmmm")</f>
        <v>January</v>
      </c>
      <c r="C1232" s="6" t="str">
        <f t="shared" si="8"/>
        <v>Jan</v>
      </c>
      <c r="D1232" s="6">
        <f>MONTH(Patient_Data!$E1232)</f>
        <v>1</v>
      </c>
      <c r="E1232" s="7">
        <v>45670</v>
      </c>
      <c r="F1232" s="55" t="str">
        <f>TEXT(Patient_Data[[#This Row],[Admission_Date]],"YYYY")</f>
        <v>2025</v>
      </c>
      <c r="G1232" s="8" t="s">
        <v>2498</v>
      </c>
      <c r="H1232" s="8" t="s">
        <v>49</v>
      </c>
      <c r="I1232" s="4" t="s">
        <v>29</v>
      </c>
      <c r="J1232" s="4">
        <v>17</v>
      </c>
      <c r="K1232" s="4" t="s">
        <v>30</v>
      </c>
      <c r="L1232" s="8">
        <v>1</v>
      </c>
      <c r="M1232" s="9" t="s">
        <v>79</v>
      </c>
      <c r="N1232" s="9" t="str">
        <f t="shared" si="9"/>
        <v>PD</v>
      </c>
      <c r="O1232" s="10">
        <v>2236.5100000000002</v>
      </c>
      <c r="P1232" s="10">
        <v>1302.78</v>
      </c>
      <c r="Q1232" s="11">
        <v>0.7</v>
      </c>
      <c r="R1232" s="13" t="str">
        <f>IF(Patient_Data!$L1232&lt;2,"Low Risk",IF(Patient_Data!$L1232&lt;4,"Moderate Risk","High Risk"))</f>
        <v>Low Risk</v>
      </c>
      <c r="S1232" s="12" t="str">
        <f>IF(Patient_Data[[#This Row],[Age]]&lt;=18,"Pediatric",IF(Patient_Data[[#This Row],[Age]]&lt;=64,"Adult","Geriatric"))</f>
        <v>Pediatric</v>
      </c>
    </row>
    <row r="1233" spans="1:19" ht="15.75" customHeight="1" x14ac:dyDescent="0.3">
      <c r="A1233" s="4" t="s">
        <v>2499</v>
      </c>
      <c r="B1233" s="5" t="str">
        <f>TEXT(Patient_Data!$E1233,"mmmm")</f>
        <v>June</v>
      </c>
      <c r="C1233" s="6" t="str">
        <f t="shared" si="8"/>
        <v>Jun</v>
      </c>
      <c r="D1233" s="6">
        <f>MONTH(Patient_Data!$E1233)</f>
        <v>6</v>
      </c>
      <c r="E1233" s="7">
        <v>46189</v>
      </c>
      <c r="F1233" s="55" t="str">
        <f>TEXT(Patient_Data[[#This Row],[Admission_Date]],"YYYY")</f>
        <v>2026</v>
      </c>
      <c r="G1233" s="8" t="s">
        <v>2500</v>
      </c>
      <c r="H1233" s="8" t="s">
        <v>42</v>
      </c>
      <c r="I1233" s="4" t="s">
        <v>29</v>
      </c>
      <c r="J1233" s="4">
        <v>65</v>
      </c>
      <c r="K1233" s="4" t="s">
        <v>54</v>
      </c>
      <c r="L1233" s="8">
        <v>4</v>
      </c>
      <c r="M1233" s="9" t="s">
        <v>46</v>
      </c>
      <c r="N1233" s="9" t="str">
        <f t="shared" si="9"/>
        <v>Ortho</v>
      </c>
      <c r="O1233" s="10">
        <v>7307.76</v>
      </c>
      <c r="P1233" s="10">
        <v>4500.93</v>
      </c>
      <c r="Q1233" s="11">
        <v>5.4</v>
      </c>
      <c r="R1233" s="13" t="str">
        <f>IF(Patient_Data!$L1233&lt;2,"Low Risk",IF(Patient_Data!$L1233&lt;4,"Moderate Risk","High Risk"))</f>
        <v>High Risk</v>
      </c>
      <c r="S1233" s="12" t="str">
        <f>IF(Patient_Data[[#This Row],[Age]]&lt;=18,"Pediatric",IF(Patient_Data[[#This Row],[Age]]&lt;=64,"Adult","Geriatric"))</f>
        <v>Geriatric</v>
      </c>
    </row>
    <row r="1234" spans="1:19" ht="15.75" customHeight="1" x14ac:dyDescent="0.3">
      <c r="A1234" s="4" t="s">
        <v>2501</v>
      </c>
      <c r="B1234" s="5" t="str">
        <f>TEXT(Patient_Data!$E1234,"mmmm")</f>
        <v>May</v>
      </c>
      <c r="C1234" s="6" t="str">
        <f t="shared" si="8"/>
        <v>May</v>
      </c>
      <c r="D1234" s="6">
        <f>MONTH(Patient_Data!$E1234)</f>
        <v>5</v>
      </c>
      <c r="E1234" s="7">
        <v>46167</v>
      </c>
      <c r="F1234" s="55" t="str">
        <f>TEXT(Patient_Data[[#This Row],[Admission_Date]],"YYYY")</f>
        <v>2026</v>
      </c>
      <c r="G1234" s="8" t="s">
        <v>2502</v>
      </c>
      <c r="H1234" s="8" t="s">
        <v>53</v>
      </c>
      <c r="I1234" s="4" t="s">
        <v>29</v>
      </c>
      <c r="J1234" s="4">
        <v>50</v>
      </c>
      <c r="K1234" s="4" t="s">
        <v>54</v>
      </c>
      <c r="L1234" s="8">
        <v>2</v>
      </c>
      <c r="M1234" s="9" t="s">
        <v>46</v>
      </c>
      <c r="N1234" s="9" t="str">
        <f t="shared" si="9"/>
        <v>Ortho</v>
      </c>
      <c r="O1234" s="10">
        <v>10182.73</v>
      </c>
      <c r="P1234" s="10">
        <v>6588.95</v>
      </c>
      <c r="Q1234" s="11">
        <v>9</v>
      </c>
      <c r="R1234" s="13" t="str">
        <f>IF(Patient_Data!$L1234&lt;2,"Low Risk",IF(Patient_Data!$L1234&lt;4,"Moderate Risk","High Risk"))</f>
        <v>Moderate Risk</v>
      </c>
      <c r="S1234" s="12" t="str">
        <f>IF(Patient_Data[[#This Row],[Age]]&lt;=18,"Pediatric",IF(Patient_Data[[#This Row],[Age]]&lt;=64,"Adult","Geriatric"))</f>
        <v>Adult</v>
      </c>
    </row>
    <row r="1235" spans="1:19" ht="15.75" customHeight="1" x14ac:dyDescent="0.3">
      <c r="A1235" s="4" t="s">
        <v>2503</v>
      </c>
      <c r="B1235" s="5" t="str">
        <f>TEXT(Patient_Data!$E1235,"mmmm")</f>
        <v>May</v>
      </c>
      <c r="C1235" s="6" t="str">
        <f t="shared" si="8"/>
        <v>May</v>
      </c>
      <c r="D1235" s="6">
        <f>MONTH(Patient_Data!$E1235)</f>
        <v>5</v>
      </c>
      <c r="E1235" s="7">
        <v>46171</v>
      </c>
      <c r="F1235" s="55" t="str">
        <f>TEXT(Patient_Data[[#This Row],[Admission_Date]],"YYYY")</f>
        <v>2026</v>
      </c>
      <c r="G1235" s="8" t="s">
        <v>2504</v>
      </c>
      <c r="H1235" s="8" t="s">
        <v>49</v>
      </c>
      <c r="I1235" s="4" t="s">
        <v>29</v>
      </c>
      <c r="J1235" s="4">
        <v>75</v>
      </c>
      <c r="K1235" s="4" t="s">
        <v>30</v>
      </c>
      <c r="L1235" s="8">
        <v>1</v>
      </c>
      <c r="M1235" s="9" t="s">
        <v>31</v>
      </c>
      <c r="N1235" s="9" t="str">
        <f t="shared" si="9"/>
        <v>Neuro</v>
      </c>
      <c r="O1235" s="10">
        <v>5252.57</v>
      </c>
      <c r="P1235" s="10">
        <v>3603.22</v>
      </c>
      <c r="Q1235" s="11">
        <v>10.5</v>
      </c>
      <c r="R1235" s="13" t="str">
        <f>IF(Patient_Data!$L1235&lt;2,"Low Risk",IF(Patient_Data!$L1235&lt;4,"Moderate Risk","High Risk"))</f>
        <v>Low Risk</v>
      </c>
      <c r="S1235" s="12" t="str">
        <f>IF(Patient_Data[[#This Row],[Age]]&lt;=18,"Pediatric",IF(Patient_Data[[#This Row],[Age]]&lt;=64,"Adult","Geriatric"))</f>
        <v>Geriatric</v>
      </c>
    </row>
    <row r="1236" spans="1:19" ht="15.75" customHeight="1" x14ac:dyDescent="0.3">
      <c r="A1236" s="4" t="s">
        <v>2505</v>
      </c>
      <c r="B1236" s="5" t="str">
        <f>TEXT(Patient_Data!$E1236,"mmmm")</f>
        <v>August</v>
      </c>
      <c r="C1236" s="6" t="str">
        <f t="shared" si="8"/>
        <v>Aug</v>
      </c>
      <c r="D1236" s="6">
        <f>MONTH(Patient_Data!$E1236)</f>
        <v>8</v>
      </c>
      <c r="E1236" s="7">
        <v>45888</v>
      </c>
      <c r="F1236" s="55" t="str">
        <f>TEXT(Patient_Data[[#This Row],[Admission_Date]],"YYYY")</f>
        <v>2025</v>
      </c>
      <c r="G1236" s="8" t="s">
        <v>2506</v>
      </c>
      <c r="H1236" s="8" t="s">
        <v>34</v>
      </c>
      <c r="I1236" s="4" t="s">
        <v>35</v>
      </c>
      <c r="J1236" s="4">
        <v>80</v>
      </c>
      <c r="K1236" s="4" t="s">
        <v>54</v>
      </c>
      <c r="L1236" s="8">
        <v>5</v>
      </c>
      <c r="M1236" s="9" t="s">
        <v>72</v>
      </c>
      <c r="N1236" s="9" t="str">
        <f t="shared" si="9"/>
        <v>Surgery</v>
      </c>
      <c r="O1236" s="10">
        <v>24084.57</v>
      </c>
      <c r="P1236" s="10">
        <v>16953.599999999999</v>
      </c>
      <c r="Q1236" s="11">
        <v>11.8</v>
      </c>
      <c r="R1236" s="13" t="str">
        <f>IF(Patient_Data!$L1236&lt;2,"Low Risk",IF(Patient_Data!$L1236&lt;4,"Moderate Risk","High Risk"))</f>
        <v>High Risk</v>
      </c>
      <c r="S1236" s="12" t="str">
        <f>IF(Patient_Data[[#This Row],[Age]]&lt;=18,"Pediatric",IF(Patient_Data[[#This Row],[Age]]&lt;=64,"Adult","Geriatric"))</f>
        <v>Geriatric</v>
      </c>
    </row>
    <row r="1237" spans="1:19" ht="15.75" customHeight="1" x14ac:dyDescent="0.3">
      <c r="A1237" s="4" t="s">
        <v>2507</v>
      </c>
      <c r="B1237" s="5" t="str">
        <f>TEXT(Patient_Data!$E1237,"mmmm")</f>
        <v>August</v>
      </c>
      <c r="C1237" s="6" t="str">
        <f t="shared" si="8"/>
        <v>Aug</v>
      </c>
      <c r="D1237" s="6">
        <f>MONTH(Patient_Data!$E1237)</f>
        <v>8</v>
      </c>
      <c r="E1237" s="7">
        <v>45513</v>
      </c>
      <c r="F1237" s="55" t="str">
        <f>TEXT(Patient_Data[[#This Row],[Admission_Date]],"YYYY")</f>
        <v>2024</v>
      </c>
      <c r="G1237" s="8" t="s">
        <v>2508</v>
      </c>
      <c r="H1237" s="8" t="s">
        <v>28</v>
      </c>
      <c r="I1237" s="4" t="s">
        <v>35</v>
      </c>
      <c r="J1237" s="4">
        <v>78</v>
      </c>
      <c r="K1237" s="4" t="s">
        <v>30</v>
      </c>
      <c r="L1237" s="8">
        <v>3</v>
      </c>
      <c r="M1237" s="9" t="s">
        <v>31</v>
      </c>
      <c r="N1237" s="9" t="str">
        <f t="shared" si="9"/>
        <v>Neuro</v>
      </c>
      <c r="O1237" s="10">
        <v>6167.64</v>
      </c>
      <c r="P1237" s="10">
        <v>4555.9799999999996</v>
      </c>
      <c r="Q1237" s="11">
        <v>6.7</v>
      </c>
      <c r="R1237" s="13" t="str">
        <f>IF(Patient_Data!$L1237&lt;2,"Low Risk",IF(Patient_Data!$L1237&lt;4,"Moderate Risk","High Risk"))</f>
        <v>Moderate Risk</v>
      </c>
      <c r="S1237" s="12" t="str">
        <f>IF(Patient_Data[[#This Row],[Age]]&lt;=18,"Pediatric",IF(Patient_Data[[#This Row],[Age]]&lt;=64,"Adult","Geriatric"))</f>
        <v>Geriatric</v>
      </c>
    </row>
    <row r="1238" spans="1:19" ht="15.75" customHeight="1" x14ac:dyDescent="0.3">
      <c r="A1238" s="4" t="s">
        <v>2509</v>
      </c>
      <c r="B1238" s="5" t="str">
        <f>TEXT(Patient_Data!$E1238,"mmmm")</f>
        <v>June</v>
      </c>
      <c r="C1238" s="6" t="str">
        <f t="shared" si="8"/>
        <v>Jun</v>
      </c>
      <c r="D1238" s="6">
        <f>MONTH(Patient_Data!$E1238)</f>
        <v>6</v>
      </c>
      <c r="E1238" s="7">
        <v>45453</v>
      </c>
      <c r="F1238" s="55" t="str">
        <f>TEXT(Patient_Data[[#This Row],[Admission_Date]],"YYYY")</f>
        <v>2024</v>
      </c>
      <c r="G1238" s="8" t="s">
        <v>2510</v>
      </c>
      <c r="H1238" s="8" t="s">
        <v>82</v>
      </c>
      <c r="I1238" s="4" t="s">
        <v>29</v>
      </c>
      <c r="J1238" s="4">
        <v>72</v>
      </c>
      <c r="K1238" s="4" t="s">
        <v>30</v>
      </c>
      <c r="L1238" s="8">
        <v>3</v>
      </c>
      <c r="M1238" s="9" t="s">
        <v>46</v>
      </c>
      <c r="N1238" s="9" t="str">
        <f t="shared" si="9"/>
        <v>Ortho</v>
      </c>
      <c r="O1238" s="10">
        <v>4966.87</v>
      </c>
      <c r="P1238" s="10">
        <v>3802.02</v>
      </c>
      <c r="Q1238" s="11">
        <v>3.4</v>
      </c>
      <c r="R1238" s="13" t="str">
        <f>IF(Patient_Data!$L1238&lt;2,"Low Risk",IF(Patient_Data!$L1238&lt;4,"Moderate Risk","High Risk"))</f>
        <v>Moderate Risk</v>
      </c>
      <c r="S1238" s="12" t="str">
        <f>IF(Patient_Data[[#This Row],[Age]]&lt;=18,"Pediatric",IF(Patient_Data[[#This Row],[Age]]&lt;=64,"Adult","Geriatric"))</f>
        <v>Geriatric</v>
      </c>
    </row>
    <row r="1239" spans="1:19" ht="15.75" customHeight="1" x14ac:dyDescent="0.3">
      <c r="A1239" s="4" t="s">
        <v>2511</v>
      </c>
      <c r="B1239" s="5" t="str">
        <f>TEXT(Patient_Data!$E1239,"mmmm")</f>
        <v>May</v>
      </c>
      <c r="C1239" s="6" t="str">
        <f t="shared" si="8"/>
        <v>May</v>
      </c>
      <c r="D1239" s="6">
        <f>MONTH(Patient_Data!$E1239)</f>
        <v>5</v>
      </c>
      <c r="E1239" s="7">
        <v>46167</v>
      </c>
      <c r="F1239" s="55" t="str">
        <f>TEXT(Patient_Data[[#This Row],[Admission_Date]],"YYYY")</f>
        <v>2026</v>
      </c>
      <c r="G1239" s="8" t="s">
        <v>2512</v>
      </c>
      <c r="H1239" s="8" t="s">
        <v>34</v>
      </c>
      <c r="I1239" s="4" t="s">
        <v>35</v>
      </c>
      <c r="J1239" s="4">
        <v>29</v>
      </c>
      <c r="K1239" s="4" t="s">
        <v>54</v>
      </c>
      <c r="L1239" s="8">
        <v>3</v>
      </c>
      <c r="M1239" s="9" t="s">
        <v>36</v>
      </c>
      <c r="N1239" s="9" t="str">
        <f t="shared" si="9"/>
        <v>Cardio</v>
      </c>
      <c r="O1239" s="10">
        <v>12979.8</v>
      </c>
      <c r="P1239" s="10">
        <v>7606.68</v>
      </c>
      <c r="Q1239" s="11">
        <v>9.8000000000000007</v>
      </c>
      <c r="R1239" s="13" t="str">
        <f>IF(Patient_Data!$L1239&lt;2,"Low Risk",IF(Patient_Data!$L1239&lt;4,"Moderate Risk","High Risk"))</f>
        <v>Moderate Risk</v>
      </c>
      <c r="S1239" s="12" t="str">
        <f>IF(Patient_Data[[#This Row],[Age]]&lt;=18,"Pediatric",IF(Patient_Data[[#This Row],[Age]]&lt;=64,"Adult","Geriatric"))</f>
        <v>Adult</v>
      </c>
    </row>
    <row r="1240" spans="1:19" ht="15.75" customHeight="1" x14ac:dyDescent="0.3">
      <c r="A1240" s="4" t="s">
        <v>2513</v>
      </c>
      <c r="B1240" s="5" t="str">
        <f>TEXT(Patient_Data!$E1240,"mmmm")</f>
        <v>December</v>
      </c>
      <c r="C1240" s="6" t="str">
        <f t="shared" si="8"/>
        <v>Dec</v>
      </c>
      <c r="D1240" s="6">
        <f>MONTH(Patient_Data!$E1240)</f>
        <v>12</v>
      </c>
      <c r="E1240" s="7">
        <v>45287</v>
      </c>
      <c r="F1240" s="55" t="str">
        <f>TEXT(Patient_Data[[#This Row],[Admission_Date]],"YYYY")</f>
        <v>2023</v>
      </c>
      <c r="G1240" s="8" t="s">
        <v>2514</v>
      </c>
      <c r="H1240" s="8" t="s">
        <v>53</v>
      </c>
      <c r="I1240" s="4" t="s">
        <v>35</v>
      </c>
      <c r="J1240" s="4">
        <v>41</v>
      </c>
      <c r="K1240" s="4" t="s">
        <v>30</v>
      </c>
      <c r="L1240" s="8">
        <v>1</v>
      </c>
      <c r="M1240" s="9" t="s">
        <v>83</v>
      </c>
      <c r="N1240" s="9" t="str">
        <f t="shared" si="9"/>
        <v>ER</v>
      </c>
      <c r="O1240" s="10">
        <v>7636.92</v>
      </c>
      <c r="P1240" s="10">
        <v>4758.5200000000004</v>
      </c>
      <c r="Q1240" s="11">
        <v>12.5</v>
      </c>
      <c r="R1240" s="13" t="str">
        <f>IF(Patient_Data!$L1240&lt;2,"Low Risk",IF(Patient_Data!$L1240&lt;4,"Moderate Risk","High Risk"))</f>
        <v>Low Risk</v>
      </c>
      <c r="S1240" s="12" t="str">
        <f>IF(Patient_Data[[#This Row],[Age]]&lt;=18,"Pediatric",IF(Patient_Data[[#This Row],[Age]]&lt;=64,"Adult","Geriatric"))</f>
        <v>Adult</v>
      </c>
    </row>
    <row r="1241" spans="1:19" ht="15.75" customHeight="1" x14ac:dyDescent="0.3">
      <c r="A1241" s="4" t="s">
        <v>2515</v>
      </c>
      <c r="B1241" s="5" t="str">
        <f>TEXT(Patient_Data!$E1241,"mmmm")</f>
        <v>November</v>
      </c>
      <c r="C1241" s="6" t="str">
        <f t="shared" si="8"/>
        <v>Nov</v>
      </c>
      <c r="D1241" s="6">
        <f>MONTH(Patient_Data!$E1241)</f>
        <v>11</v>
      </c>
      <c r="E1241" s="7">
        <v>45236</v>
      </c>
      <c r="F1241" s="55" t="str">
        <f>TEXT(Patient_Data[[#This Row],[Admission_Date]],"YYYY")</f>
        <v>2023</v>
      </c>
      <c r="G1241" s="8" t="s">
        <v>2516</v>
      </c>
      <c r="H1241" s="8" t="s">
        <v>34</v>
      </c>
      <c r="I1241" s="4" t="s">
        <v>35</v>
      </c>
      <c r="J1241" s="4">
        <v>73</v>
      </c>
      <c r="K1241" s="4" t="s">
        <v>54</v>
      </c>
      <c r="L1241" s="8">
        <v>4</v>
      </c>
      <c r="M1241" s="9" t="s">
        <v>72</v>
      </c>
      <c r="N1241" s="9" t="str">
        <f t="shared" si="9"/>
        <v>Surgery</v>
      </c>
      <c r="O1241" s="10">
        <v>11542.63</v>
      </c>
      <c r="P1241" s="10">
        <v>7461.68</v>
      </c>
      <c r="Q1241" s="11">
        <v>9.3000000000000007</v>
      </c>
      <c r="R1241" s="13" t="str">
        <f>IF(Patient_Data!$L1241&lt;2,"Low Risk",IF(Patient_Data!$L1241&lt;4,"Moderate Risk","High Risk"))</f>
        <v>High Risk</v>
      </c>
      <c r="S1241" s="12" t="str">
        <f>IF(Patient_Data[[#This Row],[Age]]&lt;=18,"Pediatric",IF(Patient_Data[[#This Row],[Age]]&lt;=64,"Adult","Geriatric"))</f>
        <v>Geriatric</v>
      </c>
    </row>
    <row r="1242" spans="1:19" ht="15.75" customHeight="1" x14ac:dyDescent="0.3">
      <c r="A1242" s="4" t="s">
        <v>2517</v>
      </c>
      <c r="B1242" s="5" t="str">
        <f>TEXT(Patient_Data!$E1242,"mmmm")</f>
        <v>December</v>
      </c>
      <c r="C1242" s="6" t="str">
        <f t="shared" si="8"/>
        <v>Dec</v>
      </c>
      <c r="D1242" s="6">
        <f>MONTH(Patient_Data!$E1242)</f>
        <v>12</v>
      </c>
      <c r="E1242" s="7">
        <v>45266</v>
      </c>
      <c r="F1242" s="55" t="str">
        <f>TEXT(Patient_Data[[#This Row],[Admission_Date]],"YYYY")</f>
        <v>2023</v>
      </c>
      <c r="G1242" s="8" t="s">
        <v>2518</v>
      </c>
      <c r="H1242" s="8" t="s">
        <v>53</v>
      </c>
      <c r="I1242" s="4" t="s">
        <v>35</v>
      </c>
      <c r="J1242" s="4">
        <v>8</v>
      </c>
      <c r="K1242" s="4" t="s">
        <v>30</v>
      </c>
      <c r="L1242" s="8">
        <v>1</v>
      </c>
      <c r="M1242" s="9" t="s">
        <v>79</v>
      </c>
      <c r="N1242" s="9" t="str">
        <f t="shared" si="9"/>
        <v>PD</v>
      </c>
      <c r="O1242" s="10">
        <v>720.06</v>
      </c>
      <c r="P1242" s="10">
        <v>523.24</v>
      </c>
      <c r="Q1242" s="11">
        <v>5.0999999999999996</v>
      </c>
      <c r="R1242" s="13" t="str">
        <f>IF(Patient_Data!$L1242&lt;2,"Low Risk",IF(Patient_Data!$L1242&lt;4,"Moderate Risk","High Risk"))</f>
        <v>Low Risk</v>
      </c>
      <c r="S1242" s="12" t="str">
        <f>IF(Patient_Data[[#This Row],[Age]]&lt;=18,"Pediatric",IF(Patient_Data[[#This Row],[Age]]&lt;=64,"Adult","Geriatric"))</f>
        <v>Pediatric</v>
      </c>
    </row>
    <row r="1243" spans="1:19" ht="15.75" customHeight="1" x14ac:dyDescent="0.3">
      <c r="A1243" s="4" t="s">
        <v>2519</v>
      </c>
      <c r="B1243" s="5" t="str">
        <f>TEXT(Patient_Data!$E1243,"mmmm")</f>
        <v>September</v>
      </c>
      <c r="C1243" s="6" t="str">
        <f t="shared" si="8"/>
        <v>Sep</v>
      </c>
      <c r="D1243" s="6">
        <f>MONTH(Patient_Data!$E1243)</f>
        <v>9</v>
      </c>
      <c r="E1243" s="7">
        <v>45180</v>
      </c>
      <c r="F1243" s="55" t="str">
        <f>TEXT(Patient_Data[[#This Row],[Admission_Date]],"YYYY")</f>
        <v>2023</v>
      </c>
      <c r="G1243" s="8" t="s">
        <v>2520</v>
      </c>
      <c r="H1243" s="8" t="s">
        <v>132</v>
      </c>
      <c r="I1243" s="4" t="s">
        <v>35</v>
      </c>
      <c r="J1243" s="4">
        <v>68</v>
      </c>
      <c r="K1243" s="4" t="s">
        <v>30</v>
      </c>
      <c r="L1243" s="8">
        <v>3</v>
      </c>
      <c r="M1243" s="9" t="s">
        <v>36</v>
      </c>
      <c r="N1243" s="9" t="str">
        <f t="shared" si="9"/>
        <v>Cardio</v>
      </c>
      <c r="O1243" s="10">
        <v>8507.24</v>
      </c>
      <c r="P1243" s="10">
        <v>6035.87</v>
      </c>
      <c r="Q1243" s="11">
        <v>10.1</v>
      </c>
      <c r="R1243" s="13" t="str">
        <f>IF(Patient_Data!$L1243&lt;2,"Low Risk",IF(Patient_Data!$L1243&lt;4,"Moderate Risk","High Risk"))</f>
        <v>Moderate Risk</v>
      </c>
      <c r="S1243" s="12" t="str">
        <f>IF(Patient_Data[[#This Row],[Age]]&lt;=18,"Pediatric",IF(Patient_Data[[#This Row],[Age]]&lt;=64,"Adult","Geriatric"))</f>
        <v>Geriatric</v>
      </c>
    </row>
    <row r="1244" spans="1:19" ht="15.75" customHeight="1" x14ac:dyDescent="0.3">
      <c r="A1244" s="4" t="s">
        <v>2521</v>
      </c>
      <c r="B1244" s="5" t="str">
        <f>TEXT(Patient_Data!$E1244,"mmmm")</f>
        <v>December</v>
      </c>
      <c r="C1244" s="6" t="str">
        <f t="shared" si="8"/>
        <v>Dec</v>
      </c>
      <c r="D1244" s="6">
        <f>MONTH(Patient_Data!$E1244)</f>
        <v>12</v>
      </c>
      <c r="E1244" s="7">
        <v>46011</v>
      </c>
      <c r="F1244" s="55" t="str">
        <f>TEXT(Patient_Data[[#This Row],[Admission_Date]],"YYYY")</f>
        <v>2025</v>
      </c>
      <c r="G1244" s="8" t="s">
        <v>2522</v>
      </c>
      <c r="H1244" s="8" t="s">
        <v>53</v>
      </c>
      <c r="I1244" s="4" t="s">
        <v>35</v>
      </c>
      <c r="J1244" s="4">
        <v>12</v>
      </c>
      <c r="K1244" s="4" t="s">
        <v>54</v>
      </c>
      <c r="L1244" s="8">
        <v>3</v>
      </c>
      <c r="M1244" s="9" t="s">
        <v>79</v>
      </c>
      <c r="N1244" s="9" t="str">
        <f t="shared" si="9"/>
        <v>PD</v>
      </c>
      <c r="O1244" s="10">
        <v>1475.94</v>
      </c>
      <c r="P1244" s="10">
        <v>1114.24</v>
      </c>
      <c r="Q1244" s="11">
        <v>4.5999999999999996</v>
      </c>
      <c r="R1244" s="13" t="str">
        <f>IF(Patient_Data!$L1244&lt;2,"Low Risk",IF(Patient_Data!$L1244&lt;4,"Moderate Risk","High Risk"))</f>
        <v>Moderate Risk</v>
      </c>
      <c r="S1244" s="12" t="str">
        <f>IF(Patient_Data[[#This Row],[Age]]&lt;=18,"Pediatric",IF(Patient_Data[[#This Row],[Age]]&lt;=64,"Adult","Geriatric"))</f>
        <v>Pediatric</v>
      </c>
    </row>
    <row r="1245" spans="1:19" ht="15.75" customHeight="1" x14ac:dyDescent="0.3">
      <c r="A1245" s="4" t="s">
        <v>2523</v>
      </c>
      <c r="B1245" s="5" t="str">
        <f>TEXT(Patient_Data!$E1245,"mmmm")</f>
        <v>December</v>
      </c>
      <c r="C1245" s="6" t="str">
        <f t="shared" si="8"/>
        <v>Dec</v>
      </c>
      <c r="D1245" s="6">
        <f>MONTH(Patient_Data!$E1245)</f>
        <v>12</v>
      </c>
      <c r="E1245" s="7">
        <v>45640</v>
      </c>
      <c r="F1245" s="55" t="str">
        <f>TEXT(Patient_Data[[#This Row],[Admission_Date]],"YYYY")</f>
        <v>2024</v>
      </c>
      <c r="G1245" s="8" t="s">
        <v>2524</v>
      </c>
      <c r="H1245" s="8" t="s">
        <v>49</v>
      </c>
      <c r="I1245" s="4" t="s">
        <v>29</v>
      </c>
      <c r="J1245" s="4">
        <v>70</v>
      </c>
      <c r="K1245" s="4" t="s">
        <v>54</v>
      </c>
      <c r="L1245" s="8">
        <v>5</v>
      </c>
      <c r="M1245" s="9" t="s">
        <v>50</v>
      </c>
      <c r="N1245" s="9" t="str">
        <f t="shared" si="9"/>
        <v>ICU</v>
      </c>
      <c r="O1245" s="10">
        <v>12434.21</v>
      </c>
      <c r="P1245" s="10">
        <v>9571.6</v>
      </c>
      <c r="Q1245" s="11">
        <v>15.2</v>
      </c>
      <c r="R1245" s="13" t="str">
        <f>IF(Patient_Data!$L1245&lt;2,"Low Risk",IF(Patient_Data!$L1245&lt;4,"Moderate Risk","High Risk"))</f>
        <v>High Risk</v>
      </c>
      <c r="S1245" s="12" t="str">
        <f>IF(Patient_Data[[#This Row],[Age]]&lt;=18,"Pediatric",IF(Patient_Data[[#This Row],[Age]]&lt;=64,"Adult","Geriatric"))</f>
        <v>Geriatric</v>
      </c>
    </row>
    <row r="1246" spans="1:19" ht="15.75" customHeight="1" x14ac:dyDescent="0.3">
      <c r="A1246" s="4" t="s">
        <v>2525</v>
      </c>
      <c r="B1246" s="5" t="str">
        <f>TEXT(Patient_Data!$E1246,"mmmm")</f>
        <v>July</v>
      </c>
      <c r="C1246" s="6" t="str">
        <f t="shared" si="8"/>
        <v>Jul</v>
      </c>
      <c r="D1246" s="6">
        <f>MONTH(Patient_Data!$E1246)</f>
        <v>7</v>
      </c>
      <c r="E1246" s="7">
        <v>45476</v>
      </c>
      <c r="F1246" s="55" t="str">
        <f>TEXT(Patient_Data[[#This Row],[Admission_Date]],"YYYY")</f>
        <v>2024</v>
      </c>
      <c r="G1246" s="8" t="s">
        <v>2526</v>
      </c>
      <c r="H1246" s="8" t="s">
        <v>42</v>
      </c>
      <c r="I1246" s="4" t="s">
        <v>35</v>
      </c>
      <c r="J1246" s="4">
        <v>29</v>
      </c>
      <c r="K1246" s="4" t="s">
        <v>30</v>
      </c>
      <c r="L1246" s="8">
        <v>1</v>
      </c>
      <c r="M1246" s="9" t="s">
        <v>39</v>
      </c>
      <c r="N1246" s="9" t="str">
        <f t="shared" si="9"/>
        <v>GM</v>
      </c>
      <c r="O1246" s="10">
        <v>2712.37</v>
      </c>
      <c r="P1246" s="10">
        <v>1645.17</v>
      </c>
      <c r="Q1246" s="11">
        <v>9</v>
      </c>
      <c r="R1246" s="13" t="str">
        <f>IF(Patient_Data!$L1246&lt;2,"Low Risk",IF(Patient_Data!$L1246&lt;4,"Moderate Risk","High Risk"))</f>
        <v>Low Risk</v>
      </c>
      <c r="S1246" s="12" t="str">
        <f>IF(Patient_Data[[#This Row],[Age]]&lt;=18,"Pediatric",IF(Patient_Data[[#This Row],[Age]]&lt;=64,"Adult","Geriatric"))</f>
        <v>Adult</v>
      </c>
    </row>
    <row r="1247" spans="1:19" ht="15.75" customHeight="1" x14ac:dyDescent="0.3">
      <c r="A1247" s="4" t="s">
        <v>2527</v>
      </c>
      <c r="B1247" s="5" t="str">
        <f>TEXT(Patient_Data!$E1247,"mmmm")</f>
        <v>March</v>
      </c>
      <c r="C1247" s="6" t="str">
        <f t="shared" si="8"/>
        <v>Mar</v>
      </c>
      <c r="D1247" s="6">
        <f>MONTH(Patient_Data!$E1247)</f>
        <v>3</v>
      </c>
      <c r="E1247" s="7">
        <v>46100</v>
      </c>
      <c r="F1247" s="55" t="str">
        <f>TEXT(Patient_Data[[#This Row],[Admission_Date]],"YYYY")</f>
        <v>2026</v>
      </c>
      <c r="G1247" s="8" t="s">
        <v>2528</v>
      </c>
      <c r="H1247" s="8" t="s">
        <v>34</v>
      </c>
      <c r="I1247" s="4" t="s">
        <v>35</v>
      </c>
      <c r="J1247" s="4">
        <v>58</v>
      </c>
      <c r="K1247" s="4" t="s">
        <v>30</v>
      </c>
      <c r="L1247" s="8">
        <v>3</v>
      </c>
      <c r="M1247" s="9" t="s">
        <v>72</v>
      </c>
      <c r="N1247" s="9" t="str">
        <f t="shared" si="9"/>
        <v>Surgery</v>
      </c>
      <c r="O1247" s="10">
        <v>15790.7</v>
      </c>
      <c r="P1247" s="10">
        <v>9687.5300000000007</v>
      </c>
      <c r="Q1247" s="11">
        <v>6.9</v>
      </c>
      <c r="R1247" s="13" t="str">
        <f>IF(Patient_Data!$L1247&lt;2,"Low Risk",IF(Patient_Data!$L1247&lt;4,"Moderate Risk","High Risk"))</f>
        <v>Moderate Risk</v>
      </c>
      <c r="S1247" s="12" t="str">
        <f>IF(Patient_Data[[#This Row],[Age]]&lt;=18,"Pediatric",IF(Patient_Data[[#This Row],[Age]]&lt;=64,"Adult","Geriatric"))</f>
        <v>Adult</v>
      </c>
    </row>
    <row r="1248" spans="1:19" ht="15.75" customHeight="1" x14ac:dyDescent="0.3">
      <c r="A1248" s="4" t="s">
        <v>2529</v>
      </c>
      <c r="B1248" s="5" t="str">
        <f>TEXT(Patient_Data!$E1248,"mmmm")</f>
        <v>October</v>
      </c>
      <c r="C1248" s="6" t="str">
        <f t="shared" si="8"/>
        <v>Oct</v>
      </c>
      <c r="D1248" s="6">
        <f>MONTH(Patient_Data!$E1248)</f>
        <v>10</v>
      </c>
      <c r="E1248" s="7">
        <v>45931</v>
      </c>
      <c r="F1248" s="55" t="str">
        <f>TEXT(Patient_Data[[#This Row],[Admission_Date]],"YYYY")</f>
        <v>2025</v>
      </c>
      <c r="G1248" s="8" t="s">
        <v>2530</v>
      </c>
      <c r="H1248" s="8" t="s">
        <v>98</v>
      </c>
      <c r="I1248" s="4" t="s">
        <v>29</v>
      </c>
      <c r="J1248" s="4">
        <v>52</v>
      </c>
      <c r="K1248" s="4" t="s">
        <v>45</v>
      </c>
      <c r="L1248" s="8">
        <v>4</v>
      </c>
      <c r="M1248" s="9" t="s">
        <v>72</v>
      </c>
      <c r="N1248" s="9" t="str">
        <f t="shared" si="9"/>
        <v>Surgery</v>
      </c>
      <c r="O1248" s="10">
        <v>21543.21</v>
      </c>
      <c r="P1248" s="10">
        <v>13840.45</v>
      </c>
      <c r="Q1248" s="11">
        <v>6.6</v>
      </c>
      <c r="R1248" s="13" t="str">
        <f>IF(Patient_Data!$L1248&lt;2,"Low Risk",IF(Patient_Data!$L1248&lt;4,"Moderate Risk","High Risk"))</f>
        <v>High Risk</v>
      </c>
      <c r="S1248" s="12" t="str">
        <f>IF(Patient_Data[[#This Row],[Age]]&lt;=18,"Pediatric",IF(Patient_Data[[#This Row],[Age]]&lt;=64,"Adult","Geriatric"))</f>
        <v>Adult</v>
      </c>
    </row>
    <row r="1249" spans="1:19" ht="15.75" customHeight="1" x14ac:dyDescent="0.3">
      <c r="A1249" s="4" t="s">
        <v>2531</v>
      </c>
      <c r="B1249" s="5" t="str">
        <f>TEXT(Patient_Data!$E1249,"mmmm")</f>
        <v>May</v>
      </c>
      <c r="C1249" s="6" t="str">
        <f t="shared" si="8"/>
        <v>May</v>
      </c>
      <c r="D1249" s="6">
        <f>MONTH(Patient_Data!$E1249)</f>
        <v>5</v>
      </c>
      <c r="E1249" s="7">
        <v>46156</v>
      </c>
      <c r="F1249" s="55" t="str">
        <f>TEXT(Patient_Data[[#This Row],[Admission_Date]],"YYYY")</f>
        <v>2026</v>
      </c>
      <c r="G1249" s="8" t="s">
        <v>2532</v>
      </c>
      <c r="H1249" s="8" t="s">
        <v>28</v>
      </c>
      <c r="I1249" s="4" t="s">
        <v>35</v>
      </c>
      <c r="J1249" s="4">
        <v>40</v>
      </c>
      <c r="K1249" s="4" t="s">
        <v>30</v>
      </c>
      <c r="L1249" s="8">
        <v>1</v>
      </c>
      <c r="M1249" s="9" t="s">
        <v>83</v>
      </c>
      <c r="N1249" s="9" t="str">
        <f t="shared" si="9"/>
        <v>ER</v>
      </c>
      <c r="O1249" s="10">
        <v>7397.76</v>
      </c>
      <c r="P1249" s="10">
        <v>5119.7</v>
      </c>
      <c r="Q1249" s="11">
        <v>20.399999999999999</v>
      </c>
      <c r="R1249" s="13" t="str">
        <f>IF(Patient_Data!$L1249&lt;2,"Low Risk",IF(Patient_Data!$L1249&lt;4,"Moderate Risk","High Risk"))</f>
        <v>Low Risk</v>
      </c>
      <c r="S1249" s="12" t="str">
        <f>IF(Patient_Data[[#This Row],[Age]]&lt;=18,"Pediatric",IF(Patient_Data[[#This Row],[Age]]&lt;=64,"Adult","Geriatric"))</f>
        <v>Adult</v>
      </c>
    </row>
    <row r="1250" spans="1:19" ht="15.75" customHeight="1" x14ac:dyDescent="0.3">
      <c r="A1250" s="4" t="s">
        <v>2533</v>
      </c>
      <c r="B1250" s="5" t="str">
        <f>TEXT(Patient_Data!$E1250,"mmmm")</f>
        <v>May</v>
      </c>
      <c r="C1250" s="6" t="str">
        <f t="shared" si="8"/>
        <v>May</v>
      </c>
      <c r="D1250" s="6">
        <f>MONTH(Patient_Data!$E1250)</f>
        <v>5</v>
      </c>
      <c r="E1250" s="7">
        <v>46166</v>
      </c>
      <c r="F1250" s="55" t="str">
        <f>TEXT(Patient_Data[[#This Row],[Admission_Date]],"YYYY")</f>
        <v>2026</v>
      </c>
      <c r="G1250" s="8" t="s">
        <v>2534</v>
      </c>
      <c r="H1250" s="8" t="s">
        <v>28</v>
      </c>
      <c r="I1250" s="4" t="s">
        <v>35</v>
      </c>
      <c r="J1250" s="4">
        <v>60</v>
      </c>
      <c r="K1250" s="4" t="s">
        <v>30</v>
      </c>
      <c r="L1250" s="8">
        <v>1</v>
      </c>
      <c r="M1250" s="9" t="s">
        <v>31</v>
      </c>
      <c r="N1250" s="9" t="str">
        <f t="shared" si="9"/>
        <v>Neuro</v>
      </c>
      <c r="O1250" s="10">
        <v>7711.33</v>
      </c>
      <c r="P1250" s="10">
        <v>5488.33</v>
      </c>
      <c r="Q1250" s="11">
        <v>11.3</v>
      </c>
      <c r="R1250" s="13" t="str">
        <f>IF(Patient_Data!$L1250&lt;2,"Low Risk",IF(Patient_Data!$L1250&lt;4,"Moderate Risk","High Risk"))</f>
        <v>Low Risk</v>
      </c>
      <c r="S1250" s="12" t="str">
        <f>IF(Patient_Data[[#This Row],[Age]]&lt;=18,"Pediatric",IF(Patient_Data[[#This Row],[Age]]&lt;=64,"Adult","Geriatric"))</f>
        <v>Adult</v>
      </c>
    </row>
    <row r="1251" spans="1:19" ht="15.75" customHeight="1" x14ac:dyDescent="0.3">
      <c r="A1251" s="4" t="s">
        <v>2535</v>
      </c>
      <c r="B1251" s="5" t="str">
        <f>TEXT(Patient_Data!$E1251,"mmmm")</f>
        <v>December</v>
      </c>
      <c r="C1251" s="6" t="str">
        <f t="shared" si="8"/>
        <v>Dec</v>
      </c>
      <c r="D1251" s="6">
        <f>MONTH(Patient_Data!$E1251)</f>
        <v>12</v>
      </c>
      <c r="E1251" s="7">
        <v>46009</v>
      </c>
      <c r="F1251" s="55" t="str">
        <f>TEXT(Patient_Data[[#This Row],[Admission_Date]],"YYYY")</f>
        <v>2025</v>
      </c>
      <c r="G1251" s="8" t="s">
        <v>2536</v>
      </c>
      <c r="H1251" s="8" t="s">
        <v>34</v>
      </c>
      <c r="I1251" s="4" t="s">
        <v>29</v>
      </c>
      <c r="J1251" s="4">
        <v>64</v>
      </c>
      <c r="K1251" s="4" t="s">
        <v>30</v>
      </c>
      <c r="L1251" s="8">
        <v>2</v>
      </c>
      <c r="M1251" s="9" t="s">
        <v>83</v>
      </c>
      <c r="N1251" s="9" t="str">
        <f t="shared" si="9"/>
        <v>ER</v>
      </c>
      <c r="O1251" s="10">
        <v>5228.3100000000004</v>
      </c>
      <c r="P1251" s="10">
        <v>3911.07</v>
      </c>
      <c r="Q1251" s="11">
        <v>11.8</v>
      </c>
      <c r="R1251" s="13" t="str">
        <f>IF(Patient_Data!$L1251&lt;2,"Low Risk",IF(Patient_Data!$L1251&lt;4,"Moderate Risk","High Risk"))</f>
        <v>Moderate Risk</v>
      </c>
      <c r="S1251" s="12" t="str">
        <f>IF(Patient_Data[[#This Row],[Age]]&lt;=18,"Pediatric",IF(Patient_Data[[#This Row],[Age]]&lt;=64,"Adult","Geriatric"))</f>
        <v>Adult</v>
      </c>
    </row>
    <row r="1252" spans="1:19" ht="15.75" customHeight="1" x14ac:dyDescent="0.3">
      <c r="A1252" s="4" t="s">
        <v>2537</v>
      </c>
      <c r="B1252" s="5" t="str">
        <f>TEXT(Patient_Data!$E1252,"mmmm")</f>
        <v>September</v>
      </c>
      <c r="C1252" s="6" t="str">
        <f t="shared" si="8"/>
        <v>Sep</v>
      </c>
      <c r="D1252" s="6">
        <f>MONTH(Patient_Data!$E1252)</f>
        <v>9</v>
      </c>
      <c r="E1252" s="7">
        <v>45191</v>
      </c>
      <c r="F1252" s="55" t="str">
        <f>TEXT(Patient_Data[[#This Row],[Admission_Date]],"YYYY")</f>
        <v>2023</v>
      </c>
      <c r="G1252" s="8" t="s">
        <v>2538</v>
      </c>
      <c r="H1252" s="8" t="s">
        <v>28</v>
      </c>
      <c r="I1252" s="4" t="s">
        <v>35</v>
      </c>
      <c r="J1252" s="4">
        <v>32</v>
      </c>
      <c r="K1252" s="4" t="s">
        <v>45</v>
      </c>
      <c r="L1252" s="8">
        <v>2</v>
      </c>
      <c r="M1252" s="9" t="s">
        <v>83</v>
      </c>
      <c r="N1252" s="9" t="str">
        <f t="shared" si="9"/>
        <v>ER</v>
      </c>
      <c r="O1252" s="10">
        <v>9713.84</v>
      </c>
      <c r="P1252" s="10">
        <v>7564.12</v>
      </c>
      <c r="Q1252" s="11">
        <v>22.7</v>
      </c>
      <c r="R1252" s="13" t="str">
        <f>IF(Patient_Data!$L1252&lt;2,"Low Risk",IF(Patient_Data!$L1252&lt;4,"Moderate Risk","High Risk"))</f>
        <v>Moderate Risk</v>
      </c>
      <c r="S1252" s="12" t="str">
        <f>IF(Patient_Data[[#This Row],[Age]]&lt;=18,"Pediatric",IF(Patient_Data[[#This Row],[Age]]&lt;=64,"Adult","Geriatric"))</f>
        <v>Adult</v>
      </c>
    </row>
    <row r="1253" spans="1:19" ht="15.75" customHeight="1" x14ac:dyDescent="0.3">
      <c r="A1253" s="4" t="s">
        <v>2539</v>
      </c>
      <c r="B1253" s="5" t="str">
        <f>TEXT(Patient_Data!$E1253,"mmmm")</f>
        <v>October</v>
      </c>
      <c r="C1253" s="6" t="str">
        <f t="shared" si="8"/>
        <v>Oct</v>
      </c>
      <c r="D1253" s="6">
        <f>MONTH(Patient_Data!$E1253)</f>
        <v>10</v>
      </c>
      <c r="E1253" s="7">
        <v>45201</v>
      </c>
      <c r="F1253" s="55" t="str">
        <f>TEXT(Patient_Data[[#This Row],[Admission_Date]],"YYYY")</f>
        <v>2023</v>
      </c>
      <c r="G1253" s="8" t="s">
        <v>2540</v>
      </c>
      <c r="H1253" s="8" t="s">
        <v>42</v>
      </c>
      <c r="I1253" s="4" t="s">
        <v>29</v>
      </c>
      <c r="J1253" s="4">
        <v>43</v>
      </c>
      <c r="K1253" s="4" t="s">
        <v>30</v>
      </c>
      <c r="L1253" s="8">
        <v>1</v>
      </c>
      <c r="M1253" s="9" t="s">
        <v>36</v>
      </c>
      <c r="N1253" s="9" t="str">
        <f t="shared" si="9"/>
        <v>Cardio</v>
      </c>
      <c r="O1253" s="10">
        <v>8024.92</v>
      </c>
      <c r="P1253" s="10">
        <v>4672.05</v>
      </c>
      <c r="Q1253" s="11">
        <v>2.2000000000000002</v>
      </c>
      <c r="R1253" s="13" t="str">
        <f>IF(Patient_Data!$L1253&lt;2,"Low Risk",IF(Patient_Data!$L1253&lt;4,"Moderate Risk","High Risk"))</f>
        <v>Low Risk</v>
      </c>
      <c r="S1253" s="12" t="str">
        <f>IF(Patient_Data[[#This Row],[Age]]&lt;=18,"Pediatric",IF(Patient_Data[[#This Row],[Age]]&lt;=64,"Adult","Geriatric"))</f>
        <v>Adult</v>
      </c>
    </row>
    <row r="1254" spans="1:19" ht="15.75" customHeight="1" x14ac:dyDescent="0.3">
      <c r="A1254" s="4" t="s">
        <v>2541</v>
      </c>
      <c r="B1254" s="5" t="str">
        <f>TEXT(Patient_Data!$E1254,"mmmm")</f>
        <v>March</v>
      </c>
      <c r="C1254" s="6" t="str">
        <f t="shared" si="8"/>
        <v>Mar</v>
      </c>
      <c r="D1254" s="6">
        <f>MONTH(Patient_Data!$E1254)</f>
        <v>3</v>
      </c>
      <c r="E1254" s="7">
        <v>45729</v>
      </c>
      <c r="F1254" s="55" t="str">
        <f>TEXT(Patient_Data[[#This Row],[Admission_Date]],"YYYY")</f>
        <v>2025</v>
      </c>
      <c r="G1254" s="8" t="s">
        <v>2542</v>
      </c>
      <c r="H1254" s="8" t="s">
        <v>28</v>
      </c>
      <c r="I1254" s="4" t="s">
        <v>35</v>
      </c>
      <c r="J1254" s="4">
        <v>48</v>
      </c>
      <c r="K1254" s="4" t="s">
        <v>30</v>
      </c>
      <c r="L1254" s="8">
        <v>3</v>
      </c>
      <c r="M1254" s="9" t="s">
        <v>83</v>
      </c>
      <c r="N1254" s="9" t="str">
        <f t="shared" si="9"/>
        <v>ER</v>
      </c>
      <c r="O1254" s="10">
        <v>6017.7</v>
      </c>
      <c r="P1254" s="10">
        <v>3798.8</v>
      </c>
      <c r="Q1254" s="11">
        <v>16</v>
      </c>
      <c r="R1254" s="13" t="str">
        <f>IF(Patient_Data!$L1254&lt;2,"Low Risk",IF(Patient_Data!$L1254&lt;4,"Moderate Risk","High Risk"))</f>
        <v>Moderate Risk</v>
      </c>
      <c r="S1254" s="12" t="str">
        <f>IF(Patient_Data[[#This Row],[Age]]&lt;=18,"Pediatric",IF(Patient_Data[[#This Row],[Age]]&lt;=64,"Adult","Geriatric"))</f>
        <v>Adult</v>
      </c>
    </row>
    <row r="1255" spans="1:19" ht="15.75" customHeight="1" x14ac:dyDescent="0.3">
      <c r="A1255" s="4" t="s">
        <v>2543</v>
      </c>
      <c r="B1255" s="5" t="str">
        <f>TEXT(Patient_Data!$E1255,"mmmm")</f>
        <v>April</v>
      </c>
      <c r="C1255" s="6" t="str">
        <f t="shared" si="8"/>
        <v>Apr</v>
      </c>
      <c r="D1255" s="6">
        <f>MONTH(Patient_Data!$E1255)</f>
        <v>4</v>
      </c>
      <c r="E1255" s="7">
        <v>45754</v>
      </c>
      <c r="F1255" s="55" t="str">
        <f>TEXT(Patient_Data[[#This Row],[Admission_Date]],"YYYY")</f>
        <v>2025</v>
      </c>
      <c r="G1255" s="8" t="s">
        <v>2544</v>
      </c>
      <c r="H1255" s="8" t="s">
        <v>82</v>
      </c>
      <c r="I1255" s="4" t="s">
        <v>35</v>
      </c>
      <c r="J1255" s="4">
        <v>35</v>
      </c>
      <c r="K1255" s="4" t="s">
        <v>30</v>
      </c>
      <c r="L1255" s="8">
        <v>1</v>
      </c>
      <c r="M1255" s="9" t="s">
        <v>31</v>
      </c>
      <c r="N1255" s="9" t="str">
        <f t="shared" si="9"/>
        <v>Neuro</v>
      </c>
      <c r="O1255" s="10">
        <v>5592.38</v>
      </c>
      <c r="P1255" s="10">
        <v>3627.12</v>
      </c>
      <c r="Q1255" s="11">
        <v>6</v>
      </c>
      <c r="R1255" s="13" t="str">
        <f>IF(Patient_Data!$L1255&lt;2,"Low Risk",IF(Patient_Data!$L1255&lt;4,"Moderate Risk","High Risk"))</f>
        <v>Low Risk</v>
      </c>
      <c r="S1255" s="12" t="str">
        <f>IF(Patient_Data[[#This Row],[Age]]&lt;=18,"Pediatric",IF(Patient_Data[[#This Row],[Age]]&lt;=64,"Adult","Geriatric"))</f>
        <v>Adult</v>
      </c>
    </row>
    <row r="1256" spans="1:19" ht="15.75" customHeight="1" x14ac:dyDescent="0.3">
      <c r="A1256" s="4" t="s">
        <v>2545</v>
      </c>
      <c r="B1256" s="5" t="str">
        <f>TEXT(Patient_Data!$E1256,"mmmm")</f>
        <v>October</v>
      </c>
      <c r="C1256" s="6" t="str">
        <f t="shared" si="8"/>
        <v>Oct</v>
      </c>
      <c r="D1256" s="6">
        <f>MONTH(Patient_Data!$E1256)</f>
        <v>10</v>
      </c>
      <c r="E1256" s="7">
        <v>45202</v>
      </c>
      <c r="F1256" s="55" t="str">
        <f>TEXT(Patient_Data[[#This Row],[Admission_Date]],"YYYY")</f>
        <v>2023</v>
      </c>
      <c r="G1256" s="8" t="s">
        <v>2546</v>
      </c>
      <c r="H1256" s="8" t="s">
        <v>132</v>
      </c>
      <c r="I1256" s="4" t="s">
        <v>35</v>
      </c>
      <c r="J1256" s="4">
        <v>70</v>
      </c>
      <c r="K1256" s="4" t="s">
        <v>30</v>
      </c>
      <c r="L1256" s="8">
        <v>2</v>
      </c>
      <c r="M1256" s="9" t="s">
        <v>39</v>
      </c>
      <c r="N1256" s="9" t="str">
        <f t="shared" si="9"/>
        <v>GM</v>
      </c>
      <c r="O1256" s="10">
        <v>5617.82</v>
      </c>
      <c r="P1256" s="10">
        <v>3839.14</v>
      </c>
      <c r="Q1256" s="11">
        <v>9.4</v>
      </c>
      <c r="R1256" s="13" t="str">
        <f>IF(Patient_Data!$L1256&lt;2,"Low Risk",IF(Patient_Data!$L1256&lt;4,"Moderate Risk","High Risk"))</f>
        <v>Moderate Risk</v>
      </c>
      <c r="S1256" s="12" t="str">
        <f>IF(Patient_Data[[#This Row],[Age]]&lt;=18,"Pediatric",IF(Patient_Data[[#This Row],[Age]]&lt;=64,"Adult","Geriatric"))</f>
        <v>Geriatric</v>
      </c>
    </row>
    <row r="1257" spans="1:19" ht="15.75" customHeight="1" x14ac:dyDescent="0.3">
      <c r="A1257" s="4" t="s">
        <v>2547</v>
      </c>
      <c r="B1257" s="5" t="str">
        <f>TEXT(Patient_Data!$E1257,"mmmm")</f>
        <v>June</v>
      </c>
      <c r="C1257" s="6" t="str">
        <f t="shared" si="8"/>
        <v>Jun</v>
      </c>
      <c r="D1257" s="6">
        <f>MONTH(Patient_Data!$E1257)</f>
        <v>6</v>
      </c>
      <c r="E1257" s="7">
        <v>46195</v>
      </c>
      <c r="F1257" s="55" t="str">
        <f>TEXT(Patient_Data[[#This Row],[Admission_Date]],"YYYY")</f>
        <v>2026</v>
      </c>
      <c r="G1257" s="8" t="s">
        <v>2548</v>
      </c>
      <c r="H1257" s="8" t="s">
        <v>42</v>
      </c>
      <c r="I1257" s="4" t="s">
        <v>29</v>
      </c>
      <c r="J1257" s="4">
        <v>68</v>
      </c>
      <c r="K1257" s="4" t="s">
        <v>54</v>
      </c>
      <c r="L1257" s="8">
        <v>5</v>
      </c>
      <c r="M1257" s="9" t="s">
        <v>50</v>
      </c>
      <c r="N1257" s="9" t="str">
        <f t="shared" si="9"/>
        <v>ICU</v>
      </c>
      <c r="O1257" s="10">
        <v>22343.919999999998</v>
      </c>
      <c r="P1257" s="10">
        <v>15725.54</v>
      </c>
      <c r="Q1257" s="11">
        <v>10.6</v>
      </c>
      <c r="R1257" s="13" t="str">
        <f>IF(Patient_Data!$L1257&lt;2,"Low Risk",IF(Patient_Data!$L1257&lt;4,"Moderate Risk","High Risk"))</f>
        <v>High Risk</v>
      </c>
      <c r="S1257" s="12" t="str">
        <f>IF(Patient_Data[[#This Row],[Age]]&lt;=18,"Pediatric",IF(Patient_Data[[#This Row],[Age]]&lt;=64,"Adult","Geriatric"))</f>
        <v>Geriatric</v>
      </c>
    </row>
    <row r="1258" spans="1:19" ht="15.75" customHeight="1" x14ac:dyDescent="0.3">
      <c r="A1258" s="4" t="s">
        <v>2549</v>
      </c>
      <c r="B1258" s="5" t="str">
        <f>TEXT(Patient_Data!$E1258,"mmmm")</f>
        <v>January</v>
      </c>
      <c r="C1258" s="6" t="str">
        <f t="shared" si="8"/>
        <v>Jan</v>
      </c>
      <c r="D1258" s="6">
        <f>MONTH(Patient_Data!$E1258)</f>
        <v>1</v>
      </c>
      <c r="E1258" s="7">
        <v>46048</v>
      </c>
      <c r="F1258" s="55" t="str">
        <f>TEXT(Patient_Data[[#This Row],[Admission_Date]],"YYYY")</f>
        <v>2026</v>
      </c>
      <c r="G1258" s="8" t="s">
        <v>2550</v>
      </c>
      <c r="H1258" s="8" t="s">
        <v>34</v>
      </c>
      <c r="I1258" s="4" t="s">
        <v>35</v>
      </c>
      <c r="J1258" s="4">
        <v>40</v>
      </c>
      <c r="K1258" s="4" t="s">
        <v>30</v>
      </c>
      <c r="L1258" s="8">
        <v>2</v>
      </c>
      <c r="M1258" s="9" t="s">
        <v>36</v>
      </c>
      <c r="N1258" s="9" t="str">
        <f t="shared" si="9"/>
        <v>Cardio</v>
      </c>
      <c r="O1258" s="10">
        <v>10718.86</v>
      </c>
      <c r="P1258" s="10">
        <v>7907.17</v>
      </c>
      <c r="Q1258" s="11">
        <v>10.3</v>
      </c>
      <c r="R1258" s="13" t="str">
        <f>IF(Patient_Data!$L1258&lt;2,"Low Risk",IF(Patient_Data!$L1258&lt;4,"Moderate Risk","High Risk"))</f>
        <v>Moderate Risk</v>
      </c>
      <c r="S1258" s="12" t="str">
        <f>IF(Patient_Data[[#This Row],[Age]]&lt;=18,"Pediatric",IF(Patient_Data[[#This Row],[Age]]&lt;=64,"Adult","Geriatric"))</f>
        <v>Adult</v>
      </c>
    </row>
    <row r="1259" spans="1:19" ht="15.75" customHeight="1" x14ac:dyDescent="0.3">
      <c r="A1259" s="4" t="s">
        <v>2551</v>
      </c>
      <c r="B1259" s="5" t="str">
        <f>TEXT(Patient_Data!$E1259,"mmmm")</f>
        <v>August</v>
      </c>
      <c r="C1259" s="6" t="str">
        <f t="shared" si="8"/>
        <v>Aug</v>
      </c>
      <c r="D1259" s="6">
        <f>MONTH(Patient_Data!$E1259)</f>
        <v>8</v>
      </c>
      <c r="E1259" s="7">
        <v>45534</v>
      </c>
      <c r="F1259" s="55" t="str">
        <f>TEXT(Patient_Data[[#This Row],[Admission_Date]],"YYYY")</f>
        <v>2024</v>
      </c>
      <c r="G1259" s="8" t="s">
        <v>2552</v>
      </c>
      <c r="H1259" s="8" t="s">
        <v>132</v>
      </c>
      <c r="I1259" s="4" t="s">
        <v>29</v>
      </c>
      <c r="J1259" s="4">
        <v>32</v>
      </c>
      <c r="K1259" s="4" t="s">
        <v>45</v>
      </c>
      <c r="L1259" s="8">
        <v>2</v>
      </c>
      <c r="M1259" s="9" t="s">
        <v>83</v>
      </c>
      <c r="N1259" s="9" t="str">
        <f t="shared" si="9"/>
        <v>ER</v>
      </c>
      <c r="O1259" s="10">
        <v>5595.57</v>
      </c>
      <c r="P1259" s="10">
        <v>4408.63</v>
      </c>
      <c r="Q1259" s="11">
        <v>19.5</v>
      </c>
      <c r="R1259" s="13" t="str">
        <f>IF(Patient_Data!$L1259&lt;2,"Low Risk",IF(Patient_Data!$L1259&lt;4,"Moderate Risk","High Risk"))</f>
        <v>Moderate Risk</v>
      </c>
      <c r="S1259" s="12" t="str">
        <f>IF(Patient_Data[[#This Row],[Age]]&lt;=18,"Pediatric",IF(Patient_Data[[#This Row],[Age]]&lt;=64,"Adult","Geriatric"))</f>
        <v>Adult</v>
      </c>
    </row>
    <row r="1260" spans="1:19" ht="15.75" customHeight="1" x14ac:dyDescent="0.3">
      <c r="A1260" s="4" t="s">
        <v>2553</v>
      </c>
      <c r="B1260" s="5" t="str">
        <f>TEXT(Patient_Data!$E1260,"mmmm")</f>
        <v>April</v>
      </c>
      <c r="C1260" s="6" t="str">
        <f t="shared" si="8"/>
        <v>Apr</v>
      </c>
      <c r="D1260" s="6">
        <f>MONTH(Patient_Data!$E1260)</f>
        <v>4</v>
      </c>
      <c r="E1260" s="7">
        <v>45386</v>
      </c>
      <c r="F1260" s="55" t="str">
        <f>TEXT(Patient_Data[[#This Row],[Admission_Date]],"YYYY")</f>
        <v>2024</v>
      </c>
      <c r="G1260" s="8" t="s">
        <v>589</v>
      </c>
      <c r="H1260" s="8" t="s">
        <v>98</v>
      </c>
      <c r="I1260" s="4" t="s">
        <v>35</v>
      </c>
      <c r="J1260" s="4">
        <v>60</v>
      </c>
      <c r="K1260" s="4" t="s">
        <v>54</v>
      </c>
      <c r="L1260" s="8">
        <v>4</v>
      </c>
      <c r="M1260" s="9" t="s">
        <v>50</v>
      </c>
      <c r="N1260" s="9" t="str">
        <f t="shared" si="9"/>
        <v>ICU</v>
      </c>
      <c r="O1260" s="10">
        <v>14886.71</v>
      </c>
      <c r="P1260" s="10">
        <v>8727.89</v>
      </c>
      <c r="Q1260" s="11">
        <v>11.7</v>
      </c>
      <c r="R1260" s="13" t="str">
        <f>IF(Patient_Data!$L1260&lt;2,"Low Risk",IF(Patient_Data!$L1260&lt;4,"Moderate Risk","High Risk"))</f>
        <v>High Risk</v>
      </c>
      <c r="S1260" s="12" t="str">
        <f>IF(Patient_Data[[#This Row],[Age]]&lt;=18,"Pediatric",IF(Patient_Data[[#This Row],[Age]]&lt;=64,"Adult","Geriatric"))</f>
        <v>Adult</v>
      </c>
    </row>
    <row r="1261" spans="1:19" ht="15.75" customHeight="1" x14ac:dyDescent="0.3">
      <c r="A1261" s="4" t="s">
        <v>2554</v>
      </c>
      <c r="B1261" s="5" t="str">
        <f>TEXT(Patient_Data!$E1261,"mmmm")</f>
        <v>March</v>
      </c>
      <c r="C1261" s="6" t="str">
        <f t="shared" si="8"/>
        <v>Mar</v>
      </c>
      <c r="D1261" s="6">
        <f>MONTH(Patient_Data!$E1261)</f>
        <v>3</v>
      </c>
      <c r="E1261" s="7">
        <v>45364</v>
      </c>
      <c r="F1261" s="55" t="str">
        <f>TEXT(Patient_Data[[#This Row],[Admission_Date]],"YYYY")</f>
        <v>2024</v>
      </c>
      <c r="G1261" s="8" t="s">
        <v>2555</v>
      </c>
      <c r="H1261" s="8" t="s">
        <v>75</v>
      </c>
      <c r="I1261" s="4" t="s">
        <v>29</v>
      </c>
      <c r="J1261" s="4">
        <v>85</v>
      </c>
      <c r="K1261" s="4" t="s">
        <v>30</v>
      </c>
      <c r="L1261" s="8">
        <v>2</v>
      </c>
      <c r="M1261" s="9" t="s">
        <v>46</v>
      </c>
      <c r="N1261" s="9" t="str">
        <f t="shared" si="9"/>
        <v>Ortho</v>
      </c>
      <c r="O1261" s="10">
        <v>7896.61</v>
      </c>
      <c r="P1261" s="10">
        <v>4838.53</v>
      </c>
      <c r="Q1261" s="11">
        <v>2.7</v>
      </c>
      <c r="R1261" s="13" t="str">
        <f>IF(Patient_Data!$L1261&lt;2,"Low Risk",IF(Patient_Data!$L1261&lt;4,"Moderate Risk","High Risk"))</f>
        <v>Moderate Risk</v>
      </c>
      <c r="S1261" s="12" t="str">
        <f>IF(Patient_Data[[#This Row],[Age]]&lt;=18,"Pediatric",IF(Patient_Data[[#This Row],[Age]]&lt;=64,"Adult","Geriatric"))</f>
        <v>Geriatric</v>
      </c>
    </row>
    <row r="1262" spans="1:19" ht="15.75" customHeight="1" x14ac:dyDescent="0.3">
      <c r="A1262" s="4" t="s">
        <v>2556</v>
      </c>
      <c r="B1262" s="5" t="str">
        <f>TEXT(Patient_Data!$E1262,"mmmm")</f>
        <v>June</v>
      </c>
      <c r="C1262" s="6" t="str">
        <f t="shared" si="8"/>
        <v>Jun</v>
      </c>
      <c r="D1262" s="6">
        <f>MONTH(Patient_Data!$E1262)</f>
        <v>6</v>
      </c>
      <c r="E1262" s="7">
        <v>45471</v>
      </c>
      <c r="F1262" s="55" t="str">
        <f>TEXT(Patient_Data[[#This Row],[Admission_Date]],"YYYY")</f>
        <v>2024</v>
      </c>
      <c r="G1262" s="8" t="s">
        <v>2557</v>
      </c>
      <c r="H1262" s="8" t="s">
        <v>49</v>
      </c>
      <c r="I1262" s="4" t="s">
        <v>29</v>
      </c>
      <c r="J1262" s="4">
        <v>4</v>
      </c>
      <c r="K1262" s="4" t="s">
        <v>54</v>
      </c>
      <c r="L1262" s="8">
        <v>2</v>
      </c>
      <c r="M1262" s="9" t="s">
        <v>79</v>
      </c>
      <c r="N1262" s="9" t="str">
        <f t="shared" si="9"/>
        <v>PD</v>
      </c>
      <c r="O1262" s="10">
        <v>2654.26</v>
      </c>
      <c r="P1262" s="10">
        <v>1703.53</v>
      </c>
      <c r="Q1262" s="11">
        <v>0.6</v>
      </c>
      <c r="R1262" s="13" t="str">
        <f>IF(Patient_Data!$L1262&lt;2,"Low Risk",IF(Patient_Data!$L1262&lt;4,"Moderate Risk","High Risk"))</f>
        <v>Moderate Risk</v>
      </c>
      <c r="S1262" s="12" t="str">
        <f>IF(Patient_Data[[#This Row],[Age]]&lt;=18,"Pediatric",IF(Patient_Data[[#This Row],[Age]]&lt;=64,"Adult","Geriatric"))</f>
        <v>Pediatric</v>
      </c>
    </row>
    <row r="1263" spans="1:19" ht="15.75" customHeight="1" x14ac:dyDescent="0.3">
      <c r="A1263" s="4" t="s">
        <v>2558</v>
      </c>
      <c r="B1263" s="5" t="str">
        <f>TEXT(Patient_Data!$E1263,"mmmm")</f>
        <v>January</v>
      </c>
      <c r="C1263" s="6" t="str">
        <f t="shared" si="8"/>
        <v>Jan</v>
      </c>
      <c r="D1263" s="6">
        <f>MONTH(Patient_Data!$E1263)</f>
        <v>1</v>
      </c>
      <c r="E1263" s="7">
        <v>45660</v>
      </c>
      <c r="F1263" s="55" t="str">
        <f>TEXT(Patient_Data[[#This Row],[Admission_Date]],"YYYY")</f>
        <v>2025</v>
      </c>
      <c r="G1263" s="8" t="s">
        <v>2559</v>
      </c>
      <c r="H1263" s="8" t="s">
        <v>28</v>
      </c>
      <c r="I1263" s="4" t="s">
        <v>29</v>
      </c>
      <c r="J1263" s="4">
        <v>36</v>
      </c>
      <c r="K1263" s="4" t="s">
        <v>30</v>
      </c>
      <c r="L1263" s="8">
        <v>1</v>
      </c>
      <c r="M1263" s="9" t="s">
        <v>36</v>
      </c>
      <c r="N1263" s="9" t="str">
        <f t="shared" si="9"/>
        <v>Cardio</v>
      </c>
      <c r="O1263" s="10">
        <v>7238.71</v>
      </c>
      <c r="P1263" s="10">
        <v>4868.34</v>
      </c>
      <c r="Q1263" s="11">
        <v>2.2999999999999998</v>
      </c>
      <c r="R1263" s="13" t="str">
        <f>IF(Patient_Data!$L1263&lt;2,"Low Risk",IF(Patient_Data!$L1263&lt;4,"Moderate Risk","High Risk"))</f>
        <v>Low Risk</v>
      </c>
      <c r="S1263" s="12" t="str">
        <f>IF(Patient_Data[[#This Row],[Age]]&lt;=18,"Pediatric",IF(Patient_Data[[#This Row],[Age]]&lt;=64,"Adult","Geriatric"))</f>
        <v>Adult</v>
      </c>
    </row>
    <row r="1264" spans="1:19" ht="15.75" customHeight="1" x14ac:dyDescent="0.3">
      <c r="A1264" s="4" t="s">
        <v>2560</v>
      </c>
      <c r="B1264" s="5" t="str">
        <f>TEXT(Patient_Data!$E1264,"mmmm")</f>
        <v>September</v>
      </c>
      <c r="C1264" s="6" t="str">
        <f t="shared" si="8"/>
        <v>Sep</v>
      </c>
      <c r="D1264" s="6">
        <f>MONTH(Patient_Data!$E1264)</f>
        <v>9</v>
      </c>
      <c r="E1264" s="7">
        <v>45560</v>
      </c>
      <c r="F1264" s="55" t="str">
        <f>TEXT(Patient_Data[[#This Row],[Admission_Date]],"YYYY")</f>
        <v>2024</v>
      </c>
      <c r="G1264" s="8" t="s">
        <v>2561</v>
      </c>
      <c r="H1264" s="8" t="s">
        <v>28</v>
      </c>
      <c r="I1264" s="4" t="s">
        <v>29</v>
      </c>
      <c r="J1264" s="4">
        <v>6</v>
      </c>
      <c r="K1264" s="4" t="s">
        <v>30</v>
      </c>
      <c r="L1264" s="8">
        <v>1</v>
      </c>
      <c r="M1264" s="9" t="s">
        <v>79</v>
      </c>
      <c r="N1264" s="9" t="str">
        <f t="shared" si="9"/>
        <v>PD</v>
      </c>
      <c r="O1264" s="10">
        <v>1455.29</v>
      </c>
      <c r="P1264" s="10">
        <v>1021.1</v>
      </c>
      <c r="Q1264" s="11">
        <v>0.3</v>
      </c>
      <c r="R1264" s="13" t="str">
        <f>IF(Patient_Data!$L1264&lt;2,"Low Risk",IF(Patient_Data!$L1264&lt;4,"Moderate Risk","High Risk"))</f>
        <v>Low Risk</v>
      </c>
      <c r="S1264" s="12" t="str">
        <f>IF(Patient_Data[[#This Row],[Age]]&lt;=18,"Pediatric",IF(Patient_Data[[#This Row],[Age]]&lt;=64,"Adult","Geriatric"))</f>
        <v>Pediatric</v>
      </c>
    </row>
    <row r="1265" spans="1:19" ht="15.75" customHeight="1" x14ac:dyDescent="0.3">
      <c r="A1265" s="4" t="s">
        <v>2562</v>
      </c>
      <c r="B1265" s="5" t="str">
        <f>TEXT(Patient_Data!$E1265,"mmmm")</f>
        <v>February</v>
      </c>
      <c r="C1265" s="6" t="str">
        <f t="shared" si="8"/>
        <v>Feb</v>
      </c>
      <c r="D1265" s="6">
        <f>MONTH(Patient_Data!$E1265)</f>
        <v>2</v>
      </c>
      <c r="E1265" s="7">
        <v>45714</v>
      </c>
      <c r="F1265" s="55" t="str">
        <f>TEXT(Patient_Data[[#This Row],[Admission_Date]],"YYYY")</f>
        <v>2025</v>
      </c>
      <c r="G1265" s="8" t="s">
        <v>2563</v>
      </c>
      <c r="H1265" s="8" t="s">
        <v>82</v>
      </c>
      <c r="I1265" s="4" t="s">
        <v>29</v>
      </c>
      <c r="J1265" s="4">
        <v>58</v>
      </c>
      <c r="K1265" s="4" t="s">
        <v>30</v>
      </c>
      <c r="L1265" s="8">
        <v>2</v>
      </c>
      <c r="M1265" s="9" t="s">
        <v>83</v>
      </c>
      <c r="N1265" s="9" t="str">
        <f t="shared" si="9"/>
        <v>ER</v>
      </c>
      <c r="O1265" s="10">
        <v>6940.81</v>
      </c>
      <c r="P1265" s="10">
        <v>5257.19</v>
      </c>
      <c r="Q1265" s="11">
        <v>23.8</v>
      </c>
      <c r="R1265" s="13" t="str">
        <f>IF(Patient_Data!$L1265&lt;2,"Low Risk",IF(Patient_Data!$L1265&lt;4,"Moderate Risk","High Risk"))</f>
        <v>Moderate Risk</v>
      </c>
      <c r="S1265" s="12" t="str">
        <f>IF(Patient_Data[[#This Row],[Age]]&lt;=18,"Pediatric",IF(Patient_Data[[#This Row],[Age]]&lt;=64,"Adult","Geriatric"))</f>
        <v>Adult</v>
      </c>
    </row>
    <row r="1266" spans="1:19" ht="15.75" customHeight="1" x14ac:dyDescent="0.3">
      <c r="A1266" s="4" t="s">
        <v>2564</v>
      </c>
      <c r="B1266" s="5" t="str">
        <f>TEXT(Patient_Data!$E1266,"mmmm")</f>
        <v>November</v>
      </c>
      <c r="C1266" s="6" t="str">
        <f t="shared" si="8"/>
        <v>Nov</v>
      </c>
      <c r="D1266" s="6">
        <f>MONTH(Patient_Data!$E1266)</f>
        <v>11</v>
      </c>
      <c r="E1266" s="7">
        <v>45979</v>
      </c>
      <c r="F1266" s="55" t="str">
        <f>TEXT(Patient_Data[[#This Row],[Admission_Date]],"YYYY")</f>
        <v>2025</v>
      </c>
      <c r="G1266" s="8" t="s">
        <v>166</v>
      </c>
      <c r="H1266" s="8" t="s">
        <v>82</v>
      </c>
      <c r="I1266" s="4" t="s">
        <v>29</v>
      </c>
      <c r="J1266" s="4">
        <v>10</v>
      </c>
      <c r="K1266" s="4" t="s">
        <v>30</v>
      </c>
      <c r="L1266" s="8">
        <v>1</v>
      </c>
      <c r="M1266" s="9" t="s">
        <v>79</v>
      </c>
      <c r="N1266" s="9" t="str">
        <f t="shared" si="9"/>
        <v>PD</v>
      </c>
      <c r="O1266" s="10">
        <v>1735.98</v>
      </c>
      <c r="P1266" s="10">
        <v>1354.54</v>
      </c>
      <c r="Q1266" s="11">
        <v>4.4000000000000004</v>
      </c>
      <c r="R1266" s="13" t="str">
        <f>IF(Patient_Data!$L1266&lt;2,"Low Risk",IF(Patient_Data!$L1266&lt;4,"Moderate Risk","High Risk"))</f>
        <v>Low Risk</v>
      </c>
      <c r="S1266" s="12" t="str">
        <f>IF(Patient_Data[[#This Row],[Age]]&lt;=18,"Pediatric",IF(Patient_Data[[#This Row],[Age]]&lt;=64,"Adult","Geriatric"))</f>
        <v>Pediatric</v>
      </c>
    </row>
    <row r="1267" spans="1:19" ht="15.75" customHeight="1" x14ac:dyDescent="0.3">
      <c r="A1267" s="4" t="s">
        <v>2565</v>
      </c>
      <c r="B1267" s="5" t="str">
        <f>TEXT(Patient_Data!$E1267,"mmmm")</f>
        <v>February</v>
      </c>
      <c r="C1267" s="6" t="str">
        <f t="shared" si="8"/>
        <v>Feb</v>
      </c>
      <c r="D1267" s="6">
        <f>MONTH(Patient_Data!$E1267)</f>
        <v>2</v>
      </c>
      <c r="E1267" s="7">
        <v>45328</v>
      </c>
      <c r="F1267" s="55" t="str">
        <f>TEXT(Patient_Data[[#This Row],[Admission_Date]],"YYYY")</f>
        <v>2024</v>
      </c>
      <c r="G1267" s="8" t="s">
        <v>2566</v>
      </c>
      <c r="H1267" s="8" t="s">
        <v>82</v>
      </c>
      <c r="I1267" s="4" t="s">
        <v>29</v>
      </c>
      <c r="J1267" s="4">
        <v>85</v>
      </c>
      <c r="K1267" s="4" t="s">
        <v>45</v>
      </c>
      <c r="L1267" s="8">
        <v>3</v>
      </c>
      <c r="M1267" s="9" t="s">
        <v>46</v>
      </c>
      <c r="N1267" s="9" t="str">
        <f t="shared" si="9"/>
        <v>Ortho</v>
      </c>
      <c r="O1267" s="10">
        <v>5015.13</v>
      </c>
      <c r="P1267" s="10">
        <v>2955.98</v>
      </c>
      <c r="Q1267" s="11">
        <v>5.9</v>
      </c>
      <c r="R1267" s="13" t="str">
        <f>IF(Patient_Data!$L1267&lt;2,"Low Risk",IF(Patient_Data!$L1267&lt;4,"Moderate Risk","High Risk"))</f>
        <v>Moderate Risk</v>
      </c>
      <c r="S1267" s="12" t="str">
        <f>IF(Patient_Data[[#This Row],[Age]]&lt;=18,"Pediatric",IF(Patient_Data[[#This Row],[Age]]&lt;=64,"Adult","Geriatric"))</f>
        <v>Geriatric</v>
      </c>
    </row>
    <row r="1268" spans="1:19" ht="15.75" customHeight="1" x14ac:dyDescent="0.3">
      <c r="A1268" s="4" t="s">
        <v>2567</v>
      </c>
      <c r="B1268" s="5" t="str">
        <f>TEXT(Patient_Data!$E1268,"mmmm")</f>
        <v>October</v>
      </c>
      <c r="C1268" s="6" t="str">
        <f t="shared" si="8"/>
        <v>Oct</v>
      </c>
      <c r="D1268" s="6">
        <f>MONTH(Patient_Data!$E1268)</f>
        <v>10</v>
      </c>
      <c r="E1268" s="7">
        <v>45931</v>
      </c>
      <c r="F1268" s="55" t="str">
        <f>TEXT(Patient_Data[[#This Row],[Admission_Date]],"YYYY")</f>
        <v>2025</v>
      </c>
      <c r="G1268" s="8" t="s">
        <v>2568</v>
      </c>
      <c r="H1268" s="8" t="s">
        <v>28</v>
      </c>
      <c r="I1268" s="4" t="s">
        <v>35</v>
      </c>
      <c r="J1268" s="4">
        <v>38</v>
      </c>
      <c r="K1268" s="4" t="s">
        <v>45</v>
      </c>
      <c r="L1268" s="8">
        <v>3</v>
      </c>
      <c r="M1268" s="9" t="s">
        <v>72</v>
      </c>
      <c r="N1268" s="9" t="str">
        <f t="shared" si="9"/>
        <v>Surgery</v>
      </c>
      <c r="O1268" s="10">
        <v>19370.599999999999</v>
      </c>
      <c r="P1268" s="10">
        <v>11904.87</v>
      </c>
      <c r="Q1268" s="11">
        <v>11.1</v>
      </c>
      <c r="R1268" s="13" t="str">
        <f>IF(Patient_Data!$L1268&lt;2,"Low Risk",IF(Patient_Data!$L1268&lt;4,"Moderate Risk","High Risk"))</f>
        <v>Moderate Risk</v>
      </c>
      <c r="S1268" s="12" t="str">
        <f>IF(Patient_Data[[#This Row],[Age]]&lt;=18,"Pediatric",IF(Patient_Data[[#This Row],[Age]]&lt;=64,"Adult","Geriatric"))</f>
        <v>Adult</v>
      </c>
    </row>
    <row r="1269" spans="1:19" ht="15.75" customHeight="1" x14ac:dyDescent="0.3">
      <c r="A1269" s="4" t="s">
        <v>2569</v>
      </c>
      <c r="B1269" s="5" t="str">
        <f>TEXT(Patient_Data!$E1269,"mmmm")</f>
        <v>January</v>
      </c>
      <c r="C1269" s="6" t="str">
        <f t="shared" si="8"/>
        <v>Jan</v>
      </c>
      <c r="D1269" s="6">
        <f>MONTH(Patient_Data!$E1269)</f>
        <v>1</v>
      </c>
      <c r="E1269" s="7">
        <v>45665</v>
      </c>
      <c r="F1269" s="55" t="str">
        <f>TEXT(Patient_Data[[#This Row],[Admission_Date]],"YYYY")</f>
        <v>2025</v>
      </c>
      <c r="G1269" s="8" t="s">
        <v>2570</v>
      </c>
      <c r="H1269" s="8" t="s">
        <v>28</v>
      </c>
      <c r="I1269" s="4" t="s">
        <v>29</v>
      </c>
      <c r="J1269" s="4">
        <v>36</v>
      </c>
      <c r="K1269" s="4" t="s">
        <v>45</v>
      </c>
      <c r="L1269" s="8">
        <v>3</v>
      </c>
      <c r="M1269" s="9" t="s">
        <v>36</v>
      </c>
      <c r="N1269" s="9" t="str">
        <f t="shared" si="9"/>
        <v>Cardio</v>
      </c>
      <c r="O1269" s="10">
        <v>10685.88</v>
      </c>
      <c r="P1269" s="10">
        <v>6914.96</v>
      </c>
      <c r="Q1269" s="11">
        <v>9.5</v>
      </c>
      <c r="R1269" s="13" t="str">
        <f>IF(Patient_Data!$L1269&lt;2,"Low Risk",IF(Patient_Data!$L1269&lt;4,"Moderate Risk","High Risk"))</f>
        <v>Moderate Risk</v>
      </c>
      <c r="S1269" s="12" t="str">
        <f>IF(Patient_Data[[#This Row],[Age]]&lt;=18,"Pediatric",IF(Patient_Data[[#This Row],[Age]]&lt;=64,"Adult","Geriatric"))</f>
        <v>Adult</v>
      </c>
    </row>
    <row r="1270" spans="1:19" ht="15.75" customHeight="1" x14ac:dyDescent="0.3">
      <c r="A1270" s="4" t="s">
        <v>2571</v>
      </c>
      <c r="B1270" s="5" t="str">
        <f>TEXT(Patient_Data!$E1270,"mmmm")</f>
        <v>December</v>
      </c>
      <c r="C1270" s="6" t="str">
        <f t="shared" si="8"/>
        <v>Dec</v>
      </c>
      <c r="D1270" s="6">
        <f>MONTH(Patient_Data!$E1270)</f>
        <v>12</v>
      </c>
      <c r="E1270" s="7">
        <v>45629</v>
      </c>
      <c r="F1270" s="55" t="str">
        <f>TEXT(Patient_Data[[#This Row],[Admission_Date]],"YYYY")</f>
        <v>2024</v>
      </c>
      <c r="G1270" s="8" t="s">
        <v>2572</v>
      </c>
      <c r="H1270" s="8" t="s">
        <v>34</v>
      </c>
      <c r="I1270" s="4" t="s">
        <v>29</v>
      </c>
      <c r="J1270" s="4">
        <v>77</v>
      </c>
      <c r="K1270" s="4" t="s">
        <v>45</v>
      </c>
      <c r="L1270" s="8">
        <v>5</v>
      </c>
      <c r="M1270" s="9" t="s">
        <v>50</v>
      </c>
      <c r="N1270" s="9" t="str">
        <f t="shared" si="9"/>
        <v>ICU</v>
      </c>
      <c r="O1270" s="10">
        <v>12121.51</v>
      </c>
      <c r="P1270" s="10">
        <v>8218.2099999999991</v>
      </c>
      <c r="Q1270" s="11">
        <v>12.1</v>
      </c>
      <c r="R1270" s="13" t="str">
        <f>IF(Patient_Data!$L1270&lt;2,"Low Risk",IF(Patient_Data!$L1270&lt;4,"Moderate Risk","High Risk"))</f>
        <v>High Risk</v>
      </c>
      <c r="S1270" s="12" t="str">
        <f>IF(Patient_Data[[#This Row],[Age]]&lt;=18,"Pediatric",IF(Patient_Data[[#This Row],[Age]]&lt;=64,"Adult","Geriatric"))</f>
        <v>Geriatric</v>
      </c>
    </row>
    <row r="1271" spans="1:19" ht="15.75" customHeight="1" x14ac:dyDescent="0.3">
      <c r="A1271" s="4" t="s">
        <v>2573</v>
      </c>
      <c r="B1271" s="5" t="str">
        <f>TEXT(Patient_Data!$E1271,"mmmm")</f>
        <v>November</v>
      </c>
      <c r="C1271" s="6" t="str">
        <f t="shared" si="8"/>
        <v>Nov</v>
      </c>
      <c r="D1271" s="6">
        <f>MONTH(Patient_Data!$E1271)</f>
        <v>11</v>
      </c>
      <c r="E1271" s="7">
        <v>45231</v>
      </c>
      <c r="F1271" s="55" t="str">
        <f>TEXT(Patient_Data[[#This Row],[Admission_Date]],"YYYY")</f>
        <v>2023</v>
      </c>
      <c r="G1271" s="8" t="s">
        <v>2574</v>
      </c>
      <c r="H1271" s="8" t="s">
        <v>34</v>
      </c>
      <c r="I1271" s="4" t="s">
        <v>35</v>
      </c>
      <c r="J1271" s="4">
        <v>76</v>
      </c>
      <c r="K1271" s="4" t="s">
        <v>54</v>
      </c>
      <c r="L1271" s="8">
        <v>4</v>
      </c>
      <c r="M1271" s="9" t="s">
        <v>50</v>
      </c>
      <c r="N1271" s="9" t="str">
        <f t="shared" si="9"/>
        <v>ICU</v>
      </c>
      <c r="O1271" s="10">
        <v>18191.830000000002</v>
      </c>
      <c r="P1271" s="10">
        <v>12806.28</v>
      </c>
      <c r="Q1271" s="11">
        <v>9</v>
      </c>
      <c r="R1271" s="13" t="str">
        <f>IF(Patient_Data!$L1271&lt;2,"Low Risk",IF(Patient_Data!$L1271&lt;4,"Moderate Risk","High Risk"))</f>
        <v>High Risk</v>
      </c>
      <c r="S1271" s="12" t="str">
        <f>IF(Patient_Data[[#This Row],[Age]]&lt;=18,"Pediatric",IF(Patient_Data[[#This Row],[Age]]&lt;=64,"Adult","Geriatric"))</f>
        <v>Geriatric</v>
      </c>
    </row>
    <row r="1272" spans="1:19" ht="15.75" customHeight="1" x14ac:dyDescent="0.3">
      <c r="A1272" s="4" t="s">
        <v>2575</v>
      </c>
      <c r="B1272" s="5" t="str">
        <f>TEXT(Patient_Data!$E1272,"mmmm")</f>
        <v>March</v>
      </c>
      <c r="C1272" s="6" t="str">
        <f t="shared" si="8"/>
        <v>Mar</v>
      </c>
      <c r="D1272" s="6">
        <f>MONTH(Patient_Data!$E1272)</f>
        <v>3</v>
      </c>
      <c r="E1272" s="7">
        <v>45358</v>
      </c>
      <c r="F1272" s="55" t="str">
        <f>TEXT(Patient_Data[[#This Row],[Admission_Date]],"YYYY")</f>
        <v>2024</v>
      </c>
      <c r="G1272" s="8" t="s">
        <v>2576</v>
      </c>
      <c r="H1272" s="8" t="s">
        <v>49</v>
      </c>
      <c r="I1272" s="4" t="s">
        <v>35</v>
      </c>
      <c r="J1272" s="4">
        <v>55</v>
      </c>
      <c r="K1272" s="4" t="s">
        <v>45</v>
      </c>
      <c r="L1272" s="8">
        <v>1</v>
      </c>
      <c r="M1272" s="9" t="s">
        <v>46</v>
      </c>
      <c r="N1272" s="9" t="str">
        <f t="shared" si="9"/>
        <v>Ortho</v>
      </c>
      <c r="O1272" s="10">
        <v>5383.3</v>
      </c>
      <c r="P1272" s="10">
        <v>3962.61</v>
      </c>
      <c r="Q1272" s="11">
        <v>4.0999999999999996</v>
      </c>
      <c r="R1272" s="13" t="str">
        <f>IF(Patient_Data!$L1272&lt;2,"Low Risk",IF(Patient_Data!$L1272&lt;4,"Moderate Risk","High Risk"))</f>
        <v>Low Risk</v>
      </c>
      <c r="S1272" s="12" t="str">
        <f>IF(Patient_Data[[#This Row],[Age]]&lt;=18,"Pediatric",IF(Patient_Data[[#This Row],[Age]]&lt;=64,"Adult","Geriatric"))</f>
        <v>Adult</v>
      </c>
    </row>
    <row r="1273" spans="1:19" ht="15.75" customHeight="1" x14ac:dyDescent="0.3">
      <c r="A1273" s="4" t="s">
        <v>2577</v>
      </c>
      <c r="B1273" s="5" t="str">
        <f>TEXT(Patient_Data!$E1273,"mmmm")</f>
        <v>April</v>
      </c>
      <c r="C1273" s="6" t="str">
        <f t="shared" si="8"/>
        <v>Apr</v>
      </c>
      <c r="D1273" s="6">
        <f>MONTH(Patient_Data!$E1273)</f>
        <v>4</v>
      </c>
      <c r="E1273" s="7">
        <v>46141</v>
      </c>
      <c r="F1273" s="55" t="str">
        <f>TEXT(Patient_Data[[#This Row],[Admission_Date]],"YYYY")</f>
        <v>2026</v>
      </c>
      <c r="G1273" s="8" t="s">
        <v>2578</v>
      </c>
      <c r="H1273" s="8" t="s">
        <v>132</v>
      </c>
      <c r="I1273" s="4" t="s">
        <v>29</v>
      </c>
      <c r="J1273" s="4">
        <v>19</v>
      </c>
      <c r="K1273" s="4" t="s">
        <v>30</v>
      </c>
      <c r="L1273" s="8">
        <v>1</v>
      </c>
      <c r="M1273" s="9" t="s">
        <v>83</v>
      </c>
      <c r="N1273" s="9" t="str">
        <f t="shared" si="9"/>
        <v>ER</v>
      </c>
      <c r="O1273" s="10">
        <v>4076.46</v>
      </c>
      <c r="P1273" s="10">
        <v>3218.11</v>
      </c>
      <c r="Q1273" s="11">
        <v>15</v>
      </c>
      <c r="R1273" s="13" t="str">
        <f>IF(Patient_Data!$L1273&lt;2,"Low Risk",IF(Patient_Data!$L1273&lt;4,"Moderate Risk","High Risk"))</f>
        <v>Low Risk</v>
      </c>
      <c r="S1273" s="12" t="str">
        <f>IF(Patient_Data[[#This Row],[Age]]&lt;=18,"Pediatric",IF(Patient_Data[[#This Row],[Age]]&lt;=64,"Adult","Geriatric"))</f>
        <v>Adult</v>
      </c>
    </row>
    <row r="1274" spans="1:19" ht="15.75" customHeight="1" x14ac:dyDescent="0.3">
      <c r="A1274" s="4" t="s">
        <v>2579</v>
      </c>
      <c r="B1274" s="5" t="str">
        <f>TEXT(Patient_Data!$E1274,"mmmm")</f>
        <v>December</v>
      </c>
      <c r="C1274" s="6" t="str">
        <f t="shared" si="8"/>
        <v>Dec</v>
      </c>
      <c r="D1274" s="6">
        <f>MONTH(Patient_Data!$E1274)</f>
        <v>12</v>
      </c>
      <c r="E1274" s="7">
        <v>45281</v>
      </c>
      <c r="F1274" s="55" t="str">
        <f>TEXT(Patient_Data[[#This Row],[Admission_Date]],"YYYY")</f>
        <v>2023</v>
      </c>
      <c r="G1274" s="8" t="s">
        <v>2580</v>
      </c>
      <c r="H1274" s="8" t="s">
        <v>132</v>
      </c>
      <c r="I1274" s="4" t="s">
        <v>29</v>
      </c>
      <c r="J1274" s="4">
        <v>44</v>
      </c>
      <c r="K1274" s="4" t="s">
        <v>30</v>
      </c>
      <c r="L1274" s="8">
        <v>1</v>
      </c>
      <c r="M1274" s="9" t="s">
        <v>31</v>
      </c>
      <c r="N1274" s="9" t="str">
        <f t="shared" si="9"/>
        <v>Neuro</v>
      </c>
      <c r="O1274" s="10">
        <v>7854.68</v>
      </c>
      <c r="P1274" s="10">
        <v>4638.1099999999997</v>
      </c>
      <c r="Q1274" s="11">
        <v>10.3</v>
      </c>
      <c r="R1274" s="13" t="str">
        <f>IF(Patient_Data!$L1274&lt;2,"Low Risk",IF(Patient_Data!$L1274&lt;4,"Moderate Risk","High Risk"))</f>
        <v>Low Risk</v>
      </c>
      <c r="S1274" s="12" t="str">
        <f>IF(Patient_Data[[#This Row],[Age]]&lt;=18,"Pediatric",IF(Patient_Data[[#This Row],[Age]]&lt;=64,"Adult","Geriatric"))</f>
        <v>Adult</v>
      </c>
    </row>
    <row r="1275" spans="1:19" ht="15.75" customHeight="1" x14ac:dyDescent="0.3">
      <c r="A1275" s="4" t="s">
        <v>2581</v>
      </c>
      <c r="B1275" s="5" t="str">
        <f>TEXT(Patient_Data!$E1275,"mmmm")</f>
        <v>February</v>
      </c>
      <c r="C1275" s="6" t="str">
        <f t="shared" si="8"/>
        <v>Feb</v>
      </c>
      <c r="D1275" s="6">
        <f>MONTH(Patient_Data!$E1275)</f>
        <v>2</v>
      </c>
      <c r="E1275" s="7">
        <v>45336</v>
      </c>
      <c r="F1275" s="55" t="str">
        <f>TEXT(Patient_Data[[#This Row],[Admission_Date]],"YYYY")</f>
        <v>2024</v>
      </c>
      <c r="G1275" s="8" t="s">
        <v>2582</v>
      </c>
      <c r="H1275" s="8" t="s">
        <v>132</v>
      </c>
      <c r="I1275" s="4" t="s">
        <v>35</v>
      </c>
      <c r="J1275" s="4">
        <v>55</v>
      </c>
      <c r="K1275" s="4" t="s">
        <v>54</v>
      </c>
      <c r="L1275" s="8">
        <v>1</v>
      </c>
      <c r="M1275" s="9" t="s">
        <v>39</v>
      </c>
      <c r="N1275" s="9" t="str">
        <f t="shared" si="9"/>
        <v>GM</v>
      </c>
      <c r="O1275" s="10">
        <v>2760.38</v>
      </c>
      <c r="P1275" s="10">
        <v>1726.23</v>
      </c>
      <c r="Q1275" s="11">
        <v>5.3</v>
      </c>
      <c r="R1275" s="13" t="str">
        <f>IF(Patient_Data!$L1275&lt;2,"Low Risk",IF(Patient_Data!$L1275&lt;4,"Moderate Risk","High Risk"))</f>
        <v>Low Risk</v>
      </c>
      <c r="S1275" s="12" t="str">
        <f>IF(Patient_Data[[#This Row],[Age]]&lt;=18,"Pediatric",IF(Patient_Data[[#This Row],[Age]]&lt;=64,"Adult","Geriatric"))</f>
        <v>Adult</v>
      </c>
    </row>
    <row r="1276" spans="1:19" ht="15.75" customHeight="1" x14ac:dyDescent="0.3">
      <c r="A1276" s="4" t="s">
        <v>2583</v>
      </c>
      <c r="B1276" s="5" t="str">
        <f>TEXT(Patient_Data!$E1276,"mmmm")</f>
        <v>June</v>
      </c>
      <c r="C1276" s="6" t="str">
        <f t="shared" si="8"/>
        <v>Jun</v>
      </c>
      <c r="D1276" s="6">
        <f>MONTH(Patient_Data!$E1276)</f>
        <v>6</v>
      </c>
      <c r="E1276" s="7">
        <v>46190</v>
      </c>
      <c r="F1276" s="55" t="str">
        <f>TEXT(Patient_Data[[#This Row],[Admission_Date]],"YYYY")</f>
        <v>2026</v>
      </c>
      <c r="G1276" s="8" t="s">
        <v>2584</v>
      </c>
      <c r="H1276" s="8" t="s">
        <v>53</v>
      </c>
      <c r="I1276" s="4" t="s">
        <v>29</v>
      </c>
      <c r="J1276" s="4">
        <v>73</v>
      </c>
      <c r="K1276" s="4" t="s">
        <v>45</v>
      </c>
      <c r="L1276" s="8">
        <v>5</v>
      </c>
      <c r="M1276" s="9" t="s">
        <v>72</v>
      </c>
      <c r="N1276" s="9" t="str">
        <f t="shared" si="9"/>
        <v>Surgery</v>
      </c>
      <c r="O1276" s="10">
        <v>13081.02</v>
      </c>
      <c r="P1276" s="10">
        <v>8434.25</v>
      </c>
      <c r="Q1276" s="11">
        <v>7.8</v>
      </c>
      <c r="R1276" s="13" t="str">
        <f>IF(Patient_Data!$L1276&lt;2,"Low Risk",IF(Patient_Data!$L1276&lt;4,"Moderate Risk","High Risk"))</f>
        <v>High Risk</v>
      </c>
      <c r="S1276" s="12" t="str">
        <f>IF(Patient_Data[[#This Row],[Age]]&lt;=18,"Pediatric",IF(Patient_Data[[#This Row],[Age]]&lt;=64,"Adult","Geriatric"))</f>
        <v>Geriatric</v>
      </c>
    </row>
    <row r="1277" spans="1:19" ht="15.75" customHeight="1" x14ac:dyDescent="0.3">
      <c r="A1277" s="4" t="s">
        <v>2585</v>
      </c>
      <c r="B1277" s="5" t="str">
        <f>TEXT(Patient_Data!$E1277,"mmmm")</f>
        <v>February</v>
      </c>
      <c r="C1277" s="6" t="str">
        <f t="shared" ref="C1277:C1531" si="10">LEFT(B1277,3)</f>
        <v>Feb</v>
      </c>
      <c r="D1277" s="6">
        <f>MONTH(Patient_Data!$E1277)</f>
        <v>2</v>
      </c>
      <c r="E1277" s="7">
        <v>46055</v>
      </c>
      <c r="F1277" s="55" t="str">
        <f>TEXT(Patient_Data[[#This Row],[Admission_Date]],"YYYY")</f>
        <v>2026</v>
      </c>
      <c r="G1277" s="8" t="s">
        <v>2586</v>
      </c>
      <c r="H1277" s="8" t="s">
        <v>75</v>
      </c>
      <c r="I1277" s="4" t="s">
        <v>29</v>
      </c>
      <c r="J1277" s="4">
        <v>80</v>
      </c>
      <c r="K1277" s="4" t="s">
        <v>30</v>
      </c>
      <c r="L1277" s="8">
        <v>5</v>
      </c>
      <c r="M1277" s="9" t="s">
        <v>83</v>
      </c>
      <c r="N1277" s="9" t="str">
        <f t="shared" ref="N1277:N1531" si="11">IF(M1277="Cardiology","Cardio",IF(M1277="Intensive Care Unit","ICU",IF(M1277="Neurology","Neuro",IF(M1277="Emergency Room","ER",IF(M1277="Pediatrics","PD",IF(M1277="Surgery","Surgery",IF(M1277="General Medicine","GM",IF(M1277="Orthopedics","Ortho",""))))))))</f>
        <v>ER</v>
      </c>
      <c r="O1277" s="10">
        <v>15599.61</v>
      </c>
      <c r="P1277" s="10">
        <v>10544.54</v>
      </c>
      <c r="Q1277" s="11">
        <v>11.6</v>
      </c>
      <c r="R1277" s="13" t="str">
        <f>IF(Patient_Data!$L1277&lt;2,"Low Risk",IF(Patient_Data!$L1277&lt;4,"Moderate Risk","High Risk"))</f>
        <v>High Risk</v>
      </c>
      <c r="S1277" s="12" t="str">
        <f>IF(Patient_Data[[#This Row],[Age]]&lt;=18,"Pediatric",IF(Patient_Data[[#This Row],[Age]]&lt;=64,"Adult","Geriatric"))</f>
        <v>Geriatric</v>
      </c>
    </row>
    <row r="1278" spans="1:19" ht="15.75" customHeight="1" x14ac:dyDescent="0.3">
      <c r="A1278" s="4" t="s">
        <v>2587</v>
      </c>
      <c r="B1278" s="5" t="str">
        <f>TEXT(Patient_Data!$E1278,"mmmm")</f>
        <v>July</v>
      </c>
      <c r="C1278" s="6" t="str">
        <f t="shared" si="10"/>
        <v>Jul</v>
      </c>
      <c r="D1278" s="6">
        <f>MONTH(Patient_Data!$E1278)</f>
        <v>7</v>
      </c>
      <c r="E1278" s="7">
        <v>45845</v>
      </c>
      <c r="F1278" s="55" t="str">
        <f>TEXT(Patient_Data[[#This Row],[Admission_Date]],"YYYY")</f>
        <v>2025</v>
      </c>
      <c r="G1278" s="8" t="s">
        <v>746</v>
      </c>
      <c r="H1278" s="8" t="s">
        <v>82</v>
      </c>
      <c r="I1278" s="4" t="s">
        <v>29</v>
      </c>
      <c r="J1278" s="4">
        <v>25</v>
      </c>
      <c r="K1278" s="4" t="s">
        <v>30</v>
      </c>
      <c r="L1278" s="8">
        <v>2</v>
      </c>
      <c r="M1278" s="9" t="s">
        <v>31</v>
      </c>
      <c r="N1278" s="9" t="str">
        <f t="shared" si="11"/>
        <v>Neuro</v>
      </c>
      <c r="O1278" s="10">
        <v>9347.64</v>
      </c>
      <c r="P1278" s="10">
        <v>6628.95</v>
      </c>
      <c r="Q1278" s="11">
        <v>10.7</v>
      </c>
      <c r="R1278" s="13" t="str">
        <f>IF(Patient_Data!$L1278&lt;2,"Low Risk",IF(Patient_Data!$L1278&lt;4,"Moderate Risk","High Risk"))</f>
        <v>Moderate Risk</v>
      </c>
      <c r="S1278" s="12" t="str">
        <f>IF(Patient_Data[[#This Row],[Age]]&lt;=18,"Pediatric",IF(Patient_Data[[#This Row],[Age]]&lt;=64,"Adult","Geriatric"))</f>
        <v>Adult</v>
      </c>
    </row>
    <row r="1279" spans="1:19" ht="15.75" customHeight="1" x14ac:dyDescent="0.3">
      <c r="A1279" s="4" t="s">
        <v>2588</v>
      </c>
      <c r="B1279" s="5" t="str">
        <f>TEXT(Patient_Data!$E1279,"mmmm")</f>
        <v>March</v>
      </c>
      <c r="C1279" s="6" t="str">
        <f t="shared" si="10"/>
        <v>Mar</v>
      </c>
      <c r="D1279" s="6">
        <f>MONTH(Patient_Data!$E1279)</f>
        <v>3</v>
      </c>
      <c r="E1279" s="7">
        <v>45362</v>
      </c>
      <c r="F1279" s="55" t="str">
        <f>TEXT(Patient_Data[[#This Row],[Admission_Date]],"YYYY")</f>
        <v>2024</v>
      </c>
      <c r="G1279" s="8" t="s">
        <v>2589</v>
      </c>
      <c r="H1279" s="8" t="s">
        <v>82</v>
      </c>
      <c r="I1279" s="4" t="s">
        <v>35</v>
      </c>
      <c r="J1279" s="4">
        <v>37</v>
      </c>
      <c r="K1279" s="4" t="s">
        <v>30</v>
      </c>
      <c r="L1279" s="8">
        <v>1</v>
      </c>
      <c r="M1279" s="9" t="s">
        <v>36</v>
      </c>
      <c r="N1279" s="9" t="str">
        <f t="shared" si="11"/>
        <v>Cardio</v>
      </c>
      <c r="O1279" s="10">
        <v>8378.16</v>
      </c>
      <c r="P1279" s="10">
        <v>6163.26</v>
      </c>
      <c r="Q1279" s="11">
        <v>5.9</v>
      </c>
      <c r="R1279" s="13" t="str">
        <f>IF(Patient_Data!$L1279&lt;2,"Low Risk",IF(Patient_Data!$L1279&lt;4,"Moderate Risk","High Risk"))</f>
        <v>Low Risk</v>
      </c>
      <c r="S1279" s="12" t="str">
        <f>IF(Patient_Data[[#This Row],[Age]]&lt;=18,"Pediatric",IF(Patient_Data[[#This Row],[Age]]&lt;=64,"Adult","Geriatric"))</f>
        <v>Adult</v>
      </c>
    </row>
    <row r="1280" spans="1:19" ht="15.75" customHeight="1" x14ac:dyDescent="0.3">
      <c r="A1280" s="4" t="s">
        <v>2590</v>
      </c>
      <c r="B1280" s="5" t="str">
        <f>TEXT(Patient_Data!$E1280,"mmmm")</f>
        <v>November</v>
      </c>
      <c r="C1280" s="6" t="str">
        <f t="shared" si="10"/>
        <v>Nov</v>
      </c>
      <c r="D1280" s="6">
        <f>MONTH(Patient_Data!$E1280)</f>
        <v>11</v>
      </c>
      <c r="E1280" s="7">
        <v>45254</v>
      </c>
      <c r="F1280" s="55" t="str">
        <f>TEXT(Patient_Data[[#This Row],[Admission_Date]],"YYYY")</f>
        <v>2023</v>
      </c>
      <c r="G1280" s="8" t="s">
        <v>2591</v>
      </c>
      <c r="H1280" s="8" t="s">
        <v>34</v>
      </c>
      <c r="I1280" s="4" t="s">
        <v>29</v>
      </c>
      <c r="J1280" s="4">
        <v>44</v>
      </c>
      <c r="K1280" s="4" t="s">
        <v>45</v>
      </c>
      <c r="L1280" s="8">
        <v>4</v>
      </c>
      <c r="M1280" s="9" t="s">
        <v>36</v>
      </c>
      <c r="N1280" s="9" t="str">
        <f t="shared" si="11"/>
        <v>Cardio</v>
      </c>
      <c r="O1280" s="10">
        <v>12604.52</v>
      </c>
      <c r="P1280" s="10">
        <v>9653.84</v>
      </c>
      <c r="Q1280" s="11">
        <v>9.3000000000000007</v>
      </c>
      <c r="R1280" s="13" t="str">
        <f>IF(Patient_Data!$L1280&lt;2,"Low Risk",IF(Patient_Data!$L1280&lt;4,"Moderate Risk","High Risk"))</f>
        <v>High Risk</v>
      </c>
      <c r="S1280" s="12" t="str">
        <f>IF(Patient_Data[[#This Row],[Age]]&lt;=18,"Pediatric",IF(Patient_Data[[#This Row],[Age]]&lt;=64,"Adult","Geriatric"))</f>
        <v>Adult</v>
      </c>
    </row>
    <row r="1281" spans="1:19" ht="15.75" customHeight="1" x14ac:dyDescent="0.3">
      <c r="A1281" s="4" t="s">
        <v>2592</v>
      </c>
      <c r="B1281" s="5" t="str">
        <f>TEXT(Patient_Data!$E1281,"mmmm")</f>
        <v>December</v>
      </c>
      <c r="C1281" s="6" t="str">
        <f t="shared" si="10"/>
        <v>Dec</v>
      </c>
      <c r="D1281" s="6">
        <f>MONTH(Patient_Data!$E1281)</f>
        <v>12</v>
      </c>
      <c r="E1281" s="7">
        <v>45637</v>
      </c>
      <c r="F1281" s="55" t="str">
        <f>TEXT(Patient_Data[[#This Row],[Admission_Date]],"YYYY")</f>
        <v>2024</v>
      </c>
      <c r="G1281" s="8" t="s">
        <v>2593</v>
      </c>
      <c r="H1281" s="8" t="s">
        <v>34</v>
      </c>
      <c r="I1281" s="4" t="s">
        <v>29</v>
      </c>
      <c r="J1281" s="4">
        <v>49</v>
      </c>
      <c r="K1281" s="4" t="s">
        <v>54</v>
      </c>
      <c r="L1281" s="8">
        <v>4</v>
      </c>
      <c r="M1281" s="9" t="s">
        <v>39</v>
      </c>
      <c r="N1281" s="9" t="str">
        <f t="shared" si="11"/>
        <v>GM</v>
      </c>
      <c r="O1281" s="10">
        <v>5911.68</v>
      </c>
      <c r="P1281" s="10">
        <v>3479.97</v>
      </c>
      <c r="Q1281" s="11">
        <v>6.4</v>
      </c>
      <c r="R1281" s="13" t="str">
        <f>IF(Patient_Data!$L1281&lt;2,"Low Risk",IF(Patient_Data!$L1281&lt;4,"Moderate Risk","High Risk"))</f>
        <v>High Risk</v>
      </c>
      <c r="S1281" s="12" t="str">
        <f>IF(Patient_Data[[#This Row],[Age]]&lt;=18,"Pediatric",IF(Patient_Data[[#This Row],[Age]]&lt;=64,"Adult","Geriatric"))</f>
        <v>Adult</v>
      </c>
    </row>
    <row r="1282" spans="1:19" ht="15.75" customHeight="1" x14ac:dyDescent="0.3">
      <c r="A1282" s="4" t="s">
        <v>2594</v>
      </c>
      <c r="B1282" s="5" t="str">
        <f>TEXT(Patient_Data!$E1282,"mmmm")</f>
        <v>April</v>
      </c>
      <c r="C1282" s="6" t="str">
        <f t="shared" si="10"/>
        <v>Apr</v>
      </c>
      <c r="D1282" s="6">
        <f>MONTH(Patient_Data!$E1282)</f>
        <v>4</v>
      </c>
      <c r="E1282" s="7">
        <v>46140</v>
      </c>
      <c r="F1282" s="55" t="str">
        <f>TEXT(Patient_Data[[#This Row],[Admission_Date]],"YYYY")</f>
        <v>2026</v>
      </c>
      <c r="G1282" s="8" t="s">
        <v>2595</v>
      </c>
      <c r="H1282" s="8" t="s">
        <v>34</v>
      </c>
      <c r="I1282" s="4" t="s">
        <v>35</v>
      </c>
      <c r="J1282" s="4">
        <v>76</v>
      </c>
      <c r="K1282" s="4" t="s">
        <v>30</v>
      </c>
      <c r="L1282" s="8">
        <v>1</v>
      </c>
      <c r="M1282" s="9" t="s">
        <v>46</v>
      </c>
      <c r="N1282" s="9" t="str">
        <f t="shared" si="11"/>
        <v>Ortho</v>
      </c>
      <c r="O1282" s="10">
        <v>7164.96</v>
      </c>
      <c r="P1282" s="10">
        <v>4433.83</v>
      </c>
      <c r="Q1282" s="11">
        <v>7.9</v>
      </c>
      <c r="R1282" s="13" t="str">
        <f>IF(Patient_Data!$L1282&lt;2,"Low Risk",IF(Patient_Data!$L1282&lt;4,"Moderate Risk","High Risk"))</f>
        <v>Low Risk</v>
      </c>
      <c r="S1282" s="12" t="str">
        <f>IF(Patient_Data[[#This Row],[Age]]&lt;=18,"Pediatric",IF(Patient_Data[[#This Row],[Age]]&lt;=64,"Adult","Geriatric"))</f>
        <v>Geriatric</v>
      </c>
    </row>
    <row r="1283" spans="1:19" ht="15.75" customHeight="1" x14ac:dyDescent="0.3">
      <c r="A1283" s="4" t="s">
        <v>2596</v>
      </c>
      <c r="B1283" s="5" t="str">
        <f>TEXT(Patient_Data!$E1283,"mmmm")</f>
        <v>March</v>
      </c>
      <c r="C1283" s="6" t="str">
        <f t="shared" si="10"/>
        <v>Mar</v>
      </c>
      <c r="D1283" s="6">
        <f>MONTH(Patient_Data!$E1283)</f>
        <v>3</v>
      </c>
      <c r="E1283" s="7">
        <v>45722</v>
      </c>
      <c r="F1283" s="55" t="str">
        <f>TEXT(Patient_Data[[#This Row],[Admission_Date]],"YYYY")</f>
        <v>2025</v>
      </c>
      <c r="G1283" s="8" t="s">
        <v>2597</v>
      </c>
      <c r="H1283" s="8" t="s">
        <v>34</v>
      </c>
      <c r="I1283" s="4" t="s">
        <v>35</v>
      </c>
      <c r="J1283" s="4">
        <v>2</v>
      </c>
      <c r="K1283" s="4" t="s">
        <v>54</v>
      </c>
      <c r="L1283" s="8">
        <v>3</v>
      </c>
      <c r="M1283" s="9" t="s">
        <v>79</v>
      </c>
      <c r="N1283" s="9" t="str">
        <f t="shared" si="11"/>
        <v>PD</v>
      </c>
      <c r="O1283" s="10">
        <v>1313.77</v>
      </c>
      <c r="P1283" s="10">
        <v>877.61</v>
      </c>
      <c r="Q1283" s="11">
        <v>4.5999999999999996</v>
      </c>
      <c r="R1283" s="13" t="str">
        <f>IF(Patient_Data!$L1283&lt;2,"Low Risk",IF(Patient_Data!$L1283&lt;4,"Moderate Risk","High Risk"))</f>
        <v>Moderate Risk</v>
      </c>
      <c r="S1283" s="12" t="str">
        <f>IF(Patient_Data[[#This Row],[Age]]&lt;=18,"Pediatric",IF(Patient_Data[[#This Row],[Age]]&lt;=64,"Adult","Geriatric"))</f>
        <v>Pediatric</v>
      </c>
    </row>
    <row r="1284" spans="1:19" ht="15.75" customHeight="1" x14ac:dyDescent="0.3">
      <c r="A1284" s="4" t="s">
        <v>2598</v>
      </c>
      <c r="B1284" s="5" t="str">
        <f>TEXT(Patient_Data!$E1284,"mmmm")</f>
        <v>March</v>
      </c>
      <c r="C1284" s="6" t="str">
        <f t="shared" si="10"/>
        <v>Mar</v>
      </c>
      <c r="D1284" s="6">
        <f>MONTH(Patient_Data!$E1284)</f>
        <v>3</v>
      </c>
      <c r="E1284" s="7">
        <v>45741</v>
      </c>
      <c r="F1284" s="55" t="str">
        <f>TEXT(Patient_Data[[#This Row],[Admission_Date]],"YYYY")</f>
        <v>2025</v>
      </c>
      <c r="G1284" s="8" t="s">
        <v>2599</v>
      </c>
      <c r="H1284" s="8" t="s">
        <v>28</v>
      </c>
      <c r="I1284" s="4" t="s">
        <v>35</v>
      </c>
      <c r="J1284" s="4">
        <v>31</v>
      </c>
      <c r="K1284" s="4" t="s">
        <v>30</v>
      </c>
      <c r="L1284" s="8">
        <v>1</v>
      </c>
      <c r="M1284" s="9" t="s">
        <v>36</v>
      </c>
      <c r="N1284" s="9" t="str">
        <f t="shared" si="11"/>
        <v>Cardio</v>
      </c>
      <c r="O1284" s="10">
        <v>5144.88</v>
      </c>
      <c r="P1284" s="10">
        <v>3488.67</v>
      </c>
      <c r="Q1284" s="11">
        <v>5.2</v>
      </c>
      <c r="R1284" s="13" t="str">
        <f>IF(Patient_Data!$L1284&lt;2,"Low Risk",IF(Patient_Data!$L1284&lt;4,"Moderate Risk","High Risk"))</f>
        <v>Low Risk</v>
      </c>
      <c r="S1284" s="12" t="str">
        <f>IF(Patient_Data[[#This Row],[Age]]&lt;=18,"Pediatric",IF(Patient_Data[[#This Row],[Age]]&lt;=64,"Adult","Geriatric"))</f>
        <v>Adult</v>
      </c>
    </row>
    <row r="1285" spans="1:19" ht="15.75" customHeight="1" x14ac:dyDescent="0.3">
      <c r="A1285" s="4" t="s">
        <v>2600</v>
      </c>
      <c r="B1285" s="5" t="str">
        <f>TEXT(Patient_Data!$E1285,"mmmm")</f>
        <v>June</v>
      </c>
      <c r="C1285" s="6" t="str">
        <f t="shared" si="10"/>
        <v>Jun</v>
      </c>
      <c r="D1285" s="6">
        <f>MONTH(Patient_Data!$E1285)</f>
        <v>6</v>
      </c>
      <c r="E1285" s="7">
        <v>45811</v>
      </c>
      <c r="F1285" s="55" t="str">
        <f>TEXT(Patient_Data[[#This Row],[Admission_Date]],"YYYY")</f>
        <v>2025</v>
      </c>
      <c r="G1285" s="8" t="s">
        <v>2601</v>
      </c>
      <c r="H1285" s="8" t="s">
        <v>49</v>
      </c>
      <c r="I1285" s="4" t="s">
        <v>35</v>
      </c>
      <c r="J1285" s="4">
        <v>41</v>
      </c>
      <c r="K1285" s="4" t="s">
        <v>30</v>
      </c>
      <c r="L1285" s="8">
        <v>1</v>
      </c>
      <c r="M1285" s="9" t="s">
        <v>36</v>
      </c>
      <c r="N1285" s="9" t="str">
        <f t="shared" si="11"/>
        <v>Cardio</v>
      </c>
      <c r="O1285" s="10">
        <v>7706.12</v>
      </c>
      <c r="P1285" s="10">
        <v>5442.28</v>
      </c>
      <c r="Q1285" s="11">
        <v>6</v>
      </c>
      <c r="R1285" s="13" t="str">
        <f>IF(Patient_Data!$L1285&lt;2,"Low Risk",IF(Patient_Data!$L1285&lt;4,"Moderate Risk","High Risk"))</f>
        <v>Low Risk</v>
      </c>
      <c r="S1285" s="12" t="str">
        <f>IF(Patient_Data[[#This Row],[Age]]&lt;=18,"Pediatric",IF(Patient_Data[[#This Row],[Age]]&lt;=64,"Adult","Geriatric"))</f>
        <v>Adult</v>
      </c>
    </row>
    <row r="1286" spans="1:19" ht="15.75" customHeight="1" x14ac:dyDescent="0.3">
      <c r="A1286" s="4" t="s">
        <v>2602</v>
      </c>
      <c r="B1286" s="5" t="str">
        <f>TEXT(Patient_Data!$E1286,"mmmm")</f>
        <v>June</v>
      </c>
      <c r="C1286" s="6" t="str">
        <f t="shared" si="10"/>
        <v>Jun</v>
      </c>
      <c r="D1286" s="6">
        <f>MONTH(Patient_Data!$E1286)</f>
        <v>6</v>
      </c>
      <c r="E1286" s="7">
        <v>45462</v>
      </c>
      <c r="F1286" s="55" t="str">
        <f>TEXT(Patient_Data[[#This Row],[Admission_Date]],"YYYY")</f>
        <v>2024</v>
      </c>
      <c r="G1286" s="8" t="s">
        <v>2603</v>
      </c>
      <c r="H1286" s="8" t="s">
        <v>28</v>
      </c>
      <c r="I1286" s="4" t="s">
        <v>35</v>
      </c>
      <c r="J1286" s="4">
        <v>6</v>
      </c>
      <c r="K1286" s="4" t="s">
        <v>45</v>
      </c>
      <c r="L1286" s="8">
        <v>4</v>
      </c>
      <c r="M1286" s="9" t="s">
        <v>79</v>
      </c>
      <c r="N1286" s="9" t="str">
        <f t="shared" si="11"/>
        <v>PD</v>
      </c>
      <c r="O1286" s="10">
        <v>2409.5</v>
      </c>
      <c r="P1286" s="10">
        <v>1774.13</v>
      </c>
      <c r="Q1286" s="11">
        <v>1.9</v>
      </c>
      <c r="R1286" s="13" t="str">
        <f>IF(Patient_Data!$L1286&lt;2,"Low Risk",IF(Patient_Data!$L1286&lt;4,"Moderate Risk","High Risk"))</f>
        <v>High Risk</v>
      </c>
      <c r="S1286" s="12" t="str">
        <f>IF(Patient_Data[[#This Row],[Age]]&lt;=18,"Pediatric",IF(Patient_Data[[#This Row],[Age]]&lt;=64,"Adult","Geriatric"))</f>
        <v>Pediatric</v>
      </c>
    </row>
    <row r="1287" spans="1:19" ht="15.75" customHeight="1" x14ac:dyDescent="0.3">
      <c r="A1287" s="4" t="s">
        <v>2604</v>
      </c>
      <c r="B1287" s="5" t="str">
        <f>TEXT(Patient_Data!$E1287,"mmmm")</f>
        <v>November</v>
      </c>
      <c r="C1287" s="6" t="str">
        <f t="shared" si="10"/>
        <v>Nov</v>
      </c>
      <c r="D1287" s="6">
        <f>MONTH(Patient_Data!$E1287)</f>
        <v>11</v>
      </c>
      <c r="E1287" s="7">
        <v>45982</v>
      </c>
      <c r="F1287" s="55" t="str">
        <f>TEXT(Patient_Data[[#This Row],[Admission_Date]],"YYYY")</f>
        <v>2025</v>
      </c>
      <c r="G1287" s="8" t="s">
        <v>2605</v>
      </c>
      <c r="H1287" s="8" t="s">
        <v>82</v>
      </c>
      <c r="I1287" s="4" t="s">
        <v>29</v>
      </c>
      <c r="J1287" s="4">
        <v>34</v>
      </c>
      <c r="K1287" s="4" t="s">
        <v>30</v>
      </c>
      <c r="L1287" s="8">
        <v>3</v>
      </c>
      <c r="M1287" s="9" t="s">
        <v>39</v>
      </c>
      <c r="N1287" s="9" t="str">
        <f t="shared" si="11"/>
        <v>GM</v>
      </c>
      <c r="O1287" s="10">
        <v>4171.8999999999996</v>
      </c>
      <c r="P1287" s="10">
        <v>3220.24</v>
      </c>
      <c r="Q1287" s="11">
        <v>6.2</v>
      </c>
      <c r="R1287" s="13" t="str">
        <f>IF(Patient_Data!$L1287&lt;2,"Low Risk",IF(Patient_Data!$L1287&lt;4,"Moderate Risk","High Risk"))</f>
        <v>Moderate Risk</v>
      </c>
      <c r="S1287" s="12" t="str">
        <f>IF(Patient_Data[[#This Row],[Age]]&lt;=18,"Pediatric",IF(Patient_Data[[#This Row],[Age]]&lt;=64,"Adult","Geriatric"))</f>
        <v>Adult</v>
      </c>
    </row>
    <row r="1288" spans="1:19" ht="15.75" customHeight="1" x14ac:dyDescent="0.3">
      <c r="A1288" s="4" t="s">
        <v>2606</v>
      </c>
      <c r="B1288" s="5" t="str">
        <f>TEXT(Patient_Data!$E1288,"mmmm")</f>
        <v>February</v>
      </c>
      <c r="C1288" s="6" t="str">
        <f t="shared" si="10"/>
        <v>Feb</v>
      </c>
      <c r="D1288" s="6">
        <f>MONTH(Patient_Data!$E1288)</f>
        <v>2</v>
      </c>
      <c r="E1288" s="7">
        <v>45324</v>
      </c>
      <c r="F1288" s="55" t="str">
        <f>TEXT(Patient_Data[[#This Row],[Admission_Date]],"YYYY")</f>
        <v>2024</v>
      </c>
      <c r="G1288" s="8" t="s">
        <v>2607</v>
      </c>
      <c r="H1288" s="8" t="s">
        <v>82</v>
      </c>
      <c r="I1288" s="4" t="s">
        <v>35</v>
      </c>
      <c r="J1288" s="4">
        <v>61</v>
      </c>
      <c r="K1288" s="4" t="s">
        <v>45</v>
      </c>
      <c r="L1288" s="8">
        <v>5</v>
      </c>
      <c r="M1288" s="9" t="s">
        <v>50</v>
      </c>
      <c r="N1288" s="9" t="str">
        <f t="shared" si="11"/>
        <v>ICU</v>
      </c>
      <c r="O1288" s="10">
        <v>16320.94</v>
      </c>
      <c r="P1288" s="10">
        <v>9590.9500000000007</v>
      </c>
      <c r="Q1288" s="11">
        <v>15.6</v>
      </c>
      <c r="R1288" s="13" t="str">
        <f>IF(Patient_Data!$L1288&lt;2,"Low Risk",IF(Patient_Data!$L1288&lt;4,"Moderate Risk","High Risk"))</f>
        <v>High Risk</v>
      </c>
      <c r="S1288" s="12" t="str">
        <f>IF(Patient_Data[[#This Row],[Age]]&lt;=18,"Pediatric",IF(Patient_Data[[#This Row],[Age]]&lt;=64,"Adult","Geriatric"))</f>
        <v>Adult</v>
      </c>
    </row>
    <row r="1289" spans="1:19" ht="15.75" customHeight="1" x14ac:dyDescent="0.3">
      <c r="A1289" s="4" t="s">
        <v>2608</v>
      </c>
      <c r="B1289" s="5" t="str">
        <f>TEXT(Patient_Data!$E1289,"mmmm")</f>
        <v>May</v>
      </c>
      <c r="C1289" s="6" t="str">
        <f t="shared" si="10"/>
        <v>May</v>
      </c>
      <c r="D1289" s="6">
        <f>MONTH(Patient_Data!$E1289)</f>
        <v>5</v>
      </c>
      <c r="E1289" s="7">
        <v>45779</v>
      </c>
      <c r="F1289" s="55" t="str">
        <f>TEXT(Patient_Data[[#This Row],[Admission_Date]],"YYYY")</f>
        <v>2025</v>
      </c>
      <c r="G1289" s="8" t="s">
        <v>2609</v>
      </c>
      <c r="H1289" s="8" t="s">
        <v>98</v>
      </c>
      <c r="I1289" s="4" t="s">
        <v>35</v>
      </c>
      <c r="J1289" s="4">
        <v>49</v>
      </c>
      <c r="K1289" s="4" t="s">
        <v>30</v>
      </c>
      <c r="L1289" s="8">
        <v>1</v>
      </c>
      <c r="M1289" s="9" t="s">
        <v>46</v>
      </c>
      <c r="N1289" s="9" t="str">
        <f t="shared" si="11"/>
        <v>Ortho</v>
      </c>
      <c r="O1289" s="10">
        <v>7064.28</v>
      </c>
      <c r="P1289" s="10">
        <v>4374.01</v>
      </c>
      <c r="Q1289" s="11">
        <v>8.1</v>
      </c>
      <c r="R1289" s="13" t="str">
        <f>IF(Patient_Data!$L1289&lt;2,"Low Risk",IF(Patient_Data!$L1289&lt;4,"Moderate Risk","High Risk"))</f>
        <v>Low Risk</v>
      </c>
      <c r="S1289" s="12" t="str">
        <f>IF(Patient_Data[[#This Row],[Age]]&lt;=18,"Pediatric",IF(Patient_Data[[#This Row],[Age]]&lt;=64,"Adult","Geriatric"))</f>
        <v>Adult</v>
      </c>
    </row>
    <row r="1290" spans="1:19" ht="15.75" customHeight="1" x14ac:dyDescent="0.3">
      <c r="A1290" s="4" t="s">
        <v>2610</v>
      </c>
      <c r="B1290" s="5" t="str">
        <f>TEXT(Patient_Data!$E1290,"mmmm")</f>
        <v>July</v>
      </c>
      <c r="C1290" s="6" t="str">
        <f t="shared" si="10"/>
        <v>Jul</v>
      </c>
      <c r="D1290" s="6">
        <f>MONTH(Patient_Data!$E1290)</f>
        <v>7</v>
      </c>
      <c r="E1290" s="7">
        <v>45499</v>
      </c>
      <c r="F1290" s="55" t="str">
        <f>TEXT(Patient_Data[[#This Row],[Admission_Date]],"YYYY")</f>
        <v>2024</v>
      </c>
      <c r="G1290" s="8" t="s">
        <v>2611</v>
      </c>
      <c r="H1290" s="8" t="s">
        <v>132</v>
      </c>
      <c r="I1290" s="4" t="s">
        <v>29</v>
      </c>
      <c r="J1290" s="4">
        <v>70</v>
      </c>
      <c r="K1290" s="4" t="s">
        <v>30</v>
      </c>
      <c r="L1290" s="8">
        <v>3</v>
      </c>
      <c r="M1290" s="9" t="s">
        <v>50</v>
      </c>
      <c r="N1290" s="9" t="str">
        <f t="shared" si="11"/>
        <v>ICU</v>
      </c>
      <c r="O1290" s="10">
        <v>9556.02</v>
      </c>
      <c r="P1290" s="10">
        <v>6187.85</v>
      </c>
      <c r="Q1290" s="11">
        <v>9</v>
      </c>
      <c r="R1290" s="13" t="str">
        <f>IF(Patient_Data!$L1290&lt;2,"Low Risk",IF(Patient_Data!$L1290&lt;4,"Moderate Risk","High Risk"))</f>
        <v>Moderate Risk</v>
      </c>
      <c r="S1290" s="12" t="str">
        <f>IF(Patient_Data[[#This Row],[Age]]&lt;=18,"Pediatric",IF(Patient_Data[[#This Row],[Age]]&lt;=64,"Adult","Geriatric"))</f>
        <v>Geriatric</v>
      </c>
    </row>
    <row r="1291" spans="1:19" ht="15.75" customHeight="1" x14ac:dyDescent="0.3">
      <c r="A1291" s="4" t="s">
        <v>2612</v>
      </c>
      <c r="B1291" s="5" t="str">
        <f>TEXT(Patient_Data!$E1291,"mmmm")</f>
        <v>January</v>
      </c>
      <c r="C1291" s="6" t="str">
        <f t="shared" si="10"/>
        <v>Jan</v>
      </c>
      <c r="D1291" s="6">
        <f>MONTH(Patient_Data!$E1291)</f>
        <v>1</v>
      </c>
      <c r="E1291" s="7">
        <v>45659</v>
      </c>
      <c r="F1291" s="55" t="str">
        <f>TEXT(Patient_Data[[#This Row],[Admission_Date]],"YYYY")</f>
        <v>2025</v>
      </c>
      <c r="G1291" s="8" t="s">
        <v>2613</v>
      </c>
      <c r="H1291" s="8" t="s">
        <v>49</v>
      </c>
      <c r="I1291" s="4" t="s">
        <v>29</v>
      </c>
      <c r="J1291" s="4">
        <v>31</v>
      </c>
      <c r="K1291" s="4" t="s">
        <v>30</v>
      </c>
      <c r="L1291" s="8">
        <v>3</v>
      </c>
      <c r="M1291" s="9" t="s">
        <v>72</v>
      </c>
      <c r="N1291" s="9" t="str">
        <f t="shared" si="11"/>
        <v>Surgery</v>
      </c>
      <c r="O1291" s="10">
        <v>10207.92</v>
      </c>
      <c r="P1291" s="10">
        <v>6864.11</v>
      </c>
      <c r="Q1291" s="11">
        <v>3.1</v>
      </c>
      <c r="R1291" s="13" t="str">
        <f>IF(Patient_Data!$L1291&lt;2,"Low Risk",IF(Patient_Data!$L1291&lt;4,"Moderate Risk","High Risk"))</f>
        <v>Moderate Risk</v>
      </c>
      <c r="S1291" s="12" t="str">
        <f>IF(Patient_Data[[#This Row],[Age]]&lt;=18,"Pediatric",IF(Patient_Data[[#This Row],[Age]]&lt;=64,"Adult","Geriatric"))</f>
        <v>Adult</v>
      </c>
    </row>
    <row r="1292" spans="1:19" ht="15.75" customHeight="1" x14ac:dyDescent="0.3">
      <c r="A1292" s="4" t="s">
        <v>2614</v>
      </c>
      <c r="B1292" s="5" t="str">
        <f>TEXT(Patient_Data!$E1292,"mmmm")</f>
        <v>July</v>
      </c>
      <c r="C1292" s="6" t="str">
        <f t="shared" si="10"/>
        <v>Jul</v>
      </c>
      <c r="D1292" s="6">
        <f>MONTH(Patient_Data!$E1292)</f>
        <v>7</v>
      </c>
      <c r="E1292" s="7">
        <v>45846</v>
      </c>
      <c r="F1292" s="55" t="str">
        <f>TEXT(Patient_Data[[#This Row],[Admission_Date]],"YYYY")</f>
        <v>2025</v>
      </c>
      <c r="G1292" s="8" t="s">
        <v>2615</v>
      </c>
      <c r="H1292" s="8" t="s">
        <v>28</v>
      </c>
      <c r="I1292" s="4" t="s">
        <v>29</v>
      </c>
      <c r="J1292" s="4">
        <v>68</v>
      </c>
      <c r="K1292" s="4" t="s">
        <v>30</v>
      </c>
      <c r="L1292" s="8">
        <v>4</v>
      </c>
      <c r="M1292" s="9" t="s">
        <v>50</v>
      </c>
      <c r="N1292" s="9" t="str">
        <f t="shared" si="11"/>
        <v>ICU</v>
      </c>
      <c r="O1292" s="10">
        <v>14433.6</v>
      </c>
      <c r="P1292" s="10">
        <v>10197.120000000001</v>
      </c>
      <c r="Q1292" s="11">
        <v>11.7</v>
      </c>
      <c r="R1292" s="13" t="str">
        <f>IF(Patient_Data!$L1292&lt;2,"Low Risk",IF(Patient_Data!$L1292&lt;4,"Moderate Risk","High Risk"))</f>
        <v>High Risk</v>
      </c>
      <c r="S1292" s="12" t="str">
        <f>IF(Patient_Data[[#This Row],[Age]]&lt;=18,"Pediatric",IF(Patient_Data[[#This Row],[Age]]&lt;=64,"Adult","Geriatric"))</f>
        <v>Geriatric</v>
      </c>
    </row>
    <row r="1293" spans="1:19" ht="15.75" customHeight="1" x14ac:dyDescent="0.3">
      <c r="A1293" s="4" t="s">
        <v>2616</v>
      </c>
      <c r="B1293" s="5" t="str">
        <f>TEXT(Patient_Data!$E1293,"mmmm")</f>
        <v>October</v>
      </c>
      <c r="C1293" s="6" t="str">
        <f t="shared" si="10"/>
        <v>Oct</v>
      </c>
      <c r="D1293" s="6">
        <f>MONTH(Patient_Data!$E1293)</f>
        <v>10</v>
      </c>
      <c r="E1293" s="7">
        <v>45953</v>
      </c>
      <c r="F1293" s="55" t="str">
        <f>TEXT(Patient_Data[[#This Row],[Admission_Date]],"YYYY")</f>
        <v>2025</v>
      </c>
      <c r="G1293" s="8" t="s">
        <v>2617</v>
      </c>
      <c r="H1293" s="8" t="s">
        <v>34</v>
      </c>
      <c r="I1293" s="4" t="s">
        <v>29</v>
      </c>
      <c r="J1293" s="4">
        <v>40</v>
      </c>
      <c r="K1293" s="4" t="s">
        <v>45</v>
      </c>
      <c r="L1293" s="8">
        <v>4</v>
      </c>
      <c r="M1293" s="9" t="s">
        <v>72</v>
      </c>
      <c r="N1293" s="9" t="str">
        <f t="shared" si="11"/>
        <v>Surgery</v>
      </c>
      <c r="O1293" s="10">
        <v>12661.91</v>
      </c>
      <c r="P1293" s="10">
        <v>9329.59</v>
      </c>
      <c r="Q1293" s="11">
        <v>10.8</v>
      </c>
      <c r="R1293" s="13" t="str">
        <f>IF(Patient_Data!$L1293&lt;2,"Low Risk",IF(Patient_Data!$L1293&lt;4,"Moderate Risk","High Risk"))</f>
        <v>High Risk</v>
      </c>
      <c r="S1293" s="12" t="str">
        <f>IF(Patient_Data[[#This Row],[Age]]&lt;=18,"Pediatric",IF(Patient_Data[[#This Row],[Age]]&lt;=64,"Adult","Geriatric"))</f>
        <v>Adult</v>
      </c>
    </row>
    <row r="1294" spans="1:19" ht="15.75" customHeight="1" x14ac:dyDescent="0.3">
      <c r="A1294" s="4" t="s">
        <v>2618</v>
      </c>
      <c r="B1294" s="5" t="str">
        <f>TEXT(Patient_Data!$E1294,"mmmm")</f>
        <v>June</v>
      </c>
      <c r="C1294" s="6" t="str">
        <f t="shared" si="10"/>
        <v>Jun</v>
      </c>
      <c r="D1294" s="6">
        <f>MONTH(Patient_Data!$E1294)</f>
        <v>6</v>
      </c>
      <c r="E1294" s="7">
        <v>45453</v>
      </c>
      <c r="F1294" s="55" t="str">
        <f>TEXT(Patient_Data[[#This Row],[Admission_Date]],"YYYY")</f>
        <v>2024</v>
      </c>
      <c r="G1294" s="8" t="s">
        <v>2619</v>
      </c>
      <c r="H1294" s="8" t="s">
        <v>42</v>
      </c>
      <c r="I1294" s="4" t="s">
        <v>29</v>
      </c>
      <c r="J1294" s="4">
        <v>31</v>
      </c>
      <c r="K1294" s="4" t="s">
        <v>30</v>
      </c>
      <c r="L1294" s="8">
        <v>3</v>
      </c>
      <c r="M1294" s="9" t="s">
        <v>72</v>
      </c>
      <c r="N1294" s="9" t="str">
        <f t="shared" si="11"/>
        <v>Surgery</v>
      </c>
      <c r="O1294" s="10">
        <v>16518.09</v>
      </c>
      <c r="P1294" s="10">
        <v>12613.75</v>
      </c>
      <c r="Q1294" s="11">
        <v>7.5</v>
      </c>
      <c r="R1294" s="13" t="str">
        <f>IF(Patient_Data!$L1294&lt;2,"Low Risk",IF(Patient_Data!$L1294&lt;4,"Moderate Risk","High Risk"))</f>
        <v>Moderate Risk</v>
      </c>
      <c r="S1294" s="12" t="str">
        <f>IF(Patient_Data[[#This Row],[Age]]&lt;=18,"Pediatric",IF(Patient_Data[[#This Row],[Age]]&lt;=64,"Adult","Geriatric"))</f>
        <v>Adult</v>
      </c>
    </row>
    <row r="1295" spans="1:19" ht="15.75" customHeight="1" x14ac:dyDescent="0.3">
      <c r="A1295" s="4" t="s">
        <v>2620</v>
      </c>
      <c r="B1295" s="5" t="str">
        <f>TEXT(Patient_Data!$E1295,"mmmm")</f>
        <v>February</v>
      </c>
      <c r="C1295" s="6" t="str">
        <f t="shared" si="10"/>
        <v>Feb</v>
      </c>
      <c r="D1295" s="6">
        <f>MONTH(Patient_Data!$E1295)</f>
        <v>2</v>
      </c>
      <c r="E1295" s="7">
        <v>45327</v>
      </c>
      <c r="F1295" s="55" t="str">
        <f>TEXT(Patient_Data[[#This Row],[Admission_Date]],"YYYY")</f>
        <v>2024</v>
      </c>
      <c r="G1295" s="8" t="s">
        <v>2621</v>
      </c>
      <c r="H1295" s="8" t="s">
        <v>82</v>
      </c>
      <c r="I1295" s="4" t="s">
        <v>29</v>
      </c>
      <c r="J1295" s="4">
        <v>69</v>
      </c>
      <c r="K1295" s="4" t="s">
        <v>54</v>
      </c>
      <c r="L1295" s="8">
        <v>3</v>
      </c>
      <c r="M1295" s="9" t="s">
        <v>36</v>
      </c>
      <c r="N1295" s="9" t="str">
        <f t="shared" si="11"/>
        <v>Cardio</v>
      </c>
      <c r="O1295" s="10">
        <v>8528.68</v>
      </c>
      <c r="P1295" s="10">
        <v>5033.83</v>
      </c>
      <c r="Q1295" s="11">
        <v>10.9</v>
      </c>
      <c r="R1295" s="13" t="str">
        <f>IF(Patient_Data!$L1295&lt;2,"Low Risk",IF(Patient_Data!$L1295&lt;4,"Moderate Risk","High Risk"))</f>
        <v>Moderate Risk</v>
      </c>
      <c r="S1295" s="12" t="str">
        <f>IF(Patient_Data[[#This Row],[Age]]&lt;=18,"Pediatric",IF(Patient_Data[[#This Row],[Age]]&lt;=64,"Adult","Geriatric"))</f>
        <v>Geriatric</v>
      </c>
    </row>
    <row r="1296" spans="1:19" ht="15.75" customHeight="1" x14ac:dyDescent="0.3">
      <c r="A1296" s="4" t="s">
        <v>2622</v>
      </c>
      <c r="B1296" s="5" t="str">
        <f>TEXT(Patient_Data!$E1296,"mmmm")</f>
        <v>June</v>
      </c>
      <c r="C1296" s="6" t="str">
        <f t="shared" si="10"/>
        <v>Jun</v>
      </c>
      <c r="D1296" s="6">
        <f>MONTH(Patient_Data!$E1296)</f>
        <v>6</v>
      </c>
      <c r="E1296" s="7">
        <v>46192</v>
      </c>
      <c r="F1296" s="55" t="str">
        <f>TEXT(Patient_Data[[#This Row],[Admission_Date]],"YYYY")</f>
        <v>2026</v>
      </c>
      <c r="G1296" s="8" t="s">
        <v>2623</v>
      </c>
      <c r="H1296" s="8" t="s">
        <v>49</v>
      </c>
      <c r="I1296" s="4" t="s">
        <v>35</v>
      </c>
      <c r="J1296" s="4">
        <v>55</v>
      </c>
      <c r="K1296" s="4" t="s">
        <v>54</v>
      </c>
      <c r="L1296" s="8">
        <v>3</v>
      </c>
      <c r="M1296" s="9" t="s">
        <v>72</v>
      </c>
      <c r="N1296" s="9" t="str">
        <f t="shared" si="11"/>
        <v>Surgery</v>
      </c>
      <c r="O1296" s="10">
        <v>12839.04</v>
      </c>
      <c r="P1296" s="10">
        <v>7848.61</v>
      </c>
      <c r="Q1296" s="11">
        <v>2.1</v>
      </c>
      <c r="R1296" s="13" t="str">
        <f>IF(Patient_Data!$L1296&lt;2,"Low Risk",IF(Patient_Data!$L1296&lt;4,"Moderate Risk","High Risk"))</f>
        <v>Moderate Risk</v>
      </c>
      <c r="S1296" s="12" t="str">
        <f>IF(Patient_Data[[#This Row],[Age]]&lt;=18,"Pediatric",IF(Patient_Data[[#This Row],[Age]]&lt;=64,"Adult","Geriatric"))</f>
        <v>Adult</v>
      </c>
    </row>
    <row r="1297" spans="1:19" ht="15.75" customHeight="1" x14ac:dyDescent="0.3">
      <c r="A1297" s="4" t="s">
        <v>2624</v>
      </c>
      <c r="B1297" s="5" t="str">
        <f>TEXT(Patient_Data!$E1297,"mmmm")</f>
        <v>August</v>
      </c>
      <c r="C1297" s="6" t="str">
        <f t="shared" si="10"/>
        <v>Aug</v>
      </c>
      <c r="D1297" s="6">
        <f>MONTH(Patient_Data!$E1297)</f>
        <v>8</v>
      </c>
      <c r="E1297" s="7">
        <v>45875</v>
      </c>
      <c r="F1297" s="55" t="str">
        <f>TEXT(Patient_Data[[#This Row],[Admission_Date]],"YYYY")</f>
        <v>2025</v>
      </c>
      <c r="G1297" s="8" t="s">
        <v>2625</v>
      </c>
      <c r="H1297" s="8" t="s">
        <v>34</v>
      </c>
      <c r="I1297" s="4" t="s">
        <v>29</v>
      </c>
      <c r="J1297" s="4">
        <v>54</v>
      </c>
      <c r="K1297" s="4" t="s">
        <v>30</v>
      </c>
      <c r="L1297" s="8">
        <v>2</v>
      </c>
      <c r="M1297" s="9" t="s">
        <v>36</v>
      </c>
      <c r="N1297" s="9" t="str">
        <f t="shared" si="11"/>
        <v>Cardio</v>
      </c>
      <c r="O1297" s="10">
        <v>9736.98</v>
      </c>
      <c r="P1297" s="10">
        <v>6231.67</v>
      </c>
      <c r="Q1297" s="11"/>
      <c r="R1297" s="13" t="str">
        <f>IF(Patient_Data!$L1297&lt;2,"Low Risk",IF(Patient_Data!$L1297&lt;4,"Moderate Risk","High Risk"))</f>
        <v>Moderate Risk</v>
      </c>
      <c r="S1297" s="12" t="str">
        <f>IF(Patient_Data[[#This Row],[Age]]&lt;=18,"Pediatric",IF(Patient_Data[[#This Row],[Age]]&lt;=64,"Adult","Geriatric"))</f>
        <v>Adult</v>
      </c>
    </row>
    <row r="1298" spans="1:19" ht="15.75" customHeight="1" x14ac:dyDescent="0.3">
      <c r="A1298" s="4" t="s">
        <v>2626</v>
      </c>
      <c r="B1298" s="5" t="str">
        <f>TEXT(Patient_Data!$E1298,"mmmm")</f>
        <v>December</v>
      </c>
      <c r="C1298" s="6" t="str">
        <f t="shared" si="10"/>
        <v>Dec</v>
      </c>
      <c r="D1298" s="6">
        <f>MONTH(Patient_Data!$E1298)</f>
        <v>12</v>
      </c>
      <c r="E1298" s="7">
        <v>45276</v>
      </c>
      <c r="F1298" s="55" t="str">
        <f>TEXT(Patient_Data[[#This Row],[Admission_Date]],"YYYY")</f>
        <v>2023</v>
      </c>
      <c r="G1298" s="8" t="s">
        <v>2627</v>
      </c>
      <c r="H1298" s="8" t="s">
        <v>28</v>
      </c>
      <c r="I1298" s="4" t="s">
        <v>35</v>
      </c>
      <c r="J1298" s="4">
        <v>75</v>
      </c>
      <c r="K1298" s="4" t="s">
        <v>30</v>
      </c>
      <c r="L1298" s="8">
        <v>3</v>
      </c>
      <c r="M1298" s="9" t="s">
        <v>50</v>
      </c>
      <c r="N1298" s="9" t="str">
        <f t="shared" si="11"/>
        <v>ICU</v>
      </c>
      <c r="O1298" s="10">
        <v>14814.76</v>
      </c>
      <c r="P1298" s="10">
        <v>10057.89</v>
      </c>
      <c r="Q1298" s="11">
        <v>16.5</v>
      </c>
      <c r="R1298" s="13" t="str">
        <f>IF(Patient_Data!$L1298&lt;2,"Low Risk",IF(Patient_Data!$L1298&lt;4,"Moderate Risk","High Risk"))</f>
        <v>Moderate Risk</v>
      </c>
      <c r="S1298" s="12" t="str">
        <f>IF(Patient_Data[[#This Row],[Age]]&lt;=18,"Pediatric",IF(Patient_Data[[#This Row],[Age]]&lt;=64,"Adult","Geriatric"))</f>
        <v>Geriatric</v>
      </c>
    </row>
    <row r="1299" spans="1:19" ht="15.75" customHeight="1" x14ac:dyDescent="0.3">
      <c r="A1299" s="4" t="s">
        <v>2628</v>
      </c>
      <c r="B1299" s="5" t="str">
        <f>TEXT(Patient_Data!$E1299,"mmmm")</f>
        <v>December</v>
      </c>
      <c r="C1299" s="6" t="str">
        <f t="shared" si="10"/>
        <v>Dec</v>
      </c>
      <c r="D1299" s="6">
        <f>MONTH(Patient_Data!$E1299)</f>
        <v>12</v>
      </c>
      <c r="E1299" s="7">
        <v>45642</v>
      </c>
      <c r="F1299" s="55" t="str">
        <f>TEXT(Patient_Data[[#This Row],[Admission_Date]],"YYYY")</f>
        <v>2024</v>
      </c>
      <c r="G1299" s="8" t="s">
        <v>2629</v>
      </c>
      <c r="H1299" s="8" t="s">
        <v>82</v>
      </c>
      <c r="I1299" s="4" t="s">
        <v>29</v>
      </c>
      <c r="J1299" s="4">
        <v>72</v>
      </c>
      <c r="K1299" s="4" t="s">
        <v>30</v>
      </c>
      <c r="L1299" s="8">
        <v>5</v>
      </c>
      <c r="M1299" s="9" t="s">
        <v>72</v>
      </c>
      <c r="N1299" s="9" t="str">
        <f t="shared" si="11"/>
        <v>Surgery</v>
      </c>
      <c r="O1299" s="10">
        <v>24436.45</v>
      </c>
      <c r="P1299" s="10">
        <v>17134.310000000001</v>
      </c>
      <c r="Q1299" s="11">
        <v>3.6</v>
      </c>
      <c r="R1299" s="13" t="str">
        <f>IF(Patient_Data!$L1299&lt;2,"Low Risk",IF(Patient_Data!$L1299&lt;4,"Moderate Risk","High Risk"))</f>
        <v>High Risk</v>
      </c>
      <c r="S1299" s="12" t="str">
        <f>IF(Patient_Data[[#This Row],[Age]]&lt;=18,"Pediatric",IF(Patient_Data[[#This Row],[Age]]&lt;=64,"Adult","Geriatric"))</f>
        <v>Geriatric</v>
      </c>
    </row>
    <row r="1300" spans="1:19" ht="15.75" customHeight="1" x14ac:dyDescent="0.3">
      <c r="A1300" s="4" t="s">
        <v>2630</v>
      </c>
      <c r="B1300" s="5" t="str">
        <f>TEXT(Patient_Data!$E1300,"mmmm")</f>
        <v>January</v>
      </c>
      <c r="C1300" s="6" t="str">
        <f t="shared" si="10"/>
        <v>Jan</v>
      </c>
      <c r="D1300" s="6">
        <f>MONTH(Patient_Data!$E1300)</f>
        <v>1</v>
      </c>
      <c r="E1300" s="7">
        <v>45322</v>
      </c>
      <c r="F1300" s="55" t="str">
        <f>TEXT(Patient_Data[[#This Row],[Admission_Date]],"YYYY")</f>
        <v>2024</v>
      </c>
      <c r="G1300" s="8" t="s">
        <v>2631</v>
      </c>
      <c r="H1300" s="8" t="s">
        <v>28</v>
      </c>
      <c r="I1300" s="4" t="s">
        <v>35</v>
      </c>
      <c r="J1300" s="4">
        <v>20</v>
      </c>
      <c r="K1300" s="4" t="s">
        <v>45</v>
      </c>
      <c r="L1300" s="8">
        <v>4</v>
      </c>
      <c r="M1300" s="9" t="s">
        <v>39</v>
      </c>
      <c r="N1300" s="9" t="str">
        <f t="shared" si="11"/>
        <v>GM</v>
      </c>
      <c r="O1300" s="10">
        <v>3505.32</v>
      </c>
      <c r="P1300" s="10">
        <v>2594.08</v>
      </c>
      <c r="Q1300" s="11">
        <v>4.4000000000000004</v>
      </c>
      <c r="R1300" s="13" t="str">
        <f>IF(Patient_Data!$L1300&lt;2,"Low Risk",IF(Patient_Data!$L1300&lt;4,"Moderate Risk","High Risk"))</f>
        <v>High Risk</v>
      </c>
      <c r="S1300" s="12" t="str">
        <f>IF(Patient_Data[[#This Row],[Age]]&lt;=18,"Pediatric",IF(Patient_Data[[#This Row],[Age]]&lt;=64,"Adult","Geriatric"))</f>
        <v>Adult</v>
      </c>
    </row>
    <row r="1301" spans="1:19" ht="15.75" customHeight="1" x14ac:dyDescent="0.3">
      <c r="A1301" s="4" t="s">
        <v>2632</v>
      </c>
      <c r="B1301" s="5" t="str">
        <f>TEXT(Patient_Data!$E1301,"mmmm")</f>
        <v>November</v>
      </c>
      <c r="C1301" s="6" t="str">
        <f t="shared" si="10"/>
        <v>Nov</v>
      </c>
      <c r="D1301" s="6">
        <f>MONTH(Patient_Data!$E1301)</f>
        <v>11</v>
      </c>
      <c r="E1301" s="7">
        <v>45979</v>
      </c>
      <c r="F1301" s="55" t="str">
        <f>TEXT(Patient_Data[[#This Row],[Admission_Date]],"YYYY")</f>
        <v>2025</v>
      </c>
      <c r="G1301" s="8" t="s">
        <v>2633</v>
      </c>
      <c r="H1301" s="8" t="s">
        <v>53</v>
      </c>
      <c r="I1301" s="4" t="s">
        <v>35</v>
      </c>
      <c r="J1301" s="4">
        <v>62</v>
      </c>
      <c r="K1301" s="4" t="s">
        <v>30</v>
      </c>
      <c r="L1301" s="8">
        <v>3</v>
      </c>
      <c r="M1301" s="9" t="s">
        <v>50</v>
      </c>
      <c r="N1301" s="9" t="str">
        <f t="shared" si="11"/>
        <v>ICU</v>
      </c>
      <c r="O1301" s="10">
        <v>11888.59</v>
      </c>
      <c r="P1301" s="10">
        <v>9128.93</v>
      </c>
      <c r="Q1301" s="11">
        <v>11.7</v>
      </c>
      <c r="R1301" s="13" t="str">
        <f>IF(Patient_Data!$L1301&lt;2,"Low Risk",IF(Patient_Data!$L1301&lt;4,"Moderate Risk","High Risk"))</f>
        <v>Moderate Risk</v>
      </c>
      <c r="S1301" s="12" t="str">
        <f>IF(Patient_Data[[#This Row],[Age]]&lt;=18,"Pediatric",IF(Patient_Data[[#This Row],[Age]]&lt;=64,"Adult","Geriatric"))</f>
        <v>Adult</v>
      </c>
    </row>
    <row r="1302" spans="1:19" ht="15.75" customHeight="1" x14ac:dyDescent="0.3">
      <c r="A1302" s="4" t="s">
        <v>2634</v>
      </c>
      <c r="B1302" s="5" t="str">
        <f>TEXT(Patient_Data!$E1302,"mmmm")</f>
        <v>June</v>
      </c>
      <c r="C1302" s="6" t="str">
        <f t="shared" si="10"/>
        <v>Jun</v>
      </c>
      <c r="D1302" s="6">
        <f>MONTH(Patient_Data!$E1302)</f>
        <v>6</v>
      </c>
      <c r="E1302" s="7">
        <v>45835</v>
      </c>
      <c r="F1302" s="55" t="str">
        <f>TEXT(Patient_Data[[#This Row],[Admission_Date]],"YYYY")</f>
        <v>2025</v>
      </c>
      <c r="G1302" s="8" t="s">
        <v>2635</v>
      </c>
      <c r="H1302" s="8" t="s">
        <v>28</v>
      </c>
      <c r="I1302" s="4" t="s">
        <v>35</v>
      </c>
      <c r="J1302" s="4">
        <v>40</v>
      </c>
      <c r="K1302" s="4" t="s">
        <v>30</v>
      </c>
      <c r="L1302" s="8">
        <v>1</v>
      </c>
      <c r="M1302" s="9" t="s">
        <v>36</v>
      </c>
      <c r="N1302" s="9" t="str">
        <f t="shared" si="11"/>
        <v>Cardio</v>
      </c>
      <c r="O1302" s="10">
        <v>8867.3700000000008</v>
      </c>
      <c r="P1302" s="10">
        <v>5217.47</v>
      </c>
      <c r="Q1302" s="11">
        <v>9.3000000000000007</v>
      </c>
      <c r="R1302" s="13" t="str">
        <f>IF(Patient_Data!$L1302&lt;2,"Low Risk",IF(Patient_Data!$L1302&lt;4,"Moderate Risk","High Risk"))</f>
        <v>Low Risk</v>
      </c>
      <c r="S1302" s="12" t="str">
        <f>IF(Patient_Data[[#This Row],[Age]]&lt;=18,"Pediatric",IF(Patient_Data[[#This Row],[Age]]&lt;=64,"Adult","Geriatric"))</f>
        <v>Adult</v>
      </c>
    </row>
    <row r="1303" spans="1:19" ht="15.75" customHeight="1" x14ac:dyDescent="0.3">
      <c r="A1303" s="4" t="s">
        <v>2636</v>
      </c>
      <c r="B1303" s="5" t="str">
        <f>TEXT(Patient_Data!$E1303,"mmmm")</f>
        <v>August</v>
      </c>
      <c r="C1303" s="6" t="str">
        <f t="shared" si="10"/>
        <v>Aug</v>
      </c>
      <c r="D1303" s="6">
        <f>MONTH(Patient_Data!$E1303)</f>
        <v>8</v>
      </c>
      <c r="E1303" s="7">
        <v>45895</v>
      </c>
      <c r="F1303" s="55" t="str">
        <f>TEXT(Patient_Data[[#This Row],[Admission_Date]],"YYYY")</f>
        <v>2025</v>
      </c>
      <c r="G1303" s="8" t="s">
        <v>2637</v>
      </c>
      <c r="H1303" s="8" t="s">
        <v>98</v>
      </c>
      <c r="I1303" s="4" t="s">
        <v>35</v>
      </c>
      <c r="J1303" s="4">
        <v>59</v>
      </c>
      <c r="K1303" s="4" t="s">
        <v>30</v>
      </c>
      <c r="L1303" s="8">
        <v>1</v>
      </c>
      <c r="M1303" s="9" t="s">
        <v>31</v>
      </c>
      <c r="N1303" s="9" t="str">
        <f t="shared" si="11"/>
        <v>Neuro</v>
      </c>
      <c r="O1303" s="10">
        <v>9793.9599999999991</v>
      </c>
      <c r="P1303" s="10">
        <v>6025.52</v>
      </c>
      <c r="Q1303" s="11">
        <v>6.4</v>
      </c>
      <c r="R1303" s="13" t="str">
        <f>IF(Patient_Data!$L1303&lt;2,"Low Risk",IF(Patient_Data!$L1303&lt;4,"Moderate Risk","High Risk"))</f>
        <v>Low Risk</v>
      </c>
      <c r="S1303" s="12" t="str">
        <f>IF(Patient_Data[[#This Row],[Age]]&lt;=18,"Pediatric",IF(Patient_Data[[#This Row],[Age]]&lt;=64,"Adult","Geriatric"))</f>
        <v>Adult</v>
      </c>
    </row>
    <row r="1304" spans="1:19" ht="15.75" customHeight="1" x14ac:dyDescent="0.3">
      <c r="A1304" s="4" t="s">
        <v>2638</v>
      </c>
      <c r="B1304" s="5" t="str">
        <f>TEXT(Patient_Data!$E1304,"mmmm")</f>
        <v>October</v>
      </c>
      <c r="C1304" s="6" t="str">
        <f t="shared" si="10"/>
        <v>Oct</v>
      </c>
      <c r="D1304" s="6">
        <f>MONTH(Patient_Data!$E1304)</f>
        <v>10</v>
      </c>
      <c r="E1304" s="7">
        <v>45945</v>
      </c>
      <c r="F1304" s="55" t="str">
        <f>TEXT(Patient_Data[[#This Row],[Admission_Date]],"YYYY")</f>
        <v>2025</v>
      </c>
      <c r="G1304" s="8" t="s">
        <v>2639</v>
      </c>
      <c r="H1304" s="8" t="s">
        <v>75</v>
      </c>
      <c r="I1304" s="4" t="s">
        <v>35</v>
      </c>
      <c r="J1304" s="4">
        <v>23</v>
      </c>
      <c r="K1304" s="4" t="s">
        <v>30</v>
      </c>
      <c r="L1304" s="8">
        <v>3</v>
      </c>
      <c r="M1304" s="9" t="s">
        <v>83</v>
      </c>
      <c r="N1304" s="9" t="str">
        <f t="shared" si="11"/>
        <v>ER</v>
      </c>
      <c r="O1304" s="10">
        <v>8813.67</v>
      </c>
      <c r="P1304" s="10">
        <v>5721.55</v>
      </c>
      <c r="Q1304" s="11">
        <v>10.1</v>
      </c>
      <c r="R1304" s="13" t="str">
        <f>IF(Patient_Data!$L1304&lt;2,"Low Risk",IF(Patient_Data!$L1304&lt;4,"Moderate Risk","High Risk"))</f>
        <v>Moderate Risk</v>
      </c>
      <c r="S1304" s="12" t="str">
        <f>IF(Patient_Data[[#This Row],[Age]]&lt;=18,"Pediatric",IF(Patient_Data[[#This Row],[Age]]&lt;=64,"Adult","Geriatric"))</f>
        <v>Adult</v>
      </c>
    </row>
    <row r="1305" spans="1:19" ht="15.75" customHeight="1" x14ac:dyDescent="0.3">
      <c r="A1305" s="4" t="s">
        <v>2640</v>
      </c>
      <c r="B1305" s="5" t="str">
        <f>TEXT(Patient_Data!$E1305,"mmmm")</f>
        <v>February</v>
      </c>
      <c r="C1305" s="6" t="str">
        <f t="shared" si="10"/>
        <v>Feb</v>
      </c>
      <c r="D1305" s="6">
        <f>MONTH(Patient_Data!$E1305)</f>
        <v>2</v>
      </c>
      <c r="E1305" s="7">
        <v>45342</v>
      </c>
      <c r="F1305" s="55" t="str">
        <f>TEXT(Patient_Data[[#This Row],[Admission_Date]],"YYYY")</f>
        <v>2024</v>
      </c>
      <c r="G1305" s="8" t="s">
        <v>2641</v>
      </c>
      <c r="H1305" s="8" t="s">
        <v>82</v>
      </c>
      <c r="I1305" s="4" t="s">
        <v>29</v>
      </c>
      <c r="J1305" s="4">
        <v>52</v>
      </c>
      <c r="K1305" s="4" t="s">
        <v>54</v>
      </c>
      <c r="L1305" s="8">
        <v>3</v>
      </c>
      <c r="M1305" s="9" t="s">
        <v>72</v>
      </c>
      <c r="N1305" s="9" t="str">
        <f t="shared" si="11"/>
        <v>Surgery</v>
      </c>
      <c r="O1305" s="10">
        <v>17680.759999999998</v>
      </c>
      <c r="P1305" s="10">
        <v>11894.91</v>
      </c>
      <c r="Q1305" s="11">
        <v>6.1</v>
      </c>
      <c r="R1305" s="13" t="str">
        <f>IF(Patient_Data!$L1305&lt;2,"Low Risk",IF(Patient_Data!$L1305&lt;4,"Moderate Risk","High Risk"))</f>
        <v>Moderate Risk</v>
      </c>
      <c r="S1305" s="12" t="str">
        <f>IF(Patient_Data[[#This Row],[Age]]&lt;=18,"Pediatric",IF(Patient_Data[[#This Row],[Age]]&lt;=64,"Adult","Geriatric"))</f>
        <v>Adult</v>
      </c>
    </row>
    <row r="1306" spans="1:19" ht="15.75" customHeight="1" x14ac:dyDescent="0.3">
      <c r="A1306" s="4" t="s">
        <v>2642</v>
      </c>
      <c r="B1306" s="5" t="str">
        <f>TEXT(Patient_Data!$E1306,"mmmm")</f>
        <v>April</v>
      </c>
      <c r="C1306" s="6" t="str">
        <f t="shared" si="10"/>
        <v>Apr</v>
      </c>
      <c r="D1306" s="6">
        <f>MONTH(Patient_Data!$E1306)</f>
        <v>4</v>
      </c>
      <c r="E1306" s="7">
        <v>45771</v>
      </c>
      <c r="F1306" s="55" t="str">
        <f>TEXT(Patient_Data[[#This Row],[Admission_Date]],"YYYY")</f>
        <v>2025</v>
      </c>
      <c r="G1306" s="8" t="s">
        <v>2643</v>
      </c>
      <c r="H1306" s="8" t="s">
        <v>82</v>
      </c>
      <c r="I1306" s="4" t="s">
        <v>35</v>
      </c>
      <c r="J1306" s="4">
        <v>50</v>
      </c>
      <c r="K1306" s="4" t="s">
        <v>30</v>
      </c>
      <c r="L1306" s="8">
        <v>2</v>
      </c>
      <c r="M1306" s="9" t="s">
        <v>36</v>
      </c>
      <c r="N1306" s="9" t="str">
        <f t="shared" si="11"/>
        <v>Cardio</v>
      </c>
      <c r="O1306" s="10">
        <v>7691.32</v>
      </c>
      <c r="P1306" s="10">
        <v>5431.92</v>
      </c>
      <c r="Q1306" s="11">
        <v>6</v>
      </c>
      <c r="R1306" s="13" t="str">
        <f>IF(Patient_Data!$L1306&lt;2,"Low Risk",IF(Patient_Data!$L1306&lt;4,"Moderate Risk","High Risk"))</f>
        <v>Moderate Risk</v>
      </c>
      <c r="S1306" s="12" t="str">
        <f>IF(Patient_Data[[#This Row],[Age]]&lt;=18,"Pediatric",IF(Patient_Data[[#This Row],[Age]]&lt;=64,"Adult","Geriatric"))</f>
        <v>Adult</v>
      </c>
    </row>
    <row r="1307" spans="1:19" ht="15.75" customHeight="1" x14ac:dyDescent="0.3">
      <c r="A1307" s="4" t="s">
        <v>2644</v>
      </c>
      <c r="B1307" s="5" t="str">
        <f>TEXT(Patient_Data!$E1307,"mmmm")</f>
        <v>January</v>
      </c>
      <c r="C1307" s="6" t="str">
        <f t="shared" si="10"/>
        <v>Jan</v>
      </c>
      <c r="D1307" s="6">
        <f>MONTH(Patient_Data!$E1307)</f>
        <v>1</v>
      </c>
      <c r="E1307" s="7">
        <v>45671</v>
      </c>
      <c r="F1307" s="55" t="str">
        <f>TEXT(Patient_Data[[#This Row],[Admission_Date]],"YYYY")</f>
        <v>2025</v>
      </c>
      <c r="G1307" s="8" t="s">
        <v>2645</v>
      </c>
      <c r="H1307" s="8" t="s">
        <v>98</v>
      </c>
      <c r="I1307" s="4" t="s">
        <v>29</v>
      </c>
      <c r="J1307" s="4">
        <v>11</v>
      </c>
      <c r="K1307" s="4" t="s">
        <v>45</v>
      </c>
      <c r="L1307" s="8">
        <v>3</v>
      </c>
      <c r="M1307" s="9" t="s">
        <v>79</v>
      </c>
      <c r="N1307" s="9" t="str">
        <f t="shared" si="11"/>
        <v>PD</v>
      </c>
      <c r="O1307" s="10">
        <v>1308.95</v>
      </c>
      <c r="P1307" s="10">
        <v>977.13</v>
      </c>
      <c r="Q1307" s="11">
        <v>2.7</v>
      </c>
      <c r="R1307" s="13" t="str">
        <f>IF(Patient_Data!$L1307&lt;2,"Low Risk",IF(Patient_Data!$L1307&lt;4,"Moderate Risk","High Risk"))</f>
        <v>Moderate Risk</v>
      </c>
      <c r="S1307" s="12" t="str">
        <f>IF(Patient_Data[[#This Row],[Age]]&lt;=18,"Pediatric",IF(Patient_Data[[#This Row],[Age]]&lt;=64,"Adult","Geriatric"))</f>
        <v>Pediatric</v>
      </c>
    </row>
    <row r="1308" spans="1:19" ht="15.75" customHeight="1" x14ac:dyDescent="0.3">
      <c r="A1308" s="4" t="s">
        <v>2646</v>
      </c>
      <c r="B1308" s="5" t="str">
        <f>TEXT(Patient_Data!$E1308,"mmmm")</f>
        <v>January</v>
      </c>
      <c r="C1308" s="6" t="str">
        <f t="shared" si="10"/>
        <v>Jan</v>
      </c>
      <c r="D1308" s="6">
        <f>MONTH(Patient_Data!$E1308)</f>
        <v>1</v>
      </c>
      <c r="E1308" s="7">
        <v>45317</v>
      </c>
      <c r="F1308" s="55" t="str">
        <f>TEXT(Patient_Data[[#This Row],[Admission_Date]],"YYYY")</f>
        <v>2024</v>
      </c>
      <c r="G1308" s="8" t="s">
        <v>2647</v>
      </c>
      <c r="H1308" s="8" t="s">
        <v>53</v>
      </c>
      <c r="I1308" s="4" t="s">
        <v>29</v>
      </c>
      <c r="J1308" s="4">
        <v>41</v>
      </c>
      <c r="K1308" s="4" t="s">
        <v>30</v>
      </c>
      <c r="L1308" s="8">
        <v>1</v>
      </c>
      <c r="M1308" s="9" t="s">
        <v>36</v>
      </c>
      <c r="N1308" s="9" t="str">
        <f t="shared" si="11"/>
        <v>Cardio</v>
      </c>
      <c r="O1308" s="10">
        <v>10483.48</v>
      </c>
      <c r="P1308" s="10">
        <v>8029.84</v>
      </c>
      <c r="Q1308" s="11">
        <v>7.8</v>
      </c>
      <c r="R1308" s="13" t="str">
        <f>IF(Patient_Data!$L1308&lt;2,"Low Risk",IF(Patient_Data!$L1308&lt;4,"Moderate Risk","High Risk"))</f>
        <v>Low Risk</v>
      </c>
      <c r="S1308" s="12" t="str">
        <f>IF(Patient_Data[[#This Row],[Age]]&lt;=18,"Pediatric",IF(Patient_Data[[#This Row],[Age]]&lt;=64,"Adult","Geriatric"))</f>
        <v>Adult</v>
      </c>
    </row>
    <row r="1309" spans="1:19" ht="15.75" customHeight="1" x14ac:dyDescent="0.3">
      <c r="A1309" s="4" t="s">
        <v>2648</v>
      </c>
      <c r="B1309" s="5" t="str">
        <f>TEXT(Patient_Data!$E1309,"mmmm")</f>
        <v>February</v>
      </c>
      <c r="C1309" s="6" t="str">
        <f t="shared" si="10"/>
        <v>Feb</v>
      </c>
      <c r="D1309" s="6">
        <f>MONTH(Patient_Data!$E1309)</f>
        <v>2</v>
      </c>
      <c r="E1309" s="7">
        <v>45335</v>
      </c>
      <c r="F1309" s="55" t="str">
        <f>TEXT(Patient_Data[[#This Row],[Admission_Date]],"YYYY")</f>
        <v>2024</v>
      </c>
      <c r="G1309" s="8" t="s">
        <v>2649</v>
      </c>
      <c r="H1309" s="8" t="s">
        <v>75</v>
      </c>
      <c r="I1309" s="4" t="s">
        <v>29</v>
      </c>
      <c r="J1309" s="4">
        <v>71</v>
      </c>
      <c r="K1309" s="4" t="s">
        <v>30</v>
      </c>
      <c r="L1309" s="8">
        <v>3</v>
      </c>
      <c r="M1309" s="9" t="s">
        <v>31</v>
      </c>
      <c r="N1309" s="9" t="str">
        <f t="shared" si="11"/>
        <v>Neuro</v>
      </c>
      <c r="O1309" s="10">
        <v>9773.81</v>
      </c>
      <c r="P1309" s="10">
        <v>5688.81</v>
      </c>
      <c r="Q1309" s="11">
        <v>2.5</v>
      </c>
      <c r="R1309" s="13" t="str">
        <f>IF(Patient_Data!$L1309&lt;2,"Low Risk",IF(Patient_Data!$L1309&lt;4,"Moderate Risk","High Risk"))</f>
        <v>Moderate Risk</v>
      </c>
      <c r="S1309" s="12" t="str">
        <f>IF(Patient_Data[[#This Row],[Age]]&lt;=18,"Pediatric",IF(Patient_Data[[#This Row],[Age]]&lt;=64,"Adult","Geriatric"))</f>
        <v>Geriatric</v>
      </c>
    </row>
    <row r="1310" spans="1:19" ht="15.75" customHeight="1" x14ac:dyDescent="0.3">
      <c r="A1310" s="4" t="s">
        <v>2650</v>
      </c>
      <c r="B1310" s="5" t="str">
        <f>TEXT(Patient_Data!$E1310,"mmmm")</f>
        <v>February</v>
      </c>
      <c r="C1310" s="6" t="str">
        <f t="shared" si="10"/>
        <v>Feb</v>
      </c>
      <c r="D1310" s="6">
        <f>MONTH(Patient_Data!$E1310)</f>
        <v>2</v>
      </c>
      <c r="E1310" s="7">
        <v>45715</v>
      </c>
      <c r="F1310" s="55" t="str">
        <f>TEXT(Patient_Data[[#This Row],[Admission_Date]],"YYYY")</f>
        <v>2025</v>
      </c>
      <c r="G1310" s="8" t="s">
        <v>2651</v>
      </c>
      <c r="H1310" s="8" t="s">
        <v>98</v>
      </c>
      <c r="I1310" s="4" t="s">
        <v>35</v>
      </c>
      <c r="J1310" s="4">
        <v>48</v>
      </c>
      <c r="K1310" s="4" t="s">
        <v>30</v>
      </c>
      <c r="L1310" s="8">
        <v>1</v>
      </c>
      <c r="M1310" s="9" t="s">
        <v>46</v>
      </c>
      <c r="N1310" s="9" t="str">
        <f t="shared" si="11"/>
        <v>Ortho</v>
      </c>
      <c r="O1310" s="10">
        <v>8615.8799999999992</v>
      </c>
      <c r="P1310" s="10">
        <v>5287.69</v>
      </c>
      <c r="Q1310" s="11">
        <v>4</v>
      </c>
      <c r="R1310" s="13" t="str">
        <f>IF(Patient_Data!$L1310&lt;2,"Low Risk",IF(Patient_Data!$L1310&lt;4,"Moderate Risk","High Risk"))</f>
        <v>Low Risk</v>
      </c>
      <c r="S1310" s="12" t="str">
        <f>IF(Patient_Data[[#This Row],[Age]]&lt;=18,"Pediatric",IF(Patient_Data[[#This Row],[Age]]&lt;=64,"Adult","Geriatric"))</f>
        <v>Adult</v>
      </c>
    </row>
    <row r="1311" spans="1:19" ht="15.75" customHeight="1" x14ac:dyDescent="0.3">
      <c r="A1311" s="4" t="s">
        <v>2652</v>
      </c>
      <c r="B1311" s="5" t="str">
        <f>TEXT(Patient_Data!$E1311,"mmmm")</f>
        <v>July</v>
      </c>
      <c r="C1311" s="6" t="str">
        <f t="shared" si="10"/>
        <v>Jul</v>
      </c>
      <c r="D1311" s="6">
        <f>MONTH(Patient_Data!$E1311)</f>
        <v>7</v>
      </c>
      <c r="E1311" s="7">
        <v>45482</v>
      </c>
      <c r="F1311" s="55" t="str">
        <f>TEXT(Patient_Data[[#This Row],[Admission_Date]],"YYYY")</f>
        <v>2024</v>
      </c>
      <c r="G1311" s="8" t="s">
        <v>2653</v>
      </c>
      <c r="H1311" s="8" t="s">
        <v>28</v>
      </c>
      <c r="I1311" s="4" t="s">
        <v>29</v>
      </c>
      <c r="J1311" s="4">
        <v>45</v>
      </c>
      <c r="K1311" s="4" t="s">
        <v>30</v>
      </c>
      <c r="L1311" s="8">
        <v>1</v>
      </c>
      <c r="M1311" s="9" t="s">
        <v>83</v>
      </c>
      <c r="N1311" s="9" t="str">
        <f t="shared" si="11"/>
        <v>ER</v>
      </c>
      <c r="O1311" s="10">
        <v>3854.72</v>
      </c>
      <c r="P1311" s="10">
        <v>2644.62</v>
      </c>
      <c r="Q1311" s="11">
        <v>22.2</v>
      </c>
      <c r="R1311" s="13" t="str">
        <f>IF(Patient_Data!$L1311&lt;2,"Low Risk",IF(Patient_Data!$L1311&lt;4,"Moderate Risk","High Risk"))</f>
        <v>Low Risk</v>
      </c>
      <c r="S1311" s="12" t="str">
        <f>IF(Patient_Data[[#This Row],[Age]]&lt;=18,"Pediatric",IF(Patient_Data[[#This Row],[Age]]&lt;=64,"Adult","Geriatric"))</f>
        <v>Adult</v>
      </c>
    </row>
    <row r="1312" spans="1:19" ht="15.75" customHeight="1" x14ac:dyDescent="0.3">
      <c r="A1312" s="4" t="s">
        <v>2654</v>
      </c>
      <c r="B1312" s="5" t="str">
        <f>TEXT(Patient_Data!$E1312,"mmmm")</f>
        <v>October</v>
      </c>
      <c r="C1312" s="6" t="str">
        <f t="shared" si="10"/>
        <v>Oct</v>
      </c>
      <c r="D1312" s="6">
        <f>MONTH(Patient_Data!$E1312)</f>
        <v>10</v>
      </c>
      <c r="E1312" s="7">
        <v>45945</v>
      </c>
      <c r="F1312" s="55" t="str">
        <f>TEXT(Patient_Data[[#This Row],[Admission_Date]],"YYYY")</f>
        <v>2025</v>
      </c>
      <c r="G1312" s="8" t="s">
        <v>2655</v>
      </c>
      <c r="H1312" s="8" t="s">
        <v>49</v>
      </c>
      <c r="I1312" s="4" t="s">
        <v>29</v>
      </c>
      <c r="J1312" s="4">
        <v>68</v>
      </c>
      <c r="K1312" s="4" t="s">
        <v>54</v>
      </c>
      <c r="L1312" s="8">
        <v>4</v>
      </c>
      <c r="M1312" s="9" t="s">
        <v>72</v>
      </c>
      <c r="N1312" s="9" t="str">
        <f t="shared" si="11"/>
        <v>Surgery</v>
      </c>
      <c r="O1312" s="10">
        <v>12996.74</v>
      </c>
      <c r="P1312" s="10">
        <v>8773.42</v>
      </c>
      <c r="Q1312" s="11">
        <v>8.1999999999999993</v>
      </c>
      <c r="R1312" s="13" t="str">
        <f>IF(Patient_Data!$L1312&lt;2,"Low Risk",IF(Patient_Data!$L1312&lt;4,"Moderate Risk","High Risk"))</f>
        <v>High Risk</v>
      </c>
      <c r="S1312" s="12" t="str">
        <f>IF(Patient_Data[[#This Row],[Age]]&lt;=18,"Pediatric",IF(Patient_Data[[#This Row],[Age]]&lt;=64,"Adult","Geriatric"))</f>
        <v>Geriatric</v>
      </c>
    </row>
    <row r="1313" spans="1:19" ht="15.75" customHeight="1" x14ac:dyDescent="0.3">
      <c r="A1313" s="4" t="s">
        <v>2656</v>
      </c>
      <c r="B1313" s="5" t="str">
        <f>TEXT(Patient_Data!$E1313,"mmmm")</f>
        <v>July</v>
      </c>
      <c r="C1313" s="6" t="str">
        <f t="shared" si="10"/>
        <v>Jul</v>
      </c>
      <c r="D1313" s="6">
        <f>MONTH(Patient_Data!$E1313)</f>
        <v>7</v>
      </c>
      <c r="E1313" s="7">
        <v>45482</v>
      </c>
      <c r="F1313" s="55" t="str">
        <f>TEXT(Patient_Data[[#This Row],[Admission_Date]],"YYYY")</f>
        <v>2024</v>
      </c>
      <c r="G1313" s="8" t="s">
        <v>2657</v>
      </c>
      <c r="H1313" s="8" t="s">
        <v>53</v>
      </c>
      <c r="I1313" s="4" t="s">
        <v>29</v>
      </c>
      <c r="J1313" s="4">
        <v>21</v>
      </c>
      <c r="K1313" s="4" t="s">
        <v>30</v>
      </c>
      <c r="L1313" s="8">
        <v>1</v>
      </c>
      <c r="M1313" s="9" t="s">
        <v>36</v>
      </c>
      <c r="N1313" s="9" t="str">
        <f t="shared" si="11"/>
        <v>Cardio</v>
      </c>
      <c r="O1313" s="10">
        <v>5585.63</v>
      </c>
      <c r="P1313" s="10">
        <v>3947.54</v>
      </c>
      <c r="Q1313" s="11">
        <v>4.7</v>
      </c>
      <c r="R1313" s="13" t="str">
        <f>IF(Patient_Data!$L1313&lt;2,"Low Risk",IF(Patient_Data!$L1313&lt;4,"Moderate Risk","High Risk"))</f>
        <v>Low Risk</v>
      </c>
      <c r="S1313" s="12" t="str">
        <f>IF(Patient_Data[[#This Row],[Age]]&lt;=18,"Pediatric",IF(Patient_Data[[#This Row],[Age]]&lt;=64,"Adult","Geriatric"))</f>
        <v>Adult</v>
      </c>
    </row>
    <row r="1314" spans="1:19" ht="15.75" customHeight="1" x14ac:dyDescent="0.3">
      <c r="A1314" s="4" t="s">
        <v>2658</v>
      </c>
      <c r="B1314" s="5" t="str">
        <f>TEXT(Patient_Data!$E1314,"mmmm")</f>
        <v>November</v>
      </c>
      <c r="C1314" s="6" t="str">
        <f t="shared" si="10"/>
        <v>Nov</v>
      </c>
      <c r="D1314" s="6">
        <f>MONTH(Patient_Data!$E1314)</f>
        <v>11</v>
      </c>
      <c r="E1314" s="7">
        <v>45964</v>
      </c>
      <c r="F1314" s="55" t="str">
        <f>TEXT(Patient_Data[[#This Row],[Admission_Date]],"YYYY")</f>
        <v>2025</v>
      </c>
      <c r="G1314" s="8" t="s">
        <v>2659</v>
      </c>
      <c r="H1314" s="8" t="s">
        <v>42</v>
      </c>
      <c r="I1314" s="4" t="s">
        <v>35</v>
      </c>
      <c r="J1314" s="4">
        <v>95</v>
      </c>
      <c r="K1314" s="4" t="s">
        <v>45</v>
      </c>
      <c r="L1314" s="8">
        <v>4</v>
      </c>
      <c r="M1314" s="9" t="s">
        <v>50</v>
      </c>
      <c r="N1314" s="9" t="str">
        <f t="shared" si="11"/>
        <v>ICU</v>
      </c>
      <c r="O1314" s="10">
        <v>10729.19</v>
      </c>
      <c r="P1314" s="10">
        <v>7920.31</v>
      </c>
      <c r="Q1314" s="11">
        <v>11</v>
      </c>
      <c r="R1314" s="13" t="str">
        <f>IF(Patient_Data!$L1314&lt;2,"Low Risk",IF(Patient_Data!$L1314&lt;4,"Moderate Risk","High Risk"))</f>
        <v>High Risk</v>
      </c>
      <c r="S1314" s="12" t="str">
        <f>IF(Patient_Data[[#This Row],[Age]]&lt;=18,"Pediatric",IF(Patient_Data[[#This Row],[Age]]&lt;=64,"Adult","Geriatric"))</f>
        <v>Geriatric</v>
      </c>
    </row>
    <row r="1315" spans="1:19" ht="15.75" customHeight="1" x14ac:dyDescent="0.3">
      <c r="A1315" s="4" t="s">
        <v>2660</v>
      </c>
      <c r="B1315" s="5" t="str">
        <f>TEXT(Patient_Data!$E1315,"mmmm")</f>
        <v>March</v>
      </c>
      <c r="C1315" s="6" t="str">
        <f t="shared" si="10"/>
        <v>Mar</v>
      </c>
      <c r="D1315" s="6">
        <f>MONTH(Patient_Data!$E1315)</f>
        <v>3</v>
      </c>
      <c r="E1315" s="7">
        <v>45354</v>
      </c>
      <c r="F1315" s="55" t="str">
        <f>TEXT(Patient_Data[[#This Row],[Admission_Date]],"YYYY")</f>
        <v>2024</v>
      </c>
      <c r="G1315" s="8" t="s">
        <v>2661</v>
      </c>
      <c r="H1315" s="8" t="s">
        <v>132</v>
      </c>
      <c r="I1315" s="4" t="s">
        <v>35</v>
      </c>
      <c r="J1315" s="4">
        <v>76</v>
      </c>
      <c r="K1315" s="4" t="s">
        <v>30</v>
      </c>
      <c r="L1315" s="8">
        <v>3</v>
      </c>
      <c r="M1315" s="9" t="s">
        <v>50</v>
      </c>
      <c r="N1315" s="9" t="str">
        <f t="shared" si="11"/>
        <v>ICU</v>
      </c>
      <c r="O1315" s="10">
        <v>13379.78</v>
      </c>
      <c r="P1315" s="10">
        <v>10292.629999999999</v>
      </c>
      <c r="Q1315" s="11">
        <v>15.5</v>
      </c>
      <c r="R1315" s="13" t="str">
        <f>IF(Patient_Data!$L1315&lt;2,"Low Risk",IF(Patient_Data!$L1315&lt;4,"Moderate Risk","High Risk"))</f>
        <v>Moderate Risk</v>
      </c>
      <c r="S1315" s="12" t="str">
        <f>IF(Patient_Data[[#This Row],[Age]]&lt;=18,"Pediatric",IF(Patient_Data[[#This Row],[Age]]&lt;=64,"Adult","Geriatric"))</f>
        <v>Geriatric</v>
      </c>
    </row>
    <row r="1316" spans="1:19" ht="15.75" customHeight="1" x14ac:dyDescent="0.3">
      <c r="A1316" s="4" t="s">
        <v>2662</v>
      </c>
      <c r="B1316" s="5" t="str">
        <f>TEXT(Patient_Data!$E1316,"mmmm")</f>
        <v>May</v>
      </c>
      <c r="C1316" s="6" t="str">
        <f t="shared" si="10"/>
        <v>May</v>
      </c>
      <c r="D1316" s="6">
        <f>MONTH(Patient_Data!$E1316)</f>
        <v>5</v>
      </c>
      <c r="E1316" s="7">
        <v>45798</v>
      </c>
      <c r="F1316" s="55" t="str">
        <f>TEXT(Patient_Data[[#This Row],[Admission_Date]],"YYYY")</f>
        <v>2025</v>
      </c>
      <c r="G1316" s="8" t="s">
        <v>2663</v>
      </c>
      <c r="H1316" s="8" t="s">
        <v>82</v>
      </c>
      <c r="I1316" s="4" t="s">
        <v>29</v>
      </c>
      <c r="J1316" s="4">
        <v>91</v>
      </c>
      <c r="K1316" s="4" t="s">
        <v>54</v>
      </c>
      <c r="L1316" s="8">
        <v>4</v>
      </c>
      <c r="M1316" s="9" t="s">
        <v>50</v>
      </c>
      <c r="N1316" s="9" t="str">
        <f t="shared" si="11"/>
        <v>ICU</v>
      </c>
      <c r="O1316" s="10">
        <v>10981.19</v>
      </c>
      <c r="P1316" s="10">
        <v>6465.89</v>
      </c>
      <c r="Q1316" s="11">
        <v>12.1</v>
      </c>
      <c r="R1316" s="13" t="str">
        <f>IF(Patient_Data!$L1316&lt;2,"Low Risk",IF(Patient_Data!$L1316&lt;4,"Moderate Risk","High Risk"))</f>
        <v>High Risk</v>
      </c>
      <c r="S1316" s="12" t="str">
        <f>IF(Patient_Data[[#This Row],[Age]]&lt;=18,"Pediatric",IF(Patient_Data[[#This Row],[Age]]&lt;=64,"Adult","Geriatric"))</f>
        <v>Geriatric</v>
      </c>
    </row>
    <row r="1317" spans="1:19" ht="15.75" customHeight="1" x14ac:dyDescent="0.3">
      <c r="A1317" s="4" t="s">
        <v>2664</v>
      </c>
      <c r="B1317" s="5" t="str">
        <f>TEXT(Patient_Data!$E1317,"mmmm")</f>
        <v>February</v>
      </c>
      <c r="C1317" s="6" t="str">
        <f t="shared" si="10"/>
        <v>Feb</v>
      </c>
      <c r="D1317" s="6">
        <f>MONTH(Patient_Data!$E1317)</f>
        <v>2</v>
      </c>
      <c r="E1317" s="7">
        <v>46077</v>
      </c>
      <c r="F1317" s="55" t="str">
        <f>TEXT(Patient_Data[[#This Row],[Admission_Date]],"YYYY")</f>
        <v>2026</v>
      </c>
      <c r="G1317" s="8" t="s">
        <v>2665</v>
      </c>
      <c r="H1317" s="8" t="s">
        <v>82</v>
      </c>
      <c r="I1317" s="4" t="s">
        <v>35</v>
      </c>
      <c r="J1317" s="4">
        <v>42</v>
      </c>
      <c r="K1317" s="4" t="s">
        <v>30</v>
      </c>
      <c r="L1317" s="8">
        <v>2</v>
      </c>
      <c r="M1317" s="9" t="s">
        <v>31</v>
      </c>
      <c r="N1317" s="9" t="str">
        <f t="shared" si="11"/>
        <v>Neuro</v>
      </c>
      <c r="O1317" s="10">
        <v>9296.42</v>
      </c>
      <c r="P1317" s="10">
        <v>5730.02</v>
      </c>
      <c r="Q1317" s="11">
        <v>7.4</v>
      </c>
      <c r="R1317" s="13" t="str">
        <f>IF(Patient_Data!$L1317&lt;2,"Low Risk",IF(Patient_Data!$L1317&lt;4,"Moderate Risk","High Risk"))</f>
        <v>Moderate Risk</v>
      </c>
      <c r="S1317" s="12" t="str">
        <f>IF(Patient_Data[[#This Row],[Age]]&lt;=18,"Pediatric",IF(Patient_Data[[#This Row],[Age]]&lt;=64,"Adult","Geriatric"))</f>
        <v>Adult</v>
      </c>
    </row>
    <row r="1318" spans="1:19" ht="15.75" customHeight="1" x14ac:dyDescent="0.3">
      <c r="A1318" s="4" t="s">
        <v>2666</v>
      </c>
      <c r="B1318" s="5" t="str">
        <f>TEXT(Patient_Data!$E1318,"mmmm")</f>
        <v>September</v>
      </c>
      <c r="C1318" s="6" t="str">
        <f t="shared" si="10"/>
        <v>Sep</v>
      </c>
      <c r="D1318" s="6">
        <f>MONTH(Patient_Data!$E1318)</f>
        <v>9</v>
      </c>
      <c r="E1318" s="7">
        <v>45904</v>
      </c>
      <c r="F1318" s="55" t="str">
        <f>TEXT(Patient_Data[[#This Row],[Admission_Date]],"YYYY")</f>
        <v>2025</v>
      </c>
      <c r="G1318" s="8" t="s">
        <v>2667</v>
      </c>
      <c r="H1318" s="8" t="s">
        <v>34</v>
      </c>
      <c r="I1318" s="4" t="s">
        <v>29</v>
      </c>
      <c r="J1318" s="4">
        <v>62</v>
      </c>
      <c r="K1318" s="4" t="s">
        <v>30</v>
      </c>
      <c r="L1318" s="8">
        <v>1</v>
      </c>
      <c r="M1318" s="9" t="s">
        <v>31</v>
      </c>
      <c r="N1318" s="9" t="str">
        <f t="shared" si="11"/>
        <v>Neuro</v>
      </c>
      <c r="O1318" s="10">
        <v>7134.54</v>
      </c>
      <c r="P1318" s="10">
        <v>4643.71</v>
      </c>
      <c r="Q1318" s="11">
        <v>9.6999999999999993</v>
      </c>
      <c r="R1318" s="13" t="str">
        <f>IF(Patient_Data!$L1318&lt;2,"Low Risk",IF(Patient_Data!$L1318&lt;4,"Moderate Risk","High Risk"))</f>
        <v>Low Risk</v>
      </c>
      <c r="S1318" s="12" t="str">
        <f>IF(Patient_Data[[#This Row],[Age]]&lt;=18,"Pediatric",IF(Patient_Data[[#This Row],[Age]]&lt;=64,"Adult","Geriatric"))</f>
        <v>Adult</v>
      </c>
    </row>
    <row r="1319" spans="1:19" ht="15.75" customHeight="1" x14ac:dyDescent="0.3">
      <c r="A1319" s="4" t="s">
        <v>2668</v>
      </c>
      <c r="B1319" s="5" t="str">
        <f>TEXT(Patient_Data!$E1319,"mmmm")</f>
        <v>March</v>
      </c>
      <c r="C1319" s="6" t="str">
        <f t="shared" si="10"/>
        <v>Mar</v>
      </c>
      <c r="D1319" s="6">
        <f>MONTH(Patient_Data!$E1319)</f>
        <v>3</v>
      </c>
      <c r="E1319" s="7">
        <v>45719</v>
      </c>
      <c r="F1319" s="55" t="str">
        <f>TEXT(Patient_Data[[#This Row],[Admission_Date]],"YYYY")</f>
        <v>2025</v>
      </c>
      <c r="G1319" s="8" t="s">
        <v>2669</v>
      </c>
      <c r="H1319" s="8" t="s">
        <v>28</v>
      </c>
      <c r="I1319" s="4" t="s">
        <v>29</v>
      </c>
      <c r="J1319" s="4">
        <v>65</v>
      </c>
      <c r="K1319" s="4" t="s">
        <v>45</v>
      </c>
      <c r="L1319" s="8">
        <v>1</v>
      </c>
      <c r="M1319" s="9" t="s">
        <v>46</v>
      </c>
      <c r="N1319" s="9" t="str">
        <f t="shared" si="11"/>
        <v>Ortho</v>
      </c>
      <c r="O1319" s="10">
        <v>6650.01</v>
      </c>
      <c r="P1319" s="10">
        <v>4509.1099999999997</v>
      </c>
      <c r="Q1319" s="11">
        <v>6.7</v>
      </c>
      <c r="R1319" s="13" t="str">
        <f>IF(Patient_Data!$L1319&lt;2,"Low Risk",IF(Patient_Data!$L1319&lt;4,"Moderate Risk","High Risk"))</f>
        <v>Low Risk</v>
      </c>
      <c r="S1319" s="12" t="str">
        <f>IF(Patient_Data[[#This Row],[Age]]&lt;=18,"Pediatric",IF(Patient_Data[[#This Row],[Age]]&lt;=64,"Adult","Geriatric"))</f>
        <v>Geriatric</v>
      </c>
    </row>
    <row r="1320" spans="1:19" ht="15.75" customHeight="1" x14ac:dyDescent="0.3">
      <c r="A1320" s="4" t="s">
        <v>2670</v>
      </c>
      <c r="B1320" s="5" t="str">
        <f>TEXT(Patient_Data!$E1320,"mmmm")</f>
        <v>March</v>
      </c>
      <c r="C1320" s="6" t="str">
        <f t="shared" si="10"/>
        <v>Mar</v>
      </c>
      <c r="D1320" s="6">
        <f>MONTH(Patient_Data!$E1320)</f>
        <v>3</v>
      </c>
      <c r="E1320" s="7">
        <v>45376</v>
      </c>
      <c r="F1320" s="55" t="str">
        <f>TEXT(Patient_Data[[#This Row],[Admission_Date]],"YYYY")</f>
        <v>2024</v>
      </c>
      <c r="G1320" s="8" t="s">
        <v>2671</v>
      </c>
      <c r="H1320" s="8" t="s">
        <v>132</v>
      </c>
      <c r="I1320" s="4" t="s">
        <v>35</v>
      </c>
      <c r="J1320" s="4">
        <v>22</v>
      </c>
      <c r="K1320" s="4" t="s">
        <v>30</v>
      </c>
      <c r="L1320" s="8">
        <v>2</v>
      </c>
      <c r="M1320" s="9" t="s">
        <v>83</v>
      </c>
      <c r="N1320" s="9" t="str">
        <f t="shared" si="11"/>
        <v>ER</v>
      </c>
      <c r="O1320" s="10">
        <v>2967.71</v>
      </c>
      <c r="P1320" s="10">
        <v>2196.6</v>
      </c>
      <c r="Q1320" s="11">
        <v>14.9</v>
      </c>
      <c r="R1320" s="13" t="str">
        <f>IF(Patient_Data!$L1320&lt;2,"Low Risk",IF(Patient_Data!$L1320&lt;4,"Moderate Risk","High Risk"))</f>
        <v>Moderate Risk</v>
      </c>
      <c r="S1320" s="12" t="str">
        <f>IF(Patient_Data[[#This Row],[Age]]&lt;=18,"Pediatric",IF(Patient_Data[[#This Row],[Age]]&lt;=64,"Adult","Geriatric"))</f>
        <v>Adult</v>
      </c>
    </row>
    <row r="1321" spans="1:19" ht="15.75" customHeight="1" x14ac:dyDescent="0.3">
      <c r="A1321" s="4" t="s">
        <v>2672</v>
      </c>
      <c r="B1321" s="5" t="str">
        <f>TEXT(Patient_Data!$E1321,"mmmm")</f>
        <v>May</v>
      </c>
      <c r="C1321" s="6" t="str">
        <f t="shared" si="10"/>
        <v>May</v>
      </c>
      <c r="D1321" s="6">
        <f>MONTH(Patient_Data!$E1321)</f>
        <v>5</v>
      </c>
      <c r="E1321" s="7">
        <v>45438</v>
      </c>
      <c r="F1321" s="55" t="str">
        <f>TEXT(Patient_Data[[#This Row],[Admission_Date]],"YYYY")</f>
        <v>2024</v>
      </c>
      <c r="G1321" s="8" t="s">
        <v>2673</v>
      </c>
      <c r="H1321" s="8" t="s">
        <v>53</v>
      </c>
      <c r="I1321" s="4" t="s">
        <v>29</v>
      </c>
      <c r="J1321" s="4">
        <v>56</v>
      </c>
      <c r="K1321" s="4" t="s">
        <v>30</v>
      </c>
      <c r="L1321" s="8">
        <v>3</v>
      </c>
      <c r="M1321" s="9" t="s">
        <v>50</v>
      </c>
      <c r="N1321" s="9" t="str">
        <f t="shared" si="11"/>
        <v>ICU</v>
      </c>
      <c r="O1321" s="10">
        <v>19689.14</v>
      </c>
      <c r="P1321" s="10">
        <v>14438.67</v>
      </c>
      <c r="Q1321" s="11">
        <v>8.1999999999999993</v>
      </c>
      <c r="R1321" s="13" t="str">
        <f>IF(Patient_Data!$L1321&lt;2,"Low Risk",IF(Patient_Data!$L1321&lt;4,"Moderate Risk","High Risk"))</f>
        <v>Moderate Risk</v>
      </c>
      <c r="S1321" s="12" t="str">
        <f>IF(Patient_Data[[#This Row],[Age]]&lt;=18,"Pediatric",IF(Patient_Data[[#This Row],[Age]]&lt;=64,"Adult","Geriatric"))</f>
        <v>Adult</v>
      </c>
    </row>
    <row r="1322" spans="1:19" ht="15.75" customHeight="1" x14ac:dyDescent="0.3">
      <c r="A1322" s="4" t="s">
        <v>2674</v>
      </c>
      <c r="B1322" s="5" t="str">
        <f>TEXT(Patient_Data!$E1322,"mmmm")</f>
        <v>January</v>
      </c>
      <c r="C1322" s="6" t="str">
        <f t="shared" si="10"/>
        <v>Jan</v>
      </c>
      <c r="D1322" s="6">
        <f>MONTH(Patient_Data!$E1322)</f>
        <v>1</v>
      </c>
      <c r="E1322" s="7">
        <v>46049</v>
      </c>
      <c r="F1322" s="55" t="str">
        <f>TEXT(Patient_Data[[#This Row],[Admission_Date]],"YYYY")</f>
        <v>2026</v>
      </c>
      <c r="G1322" s="8" t="s">
        <v>2675</v>
      </c>
      <c r="H1322" s="8" t="s">
        <v>28</v>
      </c>
      <c r="I1322" s="4" t="s">
        <v>35</v>
      </c>
      <c r="J1322" s="4">
        <v>60</v>
      </c>
      <c r="K1322" s="4" t="s">
        <v>30</v>
      </c>
      <c r="L1322" s="8">
        <v>2</v>
      </c>
      <c r="M1322" s="9" t="s">
        <v>83</v>
      </c>
      <c r="N1322" s="9" t="str">
        <f t="shared" si="11"/>
        <v>ER</v>
      </c>
      <c r="O1322" s="10">
        <v>5699.71</v>
      </c>
      <c r="P1322" s="10">
        <v>4459.78</v>
      </c>
      <c r="Q1322" s="11">
        <v>16</v>
      </c>
      <c r="R1322" s="13" t="str">
        <f>IF(Patient_Data!$L1322&lt;2,"Low Risk",IF(Patient_Data!$L1322&lt;4,"Moderate Risk","High Risk"))</f>
        <v>Moderate Risk</v>
      </c>
      <c r="S1322" s="12" t="str">
        <f>IF(Patient_Data[[#This Row],[Age]]&lt;=18,"Pediatric",IF(Patient_Data[[#This Row],[Age]]&lt;=64,"Adult","Geriatric"))</f>
        <v>Adult</v>
      </c>
    </row>
    <row r="1323" spans="1:19" ht="15.75" customHeight="1" x14ac:dyDescent="0.3">
      <c r="A1323" s="4" t="s">
        <v>2676</v>
      </c>
      <c r="B1323" s="5" t="str">
        <f>TEXT(Patient_Data!$E1323,"mmmm")</f>
        <v>March</v>
      </c>
      <c r="C1323" s="6" t="str">
        <f t="shared" si="10"/>
        <v>Mar</v>
      </c>
      <c r="D1323" s="6">
        <f>MONTH(Patient_Data!$E1323)</f>
        <v>3</v>
      </c>
      <c r="E1323" s="7">
        <v>46086</v>
      </c>
      <c r="F1323" s="55" t="str">
        <f>TEXT(Patient_Data[[#This Row],[Admission_Date]],"YYYY")</f>
        <v>2026</v>
      </c>
      <c r="G1323" s="8" t="s">
        <v>2677</v>
      </c>
      <c r="H1323" s="8" t="s">
        <v>42</v>
      </c>
      <c r="I1323" s="4" t="s">
        <v>29</v>
      </c>
      <c r="J1323" s="4">
        <v>25</v>
      </c>
      <c r="K1323" s="4" t="s">
        <v>45</v>
      </c>
      <c r="L1323" s="8">
        <v>3</v>
      </c>
      <c r="M1323" s="9" t="s">
        <v>36</v>
      </c>
      <c r="N1323" s="9" t="str">
        <f t="shared" si="11"/>
        <v>Cardio</v>
      </c>
      <c r="O1323" s="10">
        <v>8100.93</v>
      </c>
      <c r="P1323" s="10">
        <v>4740.1400000000003</v>
      </c>
      <c r="Q1323" s="11">
        <v>5.2</v>
      </c>
      <c r="R1323" s="13" t="str">
        <f>IF(Patient_Data!$L1323&lt;2,"Low Risk",IF(Patient_Data!$L1323&lt;4,"Moderate Risk","High Risk"))</f>
        <v>Moderate Risk</v>
      </c>
      <c r="S1323" s="12" t="str">
        <f>IF(Patient_Data[[#This Row],[Age]]&lt;=18,"Pediatric",IF(Patient_Data[[#This Row],[Age]]&lt;=64,"Adult","Geriatric"))</f>
        <v>Adult</v>
      </c>
    </row>
    <row r="1324" spans="1:19" ht="15.75" customHeight="1" x14ac:dyDescent="0.3">
      <c r="A1324" s="4" t="s">
        <v>2678</v>
      </c>
      <c r="B1324" s="5" t="str">
        <f>TEXT(Patient_Data!$E1324,"mmmm")</f>
        <v>July</v>
      </c>
      <c r="C1324" s="6" t="str">
        <f t="shared" si="10"/>
        <v>Jul</v>
      </c>
      <c r="D1324" s="6">
        <f>MONTH(Patient_Data!$E1324)</f>
        <v>7</v>
      </c>
      <c r="E1324" s="7">
        <v>46216</v>
      </c>
      <c r="F1324" s="55" t="str">
        <f>TEXT(Patient_Data[[#This Row],[Admission_Date]],"YYYY")</f>
        <v>2026</v>
      </c>
      <c r="G1324" s="8" t="s">
        <v>2679</v>
      </c>
      <c r="H1324" s="8" t="s">
        <v>98</v>
      </c>
      <c r="I1324" s="4" t="s">
        <v>29</v>
      </c>
      <c r="J1324" s="4">
        <v>29</v>
      </c>
      <c r="K1324" s="4" t="s">
        <v>45</v>
      </c>
      <c r="L1324" s="8">
        <v>4</v>
      </c>
      <c r="M1324" s="9" t="s">
        <v>72</v>
      </c>
      <c r="N1324" s="9" t="str">
        <f t="shared" si="11"/>
        <v>Surgery</v>
      </c>
      <c r="O1324" s="10">
        <v>14601.88</v>
      </c>
      <c r="P1324" s="10">
        <v>8945.5499999999993</v>
      </c>
      <c r="Q1324" s="11">
        <v>4.8</v>
      </c>
      <c r="R1324" s="13" t="str">
        <f>IF(Patient_Data!$L1324&lt;2,"Low Risk",IF(Patient_Data!$L1324&lt;4,"Moderate Risk","High Risk"))</f>
        <v>High Risk</v>
      </c>
      <c r="S1324" s="12" t="str">
        <f>IF(Patient_Data[[#This Row],[Age]]&lt;=18,"Pediatric",IF(Patient_Data[[#This Row],[Age]]&lt;=64,"Adult","Geriatric"))</f>
        <v>Adult</v>
      </c>
    </row>
    <row r="1325" spans="1:19" ht="15.75" customHeight="1" x14ac:dyDescent="0.3">
      <c r="A1325" s="4" t="s">
        <v>2680</v>
      </c>
      <c r="B1325" s="5" t="str">
        <f>TEXT(Patient_Data!$E1325,"mmmm")</f>
        <v>December</v>
      </c>
      <c r="C1325" s="6" t="str">
        <f t="shared" si="10"/>
        <v>Dec</v>
      </c>
      <c r="D1325" s="6">
        <f>MONTH(Patient_Data!$E1325)</f>
        <v>12</v>
      </c>
      <c r="E1325" s="7">
        <v>46002</v>
      </c>
      <c r="F1325" s="55" t="str">
        <f>TEXT(Patient_Data[[#This Row],[Admission_Date]],"YYYY")</f>
        <v>2025</v>
      </c>
      <c r="G1325" s="8" t="s">
        <v>2681</v>
      </c>
      <c r="H1325" s="8" t="s">
        <v>28</v>
      </c>
      <c r="I1325" s="4" t="s">
        <v>29</v>
      </c>
      <c r="J1325" s="4">
        <v>86</v>
      </c>
      <c r="K1325" s="4" t="s">
        <v>54</v>
      </c>
      <c r="L1325" s="8">
        <v>5</v>
      </c>
      <c r="M1325" s="9" t="s">
        <v>50</v>
      </c>
      <c r="N1325" s="9" t="str">
        <f t="shared" si="11"/>
        <v>ICU</v>
      </c>
      <c r="O1325" s="10">
        <v>23569.09</v>
      </c>
      <c r="P1325" s="10">
        <v>15214.62</v>
      </c>
      <c r="Q1325" s="11">
        <v>16.3</v>
      </c>
      <c r="R1325" s="13" t="str">
        <f>IF(Patient_Data!$L1325&lt;2,"Low Risk",IF(Patient_Data!$L1325&lt;4,"Moderate Risk","High Risk"))</f>
        <v>High Risk</v>
      </c>
      <c r="S1325" s="12" t="str">
        <f>IF(Patient_Data[[#This Row],[Age]]&lt;=18,"Pediatric",IF(Patient_Data[[#This Row],[Age]]&lt;=64,"Adult","Geriatric"))</f>
        <v>Geriatric</v>
      </c>
    </row>
    <row r="1326" spans="1:19" ht="15.75" customHeight="1" x14ac:dyDescent="0.3">
      <c r="A1326" s="4" t="s">
        <v>2682</v>
      </c>
      <c r="B1326" s="5" t="str">
        <f>TEXT(Patient_Data!$E1326,"mmmm")</f>
        <v>March</v>
      </c>
      <c r="C1326" s="6" t="str">
        <f t="shared" si="10"/>
        <v>Mar</v>
      </c>
      <c r="D1326" s="6">
        <f>MONTH(Patient_Data!$E1326)</f>
        <v>3</v>
      </c>
      <c r="E1326" s="7">
        <v>45378</v>
      </c>
      <c r="F1326" s="55" t="str">
        <f>TEXT(Patient_Data[[#This Row],[Admission_Date]],"YYYY")</f>
        <v>2024</v>
      </c>
      <c r="G1326" s="8" t="s">
        <v>2683</v>
      </c>
      <c r="H1326" s="8" t="s">
        <v>98</v>
      </c>
      <c r="I1326" s="4" t="s">
        <v>35</v>
      </c>
      <c r="J1326" s="4">
        <v>65</v>
      </c>
      <c r="K1326" s="4" t="s">
        <v>30</v>
      </c>
      <c r="L1326" s="8">
        <v>4</v>
      </c>
      <c r="M1326" s="9" t="s">
        <v>50</v>
      </c>
      <c r="N1326" s="9" t="str">
        <f t="shared" si="11"/>
        <v>ICU</v>
      </c>
      <c r="O1326" s="10">
        <v>20682.37</v>
      </c>
      <c r="P1326" s="10">
        <v>13972.39</v>
      </c>
      <c r="Q1326" s="11">
        <v>14.4</v>
      </c>
      <c r="R1326" s="13" t="str">
        <f>IF(Patient_Data!$L1326&lt;2,"Low Risk",IF(Patient_Data!$L1326&lt;4,"Moderate Risk","High Risk"))</f>
        <v>High Risk</v>
      </c>
      <c r="S1326" s="12" t="str">
        <f>IF(Patient_Data[[#This Row],[Age]]&lt;=18,"Pediatric",IF(Patient_Data[[#This Row],[Age]]&lt;=64,"Adult","Geriatric"))</f>
        <v>Geriatric</v>
      </c>
    </row>
    <row r="1327" spans="1:19" ht="15.75" customHeight="1" x14ac:dyDescent="0.3">
      <c r="A1327" s="4" t="s">
        <v>2684</v>
      </c>
      <c r="B1327" s="5" t="str">
        <f>TEXT(Patient_Data!$E1327,"mmmm")</f>
        <v>October</v>
      </c>
      <c r="C1327" s="6" t="str">
        <f t="shared" si="10"/>
        <v>Oct</v>
      </c>
      <c r="D1327" s="6">
        <f>MONTH(Patient_Data!$E1327)</f>
        <v>10</v>
      </c>
      <c r="E1327" s="7">
        <v>45220</v>
      </c>
      <c r="F1327" s="55" t="str">
        <f>TEXT(Patient_Data[[#This Row],[Admission_Date]],"YYYY")</f>
        <v>2023</v>
      </c>
      <c r="G1327" s="8" t="s">
        <v>2685</v>
      </c>
      <c r="H1327" s="8" t="s">
        <v>49</v>
      </c>
      <c r="I1327" s="4" t="s">
        <v>35</v>
      </c>
      <c r="J1327" s="4">
        <v>61</v>
      </c>
      <c r="K1327" s="4" t="s">
        <v>30</v>
      </c>
      <c r="L1327" s="8">
        <v>4</v>
      </c>
      <c r="M1327" s="9" t="s">
        <v>50</v>
      </c>
      <c r="N1327" s="9" t="str">
        <f t="shared" si="11"/>
        <v>ICU</v>
      </c>
      <c r="O1327" s="10">
        <v>15218.49</v>
      </c>
      <c r="P1327" s="10">
        <v>10746.54</v>
      </c>
      <c r="Q1327" s="11">
        <v>11.7</v>
      </c>
      <c r="R1327" s="13" t="str">
        <f>IF(Patient_Data!$L1327&lt;2,"Low Risk",IF(Patient_Data!$L1327&lt;4,"Moderate Risk","High Risk"))</f>
        <v>High Risk</v>
      </c>
      <c r="S1327" s="12" t="str">
        <f>IF(Patient_Data[[#This Row],[Age]]&lt;=18,"Pediatric",IF(Patient_Data[[#This Row],[Age]]&lt;=64,"Adult","Geriatric"))</f>
        <v>Adult</v>
      </c>
    </row>
    <row r="1328" spans="1:19" ht="15.75" customHeight="1" x14ac:dyDescent="0.3">
      <c r="A1328" s="4" t="s">
        <v>2686</v>
      </c>
      <c r="B1328" s="5" t="str">
        <f>TEXT(Patient_Data!$E1328,"mmmm")</f>
        <v>March</v>
      </c>
      <c r="C1328" s="6" t="str">
        <f t="shared" si="10"/>
        <v>Mar</v>
      </c>
      <c r="D1328" s="6">
        <f>MONTH(Patient_Data!$E1328)</f>
        <v>3</v>
      </c>
      <c r="E1328" s="7">
        <v>45357</v>
      </c>
      <c r="F1328" s="55" t="str">
        <f>TEXT(Patient_Data[[#This Row],[Admission_Date]],"YYYY")</f>
        <v>2024</v>
      </c>
      <c r="G1328" s="8" t="s">
        <v>2687</v>
      </c>
      <c r="H1328" s="8" t="s">
        <v>75</v>
      </c>
      <c r="I1328" s="4" t="s">
        <v>29</v>
      </c>
      <c r="J1328" s="4">
        <v>71</v>
      </c>
      <c r="K1328" s="4" t="s">
        <v>54</v>
      </c>
      <c r="L1328" s="8">
        <v>5</v>
      </c>
      <c r="M1328" s="9" t="s">
        <v>83</v>
      </c>
      <c r="N1328" s="9" t="str">
        <f t="shared" si="11"/>
        <v>ER</v>
      </c>
      <c r="O1328" s="10">
        <v>15002.84</v>
      </c>
      <c r="P1328" s="10">
        <v>11086.47</v>
      </c>
      <c r="Q1328" s="11">
        <v>16.8</v>
      </c>
      <c r="R1328" s="13" t="str">
        <f>IF(Patient_Data!$L1328&lt;2,"Low Risk",IF(Patient_Data!$L1328&lt;4,"Moderate Risk","High Risk"))</f>
        <v>High Risk</v>
      </c>
      <c r="S1328" s="12" t="str">
        <f>IF(Patient_Data[[#This Row],[Age]]&lt;=18,"Pediatric",IF(Patient_Data[[#This Row],[Age]]&lt;=64,"Adult","Geriatric"))</f>
        <v>Geriatric</v>
      </c>
    </row>
    <row r="1329" spans="1:19" ht="15.75" customHeight="1" x14ac:dyDescent="0.3">
      <c r="A1329" s="4" t="s">
        <v>2688</v>
      </c>
      <c r="B1329" s="5" t="str">
        <f>TEXT(Patient_Data!$E1329,"mmmm")</f>
        <v>June</v>
      </c>
      <c r="C1329" s="6" t="str">
        <f t="shared" si="10"/>
        <v>Jun</v>
      </c>
      <c r="D1329" s="6">
        <f>MONTH(Patient_Data!$E1329)</f>
        <v>6</v>
      </c>
      <c r="E1329" s="7">
        <v>45831</v>
      </c>
      <c r="F1329" s="55" t="str">
        <f>TEXT(Patient_Data[[#This Row],[Admission_Date]],"YYYY")</f>
        <v>2025</v>
      </c>
      <c r="G1329" s="8" t="s">
        <v>2689</v>
      </c>
      <c r="H1329" s="8" t="s">
        <v>34</v>
      </c>
      <c r="I1329" s="4" t="s">
        <v>29</v>
      </c>
      <c r="J1329" s="4">
        <v>82</v>
      </c>
      <c r="K1329" s="4" t="s">
        <v>54</v>
      </c>
      <c r="L1329" s="8">
        <v>5</v>
      </c>
      <c r="M1329" s="9" t="s">
        <v>46</v>
      </c>
      <c r="N1329" s="9" t="str">
        <f t="shared" si="11"/>
        <v>Ortho</v>
      </c>
      <c r="O1329" s="10">
        <v>13647.99</v>
      </c>
      <c r="P1329" s="10">
        <v>10404.469999999999</v>
      </c>
      <c r="Q1329" s="11">
        <v>4</v>
      </c>
      <c r="R1329" s="13" t="str">
        <f>IF(Patient_Data!$L1329&lt;2,"Low Risk",IF(Patient_Data!$L1329&lt;4,"Moderate Risk","High Risk"))</f>
        <v>High Risk</v>
      </c>
      <c r="S1329" s="12" t="str">
        <f>IF(Patient_Data[[#This Row],[Age]]&lt;=18,"Pediatric",IF(Patient_Data[[#This Row],[Age]]&lt;=64,"Adult","Geriatric"))</f>
        <v>Geriatric</v>
      </c>
    </row>
    <row r="1330" spans="1:19" ht="15.75" customHeight="1" x14ac:dyDescent="0.3">
      <c r="A1330" s="4" t="s">
        <v>2690</v>
      </c>
      <c r="B1330" s="5" t="str">
        <f>TEXT(Patient_Data!$E1330,"mmmm")</f>
        <v>October</v>
      </c>
      <c r="C1330" s="6" t="str">
        <f t="shared" si="10"/>
        <v>Oct</v>
      </c>
      <c r="D1330" s="6">
        <f>MONTH(Patient_Data!$E1330)</f>
        <v>10</v>
      </c>
      <c r="E1330" s="7">
        <v>45955</v>
      </c>
      <c r="F1330" s="55" t="str">
        <f>TEXT(Patient_Data[[#This Row],[Admission_Date]],"YYYY")</f>
        <v>2025</v>
      </c>
      <c r="G1330" s="8" t="s">
        <v>2456</v>
      </c>
      <c r="H1330" s="8" t="s">
        <v>132</v>
      </c>
      <c r="I1330" s="4" t="s">
        <v>29</v>
      </c>
      <c r="J1330" s="4">
        <v>75</v>
      </c>
      <c r="K1330" s="4" t="s">
        <v>30</v>
      </c>
      <c r="L1330" s="8">
        <v>1</v>
      </c>
      <c r="M1330" s="9" t="s">
        <v>46</v>
      </c>
      <c r="N1330" s="9" t="str">
        <f t="shared" si="11"/>
        <v>Ortho</v>
      </c>
      <c r="O1330" s="10">
        <v>8003.03</v>
      </c>
      <c r="P1330" s="10">
        <v>4713.76</v>
      </c>
      <c r="Q1330" s="11">
        <v>9</v>
      </c>
      <c r="R1330" s="13" t="str">
        <f>IF(Patient_Data!$L1330&lt;2,"Low Risk",IF(Patient_Data!$L1330&lt;4,"Moderate Risk","High Risk"))</f>
        <v>Low Risk</v>
      </c>
      <c r="S1330" s="12" t="str">
        <f>IF(Patient_Data[[#This Row],[Age]]&lt;=18,"Pediatric",IF(Patient_Data[[#This Row],[Age]]&lt;=64,"Adult","Geriatric"))</f>
        <v>Geriatric</v>
      </c>
    </row>
    <row r="1331" spans="1:19" ht="15.75" customHeight="1" x14ac:dyDescent="0.3">
      <c r="A1331" s="4" t="s">
        <v>2691</v>
      </c>
      <c r="B1331" s="5" t="str">
        <f>TEXT(Patient_Data!$E1331,"mmmm")</f>
        <v>December</v>
      </c>
      <c r="C1331" s="6" t="str">
        <f t="shared" si="10"/>
        <v>Dec</v>
      </c>
      <c r="D1331" s="6">
        <f>MONTH(Patient_Data!$E1331)</f>
        <v>12</v>
      </c>
      <c r="E1331" s="7">
        <v>46014</v>
      </c>
      <c r="F1331" s="55" t="str">
        <f>TEXT(Patient_Data[[#This Row],[Admission_Date]],"YYYY")</f>
        <v>2025</v>
      </c>
      <c r="G1331" s="8" t="s">
        <v>2692</v>
      </c>
      <c r="H1331" s="8" t="s">
        <v>42</v>
      </c>
      <c r="I1331" s="4" t="s">
        <v>35</v>
      </c>
      <c r="J1331" s="4">
        <v>40</v>
      </c>
      <c r="K1331" s="4" t="s">
        <v>45</v>
      </c>
      <c r="L1331" s="8">
        <v>4</v>
      </c>
      <c r="M1331" s="9" t="s">
        <v>72</v>
      </c>
      <c r="N1331" s="9" t="str">
        <f t="shared" si="11"/>
        <v>Surgery</v>
      </c>
      <c r="O1331" s="10">
        <v>21575.66</v>
      </c>
      <c r="P1331" s="10">
        <v>13245.95</v>
      </c>
      <c r="Q1331" s="11">
        <v>10.6</v>
      </c>
      <c r="R1331" s="13" t="str">
        <f>IF(Patient_Data!$L1331&lt;2,"Low Risk",IF(Patient_Data!$L1331&lt;4,"Moderate Risk","High Risk"))</f>
        <v>High Risk</v>
      </c>
      <c r="S1331" s="12" t="str">
        <f>IF(Patient_Data[[#This Row],[Age]]&lt;=18,"Pediatric",IF(Patient_Data[[#This Row],[Age]]&lt;=64,"Adult","Geriatric"))</f>
        <v>Adult</v>
      </c>
    </row>
    <row r="1332" spans="1:19" ht="15.75" customHeight="1" x14ac:dyDescent="0.3">
      <c r="A1332" s="4" t="s">
        <v>2693</v>
      </c>
      <c r="B1332" s="5" t="str">
        <f>TEXT(Patient_Data!$E1332,"mmmm")</f>
        <v>October</v>
      </c>
      <c r="C1332" s="6" t="str">
        <f t="shared" si="10"/>
        <v>Oct</v>
      </c>
      <c r="D1332" s="6">
        <f>MONTH(Patient_Data!$E1332)</f>
        <v>10</v>
      </c>
      <c r="E1332" s="7">
        <v>45961</v>
      </c>
      <c r="F1332" s="55" t="str">
        <f>TEXT(Patient_Data[[#This Row],[Admission_Date]],"YYYY")</f>
        <v>2025</v>
      </c>
      <c r="G1332" s="8" t="s">
        <v>2694</v>
      </c>
      <c r="H1332" s="8" t="s">
        <v>53</v>
      </c>
      <c r="I1332" s="4" t="s">
        <v>29</v>
      </c>
      <c r="J1332" s="4">
        <v>10</v>
      </c>
      <c r="K1332" s="4" t="s">
        <v>54</v>
      </c>
      <c r="L1332" s="8">
        <v>1</v>
      </c>
      <c r="M1332" s="9" t="s">
        <v>79</v>
      </c>
      <c r="N1332" s="9" t="str">
        <f t="shared" si="11"/>
        <v>PD</v>
      </c>
      <c r="O1332" s="10">
        <v>1132.72</v>
      </c>
      <c r="P1332" s="10">
        <v>755.34</v>
      </c>
      <c r="Q1332" s="11">
        <v>3.8</v>
      </c>
      <c r="R1332" s="13" t="str">
        <f>IF(Patient_Data!$L1332&lt;2,"Low Risk",IF(Patient_Data!$L1332&lt;4,"Moderate Risk","High Risk"))</f>
        <v>Low Risk</v>
      </c>
      <c r="S1332" s="12" t="str">
        <f>IF(Patient_Data[[#This Row],[Age]]&lt;=18,"Pediatric",IF(Patient_Data[[#This Row],[Age]]&lt;=64,"Adult","Geriatric"))</f>
        <v>Pediatric</v>
      </c>
    </row>
    <row r="1333" spans="1:19" ht="15.75" customHeight="1" x14ac:dyDescent="0.3">
      <c r="A1333" s="4" t="s">
        <v>2695</v>
      </c>
      <c r="B1333" s="5" t="str">
        <f>TEXT(Patient_Data!$E1333,"mmmm")</f>
        <v>January</v>
      </c>
      <c r="C1333" s="6" t="str">
        <f t="shared" si="10"/>
        <v>Jan</v>
      </c>
      <c r="D1333" s="6">
        <f>MONTH(Patient_Data!$E1333)</f>
        <v>1</v>
      </c>
      <c r="E1333" s="7">
        <v>45664</v>
      </c>
      <c r="F1333" s="55" t="str">
        <f>TEXT(Patient_Data[[#This Row],[Admission_Date]],"YYYY")</f>
        <v>2025</v>
      </c>
      <c r="G1333" s="8" t="s">
        <v>2696</v>
      </c>
      <c r="H1333" s="8" t="s">
        <v>82</v>
      </c>
      <c r="I1333" s="4" t="s">
        <v>35</v>
      </c>
      <c r="J1333" s="4">
        <v>57</v>
      </c>
      <c r="K1333" s="4" t="s">
        <v>54</v>
      </c>
      <c r="L1333" s="8">
        <v>4</v>
      </c>
      <c r="M1333" s="9" t="s">
        <v>72</v>
      </c>
      <c r="N1333" s="9" t="str">
        <f t="shared" si="11"/>
        <v>Surgery</v>
      </c>
      <c r="O1333" s="10">
        <v>19086.62</v>
      </c>
      <c r="P1333" s="10">
        <v>12817.64</v>
      </c>
      <c r="Q1333" s="11">
        <v>3.7</v>
      </c>
      <c r="R1333" s="13" t="str">
        <f>IF(Patient_Data!$L1333&lt;2,"Low Risk",IF(Patient_Data!$L1333&lt;4,"Moderate Risk","High Risk"))</f>
        <v>High Risk</v>
      </c>
      <c r="S1333" s="12" t="str">
        <f>IF(Patient_Data[[#This Row],[Age]]&lt;=18,"Pediatric",IF(Patient_Data[[#This Row],[Age]]&lt;=64,"Adult","Geriatric"))</f>
        <v>Adult</v>
      </c>
    </row>
    <row r="1334" spans="1:19" ht="15.75" customHeight="1" x14ac:dyDescent="0.3">
      <c r="A1334" s="4" t="s">
        <v>2697</v>
      </c>
      <c r="B1334" s="5" t="str">
        <f>TEXT(Patient_Data!$E1334,"mmmm")</f>
        <v>August</v>
      </c>
      <c r="C1334" s="6" t="str">
        <f t="shared" si="10"/>
        <v>Aug</v>
      </c>
      <c r="D1334" s="6">
        <f>MONTH(Patient_Data!$E1334)</f>
        <v>8</v>
      </c>
      <c r="E1334" s="7">
        <v>45514</v>
      </c>
      <c r="F1334" s="55" t="str">
        <f>TEXT(Patient_Data[[#This Row],[Admission_Date]],"YYYY")</f>
        <v>2024</v>
      </c>
      <c r="G1334" s="8" t="s">
        <v>2698</v>
      </c>
      <c r="H1334" s="8" t="s">
        <v>132</v>
      </c>
      <c r="I1334" s="4" t="s">
        <v>35</v>
      </c>
      <c r="J1334" s="4">
        <v>37</v>
      </c>
      <c r="K1334" s="4" t="s">
        <v>54</v>
      </c>
      <c r="L1334" s="8">
        <v>5</v>
      </c>
      <c r="M1334" s="9" t="s">
        <v>31</v>
      </c>
      <c r="N1334" s="9" t="str">
        <f t="shared" si="11"/>
        <v>Neuro</v>
      </c>
      <c r="O1334" s="10">
        <v>17184.580000000002</v>
      </c>
      <c r="P1334" s="10">
        <v>12110.81</v>
      </c>
      <c r="Q1334" s="11">
        <v>10.199999999999999</v>
      </c>
      <c r="R1334" s="13" t="str">
        <f>IF(Patient_Data!$L1334&lt;2,"Low Risk",IF(Patient_Data!$L1334&lt;4,"Moderate Risk","High Risk"))</f>
        <v>High Risk</v>
      </c>
      <c r="S1334" s="12" t="str">
        <f>IF(Patient_Data[[#This Row],[Age]]&lt;=18,"Pediatric",IF(Patient_Data[[#This Row],[Age]]&lt;=64,"Adult","Geriatric"))</f>
        <v>Adult</v>
      </c>
    </row>
    <row r="1335" spans="1:19" ht="15.75" customHeight="1" x14ac:dyDescent="0.3">
      <c r="A1335" s="4" t="s">
        <v>2699</v>
      </c>
      <c r="B1335" s="5" t="str">
        <f>TEXT(Patient_Data!$E1335,"mmmm")</f>
        <v>May</v>
      </c>
      <c r="C1335" s="6" t="str">
        <f t="shared" si="10"/>
        <v>May</v>
      </c>
      <c r="D1335" s="6">
        <f>MONTH(Patient_Data!$E1335)</f>
        <v>5</v>
      </c>
      <c r="E1335" s="7">
        <v>45783</v>
      </c>
      <c r="F1335" s="55" t="str">
        <f>TEXT(Patient_Data[[#This Row],[Admission_Date]],"YYYY")</f>
        <v>2025</v>
      </c>
      <c r="G1335" s="8" t="s">
        <v>2700</v>
      </c>
      <c r="H1335" s="8" t="s">
        <v>98</v>
      </c>
      <c r="I1335" s="4" t="s">
        <v>35</v>
      </c>
      <c r="J1335" s="4">
        <v>36</v>
      </c>
      <c r="K1335" s="4" t="s">
        <v>30</v>
      </c>
      <c r="L1335" s="8">
        <v>5</v>
      </c>
      <c r="M1335" s="9" t="s">
        <v>72</v>
      </c>
      <c r="N1335" s="9" t="str">
        <f t="shared" si="11"/>
        <v>Surgery</v>
      </c>
      <c r="O1335" s="10">
        <v>20377.66</v>
      </c>
      <c r="P1335" s="10">
        <v>14944.49</v>
      </c>
      <c r="Q1335" s="11">
        <v>8.6</v>
      </c>
      <c r="R1335" s="13" t="str">
        <f>IF(Patient_Data!$L1335&lt;2,"Low Risk",IF(Patient_Data!$L1335&lt;4,"Moderate Risk","High Risk"))</f>
        <v>High Risk</v>
      </c>
      <c r="S1335" s="12" t="str">
        <f>IF(Patient_Data[[#This Row],[Age]]&lt;=18,"Pediatric",IF(Patient_Data[[#This Row],[Age]]&lt;=64,"Adult","Geriatric"))</f>
        <v>Adult</v>
      </c>
    </row>
    <row r="1336" spans="1:19" ht="15.75" customHeight="1" x14ac:dyDescent="0.3">
      <c r="A1336" s="4" t="s">
        <v>2701</v>
      </c>
      <c r="B1336" s="5" t="str">
        <f>TEXT(Patient_Data!$E1336,"mmmm")</f>
        <v>February</v>
      </c>
      <c r="C1336" s="6" t="str">
        <f t="shared" si="10"/>
        <v>Feb</v>
      </c>
      <c r="D1336" s="6">
        <f>MONTH(Patient_Data!$E1336)</f>
        <v>2</v>
      </c>
      <c r="E1336" s="7">
        <v>45716</v>
      </c>
      <c r="F1336" s="55" t="str">
        <f>TEXT(Patient_Data[[#This Row],[Admission_Date]],"YYYY")</f>
        <v>2025</v>
      </c>
      <c r="G1336" s="8" t="s">
        <v>2702</v>
      </c>
      <c r="H1336" s="8" t="s">
        <v>82</v>
      </c>
      <c r="I1336" s="4" t="s">
        <v>35</v>
      </c>
      <c r="J1336" s="4">
        <v>19</v>
      </c>
      <c r="K1336" s="4" t="s">
        <v>54</v>
      </c>
      <c r="L1336" s="8">
        <v>3</v>
      </c>
      <c r="M1336" s="9" t="s">
        <v>31</v>
      </c>
      <c r="N1336" s="9" t="str">
        <f t="shared" si="11"/>
        <v>Neuro</v>
      </c>
      <c r="O1336" s="10">
        <v>9553.61</v>
      </c>
      <c r="P1336" s="10">
        <v>7297.54</v>
      </c>
      <c r="Q1336" s="11">
        <v>4.5999999999999996</v>
      </c>
      <c r="R1336" s="13" t="str">
        <f>IF(Patient_Data!$L1336&lt;2,"Low Risk",IF(Patient_Data!$L1336&lt;4,"Moderate Risk","High Risk"))</f>
        <v>Moderate Risk</v>
      </c>
      <c r="S1336" s="12" t="str">
        <f>IF(Patient_Data[[#This Row],[Age]]&lt;=18,"Pediatric",IF(Patient_Data[[#This Row],[Age]]&lt;=64,"Adult","Geriatric"))</f>
        <v>Adult</v>
      </c>
    </row>
    <row r="1337" spans="1:19" ht="15.75" customHeight="1" x14ac:dyDescent="0.3">
      <c r="A1337" s="4" t="s">
        <v>2703</v>
      </c>
      <c r="B1337" s="5" t="str">
        <f>TEXT(Patient_Data!$E1337,"mmmm")</f>
        <v>June</v>
      </c>
      <c r="C1337" s="6" t="str">
        <f t="shared" si="10"/>
        <v>Jun</v>
      </c>
      <c r="D1337" s="6">
        <f>MONTH(Patient_Data!$E1337)</f>
        <v>6</v>
      </c>
      <c r="E1337" s="7">
        <v>46176</v>
      </c>
      <c r="F1337" s="55" t="str">
        <f>TEXT(Patient_Data[[#This Row],[Admission_Date]],"YYYY")</f>
        <v>2026</v>
      </c>
      <c r="G1337" s="8" t="s">
        <v>2704</v>
      </c>
      <c r="H1337" s="8" t="s">
        <v>49</v>
      </c>
      <c r="I1337" s="4" t="s">
        <v>29</v>
      </c>
      <c r="J1337" s="4">
        <v>38</v>
      </c>
      <c r="K1337" s="4" t="s">
        <v>30</v>
      </c>
      <c r="L1337" s="8">
        <v>1</v>
      </c>
      <c r="M1337" s="9" t="s">
        <v>31</v>
      </c>
      <c r="N1337" s="9" t="str">
        <f t="shared" si="11"/>
        <v>Neuro</v>
      </c>
      <c r="O1337" s="10">
        <v>5050.91</v>
      </c>
      <c r="P1337" s="10">
        <v>2981.53</v>
      </c>
      <c r="Q1337" s="11">
        <v>6.5</v>
      </c>
      <c r="R1337" s="13" t="str">
        <f>IF(Patient_Data!$L1337&lt;2,"Low Risk",IF(Patient_Data!$L1337&lt;4,"Moderate Risk","High Risk"))</f>
        <v>Low Risk</v>
      </c>
      <c r="S1337" s="12" t="str">
        <f>IF(Patient_Data[[#This Row],[Age]]&lt;=18,"Pediatric",IF(Patient_Data[[#This Row],[Age]]&lt;=64,"Adult","Geriatric"))</f>
        <v>Adult</v>
      </c>
    </row>
    <row r="1338" spans="1:19" ht="15.75" customHeight="1" x14ac:dyDescent="0.3">
      <c r="A1338" s="4" t="s">
        <v>2705</v>
      </c>
      <c r="B1338" s="5" t="str">
        <f>TEXT(Patient_Data!$E1338,"mmmm")</f>
        <v>June</v>
      </c>
      <c r="C1338" s="6" t="str">
        <f t="shared" si="10"/>
        <v>Jun</v>
      </c>
      <c r="D1338" s="6">
        <f>MONTH(Patient_Data!$E1338)</f>
        <v>6</v>
      </c>
      <c r="E1338" s="7">
        <v>45465</v>
      </c>
      <c r="F1338" s="55" t="str">
        <f>TEXT(Patient_Data[[#This Row],[Admission_Date]],"YYYY")</f>
        <v>2024</v>
      </c>
      <c r="G1338" s="8" t="s">
        <v>2706</v>
      </c>
      <c r="H1338" s="8" t="s">
        <v>34</v>
      </c>
      <c r="I1338" s="4" t="s">
        <v>35</v>
      </c>
      <c r="J1338" s="4">
        <v>82</v>
      </c>
      <c r="K1338" s="4" t="s">
        <v>45</v>
      </c>
      <c r="L1338" s="8">
        <v>4</v>
      </c>
      <c r="M1338" s="9" t="s">
        <v>50</v>
      </c>
      <c r="N1338" s="9" t="str">
        <f t="shared" si="11"/>
        <v>ICU</v>
      </c>
      <c r="O1338" s="10">
        <v>17681.310000000001</v>
      </c>
      <c r="P1338" s="10">
        <v>10923.2</v>
      </c>
      <c r="Q1338" s="11">
        <v>17.2</v>
      </c>
      <c r="R1338" s="13" t="str">
        <f>IF(Patient_Data!$L1338&lt;2,"Low Risk",IF(Patient_Data!$L1338&lt;4,"Moderate Risk","High Risk"))</f>
        <v>High Risk</v>
      </c>
      <c r="S1338" s="12" t="str">
        <f>IF(Patient_Data[[#This Row],[Age]]&lt;=18,"Pediatric",IF(Patient_Data[[#This Row],[Age]]&lt;=64,"Adult","Geriatric"))</f>
        <v>Geriatric</v>
      </c>
    </row>
    <row r="1339" spans="1:19" ht="15.75" customHeight="1" x14ac:dyDescent="0.3">
      <c r="A1339" s="4" t="s">
        <v>2707</v>
      </c>
      <c r="B1339" s="5" t="str">
        <f>TEXT(Patient_Data!$E1339,"mmmm")</f>
        <v>February</v>
      </c>
      <c r="C1339" s="6" t="str">
        <f t="shared" si="10"/>
        <v>Feb</v>
      </c>
      <c r="D1339" s="6">
        <f>MONTH(Patient_Data!$E1339)</f>
        <v>2</v>
      </c>
      <c r="E1339" s="7">
        <v>46057</v>
      </c>
      <c r="F1339" s="55" t="str">
        <f>TEXT(Patient_Data[[#This Row],[Admission_Date]],"YYYY")</f>
        <v>2026</v>
      </c>
      <c r="G1339" s="8" t="s">
        <v>2708</v>
      </c>
      <c r="H1339" s="8" t="s">
        <v>132</v>
      </c>
      <c r="I1339" s="4" t="s">
        <v>35</v>
      </c>
      <c r="J1339" s="4">
        <v>3</v>
      </c>
      <c r="K1339" s="4" t="s">
        <v>30</v>
      </c>
      <c r="L1339" s="8">
        <v>1</v>
      </c>
      <c r="M1339" s="9" t="s">
        <v>79</v>
      </c>
      <c r="N1339" s="9" t="str">
        <f t="shared" si="11"/>
        <v>PD</v>
      </c>
      <c r="O1339" s="10">
        <v>1090.6099999999999</v>
      </c>
      <c r="P1339" s="10">
        <v>732.39</v>
      </c>
      <c r="Q1339" s="11">
        <v>4.3</v>
      </c>
      <c r="R1339" s="13" t="str">
        <f>IF(Patient_Data!$L1339&lt;2,"Low Risk",IF(Patient_Data!$L1339&lt;4,"Moderate Risk","High Risk"))</f>
        <v>Low Risk</v>
      </c>
      <c r="S1339" s="12" t="str">
        <f>IF(Patient_Data[[#This Row],[Age]]&lt;=18,"Pediatric",IF(Patient_Data[[#This Row],[Age]]&lt;=64,"Adult","Geriatric"))</f>
        <v>Pediatric</v>
      </c>
    </row>
    <row r="1340" spans="1:19" ht="15.75" customHeight="1" x14ac:dyDescent="0.3">
      <c r="A1340" s="4" t="s">
        <v>2709</v>
      </c>
      <c r="B1340" s="5" t="str">
        <f>TEXT(Patient_Data!$E1340,"mmmm")</f>
        <v>January</v>
      </c>
      <c r="C1340" s="6" t="str">
        <f t="shared" si="10"/>
        <v>Jan</v>
      </c>
      <c r="D1340" s="6">
        <f>MONTH(Patient_Data!$E1340)</f>
        <v>1</v>
      </c>
      <c r="E1340" s="7">
        <v>45672</v>
      </c>
      <c r="F1340" s="55" t="str">
        <f>TEXT(Patient_Data[[#This Row],[Admission_Date]],"YYYY")</f>
        <v>2025</v>
      </c>
      <c r="G1340" s="8" t="s">
        <v>2710</v>
      </c>
      <c r="H1340" s="8" t="s">
        <v>53</v>
      </c>
      <c r="I1340" s="4" t="s">
        <v>35</v>
      </c>
      <c r="J1340" s="4">
        <v>24</v>
      </c>
      <c r="K1340" s="4" t="s">
        <v>30</v>
      </c>
      <c r="L1340" s="8">
        <v>3</v>
      </c>
      <c r="M1340" s="9" t="s">
        <v>36</v>
      </c>
      <c r="N1340" s="9" t="str">
        <f t="shared" si="11"/>
        <v>Cardio</v>
      </c>
      <c r="O1340" s="10">
        <v>12741.63</v>
      </c>
      <c r="P1340" s="10">
        <v>8567.2900000000009</v>
      </c>
      <c r="Q1340" s="11">
        <v>3.8</v>
      </c>
      <c r="R1340" s="13" t="str">
        <f>IF(Patient_Data!$L1340&lt;2,"Low Risk",IF(Patient_Data!$L1340&lt;4,"Moderate Risk","High Risk"))</f>
        <v>Moderate Risk</v>
      </c>
      <c r="S1340" s="12" t="str">
        <f>IF(Patient_Data[[#This Row],[Age]]&lt;=18,"Pediatric",IF(Patient_Data[[#This Row],[Age]]&lt;=64,"Adult","Geriatric"))</f>
        <v>Adult</v>
      </c>
    </row>
    <row r="1341" spans="1:19" ht="15.75" customHeight="1" x14ac:dyDescent="0.3">
      <c r="A1341" s="4" t="s">
        <v>2711</v>
      </c>
      <c r="B1341" s="5" t="str">
        <f>TEXT(Patient_Data!$E1341,"mmmm")</f>
        <v>June</v>
      </c>
      <c r="C1341" s="6" t="str">
        <f t="shared" si="10"/>
        <v>Jun</v>
      </c>
      <c r="D1341" s="6">
        <f>MONTH(Patient_Data!$E1341)</f>
        <v>6</v>
      </c>
      <c r="E1341" s="7">
        <v>46182</v>
      </c>
      <c r="F1341" s="55" t="str">
        <f>TEXT(Patient_Data[[#This Row],[Admission_Date]],"YYYY")</f>
        <v>2026</v>
      </c>
      <c r="G1341" s="8" t="s">
        <v>2712</v>
      </c>
      <c r="H1341" s="8" t="s">
        <v>28</v>
      </c>
      <c r="I1341" s="4" t="s">
        <v>29</v>
      </c>
      <c r="J1341" s="4">
        <v>24</v>
      </c>
      <c r="K1341" s="4" t="s">
        <v>45</v>
      </c>
      <c r="L1341" s="8">
        <v>2</v>
      </c>
      <c r="M1341" s="9" t="s">
        <v>36</v>
      </c>
      <c r="N1341" s="9" t="str">
        <f t="shared" si="11"/>
        <v>Cardio</v>
      </c>
      <c r="O1341" s="10">
        <v>8880.2800000000007</v>
      </c>
      <c r="P1341" s="10">
        <v>6304.2</v>
      </c>
      <c r="Q1341" s="11">
        <v>11</v>
      </c>
      <c r="R1341" s="13" t="str">
        <f>IF(Patient_Data!$L1341&lt;2,"Low Risk",IF(Patient_Data!$L1341&lt;4,"Moderate Risk","High Risk"))</f>
        <v>Moderate Risk</v>
      </c>
      <c r="S1341" s="12" t="str">
        <f>IF(Patient_Data[[#This Row],[Age]]&lt;=18,"Pediatric",IF(Patient_Data[[#This Row],[Age]]&lt;=64,"Adult","Geriatric"))</f>
        <v>Adult</v>
      </c>
    </row>
    <row r="1342" spans="1:19" ht="15.75" customHeight="1" x14ac:dyDescent="0.3">
      <c r="A1342" s="4" t="s">
        <v>2713</v>
      </c>
      <c r="B1342" s="5" t="str">
        <f>TEXT(Patient_Data!$E1342,"mmmm")</f>
        <v>October</v>
      </c>
      <c r="C1342" s="6" t="str">
        <f t="shared" si="10"/>
        <v>Oct</v>
      </c>
      <c r="D1342" s="6">
        <f>MONTH(Patient_Data!$E1342)</f>
        <v>10</v>
      </c>
      <c r="E1342" s="7">
        <v>45567</v>
      </c>
      <c r="F1342" s="55" t="str">
        <f>TEXT(Patient_Data[[#This Row],[Admission_Date]],"YYYY")</f>
        <v>2024</v>
      </c>
      <c r="G1342" s="8" t="s">
        <v>2714</v>
      </c>
      <c r="H1342" s="8" t="s">
        <v>49</v>
      </c>
      <c r="I1342" s="4" t="s">
        <v>35</v>
      </c>
      <c r="J1342" s="4">
        <v>69</v>
      </c>
      <c r="K1342" s="4" t="s">
        <v>30</v>
      </c>
      <c r="L1342" s="8">
        <v>1</v>
      </c>
      <c r="M1342" s="9" t="s">
        <v>46</v>
      </c>
      <c r="N1342" s="9" t="str">
        <f t="shared" si="11"/>
        <v>Ortho</v>
      </c>
      <c r="O1342" s="10">
        <v>5834.71</v>
      </c>
      <c r="P1342" s="10">
        <v>4332.1400000000003</v>
      </c>
      <c r="Q1342" s="11">
        <v>9.1</v>
      </c>
      <c r="R1342" s="13" t="str">
        <f>IF(Patient_Data!$L1342&lt;2,"Low Risk",IF(Patient_Data!$L1342&lt;4,"Moderate Risk","High Risk"))</f>
        <v>Low Risk</v>
      </c>
      <c r="S1342" s="12" t="str">
        <f>IF(Patient_Data[[#This Row],[Age]]&lt;=18,"Pediatric",IF(Patient_Data[[#This Row],[Age]]&lt;=64,"Adult","Geriatric"))</f>
        <v>Geriatric</v>
      </c>
    </row>
    <row r="1343" spans="1:19" ht="15.75" customHeight="1" x14ac:dyDescent="0.3">
      <c r="A1343" s="4" t="s">
        <v>2715</v>
      </c>
      <c r="B1343" s="5" t="str">
        <f>TEXT(Patient_Data!$E1343,"mmmm")</f>
        <v>March</v>
      </c>
      <c r="C1343" s="6" t="str">
        <f t="shared" si="10"/>
        <v>Mar</v>
      </c>
      <c r="D1343" s="6">
        <f>MONTH(Patient_Data!$E1343)</f>
        <v>3</v>
      </c>
      <c r="E1343" s="7">
        <v>46104</v>
      </c>
      <c r="F1343" s="55" t="str">
        <f>TEXT(Patient_Data[[#This Row],[Admission_Date]],"YYYY")</f>
        <v>2026</v>
      </c>
      <c r="G1343" s="8" t="s">
        <v>2716</v>
      </c>
      <c r="H1343" s="8" t="s">
        <v>28</v>
      </c>
      <c r="I1343" s="4" t="s">
        <v>35</v>
      </c>
      <c r="J1343" s="4">
        <v>9</v>
      </c>
      <c r="K1343" s="4" t="s">
        <v>30</v>
      </c>
      <c r="L1343" s="8">
        <v>2</v>
      </c>
      <c r="M1343" s="9" t="s">
        <v>79</v>
      </c>
      <c r="N1343" s="9" t="str">
        <f t="shared" si="11"/>
        <v>PD</v>
      </c>
      <c r="O1343" s="10">
        <v>1949.85</v>
      </c>
      <c r="P1343" s="10">
        <v>1497.89</v>
      </c>
      <c r="Q1343" s="11">
        <v>2</v>
      </c>
      <c r="R1343" s="13" t="str">
        <f>IF(Patient_Data!$L1343&lt;2,"Low Risk",IF(Patient_Data!$L1343&lt;4,"Moderate Risk","High Risk"))</f>
        <v>Moderate Risk</v>
      </c>
      <c r="S1343" s="12" t="str">
        <f>IF(Patient_Data[[#This Row],[Age]]&lt;=18,"Pediatric",IF(Patient_Data[[#This Row],[Age]]&lt;=64,"Adult","Geriatric"))</f>
        <v>Pediatric</v>
      </c>
    </row>
    <row r="1344" spans="1:19" ht="15.75" customHeight="1" x14ac:dyDescent="0.3">
      <c r="A1344" s="4" t="s">
        <v>2717</v>
      </c>
      <c r="B1344" s="5" t="str">
        <f>TEXT(Patient_Data!$E1344,"mmmm")</f>
        <v>April</v>
      </c>
      <c r="C1344" s="6" t="str">
        <f t="shared" si="10"/>
        <v>Apr</v>
      </c>
      <c r="D1344" s="6">
        <f>MONTH(Patient_Data!$E1344)</f>
        <v>4</v>
      </c>
      <c r="E1344" s="7">
        <v>45386</v>
      </c>
      <c r="F1344" s="55" t="str">
        <f>TEXT(Patient_Data[[#This Row],[Admission_Date]],"YYYY")</f>
        <v>2024</v>
      </c>
      <c r="G1344" s="8" t="s">
        <v>2718</v>
      </c>
      <c r="H1344" s="8" t="s">
        <v>53</v>
      </c>
      <c r="I1344" s="4" t="s">
        <v>29</v>
      </c>
      <c r="J1344" s="4">
        <v>35</v>
      </c>
      <c r="K1344" s="4" t="s">
        <v>54</v>
      </c>
      <c r="L1344" s="8">
        <v>4</v>
      </c>
      <c r="M1344" s="9" t="s">
        <v>72</v>
      </c>
      <c r="N1344" s="9" t="str">
        <f t="shared" si="11"/>
        <v>Surgery</v>
      </c>
      <c r="O1344" s="10">
        <v>20583.34</v>
      </c>
      <c r="P1344" s="10">
        <v>11997.54</v>
      </c>
      <c r="Q1344" s="11">
        <v>7.4</v>
      </c>
      <c r="R1344" s="13" t="str">
        <f>IF(Patient_Data!$L1344&lt;2,"Low Risk",IF(Patient_Data!$L1344&lt;4,"Moderate Risk","High Risk"))</f>
        <v>High Risk</v>
      </c>
      <c r="S1344" s="12" t="str">
        <f>IF(Patient_Data[[#This Row],[Age]]&lt;=18,"Pediatric",IF(Patient_Data[[#This Row],[Age]]&lt;=64,"Adult","Geriatric"))</f>
        <v>Adult</v>
      </c>
    </row>
    <row r="1345" spans="1:19" ht="15.75" customHeight="1" x14ac:dyDescent="0.3">
      <c r="A1345" s="4" t="s">
        <v>2719</v>
      </c>
      <c r="B1345" s="5" t="str">
        <f>TEXT(Patient_Data!$E1345,"mmmm")</f>
        <v>October</v>
      </c>
      <c r="C1345" s="6" t="str">
        <f t="shared" si="10"/>
        <v>Oct</v>
      </c>
      <c r="D1345" s="6">
        <f>MONTH(Patient_Data!$E1345)</f>
        <v>10</v>
      </c>
      <c r="E1345" s="7">
        <v>45945</v>
      </c>
      <c r="F1345" s="55" t="str">
        <f>TEXT(Patient_Data[[#This Row],[Admission_Date]],"YYYY")</f>
        <v>2025</v>
      </c>
      <c r="G1345" s="8" t="s">
        <v>2720</v>
      </c>
      <c r="H1345" s="8" t="s">
        <v>132</v>
      </c>
      <c r="I1345" s="4" t="s">
        <v>29</v>
      </c>
      <c r="J1345" s="4">
        <v>60</v>
      </c>
      <c r="K1345" s="4" t="s">
        <v>30</v>
      </c>
      <c r="L1345" s="8">
        <v>2</v>
      </c>
      <c r="M1345" s="9" t="s">
        <v>31</v>
      </c>
      <c r="N1345" s="9" t="str">
        <f t="shared" si="11"/>
        <v>Neuro</v>
      </c>
      <c r="O1345" s="10">
        <v>9258.08</v>
      </c>
      <c r="P1345" s="10">
        <v>5675.43</v>
      </c>
      <c r="Q1345" s="11">
        <v>3.5</v>
      </c>
      <c r="R1345" s="13" t="str">
        <f>IF(Patient_Data!$L1345&lt;2,"Low Risk",IF(Patient_Data!$L1345&lt;4,"Moderate Risk","High Risk"))</f>
        <v>Moderate Risk</v>
      </c>
      <c r="S1345" s="12" t="str">
        <f>IF(Patient_Data[[#This Row],[Age]]&lt;=18,"Pediatric",IF(Patient_Data[[#This Row],[Age]]&lt;=64,"Adult","Geriatric"))</f>
        <v>Adult</v>
      </c>
    </row>
    <row r="1346" spans="1:19" ht="15.75" customHeight="1" x14ac:dyDescent="0.3">
      <c r="A1346" s="4" t="s">
        <v>2721</v>
      </c>
      <c r="B1346" s="5" t="str">
        <f>TEXT(Patient_Data!$E1346,"mmmm")</f>
        <v>July</v>
      </c>
      <c r="C1346" s="6" t="str">
        <f t="shared" si="10"/>
        <v>Jul</v>
      </c>
      <c r="D1346" s="6">
        <f>MONTH(Patient_Data!$E1346)</f>
        <v>7</v>
      </c>
      <c r="E1346" s="7">
        <v>45841</v>
      </c>
      <c r="F1346" s="55" t="str">
        <f>TEXT(Patient_Data[[#This Row],[Admission_Date]],"YYYY")</f>
        <v>2025</v>
      </c>
      <c r="G1346" s="8" t="s">
        <v>2722</v>
      </c>
      <c r="H1346" s="8" t="s">
        <v>132</v>
      </c>
      <c r="I1346" s="4" t="s">
        <v>35</v>
      </c>
      <c r="J1346" s="4">
        <v>56</v>
      </c>
      <c r="K1346" s="4" t="s">
        <v>30</v>
      </c>
      <c r="L1346" s="8">
        <v>3</v>
      </c>
      <c r="M1346" s="9" t="s">
        <v>50</v>
      </c>
      <c r="N1346" s="9" t="str">
        <f t="shared" si="11"/>
        <v>ICU</v>
      </c>
      <c r="O1346" s="10">
        <v>18154.28</v>
      </c>
      <c r="P1346" s="10">
        <v>11754.74</v>
      </c>
      <c r="Q1346" s="11">
        <v>17</v>
      </c>
      <c r="R1346" s="13" t="str">
        <f>IF(Patient_Data!$L1346&lt;2,"Low Risk",IF(Patient_Data!$L1346&lt;4,"Moderate Risk","High Risk"))</f>
        <v>Moderate Risk</v>
      </c>
      <c r="S1346" s="12" t="str">
        <f>IF(Patient_Data[[#This Row],[Age]]&lt;=18,"Pediatric",IF(Patient_Data[[#This Row],[Age]]&lt;=64,"Adult","Geriatric"))</f>
        <v>Adult</v>
      </c>
    </row>
    <row r="1347" spans="1:19" ht="15.75" customHeight="1" x14ac:dyDescent="0.3">
      <c r="A1347" s="4" t="s">
        <v>2723</v>
      </c>
      <c r="B1347" s="5" t="str">
        <f>TEXT(Patient_Data!$E1347,"mmmm")</f>
        <v>August</v>
      </c>
      <c r="C1347" s="6" t="str">
        <f t="shared" si="10"/>
        <v>Aug</v>
      </c>
      <c r="D1347" s="6">
        <f>MONTH(Patient_Data!$E1347)</f>
        <v>8</v>
      </c>
      <c r="E1347" s="7">
        <v>45530</v>
      </c>
      <c r="F1347" s="55" t="str">
        <f>TEXT(Patient_Data[[#This Row],[Admission_Date]],"YYYY")</f>
        <v>2024</v>
      </c>
      <c r="G1347" s="8" t="s">
        <v>2724</v>
      </c>
      <c r="H1347" s="8" t="s">
        <v>82</v>
      </c>
      <c r="I1347" s="4" t="s">
        <v>29</v>
      </c>
      <c r="J1347" s="4">
        <v>82</v>
      </c>
      <c r="K1347" s="4" t="s">
        <v>54</v>
      </c>
      <c r="L1347" s="8">
        <v>4</v>
      </c>
      <c r="M1347" s="9" t="s">
        <v>50</v>
      </c>
      <c r="N1347" s="9" t="str">
        <f t="shared" si="11"/>
        <v>ICU</v>
      </c>
      <c r="O1347" s="10">
        <v>11099.35</v>
      </c>
      <c r="P1347" s="10">
        <v>7525.36</v>
      </c>
      <c r="Q1347" s="11">
        <v>11.1</v>
      </c>
      <c r="R1347" s="13" t="str">
        <f>IF(Patient_Data!$L1347&lt;2,"Low Risk",IF(Patient_Data!$L1347&lt;4,"Moderate Risk","High Risk"))</f>
        <v>High Risk</v>
      </c>
      <c r="S1347" s="12" t="str">
        <f>IF(Patient_Data[[#This Row],[Age]]&lt;=18,"Pediatric",IF(Patient_Data[[#This Row],[Age]]&lt;=64,"Adult","Geriatric"))</f>
        <v>Geriatric</v>
      </c>
    </row>
    <row r="1348" spans="1:19" ht="15.75" customHeight="1" x14ac:dyDescent="0.3">
      <c r="A1348" s="4" t="s">
        <v>2725</v>
      </c>
      <c r="B1348" s="5" t="str">
        <f>TEXT(Patient_Data!$E1348,"mmmm")</f>
        <v>November</v>
      </c>
      <c r="C1348" s="6" t="str">
        <f t="shared" si="10"/>
        <v>Nov</v>
      </c>
      <c r="D1348" s="6">
        <f>MONTH(Patient_Data!$E1348)</f>
        <v>11</v>
      </c>
      <c r="E1348" s="7">
        <v>45982</v>
      </c>
      <c r="F1348" s="55" t="str">
        <f>TEXT(Patient_Data[[#This Row],[Admission_Date]],"YYYY")</f>
        <v>2025</v>
      </c>
      <c r="G1348" s="8" t="s">
        <v>2726</v>
      </c>
      <c r="H1348" s="8" t="s">
        <v>42</v>
      </c>
      <c r="I1348" s="4" t="s">
        <v>35</v>
      </c>
      <c r="J1348" s="4">
        <v>56</v>
      </c>
      <c r="K1348" s="4" t="s">
        <v>45</v>
      </c>
      <c r="L1348" s="8">
        <v>3</v>
      </c>
      <c r="M1348" s="9" t="s">
        <v>39</v>
      </c>
      <c r="N1348" s="9" t="str">
        <f t="shared" si="11"/>
        <v>GM</v>
      </c>
      <c r="O1348" s="10">
        <v>5904.17</v>
      </c>
      <c r="P1348" s="10">
        <v>4165.72</v>
      </c>
      <c r="Q1348" s="11">
        <v>4.0999999999999996</v>
      </c>
      <c r="R1348" s="13" t="str">
        <f>IF(Patient_Data!$L1348&lt;2,"Low Risk",IF(Patient_Data!$L1348&lt;4,"Moderate Risk","High Risk"))</f>
        <v>Moderate Risk</v>
      </c>
      <c r="S1348" s="12" t="str">
        <f>IF(Patient_Data[[#This Row],[Age]]&lt;=18,"Pediatric",IF(Patient_Data[[#This Row],[Age]]&lt;=64,"Adult","Geriatric"))</f>
        <v>Adult</v>
      </c>
    </row>
    <row r="1349" spans="1:19" ht="15.75" customHeight="1" x14ac:dyDescent="0.3">
      <c r="A1349" s="4" t="s">
        <v>2727</v>
      </c>
      <c r="B1349" s="5" t="str">
        <f>TEXT(Patient_Data!$E1349,"mmmm")</f>
        <v>June</v>
      </c>
      <c r="C1349" s="6" t="str">
        <f t="shared" si="10"/>
        <v>Jun</v>
      </c>
      <c r="D1349" s="6">
        <f>MONTH(Patient_Data!$E1349)</f>
        <v>6</v>
      </c>
      <c r="E1349" s="7">
        <v>45820</v>
      </c>
      <c r="F1349" s="55" t="str">
        <f>TEXT(Patient_Data[[#This Row],[Admission_Date]],"YYYY")</f>
        <v>2025</v>
      </c>
      <c r="G1349" s="8" t="s">
        <v>2728</v>
      </c>
      <c r="H1349" s="8" t="s">
        <v>53</v>
      </c>
      <c r="I1349" s="4" t="s">
        <v>35</v>
      </c>
      <c r="J1349" s="4">
        <v>30</v>
      </c>
      <c r="K1349" s="4" t="s">
        <v>30</v>
      </c>
      <c r="L1349" s="8">
        <v>2</v>
      </c>
      <c r="M1349" s="9" t="s">
        <v>83</v>
      </c>
      <c r="N1349" s="9" t="str">
        <f t="shared" si="11"/>
        <v>ER</v>
      </c>
      <c r="O1349" s="10">
        <v>8190.8</v>
      </c>
      <c r="P1349" s="10">
        <v>6064.88</v>
      </c>
      <c r="Q1349" s="11">
        <v>10.7</v>
      </c>
      <c r="R1349" s="13" t="str">
        <f>IF(Patient_Data!$L1349&lt;2,"Low Risk",IF(Patient_Data!$L1349&lt;4,"Moderate Risk","High Risk"))</f>
        <v>Moderate Risk</v>
      </c>
      <c r="S1349" s="12" t="str">
        <f>IF(Patient_Data[[#This Row],[Age]]&lt;=18,"Pediatric",IF(Patient_Data[[#This Row],[Age]]&lt;=64,"Adult","Geriatric"))</f>
        <v>Adult</v>
      </c>
    </row>
    <row r="1350" spans="1:19" ht="15.75" customHeight="1" x14ac:dyDescent="0.3">
      <c r="A1350" s="4" t="s">
        <v>2729</v>
      </c>
      <c r="B1350" s="5" t="str">
        <f>TEXT(Patient_Data!$E1350,"mmmm")</f>
        <v>April</v>
      </c>
      <c r="C1350" s="6" t="str">
        <f t="shared" si="10"/>
        <v>Apr</v>
      </c>
      <c r="D1350" s="6">
        <f>MONTH(Patient_Data!$E1350)</f>
        <v>4</v>
      </c>
      <c r="E1350" s="7">
        <v>45763</v>
      </c>
      <c r="F1350" s="55" t="str">
        <f>TEXT(Patient_Data[[#This Row],[Admission_Date]],"YYYY")</f>
        <v>2025</v>
      </c>
      <c r="G1350" s="8" t="s">
        <v>2730</v>
      </c>
      <c r="H1350" s="8" t="s">
        <v>53</v>
      </c>
      <c r="I1350" s="4" t="s">
        <v>35</v>
      </c>
      <c r="J1350" s="4">
        <v>66</v>
      </c>
      <c r="K1350" s="4" t="s">
        <v>54</v>
      </c>
      <c r="L1350" s="8">
        <v>5</v>
      </c>
      <c r="M1350" s="9" t="s">
        <v>50</v>
      </c>
      <c r="N1350" s="9" t="str">
        <f t="shared" si="11"/>
        <v>ICU</v>
      </c>
      <c r="O1350" s="10">
        <v>14366</v>
      </c>
      <c r="P1350" s="10">
        <v>11010.16</v>
      </c>
      <c r="Q1350" s="11">
        <v>11.5</v>
      </c>
      <c r="R1350" s="13" t="str">
        <f>IF(Patient_Data!$L1350&lt;2,"Low Risk",IF(Patient_Data!$L1350&lt;4,"Moderate Risk","High Risk"))</f>
        <v>High Risk</v>
      </c>
      <c r="S1350" s="12" t="str">
        <f>IF(Patient_Data[[#This Row],[Age]]&lt;=18,"Pediatric",IF(Patient_Data[[#This Row],[Age]]&lt;=64,"Adult","Geriatric"))</f>
        <v>Geriatric</v>
      </c>
    </row>
    <row r="1351" spans="1:19" ht="15.75" customHeight="1" x14ac:dyDescent="0.3">
      <c r="A1351" s="4" t="s">
        <v>2731</v>
      </c>
      <c r="B1351" s="5" t="str">
        <f>TEXT(Patient_Data!$E1351,"mmmm")</f>
        <v>January</v>
      </c>
      <c r="C1351" s="6" t="str">
        <f t="shared" si="10"/>
        <v>Jan</v>
      </c>
      <c r="D1351" s="6">
        <f>MONTH(Patient_Data!$E1351)</f>
        <v>1</v>
      </c>
      <c r="E1351" s="7">
        <v>45663</v>
      </c>
      <c r="F1351" s="55" t="str">
        <f>TEXT(Patient_Data[[#This Row],[Admission_Date]],"YYYY")</f>
        <v>2025</v>
      </c>
      <c r="G1351" s="8" t="s">
        <v>2732</v>
      </c>
      <c r="H1351" s="8" t="s">
        <v>49</v>
      </c>
      <c r="I1351" s="4" t="s">
        <v>29</v>
      </c>
      <c r="J1351" s="4">
        <v>37</v>
      </c>
      <c r="K1351" s="4" t="s">
        <v>30</v>
      </c>
      <c r="L1351" s="8">
        <v>2</v>
      </c>
      <c r="M1351" s="9" t="s">
        <v>39</v>
      </c>
      <c r="N1351" s="9" t="str">
        <f t="shared" si="11"/>
        <v>GM</v>
      </c>
      <c r="O1351" s="10">
        <v>3609.52</v>
      </c>
      <c r="P1351" s="10">
        <v>2135.12</v>
      </c>
      <c r="Q1351" s="11">
        <v>5.2</v>
      </c>
      <c r="R1351" s="13" t="str">
        <f>IF(Patient_Data!$L1351&lt;2,"Low Risk",IF(Patient_Data!$L1351&lt;4,"Moderate Risk","High Risk"))</f>
        <v>Moderate Risk</v>
      </c>
      <c r="S1351" s="12" t="str">
        <f>IF(Patient_Data[[#This Row],[Age]]&lt;=18,"Pediatric",IF(Patient_Data[[#This Row],[Age]]&lt;=64,"Adult","Geriatric"))</f>
        <v>Adult</v>
      </c>
    </row>
    <row r="1352" spans="1:19" ht="15.75" customHeight="1" x14ac:dyDescent="0.3">
      <c r="A1352" s="4" t="s">
        <v>2733</v>
      </c>
      <c r="B1352" s="5" t="str">
        <f>TEXT(Patient_Data!$E1352,"mmmm")</f>
        <v>June</v>
      </c>
      <c r="C1352" s="6" t="str">
        <f t="shared" si="10"/>
        <v>Jun</v>
      </c>
      <c r="D1352" s="6">
        <f>MONTH(Patient_Data!$E1352)</f>
        <v>6</v>
      </c>
      <c r="E1352" s="7">
        <v>45834</v>
      </c>
      <c r="F1352" s="55" t="str">
        <f>TEXT(Patient_Data[[#This Row],[Admission_Date]],"YYYY")</f>
        <v>2025</v>
      </c>
      <c r="G1352" s="8" t="s">
        <v>2734</v>
      </c>
      <c r="H1352" s="8" t="s">
        <v>34</v>
      </c>
      <c r="I1352" s="4" t="s">
        <v>35</v>
      </c>
      <c r="J1352" s="4">
        <v>49</v>
      </c>
      <c r="K1352" s="4" t="s">
        <v>30</v>
      </c>
      <c r="L1352" s="8">
        <v>1</v>
      </c>
      <c r="M1352" s="9" t="s">
        <v>39</v>
      </c>
      <c r="N1352" s="9" t="str">
        <f t="shared" si="11"/>
        <v>GM</v>
      </c>
      <c r="O1352" s="10">
        <v>4058.44</v>
      </c>
      <c r="P1352" s="10">
        <v>2539.65</v>
      </c>
      <c r="Q1352" s="11">
        <v>8</v>
      </c>
      <c r="R1352" s="13" t="str">
        <f>IF(Patient_Data!$L1352&lt;2,"Low Risk",IF(Patient_Data!$L1352&lt;4,"Moderate Risk","High Risk"))</f>
        <v>Low Risk</v>
      </c>
      <c r="S1352" s="12" t="str">
        <f>IF(Patient_Data[[#This Row],[Age]]&lt;=18,"Pediatric",IF(Patient_Data[[#This Row],[Age]]&lt;=64,"Adult","Geriatric"))</f>
        <v>Adult</v>
      </c>
    </row>
    <row r="1353" spans="1:19" ht="15.75" customHeight="1" x14ac:dyDescent="0.3">
      <c r="A1353" s="4" t="s">
        <v>2735</v>
      </c>
      <c r="B1353" s="5" t="str">
        <f>TEXT(Patient_Data!$E1353,"mmmm")</f>
        <v>October</v>
      </c>
      <c r="C1353" s="6" t="str">
        <f t="shared" si="10"/>
        <v>Oct</v>
      </c>
      <c r="D1353" s="6">
        <f>MONTH(Patient_Data!$E1353)</f>
        <v>10</v>
      </c>
      <c r="E1353" s="7">
        <v>45937</v>
      </c>
      <c r="F1353" s="55" t="str">
        <f>TEXT(Patient_Data[[#This Row],[Admission_Date]],"YYYY")</f>
        <v>2025</v>
      </c>
      <c r="G1353" s="8" t="s">
        <v>2736</v>
      </c>
      <c r="H1353" s="8" t="s">
        <v>132</v>
      </c>
      <c r="I1353" s="4" t="s">
        <v>29</v>
      </c>
      <c r="J1353" s="4">
        <v>73</v>
      </c>
      <c r="K1353" s="4" t="s">
        <v>30</v>
      </c>
      <c r="L1353" s="8">
        <v>2</v>
      </c>
      <c r="M1353" s="9" t="s">
        <v>46</v>
      </c>
      <c r="N1353" s="9" t="str">
        <f t="shared" si="11"/>
        <v>Ortho</v>
      </c>
      <c r="O1353" s="10">
        <v>4941.62</v>
      </c>
      <c r="P1353" s="10">
        <v>3189.04</v>
      </c>
      <c r="Q1353" s="11">
        <v>3.3</v>
      </c>
      <c r="R1353" s="13" t="str">
        <f>IF(Patient_Data!$L1353&lt;2,"Low Risk",IF(Patient_Data!$L1353&lt;4,"Moderate Risk","High Risk"))</f>
        <v>Moderate Risk</v>
      </c>
      <c r="S1353" s="12" t="str">
        <f>IF(Patient_Data[[#This Row],[Age]]&lt;=18,"Pediatric",IF(Patient_Data[[#This Row],[Age]]&lt;=64,"Adult","Geriatric"))</f>
        <v>Geriatric</v>
      </c>
    </row>
    <row r="1354" spans="1:19" ht="15.75" customHeight="1" x14ac:dyDescent="0.3">
      <c r="A1354" s="4" t="s">
        <v>2737</v>
      </c>
      <c r="B1354" s="5" t="str">
        <f>TEXT(Patient_Data!$E1354,"mmmm")</f>
        <v>March</v>
      </c>
      <c r="C1354" s="6" t="str">
        <f t="shared" si="10"/>
        <v>Mar</v>
      </c>
      <c r="D1354" s="6">
        <f>MONTH(Patient_Data!$E1354)</f>
        <v>3</v>
      </c>
      <c r="E1354" s="7">
        <v>45741</v>
      </c>
      <c r="F1354" s="55" t="str">
        <f>TEXT(Patient_Data[[#This Row],[Admission_Date]],"YYYY")</f>
        <v>2025</v>
      </c>
      <c r="G1354" s="8" t="s">
        <v>2738</v>
      </c>
      <c r="H1354" s="8" t="s">
        <v>42</v>
      </c>
      <c r="I1354" s="4" t="s">
        <v>29</v>
      </c>
      <c r="J1354" s="4">
        <v>60</v>
      </c>
      <c r="K1354" s="4" t="s">
        <v>30</v>
      </c>
      <c r="L1354" s="8">
        <v>1</v>
      </c>
      <c r="M1354" s="9" t="s">
        <v>39</v>
      </c>
      <c r="N1354" s="9" t="str">
        <f t="shared" si="11"/>
        <v>GM</v>
      </c>
      <c r="O1354" s="10">
        <v>4166.6899999999996</v>
      </c>
      <c r="P1354" s="10">
        <v>2839.68</v>
      </c>
      <c r="Q1354" s="11">
        <v>6</v>
      </c>
      <c r="R1354" s="13" t="str">
        <f>IF(Patient_Data!$L1354&lt;2,"Low Risk",IF(Patient_Data!$L1354&lt;4,"Moderate Risk","High Risk"))</f>
        <v>Low Risk</v>
      </c>
      <c r="S1354" s="12" t="str">
        <f>IF(Patient_Data[[#This Row],[Age]]&lt;=18,"Pediatric",IF(Patient_Data[[#This Row],[Age]]&lt;=64,"Adult","Geriatric"))</f>
        <v>Adult</v>
      </c>
    </row>
    <row r="1355" spans="1:19" ht="15.75" customHeight="1" x14ac:dyDescent="0.3">
      <c r="A1355" s="4" t="s">
        <v>2739</v>
      </c>
      <c r="B1355" s="5" t="str">
        <f>TEXT(Patient_Data!$E1355,"mmmm")</f>
        <v>November</v>
      </c>
      <c r="C1355" s="6" t="str">
        <f t="shared" si="10"/>
        <v>Nov</v>
      </c>
      <c r="D1355" s="6">
        <f>MONTH(Patient_Data!$E1355)</f>
        <v>11</v>
      </c>
      <c r="E1355" s="7">
        <v>45971</v>
      </c>
      <c r="F1355" s="55" t="str">
        <f>TEXT(Patient_Data[[#This Row],[Admission_Date]],"YYYY")</f>
        <v>2025</v>
      </c>
      <c r="G1355" s="8" t="s">
        <v>2740</v>
      </c>
      <c r="H1355" s="8" t="s">
        <v>34</v>
      </c>
      <c r="I1355" s="4" t="s">
        <v>35</v>
      </c>
      <c r="J1355" s="4">
        <v>82</v>
      </c>
      <c r="K1355" s="4" t="s">
        <v>45</v>
      </c>
      <c r="L1355" s="8">
        <v>5</v>
      </c>
      <c r="M1355" s="9" t="s">
        <v>46</v>
      </c>
      <c r="N1355" s="9" t="str">
        <f t="shared" si="11"/>
        <v>Ortho</v>
      </c>
      <c r="O1355" s="10">
        <v>13249.34</v>
      </c>
      <c r="P1355" s="10">
        <v>9293.74</v>
      </c>
      <c r="Q1355" s="11">
        <v>2.4</v>
      </c>
      <c r="R1355" s="13" t="str">
        <f>IF(Patient_Data!$L1355&lt;2,"Low Risk",IF(Patient_Data!$L1355&lt;4,"Moderate Risk","High Risk"))</f>
        <v>High Risk</v>
      </c>
      <c r="S1355" s="12" t="str">
        <f>IF(Patient_Data[[#This Row],[Age]]&lt;=18,"Pediatric",IF(Patient_Data[[#This Row],[Age]]&lt;=64,"Adult","Geriatric"))</f>
        <v>Geriatric</v>
      </c>
    </row>
    <row r="1356" spans="1:19" ht="15.75" customHeight="1" x14ac:dyDescent="0.3">
      <c r="A1356" s="4" t="s">
        <v>2741</v>
      </c>
      <c r="B1356" s="5" t="str">
        <f>TEXT(Patient_Data!$E1356,"mmmm")</f>
        <v>September</v>
      </c>
      <c r="C1356" s="6" t="str">
        <f t="shared" si="10"/>
        <v>Sep</v>
      </c>
      <c r="D1356" s="6">
        <f>MONTH(Patient_Data!$E1356)</f>
        <v>9</v>
      </c>
      <c r="E1356" s="7">
        <v>45914</v>
      </c>
      <c r="F1356" s="55" t="str">
        <f>TEXT(Patient_Data[[#This Row],[Admission_Date]],"YYYY")</f>
        <v>2025</v>
      </c>
      <c r="G1356" s="8" t="s">
        <v>2742</v>
      </c>
      <c r="H1356" s="8" t="s">
        <v>132</v>
      </c>
      <c r="I1356" s="4" t="s">
        <v>35</v>
      </c>
      <c r="J1356" s="4">
        <v>60</v>
      </c>
      <c r="K1356" s="4" t="s">
        <v>30</v>
      </c>
      <c r="L1356" s="8">
        <v>3</v>
      </c>
      <c r="M1356" s="9" t="s">
        <v>83</v>
      </c>
      <c r="N1356" s="9" t="str">
        <f t="shared" si="11"/>
        <v>ER</v>
      </c>
      <c r="O1356" s="10">
        <v>10620.07</v>
      </c>
      <c r="P1356" s="10">
        <v>7841.45</v>
      </c>
      <c r="Q1356" s="11">
        <v>11.1</v>
      </c>
      <c r="R1356" s="13" t="str">
        <f>IF(Patient_Data!$L1356&lt;2,"Low Risk",IF(Patient_Data!$L1356&lt;4,"Moderate Risk","High Risk"))</f>
        <v>Moderate Risk</v>
      </c>
      <c r="S1356" s="12" t="str">
        <f>IF(Patient_Data[[#This Row],[Age]]&lt;=18,"Pediatric",IF(Patient_Data[[#This Row],[Age]]&lt;=64,"Adult","Geriatric"))</f>
        <v>Adult</v>
      </c>
    </row>
    <row r="1357" spans="1:19" ht="15.75" customHeight="1" x14ac:dyDescent="0.3">
      <c r="A1357" s="4" t="s">
        <v>2743</v>
      </c>
      <c r="B1357" s="5" t="str">
        <f>TEXT(Patient_Data!$E1357,"mmmm")</f>
        <v>October</v>
      </c>
      <c r="C1357" s="6" t="str">
        <f t="shared" si="10"/>
        <v>Oct</v>
      </c>
      <c r="D1357" s="6">
        <f>MONTH(Patient_Data!$E1357)</f>
        <v>10</v>
      </c>
      <c r="E1357" s="7">
        <v>45576</v>
      </c>
      <c r="F1357" s="55" t="str">
        <f>TEXT(Patient_Data[[#This Row],[Admission_Date]],"YYYY")</f>
        <v>2024</v>
      </c>
      <c r="G1357" s="8" t="s">
        <v>2744</v>
      </c>
      <c r="H1357" s="8" t="s">
        <v>53</v>
      </c>
      <c r="I1357" s="4" t="s">
        <v>35</v>
      </c>
      <c r="J1357" s="4">
        <v>40</v>
      </c>
      <c r="K1357" s="4" t="s">
        <v>30</v>
      </c>
      <c r="L1357" s="8">
        <v>1</v>
      </c>
      <c r="M1357" s="9" t="s">
        <v>39</v>
      </c>
      <c r="N1357" s="9" t="str">
        <f t="shared" si="11"/>
        <v>GM</v>
      </c>
      <c r="O1357" s="10">
        <v>3224.98</v>
      </c>
      <c r="P1357" s="10">
        <v>2498.98</v>
      </c>
      <c r="Q1357" s="11">
        <v>6</v>
      </c>
      <c r="R1357" s="13" t="str">
        <f>IF(Patient_Data!$L1357&lt;2,"Low Risk",IF(Patient_Data!$L1357&lt;4,"Moderate Risk","High Risk"))</f>
        <v>Low Risk</v>
      </c>
      <c r="S1357" s="12" t="str">
        <f>IF(Patient_Data[[#This Row],[Age]]&lt;=18,"Pediatric",IF(Patient_Data[[#This Row],[Age]]&lt;=64,"Adult","Geriatric"))</f>
        <v>Adult</v>
      </c>
    </row>
    <row r="1358" spans="1:19" ht="15.75" customHeight="1" x14ac:dyDescent="0.3">
      <c r="A1358" s="4" t="s">
        <v>2745</v>
      </c>
      <c r="B1358" s="5" t="str">
        <f>TEXT(Patient_Data!$E1358,"mmmm")</f>
        <v>October</v>
      </c>
      <c r="C1358" s="6" t="str">
        <f t="shared" si="10"/>
        <v>Oct</v>
      </c>
      <c r="D1358" s="6">
        <f>MONTH(Patient_Data!$E1358)</f>
        <v>10</v>
      </c>
      <c r="E1358" s="7">
        <v>45222</v>
      </c>
      <c r="F1358" s="55" t="str">
        <f>TEXT(Patient_Data[[#This Row],[Admission_Date]],"YYYY")</f>
        <v>2023</v>
      </c>
      <c r="G1358" s="8" t="s">
        <v>2746</v>
      </c>
      <c r="H1358" s="8" t="s">
        <v>82</v>
      </c>
      <c r="I1358" s="4" t="s">
        <v>29</v>
      </c>
      <c r="J1358" s="4">
        <v>19</v>
      </c>
      <c r="K1358" s="4" t="s">
        <v>30</v>
      </c>
      <c r="L1358" s="8">
        <v>1</v>
      </c>
      <c r="M1358" s="9" t="s">
        <v>83</v>
      </c>
      <c r="N1358" s="9" t="str">
        <f t="shared" si="11"/>
        <v>ER</v>
      </c>
      <c r="O1358" s="10">
        <v>4265.32</v>
      </c>
      <c r="P1358" s="10">
        <v>2611.4899999999998</v>
      </c>
      <c r="Q1358" s="11">
        <v>17.2</v>
      </c>
      <c r="R1358" s="13" t="str">
        <f>IF(Patient_Data!$L1358&lt;2,"Low Risk",IF(Patient_Data!$L1358&lt;4,"Moderate Risk","High Risk"))</f>
        <v>Low Risk</v>
      </c>
      <c r="S1358" s="12" t="str">
        <f>IF(Patient_Data[[#This Row],[Age]]&lt;=18,"Pediatric",IF(Patient_Data[[#This Row],[Age]]&lt;=64,"Adult","Geriatric"))</f>
        <v>Adult</v>
      </c>
    </row>
    <row r="1359" spans="1:19" ht="15.75" customHeight="1" x14ac:dyDescent="0.3">
      <c r="A1359" s="4" t="s">
        <v>2747</v>
      </c>
      <c r="B1359" s="5" t="str">
        <f>TEXT(Patient_Data!$E1359,"mmmm")</f>
        <v>March</v>
      </c>
      <c r="C1359" s="6" t="str">
        <f t="shared" si="10"/>
        <v>Mar</v>
      </c>
      <c r="D1359" s="6">
        <f>MONTH(Patient_Data!$E1359)</f>
        <v>3</v>
      </c>
      <c r="E1359" s="7">
        <v>46112</v>
      </c>
      <c r="F1359" s="55" t="str">
        <f>TEXT(Patient_Data[[#This Row],[Admission_Date]],"YYYY")</f>
        <v>2026</v>
      </c>
      <c r="G1359" s="8" t="s">
        <v>2748</v>
      </c>
      <c r="H1359" s="8" t="s">
        <v>53</v>
      </c>
      <c r="I1359" s="4" t="s">
        <v>35</v>
      </c>
      <c r="J1359" s="4">
        <v>58</v>
      </c>
      <c r="K1359" s="4" t="s">
        <v>54</v>
      </c>
      <c r="L1359" s="8">
        <v>1</v>
      </c>
      <c r="M1359" s="9" t="s">
        <v>39</v>
      </c>
      <c r="N1359" s="9" t="str">
        <f t="shared" si="11"/>
        <v>GM</v>
      </c>
      <c r="O1359" s="10">
        <v>4317.66</v>
      </c>
      <c r="P1359" s="10">
        <v>2667.37</v>
      </c>
      <c r="Q1359" s="11">
        <v>4.2</v>
      </c>
      <c r="R1359" s="13" t="str">
        <f>IF(Patient_Data!$L1359&lt;2,"Low Risk",IF(Patient_Data!$L1359&lt;4,"Moderate Risk","High Risk"))</f>
        <v>Low Risk</v>
      </c>
      <c r="S1359" s="12" t="str">
        <f>IF(Patient_Data[[#This Row],[Age]]&lt;=18,"Pediatric",IF(Patient_Data[[#This Row],[Age]]&lt;=64,"Adult","Geriatric"))</f>
        <v>Adult</v>
      </c>
    </row>
    <row r="1360" spans="1:19" ht="15.75" customHeight="1" x14ac:dyDescent="0.3">
      <c r="A1360" s="4" t="s">
        <v>2749</v>
      </c>
      <c r="B1360" s="5" t="str">
        <f>TEXT(Patient_Data!$E1360,"mmmm")</f>
        <v>October</v>
      </c>
      <c r="C1360" s="6" t="str">
        <f t="shared" si="10"/>
        <v>Oct</v>
      </c>
      <c r="D1360" s="6">
        <f>MONTH(Patient_Data!$E1360)</f>
        <v>10</v>
      </c>
      <c r="E1360" s="7">
        <v>45596</v>
      </c>
      <c r="F1360" s="55" t="str">
        <f>TEXT(Patient_Data[[#This Row],[Admission_Date]],"YYYY")</f>
        <v>2024</v>
      </c>
      <c r="G1360" s="8" t="s">
        <v>2750</v>
      </c>
      <c r="H1360" s="8" t="s">
        <v>28</v>
      </c>
      <c r="I1360" s="4" t="s">
        <v>29</v>
      </c>
      <c r="J1360" s="4">
        <v>47</v>
      </c>
      <c r="K1360" s="4" t="s">
        <v>30</v>
      </c>
      <c r="L1360" s="8">
        <v>3</v>
      </c>
      <c r="M1360" s="9" t="s">
        <v>83</v>
      </c>
      <c r="N1360" s="9" t="str">
        <f t="shared" si="11"/>
        <v>ER</v>
      </c>
      <c r="O1360" s="10">
        <v>6244.92</v>
      </c>
      <c r="P1360" s="10">
        <v>4099.95</v>
      </c>
      <c r="Q1360" s="11">
        <v>12.9</v>
      </c>
      <c r="R1360" s="13" t="str">
        <f>IF(Patient_Data!$L1360&lt;2,"Low Risk",IF(Patient_Data!$L1360&lt;4,"Moderate Risk","High Risk"))</f>
        <v>Moderate Risk</v>
      </c>
      <c r="S1360" s="12" t="str">
        <f>IF(Patient_Data[[#This Row],[Age]]&lt;=18,"Pediatric",IF(Patient_Data[[#This Row],[Age]]&lt;=64,"Adult","Geriatric"))</f>
        <v>Adult</v>
      </c>
    </row>
    <row r="1361" spans="1:19" ht="15.75" customHeight="1" x14ac:dyDescent="0.3">
      <c r="A1361" s="4" t="s">
        <v>2751</v>
      </c>
      <c r="B1361" s="5" t="str">
        <f>TEXT(Patient_Data!$E1361,"mmmm")</f>
        <v>February</v>
      </c>
      <c r="C1361" s="6" t="str">
        <f t="shared" si="10"/>
        <v>Feb</v>
      </c>
      <c r="D1361" s="6">
        <f>MONTH(Patient_Data!$E1361)</f>
        <v>2</v>
      </c>
      <c r="E1361" s="7">
        <v>46064</v>
      </c>
      <c r="F1361" s="55" t="str">
        <f>TEXT(Patient_Data[[#This Row],[Admission_Date]],"YYYY")</f>
        <v>2026</v>
      </c>
      <c r="G1361" s="8" t="s">
        <v>2752</v>
      </c>
      <c r="H1361" s="8" t="s">
        <v>53</v>
      </c>
      <c r="I1361" s="4" t="s">
        <v>29</v>
      </c>
      <c r="J1361" s="4">
        <v>30</v>
      </c>
      <c r="K1361" s="4" t="s">
        <v>54</v>
      </c>
      <c r="L1361" s="8">
        <v>3</v>
      </c>
      <c r="M1361" s="9" t="s">
        <v>72</v>
      </c>
      <c r="N1361" s="9" t="str">
        <f t="shared" si="11"/>
        <v>Surgery</v>
      </c>
      <c r="O1361" s="10">
        <v>12815.12</v>
      </c>
      <c r="P1361" s="10">
        <v>8602.93</v>
      </c>
      <c r="Q1361" s="11">
        <v>2.1</v>
      </c>
      <c r="R1361" s="13" t="str">
        <f>IF(Patient_Data!$L1361&lt;2,"Low Risk",IF(Patient_Data!$L1361&lt;4,"Moderate Risk","High Risk"))</f>
        <v>Moderate Risk</v>
      </c>
      <c r="S1361" s="12" t="str">
        <f>IF(Patient_Data[[#This Row],[Age]]&lt;=18,"Pediatric",IF(Patient_Data[[#This Row],[Age]]&lt;=64,"Adult","Geriatric"))</f>
        <v>Adult</v>
      </c>
    </row>
    <row r="1362" spans="1:19" ht="15.75" customHeight="1" x14ac:dyDescent="0.3">
      <c r="A1362" s="4" t="s">
        <v>2753</v>
      </c>
      <c r="B1362" s="5" t="str">
        <f>TEXT(Patient_Data!$E1362,"mmmm")</f>
        <v>April</v>
      </c>
      <c r="C1362" s="6" t="str">
        <f t="shared" si="10"/>
        <v>Apr</v>
      </c>
      <c r="D1362" s="6">
        <f>MONTH(Patient_Data!$E1362)</f>
        <v>4</v>
      </c>
      <c r="E1362" s="7">
        <v>45763</v>
      </c>
      <c r="F1362" s="55" t="str">
        <f>TEXT(Patient_Data[[#This Row],[Admission_Date]],"YYYY")</f>
        <v>2025</v>
      </c>
      <c r="G1362" s="8" t="s">
        <v>2754</v>
      </c>
      <c r="H1362" s="8" t="s">
        <v>28</v>
      </c>
      <c r="I1362" s="4" t="s">
        <v>29</v>
      </c>
      <c r="J1362" s="4">
        <v>1</v>
      </c>
      <c r="K1362" s="4" t="s">
        <v>30</v>
      </c>
      <c r="L1362" s="8">
        <v>2</v>
      </c>
      <c r="M1362" s="9" t="s">
        <v>79</v>
      </c>
      <c r="N1362" s="9" t="str">
        <f t="shared" si="11"/>
        <v>PD</v>
      </c>
      <c r="O1362" s="10">
        <v>730.57</v>
      </c>
      <c r="P1362" s="10">
        <v>559.4</v>
      </c>
      <c r="Q1362" s="11">
        <v>6</v>
      </c>
      <c r="R1362" s="13" t="str">
        <f>IF(Patient_Data!$L1362&lt;2,"Low Risk",IF(Patient_Data!$L1362&lt;4,"Moderate Risk","High Risk"))</f>
        <v>Moderate Risk</v>
      </c>
      <c r="S1362" s="12" t="str">
        <f>IF(Patient_Data[[#This Row],[Age]]&lt;=18,"Pediatric",IF(Patient_Data[[#This Row],[Age]]&lt;=64,"Adult","Geriatric"))</f>
        <v>Pediatric</v>
      </c>
    </row>
    <row r="1363" spans="1:19" ht="15.75" customHeight="1" x14ac:dyDescent="0.3">
      <c r="A1363" s="4" t="s">
        <v>2755</v>
      </c>
      <c r="B1363" s="5" t="str">
        <f>TEXT(Patient_Data!$E1363,"mmmm")</f>
        <v>January</v>
      </c>
      <c r="C1363" s="6" t="str">
        <f t="shared" si="10"/>
        <v>Jan</v>
      </c>
      <c r="D1363" s="6">
        <f>MONTH(Patient_Data!$E1363)</f>
        <v>1</v>
      </c>
      <c r="E1363" s="7">
        <v>45308</v>
      </c>
      <c r="F1363" s="55" t="str">
        <f>TEXT(Patient_Data[[#This Row],[Admission_Date]],"YYYY")</f>
        <v>2024</v>
      </c>
      <c r="G1363" s="8" t="s">
        <v>2756</v>
      </c>
      <c r="H1363" s="8" t="s">
        <v>34</v>
      </c>
      <c r="I1363" s="4" t="s">
        <v>35</v>
      </c>
      <c r="J1363" s="4">
        <v>21</v>
      </c>
      <c r="K1363" s="4" t="s">
        <v>30</v>
      </c>
      <c r="L1363" s="8">
        <v>1</v>
      </c>
      <c r="M1363" s="9" t="s">
        <v>36</v>
      </c>
      <c r="N1363" s="9" t="str">
        <f t="shared" si="11"/>
        <v>Cardio</v>
      </c>
      <c r="O1363" s="10">
        <v>9829.14</v>
      </c>
      <c r="P1363" s="10">
        <v>7200.87</v>
      </c>
      <c r="Q1363" s="11">
        <v>3.2</v>
      </c>
      <c r="R1363" s="13" t="str">
        <f>IF(Patient_Data!$L1363&lt;2,"Low Risk",IF(Patient_Data!$L1363&lt;4,"Moderate Risk","High Risk"))</f>
        <v>Low Risk</v>
      </c>
      <c r="S1363" s="12" t="str">
        <f>IF(Patient_Data[[#This Row],[Age]]&lt;=18,"Pediatric",IF(Patient_Data[[#This Row],[Age]]&lt;=64,"Adult","Geriatric"))</f>
        <v>Adult</v>
      </c>
    </row>
    <row r="1364" spans="1:19" ht="15.75" customHeight="1" x14ac:dyDescent="0.3">
      <c r="A1364" s="4" t="s">
        <v>2757</v>
      </c>
      <c r="B1364" s="5" t="str">
        <f>TEXT(Patient_Data!$E1364,"mmmm")</f>
        <v>July</v>
      </c>
      <c r="C1364" s="6" t="str">
        <f t="shared" si="10"/>
        <v>Jul</v>
      </c>
      <c r="D1364" s="6">
        <f>MONTH(Patient_Data!$E1364)</f>
        <v>7</v>
      </c>
      <c r="E1364" s="7">
        <v>45482</v>
      </c>
      <c r="F1364" s="55" t="str">
        <f>TEXT(Patient_Data[[#This Row],[Admission_Date]],"YYYY")</f>
        <v>2024</v>
      </c>
      <c r="G1364" s="8" t="s">
        <v>2758</v>
      </c>
      <c r="H1364" s="8" t="s">
        <v>82</v>
      </c>
      <c r="I1364" s="4" t="s">
        <v>29</v>
      </c>
      <c r="J1364" s="4">
        <v>30</v>
      </c>
      <c r="K1364" s="4" t="s">
        <v>30</v>
      </c>
      <c r="L1364" s="8">
        <v>3</v>
      </c>
      <c r="M1364" s="9" t="s">
        <v>83</v>
      </c>
      <c r="N1364" s="9" t="str">
        <f t="shared" si="11"/>
        <v>ER</v>
      </c>
      <c r="O1364" s="10">
        <v>4928.3900000000003</v>
      </c>
      <c r="P1364" s="10">
        <v>3894.38</v>
      </c>
      <c r="Q1364" s="11">
        <v>18.600000000000001</v>
      </c>
      <c r="R1364" s="13" t="str">
        <f>IF(Patient_Data!$L1364&lt;2,"Low Risk",IF(Patient_Data!$L1364&lt;4,"Moderate Risk","High Risk"))</f>
        <v>Moderate Risk</v>
      </c>
      <c r="S1364" s="12" t="str">
        <f>IF(Patient_Data[[#This Row],[Age]]&lt;=18,"Pediatric",IF(Patient_Data[[#This Row],[Age]]&lt;=64,"Adult","Geriatric"))</f>
        <v>Adult</v>
      </c>
    </row>
    <row r="1365" spans="1:19" ht="15.75" customHeight="1" x14ac:dyDescent="0.3">
      <c r="A1365" s="4" t="s">
        <v>2759</v>
      </c>
      <c r="B1365" s="5" t="str">
        <f>TEXT(Patient_Data!$E1365,"mmmm")</f>
        <v>May</v>
      </c>
      <c r="C1365" s="6" t="str">
        <f t="shared" si="10"/>
        <v>May</v>
      </c>
      <c r="D1365" s="6">
        <f>MONTH(Patient_Data!$E1365)</f>
        <v>5</v>
      </c>
      <c r="E1365" s="7">
        <v>46148</v>
      </c>
      <c r="F1365" s="55" t="str">
        <f>TEXT(Patient_Data[[#This Row],[Admission_Date]],"YYYY")</f>
        <v>2026</v>
      </c>
      <c r="G1365" s="8" t="s">
        <v>2760</v>
      </c>
      <c r="H1365" s="8" t="s">
        <v>28</v>
      </c>
      <c r="I1365" s="4" t="s">
        <v>29</v>
      </c>
      <c r="J1365" s="4">
        <v>13</v>
      </c>
      <c r="K1365" s="4" t="s">
        <v>30</v>
      </c>
      <c r="L1365" s="8">
        <v>4</v>
      </c>
      <c r="M1365" s="9" t="s">
        <v>79</v>
      </c>
      <c r="N1365" s="9" t="str">
        <f t="shared" si="11"/>
        <v>PD</v>
      </c>
      <c r="O1365" s="10">
        <v>1154.0999999999999</v>
      </c>
      <c r="P1365" s="10">
        <v>686.98</v>
      </c>
      <c r="Q1365" s="11">
        <v>2.2000000000000002</v>
      </c>
      <c r="R1365" s="13" t="str">
        <f>IF(Patient_Data!$L1365&lt;2,"Low Risk",IF(Patient_Data!$L1365&lt;4,"Moderate Risk","High Risk"))</f>
        <v>High Risk</v>
      </c>
      <c r="S1365" s="12" t="str">
        <f>IF(Patient_Data[[#This Row],[Age]]&lt;=18,"Pediatric",IF(Patient_Data[[#This Row],[Age]]&lt;=64,"Adult","Geriatric"))</f>
        <v>Pediatric</v>
      </c>
    </row>
    <row r="1366" spans="1:19" ht="15.75" customHeight="1" x14ac:dyDescent="0.3">
      <c r="A1366" s="4" t="s">
        <v>2761</v>
      </c>
      <c r="B1366" s="5" t="str">
        <f>TEXT(Patient_Data!$E1366,"mmmm")</f>
        <v>November</v>
      </c>
      <c r="C1366" s="6" t="str">
        <f t="shared" si="10"/>
        <v>Nov</v>
      </c>
      <c r="D1366" s="6">
        <f>MONTH(Patient_Data!$E1366)</f>
        <v>11</v>
      </c>
      <c r="E1366" s="7">
        <v>45987</v>
      </c>
      <c r="F1366" s="55" t="str">
        <f>TEXT(Patient_Data[[#This Row],[Admission_Date]],"YYYY")</f>
        <v>2025</v>
      </c>
      <c r="G1366" s="8" t="s">
        <v>2762</v>
      </c>
      <c r="H1366" s="8" t="s">
        <v>28</v>
      </c>
      <c r="I1366" s="4" t="s">
        <v>29</v>
      </c>
      <c r="J1366" s="4">
        <v>79</v>
      </c>
      <c r="K1366" s="4" t="s">
        <v>45</v>
      </c>
      <c r="L1366" s="8">
        <v>4</v>
      </c>
      <c r="M1366" s="9" t="s">
        <v>72</v>
      </c>
      <c r="N1366" s="9" t="str">
        <f t="shared" si="11"/>
        <v>Surgery</v>
      </c>
      <c r="O1366" s="10">
        <v>19256.38</v>
      </c>
      <c r="P1366" s="10">
        <v>11838.39</v>
      </c>
      <c r="Q1366" s="11">
        <v>11.5</v>
      </c>
      <c r="R1366" s="13" t="str">
        <f>IF(Patient_Data!$L1366&lt;2,"Low Risk",IF(Patient_Data!$L1366&lt;4,"Moderate Risk","High Risk"))</f>
        <v>High Risk</v>
      </c>
      <c r="S1366" s="12" t="str">
        <f>IF(Patient_Data[[#This Row],[Age]]&lt;=18,"Pediatric",IF(Patient_Data[[#This Row],[Age]]&lt;=64,"Adult","Geriatric"))</f>
        <v>Geriatric</v>
      </c>
    </row>
    <row r="1367" spans="1:19" ht="15.75" customHeight="1" x14ac:dyDescent="0.3">
      <c r="A1367" s="4" t="s">
        <v>2763</v>
      </c>
      <c r="B1367" s="5" t="str">
        <f>TEXT(Patient_Data!$E1367,"mmmm")</f>
        <v>July</v>
      </c>
      <c r="C1367" s="6" t="str">
        <f t="shared" si="10"/>
        <v>Jul</v>
      </c>
      <c r="D1367" s="6">
        <f>MONTH(Patient_Data!$E1367)</f>
        <v>7</v>
      </c>
      <c r="E1367" s="7">
        <v>46204</v>
      </c>
      <c r="F1367" s="55" t="str">
        <f>TEXT(Patient_Data[[#This Row],[Admission_Date]],"YYYY")</f>
        <v>2026</v>
      </c>
      <c r="G1367" s="8" t="s">
        <v>2764</v>
      </c>
      <c r="H1367" s="8" t="s">
        <v>28</v>
      </c>
      <c r="I1367" s="4" t="s">
        <v>29</v>
      </c>
      <c r="J1367" s="4">
        <v>50</v>
      </c>
      <c r="K1367" s="4" t="s">
        <v>30</v>
      </c>
      <c r="L1367" s="8">
        <v>3</v>
      </c>
      <c r="M1367" s="9" t="s">
        <v>31</v>
      </c>
      <c r="N1367" s="9" t="str">
        <f t="shared" si="11"/>
        <v>Neuro</v>
      </c>
      <c r="O1367" s="10">
        <v>7046.25</v>
      </c>
      <c r="P1367" s="10">
        <v>4576.8</v>
      </c>
      <c r="Q1367" s="11">
        <v>8.4</v>
      </c>
      <c r="R1367" s="13" t="str">
        <f>IF(Patient_Data!$L1367&lt;2,"Low Risk",IF(Patient_Data!$L1367&lt;4,"Moderate Risk","High Risk"))</f>
        <v>Moderate Risk</v>
      </c>
      <c r="S1367" s="12" t="str">
        <f>IF(Patient_Data[[#This Row],[Age]]&lt;=18,"Pediatric",IF(Patient_Data[[#This Row],[Age]]&lt;=64,"Adult","Geriatric"))</f>
        <v>Adult</v>
      </c>
    </row>
    <row r="1368" spans="1:19" ht="15.75" customHeight="1" x14ac:dyDescent="0.3">
      <c r="A1368" s="4" t="s">
        <v>2765</v>
      </c>
      <c r="B1368" s="5" t="str">
        <f>TEXT(Patient_Data!$E1368,"mmmm")</f>
        <v>January</v>
      </c>
      <c r="C1368" s="6" t="str">
        <f t="shared" si="10"/>
        <v>Jan</v>
      </c>
      <c r="D1368" s="6">
        <f>MONTH(Patient_Data!$E1368)</f>
        <v>1</v>
      </c>
      <c r="E1368" s="7">
        <v>46023</v>
      </c>
      <c r="F1368" s="55" t="str">
        <f>TEXT(Patient_Data[[#This Row],[Admission_Date]],"YYYY")</f>
        <v>2026</v>
      </c>
      <c r="G1368" s="8" t="s">
        <v>2766</v>
      </c>
      <c r="H1368" s="8" t="s">
        <v>28</v>
      </c>
      <c r="I1368" s="4" t="s">
        <v>29</v>
      </c>
      <c r="J1368" s="4">
        <v>78</v>
      </c>
      <c r="K1368" s="4" t="s">
        <v>54</v>
      </c>
      <c r="L1368" s="8">
        <v>4</v>
      </c>
      <c r="M1368" s="9" t="s">
        <v>72</v>
      </c>
      <c r="N1368" s="9" t="str">
        <f t="shared" si="11"/>
        <v>Surgery</v>
      </c>
      <c r="O1368" s="10">
        <v>22410.49</v>
      </c>
      <c r="P1368" s="10">
        <v>15085.43</v>
      </c>
      <c r="Q1368" s="11">
        <v>8.8000000000000007</v>
      </c>
      <c r="R1368" s="13" t="str">
        <f>IF(Patient_Data!$L1368&lt;2,"Low Risk",IF(Patient_Data!$L1368&lt;4,"Moderate Risk","High Risk"))</f>
        <v>High Risk</v>
      </c>
      <c r="S1368" s="12" t="str">
        <f>IF(Patient_Data[[#This Row],[Age]]&lt;=18,"Pediatric",IF(Patient_Data[[#This Row],[Age]]&lt;=64,"Adult","Geriatric"))</f>
        <v>Geriatric</v>
      </c>
    </row>
    <row r="1369" spans="1:19" ht="15.75" customHeight="1" x14ac:dyDescent="0.3">
      <c r="A1369" s="4" t="s">
        <v>2767</v>
      </c>
      <c r="B1369" s="5" t="str">
        <f>TEXT(Patient_Data!$E1369,"mmmm")</f>
        <v>September</v>
      </c>
      <c r="C1369" s="6" t="str">
        <f t="shared" si="10"/>
        <v>Sep</v>
      </c>
      <c r="D1369" s="6">
        <f>MONTH(Patient_Data!$E1369)</f>
        <v>9</v>
      </c>
      <c r="E1369" s="7">
        <v>45903</v>
      </c>
      <c r="F1369" s="55" t="str">
        <f>TEXT(Patient_Data[[#This Row],[Admission_Date]],"YYYY")</f>
        <v>2025</v>
      </c>
      <c r="G1369" s="8" t="s">
        <v>2768</v>
      </c>
      <c r="H1369" s="8" t="s">
        <v>28</v>
      </c>
      <c r="I1369" s="4" t="s">
        <v>35</v>
      </c>
      <c r="J1369" s="4">
        <v>38</v>
      </c>
      <c r="K1369" s="4" t="s">
        <v>30</v>
      </c>
      <c r="L1369" s="8">
        <v>1</v>
      </c>
      <c r="M1369" s="9" t="s">
        <v>31</v>
      </c>
      <c r="N1369" s="9" t="str">
        <f t="shared" si="11"/>
        <v>Neuro</v>
      </c>
      <c r="O1369" s="10">
        <v>7017.35</v>
      </c>
      <c r="P1369" s="10">
        <v>4937.74</v>
      </c>
      <c r="Q1369" s="11">
        <v>3.2</v>
      </c>
      <c r="R1369" s="13" t="str">
        <f>IF(Patient_Data!$L1369&lt;2,"Low Risk",IF(Patient_Data!$L1369&lt;4,"Moderate Risk","High Risk"))</f>
        <v>Low Risk</v>
      </c>
      <c r="S1369" s="12" t="str">
        <f>IF(Patient_Data[[#This Row],[Age]]&lt;=18,"Pediatric",IF(Patient_Data[[#This Row],[Age]]&lt;=64,"Adult","Geriatric"))</f>
        <v>Adult</v>
      </c>
    </row>
    <row r="1370" spans="1:19" ht="15.75" customHeight="1" x14ac:dyDescent="0.3">
      <c r="A1370" s="4" t="s">
        <v>2769</v>
      </c>
      <c r="B1370" s="5" t="str">
        <f>TEXT(Patient_Data!$E1370,"mmmm")</f>
        <v>February</v>
      </c>
      <c r="C1370" s="6" t="str">
        <f t="shared" si="10"/>
        <v>Feb</v>
      </c>
      <c r="D1370" s="6">
        <f>MONTH(Patient_Data!$E1370)</f>
        <v>2</v>
      </c>
      <c r="E1370" s="7">
        <v>45341</v>
      </c>
      <c r="F1370" s="55" t="str">
        <f>TEXT(Patient_Data[[#This Row],[Admission_Date]],"YYYY")</f>
        <v>2024</v>
      </c>
      <c r="G1370" s="8" t="s">
        <v>1463</v>
      </c>
      <c r="H1370" s="8" t="s">
        <v>49</v>
      </c>
      <c r="I1370" s="4" t="s">
        <v>29</v>
      </c>
      <c r="J1370" s="4">
        <v>7</v>
      </c>
      <c r="K1370" s="4" t="s">
        <v>30</v>
      </c>
      <c r="L1370" s="8">
        <v>1</v>
      </c>
      <c r="M1370" s="9" t="s">
        <v>79</v>
      </c>
      <c r="N1370" s="9" t="str">
        <f t="shared" si="11"/>
        <v>PD</v>
      </c>
      <c r="O1370" s="10">
        <v>2216.09</v>
      </c>
      <c r="P1370" s="10">
        <v>1641.75</v>
      </c>
      <c r="Q1370" s="11">
        <v>3</v>
      </c>
      <c r="R1370" s="13" t="str">
        <f>IF(Patient_Data!$L1370&lt;2,"Low Risk",IF(Patient_Data!$L1370&lt;4,"Moderate Risk","High Risk"))</f>
        <v>Low Risk</v>
      </c>
      <c r="S1370" s="12" t="str">
        <f>IF(Patient_Data[[#This Row],[Age]]&lt;=18,"Pediatric",IF(Patient_Data[[#This Row],[Age]]&lt;=64,"Adult","Geriatric"))</f>
        <v>Pediatric</v>
      </c>
    </row>
    <row r="1371" spans="1:19" ht="15.75" customHeight="1" x14ac:dyDescent="0.3">
      <c r="A1371" s="4" t="s">
        <v>2770</v>
      </c>
      <c r="B1371" s="5" t="str">
        <f>TEXT(Patient_Data!$E1371,"mmmm")</f>
        <v>April</v>
      </c>
      <c r="C1371" s="6" t="str">
        <f t="shared" si="10"/>
        <v>Apr</v>
      </c>
      <c r="D1371" s="6">
        <f>MONTH(Patient_Data!$E1371)</f>
        <v>4</v>
      </c>
      <c r="E1371" s="7">
        <v>45390</v>
      </c>
      <c r="F1371" s="55" t="str">
        <f>TEXT(Patient_Data[[#This Row],[Admission_Date]],"YYYY")</f>
        <v>2024</v>
      </c>
      <c r="G1371" s="8" t="s">
        <v>2771</v>
      </c>
      <c r="H1371" s="8" t="s">
        <v>42</v>
      </c>
      <c r="I1371" s="4" t="s">
        <v>29</v>
      </c>
      <c r="J1371" s="4">
        <v>34</v>
      </c>
      <c r="K1371" s="4" t="s">
        <v>45</v>
      </c>
      <c r="L1371" s="8">
        <v>4</v>
      </c>
      <c r="M1371" s="9" t="s">
        <v>72</v>
      </c>
      <c r="N1371" s="9" t="str">
        <f t="shared" si="11"/>
        <v>Surgery</v>
      </c>
      <c r="O1371" s="10">
        <v>12804.74</v>
      </c>
      <c r="P1371" s="10">
        <v>9827.6</v>
      </c>
      <c r="Q1371" s="11">
        <v>12</v>
      </c>
      <c r="R1371" s="13" t="str">
        <f>IF(Patient_Data!$L1371&lt;2,"Low Risk",IF(Patient_Data!$L1371&lt;4,"Moderate Risk","High Risk"))</f>
        <v>High Risk</v>
      </c>
      <c r="S1371" s="12" t="str">
        <f>IF(Patient_Data[[#This Row],[Age]]&lt;=18,"Pediatric",IF(Patient_Data[[#This Row],[Age]]&lt;=64,"Adult","Geriatric"))</f>
        <v>Adult</v>
      </c>
    </row>
    <row r="1372" spans="1:19" ht="15.75" customHeight="1" x14ac:dyDescent="0.3">
      <c r="A1372" s="4" t="s">
        <v>2772</v>
      </c>
      <c r="B1372" s="5" t="str">
        <f>TEXT(Patient_Data!$E1372,"mmmm")</f>
        <v>August</v>
      </c>
      <c r="C1372" s="6" t="str">
        <f t="shared" si="10"/>
        <v>Aug</v>
      </c>
      <c r="D1372" s="6">
        <f>MONTH(Patient_Data!$E1372)</f>
        <v>8</v>
      </c>
      <c r="E1372" s="7">
        <v>45894</v>
      </c>
      <c r="F1372" s="55" t="str">
        <f>TEXT(Patient_Data[[#This Row],[Admission_Date]],"YYYY")</f>
        <v>2025</v>
      </c>
      <c r="G1372" s="8" t="s">
        <v>2773</v>
      </c>
      <c r="H1372" s="8" t="s">
        <v>49</v>
      </c>
      <c r="I1372" s="4" t="s">
        <v>35</v>
      </c>
      <c r="J1372" s="4">
        <v>23</v>
      </c>
      <c r="K1372" s="4" t="s">
        <v>30</v>
      </c>
      <c r="L1372" s="8">
        <v>3</v>
      </c>
      <c r="M1372" s="9" t="s">
        <v>39</v>
      </c>
      <c r="N1372" s="9" t="str">
        <f t="shared" si="11"/>
        <v>GM</v>
      </c>
      <c r="O1372" s="10">
        <v>2164.61</v>
      </c>
      <c r="P1372" s="10">
        <v>1314.67</v>
      </c>
      <c r="Q1372" s="11">
        <v>7.4</v>
      </c>
      <c r="R1372" s="13" t="str">
        <f>IF(Patient_Data!$L1372&lt;2,"Low Risk",IF(Patient_Data!$L1372&lt;4,"Moderate Risk","High Risk"))</f>
        <v>Moderate Risk</v>
      </c>
      <c r="S1372" s="12" t="str">
        <f>IF(Patient_Data[[#This Row],[Age]]&lt;=18,"Pediatric",IF(Patient_Data[[#This Row],[Age]]&lt;=64,"Adult","Geriatric"))</f>
        <v>Adult</v>
      </c>
    </row>
    <row r="1373" spans="1:19" ht="15.75" customHeight="1" x14ac:dyDescent="0.3">
      <c r="A1373" s="4" t="s">
        <v>1201</v>
      </c>
      <c r="B1373" s="5" t="str">
        <f>TEXT(Patient_Data!$E1373,"mmmm")</f>
        <v>November</v>
      </c>
      <c r="C1373" s="6" t="str">
        <f t="shared" si="10"/>
        <v>Nov</v>
      </c>
      <c r="D1373" s="6">
        <f>MONTH(Patient_Data!$E1373)</f>
        <v>11</v>
      </c>
      <c r="E1373" s="7">
        <v>45257</v>
      </c>
      <c r="F1373" s="55" t="str">
        <f>TEXT(Patient_Data[[#This Row],[Admission_Date]],"YYYY")</f>
        <v>2023</v>
      </c>
      <c r="G1373" s="8" t="s">
        <v>1202</v>
      </c>
      <c r="H1373" s="8" t="s">
        <v>49</v>
      </c>
      <c r="I1373" s="4" t="s">
        <v>29</v>
      </c>
      <c r="J1373" s="4">
        <v>10</v>
      </c>
      <c r="K1373" s="4" t="s">
        <v>54</v>
      </c>
      <c r="L1373" s="8">
        <v>3</v>
      </c>
      <c r="M1373" s="9" t="s">
        <v>79</v>
      </c>
      <c r="N1373" s="9" t="str">
        <f t="shared" si="11"/>
        <v>PD</v>
      </c>
      <c r="O1373" s="10">
        <v>2746.42</v>
      </c>
      <c r="P1373" s="10">
        <v>1712.92</v>
      </c>
      <c r="Q1373" s="11">
        <v>4.7</v>
      </c>
      <c r="R1373" s="13" t="str">
        <f>IF(Patient_Data!$L1373&lt;2,"Low Risk",IF(Patient_Data!$L1373&lt;4,"Moderate Risk","High Risk"))</f>
        <v>Moderate Risk</v>
      </c>
      <c r="S1373" s="12" t="str">
        <f>IF(Patient_Data[[#This Row],[Age]]&lt;=18,"Pediatric",IF(Patient_Data[[#This Row],[Age]]&lt;=64,"Adult","Geriatric"))</f>
        <v>Pediatric</v>
      </c>
    </row>
    <row r="1374" spans="1:19" ht="15.75" customHeight="1" x14ac:dyDescent="0.3">
      <c r="A1374" s="4" t="s">
        <v>2774</v>
      </c>
      <c r="B1374" s="5" t="str">
        <f>TEXT(Patient_Data!$E1374,"mmmm")</f>
        <v>November</v>
      </c>
      <c r="C1374" s="6" t="str">
        <f t="shared" si="10"/>
        <v>Nov</v>
      </c>
      <c r="D1374" s="6">
        <f>MONTH(Patient_Data!$E1374)</f>
        <v>11</v>
      </c>
      <c r="E1374" s="7">
        <v>45985</v>
      </c>
      <c r="F1374" s="55" t="str">
        <f>TEXT(Patient_Data[[#This Row],[Admission_Date]],"YYYY")</f>
        <v>2025</v>
      </c>
      <c r="G1374" s="8" t="s">
        <v>2775</v>
      </c>
      <c r="H1374" s="8" t="s">
        <v>132</v>
      </c>
      <c r="I1374" s="4" t="s">
        <v>29</v>
      </c>
      <c r="J1374" s="4">
        <v>55</v>
      </c>
      <c r="K1374" s="4" t="s">
        <v>30</v>
      </c>
      <c r="L1374" s="8">
        <v>1</v>
      </c>
      <c r="M1374" s="9" t="s">
        <v>31</v>
      </c>
      <c r="N1374" s="9" t="str">
        <f t="shared" si="11"/>
        <v>Neuro</v>
      </c>
      <c r="O1374" s="10">
        <v>7240.31</v>
      </c>
      <c r="P1374" s="10">
        <v>4724.2</v>
      </c>
      <c r="Q1374" s="11">
        <v>11.3</v>
      </c>
      <c r="R1374" s="13" t="str">
        <f>IF(Patient_Data!$L1374&lt;2,"Low Risk",IF(Patient_Data!$L1374&lt;4,"Moderate Risk","High Risk"))</f>
        <v>Low Risk</v>
      </c>
      <c r="S1374" s="12" t="str">
        <f>IF(Patient_Data[[#This Row],[Age]]&lt;=18,"Pediatric",IF(Patient_Data[[#This Row],[Age]]&lt;=64,"Adult","Geriatric"))</f>
        <v>Adult</v>
      </c>
    </row>
    <row r="1375" spans="1:19" ht="15.75" customHeight="1" x14ac:dyDescent="0.3">
      <c r="A1375" s="4" t="s">
        <v>2776</v>
      </c>
      <c r="B1375" s="5" t="str">
        <f>TEXT(Patient_Data!$E1375,"mmmm")</f>
        <v>July</v>
      </c>
      <c r="C1375" s="6" t="str">
        <f t="shared" si="10"/>
        <v>Jul</v>
      </c>
      <c r="D1375" s="6">
        <f>MONTH(Patient_Data!$E1375)</f>
        <v>7</v>
      </c>
      <c r="E1375" s="7">
        <v>45846</v>
      </c>
      <c r="F1375" s="55" t="str">
        <f>TEXT(Patient_Data[[#This Row],[Admission_Date]],"YYYY")</f>
        <v>2025</v>
      </c>
      <c r="G1375" s="8" t="s">
        <v>2777</v>
      </c>
      <c r="H1375" s="8" t="s">
        <v>28</v>
      </c>
      <c r="I1375" s="4" t="s">
        <v>29</v>
      </c>
      <c r="J1375" s="4">
        <v>61</v>
      </c>
      <c r="K1375" s="4" t="s">
        <v>30</v>
      </c>
      <c r="L1375" s="8">
        <v>1</v>
      </c>
      <c r="M1375" s="9" t="s">
        <v>83</v>
      </c>
      <c r="N1375" s="9" t="str">
        <f t="shared" si="11"/>
        <v>ER</v>
      </c>
      <c r="O1375" s="10">
        <v>8894.51</v>
      </c>
      <c r="P1375" s="10">
        <v>6045.72</v>
      </c>
      <c r="Q1375" s="11">
        <v>10.8</v>
      </c>
      <c r="R1375" s="13" t="str">
        <f>IF(Patient_Data!$L1375&lt;2,"Low Risk",IF(Patient_Data!$L1375&lt;4,"Moderate Risk","High Risk"))</f>
        <v>Low Risk</v>
      </c>
      <c r="S1375" s="12" t="str">
        <f>IF(Patient_Data[[#This Row],[Age]]&lt;=18,"Pediatric",IF(Patient_Data[[#This Row],[Age]]&lt;=64,"Adult","Geriatric"))</f>
        <v>Adult</v>
      </c>
    </row>
    <row r="1376" spans="1:19" ht="15.75" customHeight="1" x14ac:dyDescent="0.3">
      <c r="A1376" s="4" t="s">
        <v>2778</v>
      </c>
      <c r="B1376" s="5" t="str">
        <f>TEXT(Patient_Data!$E1376,"mmmm")</f>
        <v>January</v>
      </c>
      <c r="C1376" s="6" t="str">
        <f t="shared" si="10"/>
        <v>Jan</v>
      </c>
      <c r="D1376" s="6">
        <f>MONTH(Patient_Data!$E1376)</f>
        <v>1</v>
      </c>
      <c r="E1376" s="7">
        <v>46048</v>
      </c>
      <c r="F1376" s="55" t="str">
        <f>TEXT(Patient_Data[[#This Row],[Admission_Date]],"YYYY")</f>
        <v>2026</v>
      </c>
      <c r="G1376" s="8" t="s">
        <v>2779</v>
      </c>
      <c r="H1376" s="8" t="s">
        <v>49</v>
      </c>
      <c r="I1376" s="4" t="s">
        <v>35</v>
      </c>
      <c r="J1376" s="4">
        <v>12</v>
      </c>
      <c r="K1376" s="4" t="s">
        <v>30</v>
      </c>
      <c r="L1376" s="8">
        <v>3</v>
      </c>
      <c r="M1376" s="9" t="s">
        <v>79</v>
      </c>
      <c r="N1376" s="9" t="str">
        <f t="shared" si="11"/>
        <v>PD</v>
      </c>
      <c r="O1376" s="10">
        <v>2348.94</v>
      </c>
      <c r="P1376" s="10">
        <v>1682.66</v>
      </c>
      <c r="Q1376" s="11">
        <v>4.8</v>
      </c>
      <c r="R1376" s="13" t="str">
        <f>IF(Patient_Data!$L1376&lt;2,"Low Risk",IF(Patient_Data!$L1376&lt;4,"Moderate Risk","High Risk"))</f>
        <v>Moderate Risk</v>
      </c>
      <c r="S1376" s="12" t="str">
        <f>IF(Patient_Data[[#This Row],[Age]]&lt;=18,"Pediatric",IF(Patient_Data[[#This Row],[Age]]&lt;=64,"Adult","Geriatric"))</f>
        <v>Pediatric</v>
      </c>
    </row>
    <row r="1377" spans="1:19" ht="15.75" customHeight="1" x14ac:dyDescent="0.3">
      <c r="A1377" s="4" t="s">
        <v>2780</v>
      </c>
      <c r="B1377" s="5" t="str">
        <f>TEXT(Patient_Data!$E1377,"mmmm")</f>
        <v>April</v>
      </c>
      <c r="C1377" s="6" t="str">
        <f t="shared" si="10"/>
        <v>Apr</v>
      </c>
      <c r="D1377" s="6">
        <f>MONTH(Patient_Data!$E1377)</f>
        <v>4</v>
      </c>
      <c r="E1377" s="7">
        <v>45383</v>
      </c>
      <c r="F1377" s="55" t="str">
        <f>TEXT(Patient_Data[[#This Row],[Admission_Date]],"YYYY")</f>
        <v>2024</v>
      </c>
      <c r="G1377" s="8" t="s">
        <v>2781</v>
      </c>
      <c r="H1377" s="8" t="s">
        <v>28</v>
      </c>
      <c r="I1377" s="4" t="s">
        <v>35</v>
      </c>
      <c r="J1377" s="4">
        <v>59</v>
      </c>
      <c r="K1377" s="4" t="s">
        <v>30</v>
      </c>
      <c r="L1377" s="8">
        <v>1</v>
      </c>
      <c r="M1377" s="9" t="s">
        <v>31</v>
      </c>
      <c r="N1377" s="9" t="str">
        <f t="shared" si="11"/>
        <v>Neuro</v>
      </c>
      <c r="O1377" s="10">
        <v>4643.24</v>
      </c>
      <c r="P1377" s="10">
        <v>3427.17</v>
      </c>
      <c r="Q1377" s="11">
        <v>4.7</v>
      </c>
      <c r="R1377" s="13" t="str">
        <f>IF(Patient_Data!$L1377&lt;2,"Low Risk",IF(Patient_Data!$L1377&lt;4,"Moderate Risk","High Risk"))</f>
        <v>Low Risk</v>
      </c>
      <c r="S1377" s="12" t="str">
        <f>IF(Patient_Data[[#This Row],[Age]]&lt;=18,"Pediatric",IF(Patient_Data[[#This Row],[Age]]&lt;=64,"Adult","Geriatric"))</f>
        <v>Adult</v>
      </c>
    </row>
    <row r="1378" spans="1:19" ht="15.75" customHeight="1" x14ac:dyDescent="0.3">
      <c r="A1378" s="4" t="s">
        <v>2782</v>
      </c>
      <c r="B1378" s="5" t="str">
        <f>TEXT(Patient_Data!$E1378,"mmmm")</f>
        <v>September</v>
      </c>
      <c r="C1378" s="6" t="str">
        <f t="shared" si="10"/>
        <v>Sep</v>
      </c>
      <c r="D1378" s="6">
        <f>MONTH(Patient_Data!$E1378)</f>
        <v>9</v>
      </c>
      <c r="E1378" s="7">
        <v>45188</v>
      </c>
      <c r="F1378" s="55" t="str">
        <f>TEXT(Patient_Data[[#This Row],[Admission_Date]],"YYYY")</f>
        <v>2023</v>
      </c>
      <c r="G1378" s="8" t="s">
        <v>2783</v>
      </c>
      <c r="H1378" s="8" t="s">
        <v>98</v>
      </c>
      <c r="I1378" s="4" t="s">
        <v>29</v>
      </c>
      <c r="J1378" s="4">
        <v>89</v>
      </c>
      <c r="K1378" s="4" t="s">
        <v>54</v>
      </c>
      <c r="L1378" s="8">
        <v>3</v>
      </c>
      <c r="M1378" s="9" t="s">
        <v>50</v>
      </c>
      <c r="N1378" s="9" t="str">
        <f t="shared" si="11"/>
        <v>ICU</v>
      </c>
      <c r="O1378" s="10">
        <v>10619.88</v>
      </c>
      <c r="P1378" s="10">
        <v>8207.91</v>
      </c>
      <c r="Q1378" s="11">
        <v>17.100000000000001</v>
      </c>
      <c r="R1378" s="13" t="str">
        <f>IF(Patient_Data!$L1378&lt;2,"Low Risk",IF(Patient_Data!$L1378&lt;4,"Moderate Risk","High Risk"))</f>
        <v>Moderate Risk</v>
      </c>
      <c r="S1378" s="12" t="str">
        <f>IF(Patient_Data[[#This Row],[Age]]&lt;=18,"Pediatric",IF(Patient_Data[[#This Row],[Age]]&lt;=64,"Adult","Geriatric"))</f>
        <v>Geriatric</v>
      </c>
    </row>
    <row r="1379" spans="1:19" ht="15.75" customHeight="1" x14ac:dyDescent="0.3">
      <c r="A1379" s="4" t="s">
        <v>2784</v>
      </c>
      <c r="B1379" s="5" t="str">
        <f>TEXT(Patient_Data!$E1379,"mmmm")</f>
        <v>July</v>
      </c>
      <c r="C1379" s="6" t="str">
        <f t="shared" si="10"/>
        <v>Jul</v>
      </c>
      <c r="D1379" s="6">
        <f>MONTH(Patient_Data!$E1379)</f>
        <v>7</v>
      </c>
      <c r="E1379" s="7">
        <v>46212</v>
      </c>
      <c r="F1379" s="55" t="str">
        <f>TEXT(Patient_Data[[#This Row],[Admission_Date]],"YYYY")</f>
        <v>2026</v>
      </c>
      <c r="G1379" s="8" t="s">
        <v>2785</v>
      </c>
      <c r="H1379" s="8" t="s">
        <v>49</v>
      </c>
      <c r="I1379" s="4" t="s">
        <v>29</v>
      </c>
      <c r="J1379" s="4">
        <v>55</v>
      </c>
      <c r="K1379" s="4" t="s">
        <v>45</v>
      </c>
      <c r="L1379" s="8">
        <v>1</v>
      </c>
      <c r="M1379" s="9" t="s">
        <v>83</v>
      </c>
      <c r="N1379" s="9" t="str">
        <f t="shared" si="11"/>
        <v>ER</v>
      </c>
      <c r="O1379" s="10">
        <v>8538.33</v>
      </c>
      <c r="P1379" s="10">
        <v>5060.2299999999996</v>
      </c>
      <c r="Q1379" s="11">
        <v>13.5</v>
      </c>
      <c r="R1379" s="13" t="str">
        <f>IF(Patient_Data!$L1379&lt;2,"Low Risk",IF(Patient_Data!$L1379&lt;4,"Moderate Risk","High Risk"))</f>
        <v>Low Risk</v>
      </c>
      <c r="S1379" s="12" t="str">
        <f>IF(Patient_Data[[#This Row],[Age]]&lt;=18,"Pediatric",IF(Patient_Data[[#This Row],[Age]]&lt;=64,"Adult","Geriatric"))</f>
        <v>Adult</v>
      </c>
    </row>
    <row r="1380" spans="1:19" ht="15.75" customHeight="1" x14ac:dyDescent="0.3">
      <c r="A1380" s="4" t="s">
        <v>2786</v>
      </c>
      <c r="B1380" s="5" t="str">
        <f>TEXT(Patient_Data!$E1380,"mmmm")</f>
        <v>November</v>
      </c>
      <c r="C1380" s="6" t="str">
        <f t="shared" si="10"/>
        <v>Nov</v>
      </c>
      <c r="D1380" s="6">
        <f>MONTH(Patient_Data!$E1380)</f>
        <v>11</v>
      </c>
      <c r="E1380" s="7">
        <v>45968</v>
      </c>
      <c r="F1380" s="55" t="str">
        <f>TEXT(Patient_Data[[#This Row],[Admission_Date]],"YYYY")</f>
        <v>2025</v>
      </c>
      <c r="G1380" s="8" t="s">
        <v>2787</v>
      </c>
      <c r="H1380" s="8" t="s">
        <v>53</v>
      </c>
      <c r="I1380" s="4" t="s">
        <v>35</v>
      </c>
      <c r="J1380" s="4">
        <v>82</v>
      </c>
      <c r="K1380" s="4" t="s">
        <v>54</v>
      </c>
      <c r="L1380" s="8">
        <v>3</v>
      </c>
      <c r="M1380" s="9" t="s">
        <v>39</v>
      </c>
      <c r="N1380" s="9" t="str">
        <f t="shared" si="11"/>
        <v>GM</v>
      </c>
      <c r="O1380" s="10">
        <v>4533.88</v>
      </c>
      <c r="P1380" s="10">
        <v>2797.67</v>
      </c>
      <c r="Q1380" s="11">
        <v>4</v>
      </c>
      <c r="R1380" s="13" t="str">
        <f>IF(Patient_Data!$L1380&lt;2,"Low Risk",IF(Patient_Data!$L1380&lt;4,"Moderate Risk","High Risk"))</f>
        <v>Moderate Risk</v>
      </c>
      <c r="S1380" s="12" t="str">
        <f>IF(Patient_Data[[#This Row],[Age]]&lt;=18,"Pediatric",IF(Patient_Data[[#This Row],[Age]]&lt;=64,"Adult","Geriatric"))</f>
        <v>Geriatric</v>
      </c>
    </row>
    <row r="1381" spans="1:19" ht="15.75" customHeight="1" x14ac:dyDescent="0.3">
      <c r="A1381" s="4" t="s">
        <v>2788</v>
      </c>
      <c r="B1381" s="5" t="str">
        <f>TEXT(Patient_Data!$E1381,"mmmm")</f>
        <v>April</v>
      </c>
      <c r="C1381" s="6" t="str">
        <f t="shared" si="10"/>
        <v>Apr</v>
      </c>
      <c r="D1381" s="6">
        <f>MONTH(Patient_Data!$E1381)</f>
        <v>4</v>
      </c>
      <c r="E1381" s="7">
        <v>46115</v>
      </c>
      <c r="F1381" s="55" t="str">
        <f>TEXT(Patient_Data[[#This Row],[Admission_Date]],"YYYY")</f>
        <v>2026</v>
      </c>
      <c r="G1381" s="8" t="s">
        <v>2789</v>
      </c>
      <c r="H1381" s="8" t="s">
        <v>34</v>
      </c>
      <c r="I1381" s="4" t="s">
        <v>35</v>
      </c>
      <c r="J1381" s="4">
        <v>18</v>
      </c>
      <c r="K1381" s="4" t="s">
        <v>45</v>
      </c>
      <c r="L1381" s="8">
        <v>1</v>
      </c>
      <c r="M1381" s="9" t="s">
        <v>83</v>
      </c>
      <c r="N1381" s="9" t="str">
        <f t="shared" si="11"/>
        <v>ER</v>
      </c>
      <c r="O1381" s="10">
        <v>5971.55</v>
      </c>
      <c r="P1381" s="10">
        <v>3939.39</v>
      </c>
      <c r="Q1381" s="11">
        <v>14.7</v>
      </c>
      <c r="R1381" s="13" t="str">
        <f>IF(Patient_Data!$L1381&lt;2,"Low Risk",IF(Patient_Data!$L1381&lt;4,"Moderate Risk","High Risk"))</f>
        <v>Low Risk</v>
      </c>
      <c r="S1381" s="12" t="str">
        <f>IF(Patient_Data[[#This Row],[Age]]&lt;=18,"Pediatric",IF(Patient_Data[[#This Row],[Age]]&lt;=64,"Adult","Geriatric"))</f>
        <v>Pediatric</v>
      </c>
    </row>
    <row r="1382" spans="1:19" ht="15.75" customHeight="1" x14ac:dyDescent="0.3">
      <c r="A1382" s="4" t="s">
        <v>2790</v>
      </c>
      <c r="B1382" s="5" t="str">
        <f>TEXT(Patient_Data!$E1382,"mmmm")</f>
        <v>June</v>
      </c>
      <c r="C1382" s="6" t="str">
        <f t="shared" si="10"/>
        <v>Jun</v>
      </c>
      <c r="D1382" s="6">
        <f>MONTH(Patient_Data!$E1382)</f>
        <v>6</v>
      </c>
      <c r="E1382" s="7">
        <v>46191</v>
      </c>
      <c r="F1382" s="55" t="str">
        <f>TEXT(Patient_Data[[#This Row],[Admission_Date]],"YYYY")</f>
        <v>2026</v>
      </c>
      <c r="G1382" s="8" t="s">
        <v>2791</v>
      </c>
      <c r="H1382" s="8" t="s">
        <v>42</v>
      </c>
      <c r="I1382" s="4" t="s">
        <v>35</v>
      </c>
      <c r="J1382" s="4">
        <v>11</v>
      </c>
      <c r="K1382" s="4" t="s">
        <v>30</v>
      </c>
      <c r="L1382" s="8">
        <v>2</v>
      </c>
      <c r="M1382" s="9" t="s">
        <v>79</v>
      </c>
      <c r="N1382" s="9" t="str">
        <f t="shared" si="11"/>
        <v>PD</v>
      </c>
      <c r="O1382" s="10">
        <v>1442.92</v>
      </c>
      <c r="P1382" s="10">
        <v>1005.16</v>
      </c>
      <c r="Q1382" s="11">
        <v>4.8</v>
      </c>
      <c r="R1382" s="13" t="str">
        <f>IF(Patient_Data!$L1382&lt;2,"Low Risk",IF(Patient_Data!$L1382&lt;4,"Moderate Risk","High Risk"))</f>
        <v>Moderate Risk</v>
      </c>
      <c r="S1382" s="12" t="str">
        <f>IF(Patient_Data[[#This Row],[Age]]&lt;=18,"Pediatric",IF(Patient_Data[[#This Row],[Age]]&lt;=64,"Adult","Geriatric"))</f>
        <v>Pediatric</v>
      </c>
    </row>
    <row r="1383" spans="1:19" ht="15.75" customHeight="1" x14ac:dyDescent="0.3">
      <c r="A1383" s="4" t="s">
        <v>2792</v>
      </c>
      <c r="B1383" s="5" t="str">
        <f>TEXT(Patient_Data!$E1383,"mmmm")</f>
        <v>July</v>
      </c>
      <c r="C1383" s="6" t="str">
        <f t="shared" si="10"/>
        <v>Jul</v>
      </c>
      <c r="D1383" s="6">
        <f>MONTH(Patient_Data!$E1383)</f>
        <v>7</v>
      </c>
      <c r="E1383" s="7">
        <v>45475</v>
      </c>
      <c r="F1383" s="55" t="str">
        <f>TEXT(Patient_Data[[#This Row],[Admission_Date]],"YYYY")</f>
        <v>2024</v>
      </c>
      <c r="G1383" s="8" t="s">
        <v>2793</v>
      </c>
      <c r="H1383" s="8" t="s">
        <v>28</v>
      </c>
      <c r="I1383" s="4" t="s">
        <v>35</v>
      </c>
      <c r="J1383" s="4">
        <v>41</v>
      </c>
      <c r="K1383" s="4" t="s">
        <v>30</v>
      </c>
      <c r="L1383" s="8">
        <v>2</v>
      </c>
      <c r="M1383" s="9" t="s">
        <v>83</v>
      </c>
      <c r="N1383" s="9" t="str">
        <f t="shared" si="11"/>
        <v>ER</v>
      </c>
      <c r="O1383" s="10">
        <v>6995.65</v>
      </c>
      <c r="P1383" s="10">
        <v>4980.1499999999996</v>
      </c>
      <c r="Q1383" s="11">
        <v>10.4</v>
      </c>
      <c r="R1383" s="13" t="str">
        <f>IF(Patient_Data!$L1383&lt;2,"Low Risk",IF(Patient_Data!$L1383&lt;4,"Moderate Risk","High Risk"))</f>
        <v>Moderate Risk</v>
      </c>
      <c r="S1383" s="12" t="str">
        <f>IF(Patient_Data[[#This Row],[Age]]&lt;=18,"Pediatric",IF(Patient_Data[[#This Row],[Age]]&lt;=64,"Adult","Geriatric"))</f>
        <v>Adult</v>
      </c>
    </row>
    <row r="1384" spans="1:19" ht="15.75" customHeight="1" x14ac:dyDescent="0.3">
      <c r="A1384" s="4" t="s">
        <v>2794</v>
      </c>
      <c r="B1384" s="5" t="str">
        <f>TEXT(Patient_Data!$E1384,"mmmm")</f>
        <v>August</v>
      </c>
      <c r="C1384" s="6" t="str">
        <f t="shared" si="10"/>
        <v>Aug</v>
      </c>
      <c r="D1384" s="6">
        <f>MONTH(Patient_Data!$E1384)</f>
        <v>8</v>
      </c>
      <c r="E1384" s="7">
        <v>45873</v>
      </c>
      <c r="F1384" s="55" t="str">
        <f>TEXT(Patient_Data[[#This Row],[Admission_Date]],"YYYY")</f>
        <v>2025</v>
      </c>
      <c r="G1384" s="8" t="s">
        <v>2795</v>
      </c>
      <c r="H1384" s="8" t="s">
        <v>42</v>
      </c>
      <c r="I1384" s="4" t="s">
        <v>29</v>
      </c>
      <c r="J1384" s="4">
        <v>68</v>
      </c>
      <c r="K1384" s="4" t="s">
        <v>45</v>
      </c>
      <c r="L1384" s="8">
        <v>4</v>
      </c>
      <c r="M1384" s="9" t="s">
        <v>83</v>
      </c>
      <c r="N1384" s="9" t="str">
        <f t="shared" si="11"/>
        <v>ER</v>
      </c>
      <c r="O1384" s="10">
        <v>14082.4</v>
      </c>
      <c r="P1384" s="10">
        <v>10363.35</v>
      </c>
      <c r="Q1384" s="11">
        <v>10.4</v>
      </c>
      <c r="R1384" s="13" t="str">
        <f>IF(Patient_Data!$L1384&lt;2,"Low Risk",IF(Patient_Data!$L1384&lt;4,"Moderate Risk","High Risk"))</f>
        <v>High Risk</v>
      </c>
      <c r="S1384" s="12" t="str">
        <f>IF(Patient_Data[[#This Row],[Age]]&lt;=18,"Pediatric",IF(Patient_Data[[#This Row],[Age]]&lt;=64,"Adult","Geriatric"))</f>
        <v>Geriatric</v>
      </c>
    </row>
    <row r="1385" spans="1:19" ht="15.75" customHeight="1" x14ac:dyDescent="0.3">
      <c r="A1385" s="4" t="s">
        <v>2796</v>
      </c>
      <c r="B1385" s="5" t="str">
        <f>TEXT(Patient_Data!$E1385,"mmmm")</f>
        <v>October</v>
      </c>
      <c r="C1385" s="6" t="str">
        <f t="shared" si="10"/>
        <v>Oct</v>
      </c>
      <c r="D1385" s="6">
        <f>MONTH(Patient_Data!$E1385)</f>
        <v>10</v>
      </c>
      <c r="E1385" s="7">
        <v>45217</v>
      </c>
      <c r="F1385" s="55" t="str">
        <f>TEXT(Patient_Data[[#This Row],[Admission_Date]],"YYYY")</f>
        <v>2023</v>
      </c>
      <c r="G1385" s="8" t="s">
        <v>2797</v>
      </c>
      <c r="H1385" s="8" t="s">
        <v>75</v>
      </c>
      <c r="I1385" s="4" t="s">
        <v>29</v>
      </c>
      <c r="J1385" s="4">
        <v>72</v>
      </c>
      <c r="K1385" s="4" t="s">
        <v>54</v>
      </c>
      <c r="L1385" s="8">
        <v>4</v>
      </c>
      <c r="M1385" s="9" t="s">
        <v>50</v>
      </c>
      <c r="N1385" s="9" t="str">
        <f t="shared" si="11"/>
        <v>ICU</v>
      </c>
      <c r="O1385" s="10">
        <v>22066.880000000001</v>
      </c>
      <c r="P1385" s="10">
        <v>16873.23</v>
      </c>
      <c r="Q1385" s="11">
        <v>12.8</v>
      </c>
      <c r="R1385" s="13" t="str">
        <f>IF(Patient_Data!$L1385&lt;2,"Low Risk",IF(Patient_Data!$L1385&lt;4,"Moderate Risk","High Risk"))</f>
        <v>High Risk</v>
      </c>
      <c r="S1385" s="12" t="str">
        <f>IF(Patient_Data[[#This Row],[Age]]&lt;=18,"Pediatric",IF(Patient_Data[[#This Row],[Age]]&lt;=64,"Adult","Geriatric"))</f>
        <v>Geriatric</v>
      </c>
    </row>
    <row r="1386" spans="1:19" ht="15.75" customHeight="1" x14ac:dyDescent="0.3">
      <c r="A1386" s="4" t="s">
        <v>2798</v>
      </c>
      <c r="B1386" s="5" t="str">
        <f>TEXT(Patient_Data!$E1386,"mmmm")</f>
        <v>May</v>
      </c>
      <c r="C1386" s="6" t="str">
        <f t="shared" si="10"/>
        <v>May</v>
      </c>
      <c r="D1386" s="6">
        <f>MONTH(Patient_Data!$E1386)</f>
        <v>5</v>
      </c>
      <c r="E1386" s="7">
        <v>46155</v>
      </c>
      <c r="F1386" s="55" t="str">
        <f>TEXT(Patient_Data[[#This Row],[Admission_Date]],"YYYY")</f>
        <v>2026</v>
      </c>
      <c r="G1386" s="8" t="s">
        <v>2799</v>
      </c>
      <c r="H1386" s="8" t="s">
        <v>53</v>
      </c>
      <c r="I1386" s="4" t="s">
        <v>29</v>
      </c>
      <c r="J1386" s="4">
        <v>76</v>
      </c>
      <c r="K1386" s="4" t="s">
        <v>54</v>
      </c>
      <c r="L1386" s="8">
        <v>5</v>
      </c>
      <c r="M1386" s="9" t="s">
        <v>50</v>
      </c>
      <c r="N1386" s="9" t="str">
        <f t="shared" si="11"/>
        <v>ICU</v>
      </c>
      <c r="O1386" s="10">
        <v>24358.29</v>
      </c>
      <c r="P1386" s="10">
        <v>14203.81</v>
      </c>
      <c r="Q1386" s="11">
        <v>9.5</v>
      </c>
      <c r="R1386" s="13" t="str">
        <f>IF(Patient_Data!$L1386&lt;2,"Low Risk",IF(Patient_Data!$L1386&lt;4,"Moderate Risk","High Risk"))</f>
        <v>High Risk</v>
      </c>
      <c r="S1386" s="12" t="str">
        <f>IF(Patient_Data[[#This Row],[Age]]&lt;=18,"Pediatric",IF(Patient_Data[[#This Row],[Age]]&lt;=64,"Adult","Geriatric"))</f>
        <v>Geriatric</v>
      </c>
    </row>
    <row r="1387" spans="1:19" ht="15.75" customHeight="1" x14ac:dyDescent="0.3">
      <c r="A1387" s="4" t="s">
        <v>2800</v>
      </c>
      <c r="B1387" s="5" t="str">
        <f>TEXT(Patient_Data!$E1387,"mmmm")</f>
        <v>February</v>
      </c>
      <c r="C1387" s="6" t="str">
        <f t="shared" si="10"/>
        <v>Feb</v>
      </c>
      <c r="D1387" s="6">
        <f>MONTH(Patient_Data!$E1387)</f>
        <v>2</v>
      </c>
      <c r="E1387" s="7">
        <v>45342</v>
      </c>
      <c r="F1387" s="55" t="str">
        <f>TEXT(Patient_Data[[#This Row],[Admission_Date]],"YYYY")</f>
        <v>2024</v>
      </c>
      <c r="G1387" s="8" t="s">
        <v>2801</v>
      </c>
      <c r="H1387" s="8" t="s">
        <v>82</v>
      </c>
      <c r="I1387" s="4" t="s">
        <v>29</v>
      </c>
      <c r="J1387" s="4">
        <v>17</v>
      </c>
      <c r="K1387" s="4" t="s">
        <v>30</v>
      </c>
      <c r="L1387" s="8">
        <v>1</v>
      </c>
      <c r="M1387" s="9" t="s">
        <v>79</v>
      </c>
      <c r="N1387" s="9" t="str">
        <f t="shared" si="11"/>
        <v>PD</v>
      </c>
      <c r="O1387" s="10">
        <v>821.29</v>
      </c>
      <c r="P1387" s="10">
        <v>517.79</v>
      </c>
      <c r="Q1387" s="11">
        <v>2.1</v>
      </c>
      <c r="R1387" s="13" t="str">
        <f>IF(Patient_Data!$L1387&lt;2,"Low Risk",IF(Patient_Data!$L1387&lt;4,"Moderate Risk","High Risk"))</f>
        <v>Low Risk</v>
      </c>
      <c r="S1387" s="12" t="str">
        <f>IF(Patient_Data[[#This Row],[Age]]&lt;=18,"Pediatric",IF(Patient_Data[[#This Row],[Age]]&lt;=64,"Adult","Geriatric"))</f>
        <v>Pediatric</v>
      </c>
    </row>
    <row r="1388" spans="1:19" ht="15.75" customHeight="1" x14ac:dyDescent="0.3">
      <c r="A1388" s="4" t="s">
        <v>2802</v>
      </c>
      <c r="B1388" s="5" t="str">
        <f>TEXT(Patient_Data!$E1388,"mmmm")</f>
        <v>April</v>
      </c>
      <c r="C1388" s="6" t="str">
        <f t="shared" si="10"/>
        <v>Apr</v>
      </c>
      <c r="D1388" s="6">
        <f>MONTH(Patient_Data!$E1388)</f>
        <v>4</v>
      </c>
      <c r="E1388" s="7">
        <v>45404</v>
      </c>
      <c r="F1388" s="55" t="str">
        <f>TEXT(Patient_Data[[#This Row],[Admission_Date]],"YYYY")</f>
        <v>2024</v>
      </c>
      <c r="G1388" s="8" t="s">
        <v>2803</v>
      </c>
      <c r="H1388" s="8" t="s">
        <v>82</v>
      </c>
      <c r="I1388" s="4" t="s">
        <v>29</v>
      </c>
      <c r="J1388" s="4">
        <v>67</v>
      </c>
      <c r="K1388" s="4" t="s">
        <v>30</v>
      </c>
      <c r="L1388" s="8">
        <v>2</v>
      </c>
      <c r="M1388" s="9" t="s">
        <v>83</v>
      </c>
      <c r="N1388" s="9" t="str">
        <f t="shared" si="11"/>
        <v>ER</v>
      </c>
      <c r="O1388" s="10">
        <v>3592.56</v>
      </c>
      <c r="P1388" s="10">
        <v>2391.2399999999998</v>
      </c>
      <c r="Q1388" s="11">
        <v>11.5</v>
      </c>
      <c r="R1388" s="13" t="str">
        <f>IF(Patient_Data!$L1388&lt;2,"Low Risk",IF(Patient_Data!$L1388&lt;4,"Moderate Risk","High Risk"))</f>
        <v>Moderate Risk</v>
      </c>
      <c r="S1388" s="12" t="str">
        <f>IF(Patient_Data[[#This Row],[Age]]&lt;=18,"Pediatric",IF(Patient_Data[[#This Row],[Age]]&lt;=64,"Adult","Geriatric"))</f>
        <v>Geriatric</v>
      </c>
    </row>
    <row r="1389" spans="1:19" ht="15.75" customHeight="1" x14ac:dyDescent="0.3">
      <c r="A1389" s="4" t="s">
        <v>2804</v>
      </c>
      <c r="B1389" s="5" t="str">
        <f>TEXT(Patient_Data!$E1389,"mmmm")</f>
        <v>June</v>
      </c>
      <c r="C1389" s="6" t="str">
        <f t="shared" si="10"/>
        <v>Jun</v>
      </c>
      <c r="D1389" s="6">
        <f>MONTH(Patient_Data!$E1389)</f>
        <v>6</v>
      </c>
      <c r="E1389" s="7">
        <v>45457</v>
      </c>
      <c r="F1389" s="55" t="str">
        <f>TEXT(Patient_Data[[#This Row],[Admission_Date]],"YYYY")</f>
        <v>2024</v>
      </c>
      <c r="G1389" s="8" t="s">
        <v>2805</v>
      </c>
      <c r="H1389" s="8" t="s">
        <v>98</v>
      </c>
      <c r="I1389" s="4" t="s">
        <v>29</v>
      </c>
      <c r="J1389" s="4">
        <v>79</v>
      </c>
      <c r="K1389" s="4" t="s">
        <v>30</v>
      </c>
      <c r="L1389" s="8">
        <v>3</v>
      </c>
      <c r="M1389" s="9" t="s">
        <v>83</v>
      </c>
      <c r="N1389" s="9" t="str">
        <f t="shared" si="11"/>
        <v>ER</v>
      </c>
      <c r="O1389" s="10">
        <v>8354.5</v>
      </c>
      <c r="P1389" s="10">
        <v>5739.11</v>
      </c>
      <c r="Q1389" s="11">
        <v>17.7</v>
      </c>
      <c r="R1389" s="13" t="str">
        <f>IF(Patient_Data!$L1389&lt;2,"Low Risk",IF(Patient_Data!$L1389&lt;4,"Moderate Risk","High Risk"))</f>
        <v>Moderate Risk</v>
      </c>
      <c r="S1389" s="12" t="str">
        <f>IF(Patient_Data[[#This Row],[Age]]&lt;=18,"Pediatric",IF(Patient_Data[[#This Row],[Age]]&lt;=64,"Adult","Geriatric"))</f>
        <v>Geriatric</v>
      </c>
    </row>
    <row r="1390" spans="1:19" ht="15.75" customHeight="1" x14ac:dyDescent="0.3">
      <c r="A1390" s="4" t="s">
        <v>2806</v>
      </c>
      <c r="B1390" s="5" t="str">
        <f>TEXT(Patient_Data!$E1390,"mmmm")</f>
        <v>August</v>
      </c>
      <c r="C1390" s="6" t="str">
        <f t="shared" si="10"/>
        <v>Aug</v>
      </c>
      <c r="D1390" s="6">
        <f>MONTH(Patient_Data!$E1390)</f>
        <v>8</v>
      </c>
      <c r="E1390" s="7">
        <v>45880</v>
      </c>
      <c r="F1390" s="55" t="str">
        <f>TEXT(Patient_Data[[#This Row],[Admission_Date]],"YYYY")</f>
        <v>2025</v>
      </c>
      <c r="G1390" s="8" t="s">
        <v>2807</v>
      </c>
      <c r="H1390" s="8" t="s">
        <v>28</v>
      </c>
      <c r="I1390" s="4" t="s">
        <v>29</v>
      </c>
      <c r="J1390" s="4">
        <v>92</v>
      </c>
      <c r="K1390" s="4" t="s">
        <v>54</v>
      </c>
      <c r="L1390" s="8">
        <v>3</v>
      </c>
      <c r="M1390" s="9" t="s">
        <v>50</v>
      </c>
      <c r="N1390" s="9" t="str">
        <f t="shared" si="11"/>
        <v>ICU</v>
      </c>
      <c r="O1390" s="10">
        <v>15972.16</v>
      </c>
      <c r="P1390" s="10">
        <v>11267.71</v>
      </c>
      <c r="Q1390" s="11">
        <v>10.9</v>
      </c>
      <c r="R1390" s="13" t="str">
        <f>IF(Patient_Data!$L1390&lt;2,"Low Risk",IF(Patient_Data!$L1390&lt;4,"Moderate Risk","High Risk"))</f>
        <v>Moderate Risk</v>
      </c>
      <c r="S1390" s="12" t="str">
        <f>IF(Patient_Data[[#This Row],[Age]]&lt;=18,"Pediatric",IF(Patient_Data[[#This Row],[Age]]&lt;=64,"Adult","Geriatric"))</f>
        <v>Geriatric</v>
      </c>
    </row>
    <row r="1391" spans="1:19" ht="15.75" customHeight="1" x14ac:dyDescent="0.3">
      <c r="A1391" s="4" t="s">
        <v>2808</v>
      </c>
      <c r="B1391" s="5" t="str">
        <f>TEXT(Patient_Data!$E1391,"mmmm")</f>
        <v>May</v>
      </c>
      <c r="C1391" s="6" t="str">
        <f t="shared" si="10"/>
        <v>May</v>
      </c>
      <c r="D1391" s="6">
        <f>MONTH(Patient_Data!$E1391)</f>
        <v>5</v>
      </c>
      <c r="E1391" s="7">
        <v>45805</v>
      </c>
      <c r="F1391" s="55" t="str">
        <f>TEXT(Patient_Data[[#This Row],[Admission_Date]],"YYYY")</f>
        <v>2025</v>
      </c>
      <c r="G1391" s="8" t="s">
        <v>2809</v>
      </c>
      <c r="H1391" s="8" t="s">
        <v>34</v>
      </c>
      <c r="I1391" s="4" t="s">
        <v>35</v>
      </c>
      <c r="J1391" s="4">
        <v>68</v>
      </c>
      <c r="K1391" s="4" t="s">
        <v>54</v>
      </c>
      <c r="L1391" s="8">
        <v>3</v>
      </c>
      <c r="M1391" s="9" t="s">
        <v>36</v>
      </c>
      <c r="N1391" s="9" t="str">
        <f t="shared" si="11"/>
        <v>Cardio</v>
      </c>
      <c r="O1391" s="10">
        <v>8499.76</v>
      </c>
      <c r="P1391" s="10">
        <v>6257.62</v>
      </c>
      <c r="Q1391" s="11">
        <v>6.6</v>
      </c>
      <c r="R1391" s="13" t="str">
        <f>IF(Patient_Data!$L1391&lt;2,"Low Risk",IF(Patient_Data!$L1391&lt;4,"Moderate Risk","High Risk"))</f>
        <v>Moderate Risk</v>
      </c>
      <c r="S1391" s="12" t="str">
        <f>IF(Patient_Data[[#This Row],[Age]]&lt;=18,"Pediatric",IF(Patient_Data[[#This Row],[Age]]&lt;=64,"Adult","Geriatric"))</f>
        <v>Geriatric</v>
      </c>
    </row>
    <row r="1392" spans="1:19" ht="15.75" customHeight="1" x14ac:dyDescent="0.3">
      <c r="A1392" s="4" t="s">
        <v>2810</v>
      </c>
      <c r="B1392" s="5" t="str">
        <f>TEXT(Patient_Data!$E1392,"mmmm")</f>
        <v>July</v>
      </c>
      <c r="C1392" s="6" t="str">
        <f t="shared" si="10"/>
        <v>Jul</v>
      </c>
      <c r="D1392" s="6">
        <f>MONTH(Patient_Data!$E1392)</f>
        <v>7</v>
      </c>
      <c r="E1392" s="7">
        <v>45869</v>
      </c>
      <c r="F1392" s="55" t="str">
        <f>TEXT(Patient_Data[[#This Row],[Admission_Date]],"YYYY")</f>
        <v>2025</v>
      </c>
      <c r="G1392" s="8" t="s">
        <v>2811</v>
      </c>
      <c r="H1392" s="8" t="s">
        <v>53</v>
      </c>
      <c r="I1392" s="4" t="s">
        <v>29</v>
      </c>
      <c r="J1392" s="4">
        <v>59</v>
      </c>
      <c r="K1392" s="4" t="s">
        <v>54</v>
      </c>
      <c r="L1392" s="8">
        <v>4</v>
      </c>
      <c r="M1392" s="9" t="s">
        <v>72</v>
      </c>
      <c r="N1392" s="9" t="str">
        <f t="shared" si="11"/>
        <v>Surgery</v>
      </c>
      <c r="O1392" s="10">
        <v>20274.060000000001</v>
      </c>
      <c r="P1392" s="10">
        <v>15494.69</v>
      </c>
      <c r="Q1392" s="11">
        <v>10.8</v>
      </c>
      <c r="R1392" s="13" t="str">
        <f>IF(Patient_Data!$L1392&lt;2,"Low Risk",IF(Patient_Data!$L1392&lt;4,"Moderate Risk","High Risk"))</f>
        <v>High Risk</v>
      </c>
      <c r="S1392" s="12" t="str">
        <f>IF(Patient_Data[[#This Row],[Age]]&lt;=18,"Pediatric",IF(Patient_Data[[#This Row],[Age]]&lt;=64,"Adult","Geriatric"))</f>
        <v>Adult</v>
      </c>
    </row>
    <row r="1393" spans="1:19" ht="15.75" customHeight="1" x14ac:dyDescent="0.3">
      <c r="A1393" s="4" t="s">
        <v>2812</v>
      </c>
      <c r="B1393" s="5" t="str">
        <f>TEXT(Patient_Data!$E1393,"mmmm")</f>
        <v>March</v>
      </c>
      <c r="C1393" s="6" t="str">
        <f t="shared" si="10"/>
        <v>Mar</v>
      </c>
      <c r="D1393" s="6">
        <f>MONTH(Patient_Data!$E1393)</f>
        <v>3</v>
      </c>
      <c r="E1393" s="7">
        <v>46099</v>
      </c>
      <c r="F1393" s="55" t="str">
        <f>TEXT(Patient_Data[[#This Row],[Admission_Date]],"YYYY")</f>
        <v>2026</v>
      </c>
      <c r="G1393" s="8" t="s">
        <v>2813</v>
      </c>
      <c r="H1393" s="8" t="s">
        <v>75</v>
      </c>
      <c r="I1393" s="4" t="s">
        <v>29</v>
      </c>
      <c r="J1393" s="4">
        <v>59</v>
      </c>
      <c r="K1393" s="4" t="s">
        <v>30</v>
      </c>
      <c r="L1393" s="8">
        <v>2</v>
      </c>
      <c r="M1393" s="9" t="s">
        <v>46</v>
      </c>
      <c r="N1393" s="9" t="str">
        <f t="shared" si="11"/>
        <v>Ortho</v>
      </c>
      <c r="O1393" s="10">
        <v>5793.69</v>
      </c>
      <c r="P1393" s="10">
        <v>3360.34</v>
      </c>
      <c r="Q1393" s="11"/>
      <c r="R1393" s="13" t="str">
        <f>IF(Patient_Data!$L1393&lt;2,"Low Risk",IF(Patient_Data!$L1393&lt;4,"Moderate Risk","High Risk"))</f>
        <v>Moderate Risk</v>
      </c>
      <c r="S1393" s="12" t="str">
        <f>IF(Patient_Data[[#This Row],[Age]]&lt;=18,"Pediatric",IF(Patient_Data[[#This Row],[Age]]&lt;=64,"Adult","Geriatric"))</f>
        <v>Adult</v>
      </c>
    </row>
    <row r="1394" spans="1:19" ht="15.75" customHeight="1" x14ac:dyDescent="0.3">
      <c r="A1394" s="4" t="s">
        <v>2814</v>
      </c>
      <c r="B1394" s="5" t="str">
        <f>TEXT(Patient_Data!$E1394,"mmmm")</f>
        <v>October</v>
      </c>
      <c r="C1394" s="6" t="str">
        <f t="shared" si="10"/>
        <v>Oct</v>
      </c>
      <c r="D1394" s="6">
        <f>MONTH(Patient_Data!$E1394)</f>
        <v>10</v>
      </c>
      <c r="E1394" s="7">
        <v>45590</v>
      </c>
      <c r="F1394" s="55" t="str">
        <f>TEXT(Patient_Data[[#This Row],[Admission_Date]],"YYYY")</f>
        <v>2024</v>
      </c>
      <c r="G1394" s="8" t="s">
        <v>2815</v>
      </c>
      <c r="H1394" s="8" t="s">
        <v>82</v>
      </c>
      <c r="I1394" s="4" t="s">
        <v>29</v>
      </c>
      <c r="J1394" s="4">
        <v>83</v>
      </c>
      <c r="K1394" s="4" t="s">
        <v>30</v>
      </c>
      <c r="L1394" s="8">
        <v>4</v>
      </c>
      <c r="M1394" s="9" t="s">
        <v>72</v>
      </c>
      <c r="N1394" s="9" t="str">
        <f t="shared" si="11"/>
        <v>Surgery</v>
      </c>
      <c r="O1394" s="10">
        <v>13016.79</v>
      </c>
      <c r="P1394" s="10">
        <v>8008.24</v>
      </c>
      <c r="Q1394" s="11">
        <v>8.5</v>
      </c>
      <c r="R1394" s="13" t="str">
        <f>IF(Patient_Data!$L1394&lt;2,"Low Risk",IF(Patient_Data!$L1394&lt;4,"Moderate Risk","High Risk"))</f>
        <v>High Risk</v>
      </c>
      <c r="S1394" s="12" t="str">
        <f>IF(Patient_Data[[#This Row],[Age]]&lt;=18,"Pediatric",IF(Patient_Data[[#This Row],[Age]]&lt;=64,"Adult","Geriatric"))</f>
        <v>Geriatric</v>
      </c>
    </row>
    <row r="1395" spans="1:19" ht="15.75" customHeight="1" x14ac:dyDescent="0.3">
      <c r="A1395" s="4" t="s">
        <v>2816</v>
      </c>
      <c r="B1395" s="5" t="str">
        <f>TEXT(Patient_Data!$E1395,"mmmm")</f>
        <v>May</v>
      </c>
      <c r="C1395" s="6" t="str">
        <f t="shared" si="10"/>
        <v>May</v>
      </c>
      <c r="D1395" s="6">
        <f>MONTH(Patient_Data!$E1395)</f>
        <v>5</v>
      </c>
      <c r="E1395" s="7">
        <v>46156</v>
      </c>
      <c r="F1395" s="55" t="str">
        <f>TEXT(Patient_Data[[#This Row],[Admission_Date]],"YYYY")</f>
        <v>2026</v>
      </c>
      <c r="G1395" s="8" t="s">
        <v>2817</v>
      </c>
      <c r="H1395" s="8" t="s">
        <v>132</v>
      </c>
      <c r="I1395" s="4" t="s">
        <v>35</v>
      </c>
      <c r="J1395" s="4">
        <v>33</v>
      </c>
      <c r="K1395" s="4" t="s">
        <v>30</v>
      </c>
      <c r="L1395" s="8">
        <v>1</v>
      </c>
      <c r="M1395" s="9" t="s">
        <v>36</v>
      </c>
      <c r="N1395" s="9" t="str">
        <f t="shared" si="11"/>
        <v>Cardio</v>
      </c>
      <c r="O1395" s="10">
        <v>7686.65</v>
      </c>
      <c r="P1395" s="10">
        <v>4995.46</v>
      </c>
      <c r="Q1395" s="11">
        <v>9.5</v>
      </c>
      <c r="R1395" s="13" t="str">
        <f>IF(Patient_Data!$L1395&lt;2,"Low Risk",IF(Patient_Data!$L1395&lt;4,"Moderate Risk","High Risk"))</f>
        <v>Low Risk</v>
      </c>
      <c r="S1395" s="12" t="str">
        <f>IF(Patient_Data[[#This Row],[Age]]&lt;=18,"Pediatric",IF(Patient_Data[[#This Row],[Age]]&lt;=64,"Adult","Geriatric"))</f>
        <v>Adult</v>
      </c>
    </row>
    <row r="1396" spans="1:19" ht="15.75" customHeight="1" x14ac:dyDescent="0.3">
      <c r="A1396" s="4" t="s">
        <v>2818</v>
      </c>
      <c r="B1396" s="5" t="str">
        <f>TEXT(Patient_Data!$E1396,"mmmm")</f>
        <v>August</v>
      </c>
      <c r="C1396" s="6" t="str">
        <f t="shared" si="10"/>
        <v>Aug</v>
      </c>
      <c r="D1396" s="6">
        <f>MONTH(Patient_Data!$E1396)</f>
        <v>8</v>
      </c>
      <c r="E1396" s="7">
        <v>45880</v>
      </c>
      <c r="F1396" s="55" t="str">
        <f>TEXT(Patient_Data[[#This Row],[Admission_Date]],"YYYY")</f>
        <v>2025</v>
      </c>
      <c r="G1396" s="8" t="s">
        <v>2819</v>
      </c>
      <c r="H1396" s="8" t="s">
        <v>82</v>
      </c>
      <c r="I1396" s="4" t="s">
        <v>35</v>
      </c>
      <c r="J1396" s="4">
        <v>39</v>
      </c>
      <c r="K1396" s="4" t="s">
        <v>30</v>
      </c>
      <c r="L1396" s="8">
        <v>1</v>
      </c>
      <c r="M1396" s="9" t="s">
        <v>36</v>
      </c>
      <c r="N1396" s="9" t="str">
        <f t="shared" si="11"/>
        <v>Cardio</v>
      </c>
      <c r="O1396" s="10">
        <v>8280.3700000000008</v>
      </c>
      <c r="P1396" s="10">
        <v>5605.45</v>
      </c>
      <c r="Q1396" s="11">
        <v>7.2</v>
      </c>
      <c r="R1396" s="13" t="str">
        <f>IF(Patient_Data!$L1396&lt;2,"Low Risk",IF(Patient_Data!$L1396&lt;4,"Moderate Risk","High Risk"))</f>
        <v>Low Risk</v>
      </c>
      <c r="S1396" s="12" t="str">
        <f>IF(Patient_Data[[#This Row],[Age]]&lt;=18,"Pediatric",IF(Patient_Data[[#This Row],[Age]]&lt;=64,"Adult","Geriatric"))</f>
        <v>Adult</v>
      </c>
    </row>
    <row r="1397" spans="1:19" ht="15.75" customHeight="1" x14ac:dyDescent="0.3">
      <c r="A1397" s="4" t="s">
        <v>2820</v>
      </c>
      <c r="B1397" s="5" t="str">
        <f>TEXT(Patient_Data!$E1397,"mmmm")</f>
        <v>April</v>
      </c>
      <c r="C1397" s="6" t="str">
        <f t="shared" si="10"/>
        <v>Apr</v>
      </c>
      <c r="D1397" s="6">
        <f>MONTH(Patient_Data!$E1397)</f>
        <v>4</v>
      </c>
      <c r="E1397" s="7">
        <v>46142</v>
      </c>
      <c r="F1397" s="55" t="str">
        <f>TEXT(Patient_Data[[#This Row],[Admission_Date]],"YYYY")</f>
        <v>2026</v>
      </c>
      <c r="G1397" s="8" t="s">
        <v>2821</v>
      </c>
      <c r="H1397" s="8" t="s">
        <v>42</v>
      </c>
      <c r="I1397" s="4" t="s">
        <v>29</v>
      </c>
      <c r="J1397" s="4">
        <v>74</v>
      </c>
      <c r="K1397" s="4" t="s">
        <v>54</v>
      </c>
      <c r="L1397" s="8">
        <v>4</v>
      </c>
      <c r="M1397" s="9" t="s">
        <v>50</v>
      </c>
      <c r="N1397" s="9" t="str">
        <f t="shared" si="11"/>
        <v>ICU</v>
      </c>
      <c r="O1397" s="10">
        <v>17676</v>
      </c>
      <c r="P1397" s="10">
        <v>12437.2</v>
      </c>
      <c r="Q1397" s="11">
        <v>8</v>
      </c>
      <c r="R1397" s="13" t="str">
        <f>IF(Patient_Data!$L1397&lt;2,"Low Risk",IF(Patient_Data!$L1397&lt;4,"Moderate Risk","High Risk"))</f>
        <v>High Risk</v>
      </c>
      <c r="S1397" s="12" t="str">
        <f>IF(Patient_Data[[#This Row],[Age]]&lt;=18,"Pediatric",IF(Patient_Data[[#This Row],[Age]]&lt;=64,"Adult","Geriatric"))</f>
        <v>Geriatric</v>
      </c>
    </row>
    <row r="1398" spans="1:19" ht="15.75" customHeight="1" x14ac:dyDescent="0.3">
      <c r="A1398" s="4" t="s">
        <v>2822</v>
      </c>
      <c r="B1398" s="5" t="str">
        <f>TEXT(Patient_Data!$E1398,"mmmm")</f>
        <v>March</v>
      </c>
      <c r="C1398" s="6" t="str">
        <f t="shared" si="10"/>
        <v>Mar</v>
      </c>
      <c r="D1398" s="6">
        <f>MONTH(Patient_Data!$E1398)</f>
        <v>3</v>
      </c>
      <c r="E1398" s="7">
        <v>45366</v>
      </c>
      <c r="F1398" s="55" t="str">
        <f>TEXT(Patient_Data[[#This Row],[Admission_Date]],"YYYY")</f>
        <v>2024</v>
      </c>
      <c r="G1398" s="8" t="s">
        <v>2823</v>
      </c>
      <c r="H1398" s="8" t="s">
        <v>75</v>
      </c>
      <c r="I1398" s="4" t="s">
        <v>35</v>
      </c>
      <c r="J1398" s="4">
        <v>34</v>
      </c>
      <c r="K1398" s="4" t="s">
        <v>54</v>
      </c>
      <c r="L1398" s="8">
        <v>2</v>
      </c>
      <c r="M1398" s="9" t="s">
        <v>36</v>
      </c>
      <c r="N1398" s="9" t="str">
        <f t="shared" si="11"/>
        <v>Cardio</v>
      </c>
      <c r="O1398" s="10">
        <v>10793.34</v>
      </c>
      <c r="P1398" s="10">
        <v>7931.94</v>
      </c>
      <c r="Q1398" s="11">
        <v>6.6</v>
      </c>
      <c r="R1398" s="13" t="str">
        <f>IF(Patient_Data!$L1398&lt;2,"Low Risk",IF(Patient_Data!$L1398&lt;4,"Moderate Risk","High Risk"))</f>
        <v>Moderate Risk</v>
      </c>
      <c r="S1398" s="12" t="str">
        <f>IF(Patient_Data[[#This Row],[Age]]&lt;=18,"Pediatric",IF(Patient_Data[[#This Row],[Age]]&lt;=64,"Adult","Geriatric"))</f>
        <v>Adult</v>
      </c>
    </row>
    <row r="1399" spans="1:19" ht="15.75" customHeight="1" x14ac:dyDescent="0.3">
      <c r="A1399" s="4" t="s">
        <v>2824</v>
      </c>
      <c r="B1399" s="5" t="str">
        <f>TEXT(Patient_Data!$E1399,"mmmm")</f>
        <v>February</v>
      </c>
      <c r="C1399" s="6" t="str">
        <f t="shared" si="10"/>
        <v>Feb</v>
      </c>
      <c r="D1399" s="6">
        <f>MONTH(Patient_Data!$E1399)</f>
        <v>2</v>
      </c>
      <c r="E1399" s="7">
        <v>46064</v>
      </c>
      <c r="F1399" s="55" t="str">
        <f>TEXT(Patient_Data[[#This Row],[Admission_Date]],"YYYY")</f>
        <v>2026</v>
      </c>
      <c r="G1399" s="8" t="s">
        <v>2825</v>
      </c>
      <c r="H1399" s="8" t="s">
        <v>49</v>
      </c>
      <c r="I1399" s="4" t="s">
        <v>35</v>
      </c>
      <c r="J1399" s="4">
        <v>60</v>
      </c>
      <c r="K1399" s="4" t="s">
        <v>54</v>
      </c>
      <c r="L1399" s="8">
        <v>4</v>
      </c>
      <c r="M1399" s="9" t="s">
        <v>50</v>
      </c>
      <c r="N1399" s="9" t="str">
        <f t="shared" si="11"/>
        <v>ICU</v>
      </c>
      <c r="O1399" s="10">
        <v>21912.39</v>
      </c>
      <c r="P1399" s="10">
        <v>16719.82</v>
      </c>
      <c r="Q1399" s="11">
        <v>8.3000000000000007</v>
      </c>
      <c r="R1399" s="13" t="str">
        <f>IF(Patient_Data!$L1399&lt;2,"Low Risk",IF(Patient_Data!$L1399&lt;4,"Moderate Risk","High Risk"))</f>
        <v>High Risk</v>
      </c>
      <c r="S1399" s="12" t="str">
        <f>IF(Patient_Data[[#This Row],[Age]]&lt;=18,"Pediatric",IF(Patient_Data[[#This Row],[Age]]&lt;=64,"Adult","Geriatric"))</f>
        <v>Adult</v>
      </c>
    </row>
    <row r="1400" spans="1:19" ht="15.75" customHeight="1" x14ac:dyDescent="0.3">
      <c r="A1400" s="4" t="s">
        <v>2826</v>
      </c>
      <c r="B1400" s="5" t="str">
        <f>TEXT(Patient_Data!$E1400,"mmmm")</f>
        <v>March</v>
      </c>
      <c r="C1400" s="6" t="str">
        <f t="shared" si="10"/>
        <v>Mar</v>
      </c>
      <c r="D1400" s="6">
        <f>MONTH(Patient_Data!$E1400)</f>
        <v>3</v>
      </c>
      <c r="E1400" s="7">
        <v>46093</v>
      </c>
      <c r="F1400" s="55" t="str">
        <f>TEXT(Patient_Data[[#This Row],[Admission_Date]],"YYYY")</f>
        <v>2026</v>
      </c>
      <c r="G1400" s="8" t="s">
        <v>2827</v>
      </c>
      <c r="H1400" s="8" t="s">
        <v>53</v>
      </c>
      <c r="I1400" s="4" t="s">
        <v>35</v>
      </c>
      <c r="J1400" s="4">
        <v>84</v>
      </c>
      <c r="K1400" s="4" t="s">
        <v>54</v>
      </c>
      <c r="L1400" s="8">
        <v>4</v>
      </c>
      <c r="M1400" s="9" t="s">
        <v>72</v>
      </c>
      <c r="N1400" s="9" t="str">
        <f t="shared" si="11"/>
        <v>Surgery</v>
      </c>
      <c r="O1400" s="10">
        <v>19491.97</v>
      </c>
      <c r="P1400" s="10">
        <v>11376.54</v>
      </c>
      <c r="Q1400" s="11">
        <v>8.9</v>
      </c>
      <c r="R1400" s="13" t="str">
        <f>IF(Patient_Data!$L1400&lt;2,"Low Risk",IF(Patient_Data!$L1400&lt;4,"Moderate Risk","High Risk"))</f>
        <v>High Risk</v>
      </c>
      <c r="S1400" s="12" t="str">
        <f>IF(Patient_Data[[#This Row],[Age]]&lt;=18,"Pediatric",IF(Patient_Data[[#This Row],[Age]]&lt;=64,"Adult","Geriatric"))</f>
        <v>Geriatric</v>
      </c>
    </row>
    <row r="1401" spans="1:19" ht="15.75" customHeight="1" x14ac:dyDescent="0.3">
      <c r="A1401" s="4" t="s">
        <v>2828</v>
      </c>
      <c r="B1401" s="5" t="str">
        <f>TEXT(Patient_Data!$E1401,"mmmm")</f>
        <v>June</v>
      </c>
      <c r="C1401" s="6" t="str">
        <f t="shared" si="10"/>
        <v>Jun</v>
      </c>
      <c r="D1401" s="6">
        <f>MONTH(Patient_Data!$E1401)</f>
        <v>6</v>
      </c>
      <c r="E1401" s="7">
        <v>45820</v>
      </c>
      <c r="F1401" s="55" t="str">
        <f>TEXT(Patient_Data[[#This Row],[Admission_Date]],"YYYY")</f>
        <v>2025</v>
      </c>
      <c r="G1401" s="8" t="s">
        <v>2829</v>
      </c>
      <c r="H1401" s="8" t="s">
        <v>28</v>
      </c>
      <c r="I1401" s="4" t="s">
        <v>35</v>
      </c>
      <c r="J1401" s="4">
        <v>50</v>
      </c>
      <c r="K1401" s="4" t="s">
        <v>30</v>
      </c>
      <c r="L1401" s="8">
        <v>2</v>
      </c>
      <c r="M1401" s="9" t="s">
        <v>31</v>
      </c>
      <c r="N1401" s="9" t="str">
        <f t="shared" si="11"/>
        <v>Neuro</v>
      </c>
      <c r="O1401" s="10">
        <v>9662.81</v>
      </c>
      <c r="P1401" s="10">
        <v>5950.31</v>
      </c>
      <c r="Q1401" s="11">
        <v>7</v>
      </c>
      <c r="R1401" s="13" t="str">
        <f>IF(Patient_Data!$L1401&lt;2,"Low Risk",IF(Patient_Data!$L1401&lt;4,"Moderate Risk","High Risk"))</f>
        <v>Moderate Risk</v>
      </c>
      <c r="S1401" s="12" t="str">
        <f>IF(Patient_Data[[#This Row],[Age]]&lt;=18,"Pediatric",IF(Patient_Data[[#This Row],[Age]]&lt;=64,"Adult","Geriatric"))</f>
        <v>Adult</v>
      </c>
    </row>
    <row r="1402" spans="1:19" ht="15.75" customHeight="1" x14ac:dyDescent="0.3">
      <c r="A1402" s="4" t="s">
        <v>2830</v>
      </c>
      <c r="B1402" s="5" t="str">
        <f>TEXT(Patient_Data!$E1402,"mmmm")</f>
        <v>April</v>
      </c>
      <c r="C1402" s="6" t="str">
        <f t="shared" si="10"/>
        <v>Apr</v>
      </c>
      <c r="D1402" s="6">
        <f>MONTH(Patient_Data!$E1402)</f>
        <v>4</v>
      </c>
      <c r="E1402" s="7">
        <v>45402</v>
      </c>
      <c r="F1402" s="55" t="str">
        <f>TEXT(Patient_Data[[#This Row],[Admission_Date]],"YYYY")</f>
        <v>2024</v>
      </c>
      <c r="G1402" s="8" t="s">
        <v>2831</v>
      </c>
      <c r="H1402" s="8" t="s">
        <v>132</v>
      </c>
      <c r="I1402" s="4" t="s">
        <v>29</v>
      </c>
      <c r="J1402" s="4">
        <v>45</v>
      </c>
      <c r="K1402" s="4" t="s">
        <v>54</v>
      </c>
      <c r="L1402" s="8">
        <v>4</v>
      </c>
      <c r="M1402" s="9" t="s">
        <v>46</v>
      </c>
      <c r="N1402" s="9" t="str">
        <f t="shared" si="11"/>
        <v>Ortho</v>
      </c>
      <c r="O1402" s="10">
        <v>11453.53</v>
      </c>
      <c r="P1402" s="10">
        <v>7347.06</v>
      </c>
      <c r="Q1402" s="11">
        <v>2.1</v>
      </c>
      <c r="R1402" s="13" t="str">
        <f>IF(Patient_Data!$L1402&lt;2,"Low Risk",IF(Patient_Data!$L1402&lt;4,"Moderate Risk","High Risk"))</f>
        <v>High Risk</v>
      </c>
      <c r="S1402" s="12" t="str">
        <f>IF(Patient_Data[[#This Row],[Age]]&lt;=18,"Pediatric",IF(Patient_Data[[#This Row],[Age]]&lt;=64,"Adult","Geriatric"))</f>
        <v>Adult</v>
      </c>
    </row>
    <row r="1403" spans="1:19" ht="15.75" customHeight="1" x14ac:dyDescent="0.3">
      <c r="A1403" s="4" t="s">
        <v>2832</v>
      </c>
      <c r="B1403" s="5" t="str">
        <f>TEXT(Patient_Data!$E1403,"mmmm")</f>
        <v>July</v>
      </c>
      <c r="C1403" s="6" t="str">
        <f t="shared" si="10"/>
        <v>Jul</v>
      </c>
      <c r="D1403" s="6">
        <f>MONTH(Patient_Data!$E1403)</f>
        <v>7</v>
      </c>
      <c r="E1403" s="7">
        <v>45869</v>
      </c>
      <c r="F1403" s="55" t="str">
        <f>TEXT(Patient_Data[[#This Row],[Admission_Date]],"YYYY")</f>
        <v>2025</v>
      </c>
      <c r="G1403" s="8" t="s">
        <v>2833</v>
      </c>
      <c r="H1403" s="8" t="s">
        <v>82</v>
      </c>
      <c r="I1403" s="4" t="s">
        <v>29</v>
      </c>
      <c r="J1403" s="4">
        <v>57</v>
      </c>
      <c r="K1403" s="4" t="s">
        <v>54</v>
      </c>
      <c r="L1403" s="8">
        <v>4</v>
      </c>
      <c r="M1403" s="9" t="s">
        <v>50</v>
      </c>
      <c r="N1403" s="9" t="str">
        <f t="shared" si="11"/>
        <v>ICU</v>
      </c>
      <c r="O1403" s="10">
        <v>11287.13</v>
      </c>
      <c r="P1403" s="10">
        <v>7652.78</v>
      </c>
      <c r="Q1403" s="11">
        <v>11.3</v>
      </c>
      <c r="R1403" s="13" t="str">
        <f>IF(Patient_Data!$L1403&lt;2,"Low Risk",IF(Patient_Data!$L1403&lt;4,"Moderate Risk","High Risk"))</f>
        <v>High Risk</v>
      </c>
      <c r="S1403" s="12" t="str">
        <f>IF(Patient_Data[[#This Row],[Age]]&lt;=18,"Pediatric",IF(Patient_Data[[#This Row],[Age]]&lt;=64,"Adult","Geriatric"))</f>
        <v>Adult</v>
      </c>
    </row>
    <row r="1404" spans="1:19" ht="15.75" customHeight="1" x14ac:dyDescent="0.3">
      <c r="A1404" s="4" t="s">
        <v>2834</v>
      </c>
      <c r="B1404" s="5" t="str">
        <f>TEXT(Patient_Data!$E1404,"mmmm")</f>
        <v>April</v>
      </c>
      <c r="C1404" s="6" t="str">
        <f t="shared" si="10"/>
        <v>Apr</v>
      </c>
      <c r="D1404" s="6">
        <f>MONTH(Patient_Data!$E1404)</f>
        <v>4</v>
      </c>
      <c r="E1404" s="7">
        <v>45390</v>
      </c>
      <c r="F1404" s="55" t="str">
        <f>TEXT(Patient_Data[[#This Row],[Admission_Date]],"YYYY")</f>
        <v>2024</v>
      </c>
      <c r="G1404" s="8" t="s">
        <v>2835</v>
      </c>
      <c r="H1404" s="8" t="s">
        <v>34</v>
      </c>
      <c r="I1404" s="4" t="s">
        <v>29</v>
      </c>
      <c r="J1404" s="4">
        <v>7</v>
      </c>
      <c r="K1404" s="4" t="s">
        <v>30</v>
      </c>
      <c r="L1404" s="8">
        <v>3</v>
      </c>
      <c r="M1404" s="9" t="s">
        <v>79</v>
      </c>
      <c r="N1404" s="9" t="str">
        <f t="shared" si="11"/>
        <v>PD</v>
      </c>
      <c r="O1404" s="10">
        <v>1850.81</v>
      </c>
      <c r="P1404" s="10">
        <v>1303.57</v>
      </c>
      <c r="Q1404" s="11">
        <v>1</v>
      </c>
      <c r="R1404" s="13" t="str">
        <f>IF(Patient_Data!$L1404&lt;2,"Low Risk",IF(Patient_Data!$L1404&lt;4,"Moderate Risk","High Risk"))</f>
        <v>Moderate Risk</v>
      </c>
      <c r="S1404" s="12" t="str">
        <f>IF(Patient_Data[[#This Row],[Age]]&lt;=18,"Pediatric",IF(Patient_Data[[#This Row],[Age]]&lt;=64,"Adult","Geriatric"))</f>
        <v>Pediatric</v>
      </c>
    </row>
    <row r="1405" spans="1:19" ht="15.75" customHeight="1" x14ac:dyDescent="0.3">
      <c r="A1405" s="4" t="s">
        <v>2836</v>
      </c>
      <c r="B1405" s="5" t="str">
        <f>TEXT(Patient_Data!$E1405,"mmmm")</f>
        <v>July</v>
      </c>
      <c r="C1405" s="6" t="str">
        <f t="shared" si="10"/>
        <v>Jul</v>
      </c>
      <c r="D1405" s="6">
        <f>MONTH(Patient_Data!$E1405)</f>
        <v>7</v>
      </c>
      <c r="E1405" s="7">
        <v>45503</v>
      </c>
      <c r="F1405" s="55" t="str">
        <f>TEXT(Patient_Data[[#This Row],[Admission_Date]],"YYYY")</f>
        <v>2024</v>
      </c>
      <c r="G1405" s="8" t="s">
        <v>2837</v>
      </c>
      <c r="H1405" s="8" t="s">
        <v>42</v>
      </c>
      <c r="I1405" s="4" t="s">
        <v>29</v>
      </c>
      <c r="J1405" s="4">
        <v>41</v>
      </c>
      <c r="K1405" s="4" t="s">
        <v>30</v>
      </c>
      <c r="L1405" s="8">
        <v>1</v>
      </c>
      <c r="M1405" s="9" t="s">
        <v>39</v>
      </c>
      <c r="N1405" s="9" t="str">
        <f t="shared" si="11"/>
        <v>GM</v>
      </c>
      <c r="O1405" s="10">
        <v>4380.55</v>
      </c>
      <c r="P1405" s="10">
        <v>3272.2</v>
      </c>
      <c r="Q1405" s="11">
        <v>9.3000000000000007</v>
      </c>
      <c r="R1405" s="13" t="str">
        <f>IF(Patient_Data!$L1405&lt;2,"Low Risk",IF(Patient_Data!$L1405&lt;4,"Moderate Risk","High Risk"))</f>
        <v>Low Risk</v>
      </c>
      <c r="S1405" s="12" t="str">
        <f>IF(Patient_Data[[#This Row],[Age]]&lt;=18,"Pediatric",IF(Patient_Data[[#This Row],[Age]]&lt;=64,"Adult","Geriatric"))</f>
        <v>Adult</v>
      </c>
    </row>
    <row r="1406" spans="1:19" ht="15.75" customHeight="1" x14ac:dyDescent="0.3">
      <c r="A1406" s="4" t="s">
        <v>2838</v>
      </c>
      <c r="B1406" s="5" t="str">
        <f>TEXT(Patient_Data!$E1406,"mmmm")</f>
        <v>January</v>
      </c>
      <c r="C1406" s="6" t="str">
        <f t="shared" si="10"/>
        <v>Jan</v>
      </c>
      <c r="D1406" s="6">
        <f>MONTH(Patient_Data!$E1406)</f>
        <v>1</v>
      </c>
      <c r="E1406" s="7">
        <v>45666</v>
      </c>
      <c r="F1406" s="55" t="str">
        <f>TEXT(Patient_Data[[#This Row],[Admission_Date]],"YYYY")</f>
        <v>2025</v>
      </c>
      <c r="G1406" s="8" t="s">
        <v>2839</v>
      </c>
      <c r="H1406" s="8" t="s">
        <v>28</v>
      </c>
      <c r="I1406" s="4" t="s">
        <v>35</v>
      </c>
      <c r="J1406" s="4">
        <v>88</v>
      </c>
      <c r="K1406" s="4" t="s">
        <v>30</v>
      </c>
      <c r="L1406" s="8">
        <v>3</v>
      </c>
      <c r="M1406" s="9" t="s">
        <v>72</v>
      </c>
      <c r="N1406" s="9" t="str">
        <f t="shared" si="11"/>
        <v>Surgery</v>
      </c>
      <c r="O1406" s="10">
        <v>15062.19</v>
      </c>
      <c r="P1406" s="10">
        <v>11533.66</v>
      </c>
      <c r="Q1406" s="11">
        <v>10.8</v>
      </c>
      <c r="R1406" s="13" t="str">
        <f>IF(Patient_Data!$L1406&lt;2,"Low Risk",IF(Patient_Data!$L1406&lt;4,"Moderate Risk","High Risk"))</f>
        <v>Moderate Risk</v>
      </c>
      <c r="S1406" s="12" t="str">
        <f>IF(Patient_Data[[#This Row],[Age]]&lt;=18,"Pediatric",IF(Patient_Data[[#This Row],[Age]]&lt;=64,"Adult","Geriatric"))</f>
        <v>Geriatric</v>
      </c>
    </row>
    <row r="1407" spans="1:19" ht="15.75" customHeight="1" x14ac:dyDescent="0.3">
      <c r="A1407" s="4" t="s">
        <v>2840</v>
      </c>
      <c r="B1407" s="5" t="str">
        <f>TEXT(Patient_Data!$E1407,"mmmm")</f>
        <v>July</v>
      </c>
      <c r="C1407" s="6" t="str">
        <f t="shared" si="10"/>
        <v>Jul</v>
      </c>
      <c r="D1407" s="6">
        <f>MONTH(Patient_Data!$E1407)</f>
        <v>7</v>
      </c>
      <c r="E1407" s="7">
        <v>46223</v>
      </c>
      <c r="F1407" s="55" t="str">
        <f>TEXT(Patient_Data[[#This Row],[Admission_Date]],"YYYY")</f>
        <v>2026</v>
      </c>
      <c r="G1407" s="8" t="s">
        <v>2841</v>
      </c>
      <c r="H1407" s="8" t="s">
        <v>82</v>
      </c>
      <c r="I1407" s="4" t="s">
        <v>29</v>
      </c>
      <c r="J1407" s="4">
        <v>13</v>
      </c>
      <c r="K1407" s="4" t="s">
        <v>45</v>
      </c>
      <c r="L1407" s="8">
        <v>3</v>
      </c>
      <c r="M1407" s="9" t="s">
        <v>79</v>
      </c>
      <c r="N1407" s="9" t="str">
        <f t="shared" si="11"/>
        <v>PD</v>
      </c>
      <c r="O1407" s="10">
        <v>1734.93</v>
      </c>
      <c r="P1407" s="10">
        <v>1010.26</v>
      </c>
      <c r="Q1407" s="11">
        <v>0.5</v>
      </c>
      <c r="R1407" s="13" t="str">
        <f>IF(Patient_Data!$L1407&lt;2,"Low Risk",IF(Patient_Data!$L1407&lt;4,"Moderate Risk","High Risk"))</f>
        <v>Moderate Risk</v>
      </c>
      <c r="S1407" s="12" t="str">
        <f>IF(Patient_Data[[#This Row],[Age]]&lt;=18,"Pediatric",IF(Patient_Data[[#This Row],[Age]]&lt;=64,"Adult","Geriatric"))</f>
        <v>Pediatric</v>
      </c>
    </row>
    <row r="1408" spans="1:19" ht="15.75" customHeight="1" x14ac:dyDescent="0.3">
      <c r="A1408" s="4" t="s">
        <v>2842</v>
      </c>
      <c r="B1408" s="5" t="str">
        <f>TEXT(Patient_Data!$E1408,"mmmm")</f>
        <v>August</v>
      </c>
      <c r="C1408" s="6" t="str">
        <f t="shared" si="10"/>
        <v>Aug</v>
      </c>
      <c r="D1408" s="6">
        <f>MONTH(Patient_Data!$E1408)</f>
        <v>8</v>
      </c>
      <c r="E1408" s="7">
        <v>45524</v>
      </c>
      <c r="F1408" s="55" t="str">
        <f>TEXT(Patient_Data[[#This Row],[Admission_Date]],"YYYY")</f>
        <v>2024</v>
      </c>
      <c r="G1408" s="8" t="s">
        <v>2843</v>
      </c>
      <c r="H1408" s="8" t="s">
        <v>28</v>
      </c>
      <c r="I1408" s="4" t="s">
        <v>29</v>
      </c>
      <c r="J1408" s="4">
        <v>27</v>
      </c>
      <c r="K1408" s="4" t="s">
        <v>30</v>
      </c>
      <c r="L1408" s="8">
        <v>1</v>
      </c>
      <c r="M1408" s="9" t="s">
        <v>39</v>
      </c>
      <c r="N1408" s="9" t="str">
        <f t="shared" si="11"/>
        <v>GM</v>
      </c>
      <c r="O1408" s="10">
        <v>1633.59</v>
      </c>
      <c r="P1408" s="10">
        <v>1042.0899999999999</v>
      </c>
      <c r="Q1408" s="11">
        <v>5.7</v>
      </c>
      <c r="R1408" s="13" t="str">
        <f>IF(Patient_Data!$L1408&lt;2,"Low Risk",IF(Patient_Data!$L1408&lt;4,"Moderate Risk","High Risk"))</f>
        <v>Low Risk</v>
      </c>
      <c r="S1408" s="12" t="str">
        <f>IF(Patient_Data[[#This Row],[Age]]&lt;=18,"Pediatric",IF(Patient_Data[[#This Row],[Age]]&lt;=64,"Adult","Geriatric"))</f>
        <v>Adult</v>
      </c>
    </row>
    <row r="1409" spans="1:19" ht="15.75" customHeight="1" x14ac:dyDescent="0.3">
      <c r="A1409" s="4" t="s">
        <v>2844</v>
      </c>
      <c r="B1409" s="5" t="str">
        <f>TEXT(Patient_Data!$E1409,"mmmm")</f>
        <v>September</v>
      </c>
      <c r="C1409" s="6" t="str">
        <f t="shared" si="10"/>
        <v>Sep</v>
      </c>
      <c r="D1409" s="6">
        <f>MONTH(Patient_Data!$E1409)</f>
        <v>9</v>
      </c>
      <c r="E1409" s="7">
        <v>45544</v>
      </c>
      <c r="F1409" s="55" t="str">
        <f>TEXT(Patient_Data[[#This Row],[Admission_Date]],"YYYY")</f>
        <v>2024</v>
      </c>
      <c r="G1409" s="8" t="s">
        <v>2845</v>
      </c>
      <c r="H1409" s="8" t="s">
        <v>28</v>
      </c>
      <c r="I1409" s="4" t="s">
        <v>29</v>
      </c>
      <c r="J1409" s="4">
        <v>78</v>
      </c>
      <c r="K1409" s="4" t="s">
        <v>30</v>
      </c>
      <c r="L1409" s="8">
        <v>1</v>
      </c>
      <c r="M1409" s="9" t="s">
        <v>31</v>
      </c>
      <c r="N1409" s="9" t="str">
        <f t="shared" si="11"/>
        <v>Neuro</v>
      </c>
      <c r="O1409" s="10">
        <v>9980.6</v>
      </c>
      <c r="P1409" s="10">
        <v>6405.18</v>
      </c>
      <c r="Q1409" s="11">
        <v>2.2000000000000002</v>
      </c>
      <c r="R1409" s="13" t="str">
        <f>IF(Patient_Data!$L1409&lt;2,"Low Risk",IF(Patient_Data!$L1409&lt;4,"Moderate Risk","High Risk"))</f>
        <v>Low Risk</v>
      </c>
      <c r="S1409" s="12" t="str">
        <f>IF(Patient_Data[[#This Row],[Age]]&lt;=18,"Pediatric",IF(Patient_Data[[#This Row],[Age]]&lt;=64,"Adult","Geriatric"))</f>
        <v>Geriatric</v>
      </c>
    </row>
    <row r="1410" spans="1:19" ht="15.75" customHeight="1" x14ac:dyDescent="0.3">
      <c r="A1410" s="4" t="s">
        <v>2846</v>
      </c>
      <c r="B1410" s="5" t="str">
        <f>TEXT(Patient_Data!$E1410,"mmmm")</f>
        <v>September</v>
      </c>
      <c r="C1410" s="6" t="str">
        <f t="shared" si="10"/>
        <v>Sep</v>
      </c>
      <c r="D1410" s="6">
        <f>MONTH(Patient_Data!$E1410)</f>
        <v>9</v>
      </c>
      <c r="E1410" s="7">
        <v>45548</v>
      </c>
      <c r="F1410" s="55" t="str">
        <f>TEXT(Patient_Data[[#This Row],[Admission_Date]],"YYYY")</f>
        <v>2024</v>
      </c>
      <c r="G1410" s="8" t="s">
        <v>2847</v>
      </c>
      <c r="H1410" s="8" t="s">
        <v>82</v>
      </c>
      <c r="I1410" s="4" t="s">
        <v>29</v>
      </c>
      <c r="J1410" s="4">
        <v>61</v>
      </c>
      <c r="K1410" s="4" t="s">
        <v>30</v>
      </c>
      <c r="L1410" s="8">
        <v>1</v>
      </c>
      <c r="M1410" s="9" t="s">
        <v>31</v>
      </c>
      <c r="N1410" s="9" t="str">
        <f t="shared" si="11"/>
        <v>Neuro</v>
      </c>
      <c r="O1410" s="10">
        <v>9235.43</v>
      </c>
      <c r="P1410" s="10">
        <v>6270.94</v>
      </c>
      <c r="Q1410" s="11">
        <v>10.4</v>
      </c>
      <c r="R1410" s="13" t="str">
        <f>IF(Patient_Data!$L1410&lt;2,"Low Risk",IF(Patient_Data!$L1410&lt;4,"Moderate Risk","High Risk"))</f>
        <v>Low Risk</v>
      </c>
      <c r="S1410" s="12" t="str">
        <f>IF(Patient_Data[[#This Row],[Age]]&lt;=18,"Pediatric",IF(Patient_Data[[#This Row],[Age]]&lt;=64,"Adult","Geriatric"))</f>
        <v>Adult</v>
      </c>
    </row>
    <row r="1411" spans="1:19" ht="15.75" customHeight="1" x14ac:dyDescent="0.3">
      <c r="A1411" s="4" t="s">
        <v>2848</v>
      </c>
      <c r="B1411" s="5" t="str">
        <f>TEXT(Patient_Data!$E1411,"mmmm")</f>
        <v>January</v>
      </c>
      <c r="C1411" s="6" t="str">
        <f t="shared" si="10"/>
        <v>Jan</v>
      </c>
      <c r="D1411" s="6">
        <f>MONTH(Patient_Data!$E1411)</f>
        <v>1</v>
      </c>
      <c r="E1411" s="7">
        <v>46052</v>
      </c>
      <c r="F1411" s="55" t="str">
        <f>TEXT(Patient_Data[[#This Row],[Admission_Date]],"YYYY")</f>
        <v>2026</v>
      </c>
      <c r="G1411" s="8" t="s">
        <v>2849</v>
      </c>
      <c r="H1411" s="8" t="s">
        <v>28</v>
      </c>
      <c r="I1411" s="4" t="s">
        <v>29</v>
      </c>
      <c r="J1411" s="4">
        <v>20</v>
      </c>
      <c r="K1411" s="4" t="s">
        <v>45</v>
      </c>
      <c r="L1411" s="8">
        <v>4</v>
      </c>
      <c r="M1411" s="9" t="s">
        <v>39</v>
      </c>
      <c r="N1411" s="9" t="str">
        <f t="shared" si="11"/>
        <v>GM</v>
      </c>
      <c r="O1411" s="10">
        <v>3591.67</v>
      </c>
      <c r="P1411" s="10">
        <v>2548.5700000000002</v>
      </c>
      <c r="Q1411" s="11">
        <v>4.3</v>
      </c>
      <c r="R1411" s="13" t="str">
        <f>IF(Patient_Data!$L1411&lt;2,"Low Risk",IF(Patient_Data!$L1411&lt;4,"Moderate Risk","High Risk"))</f>
        <v>High Risk</v>
      </c>
      <c r="S1411" s="12" t="str">
        <f>IF(Patient_Data[[#This Row],[Age]]&lt;=18,"Pediatric",IF(Patient_Data[[#This Row],[Age]]&lt;=64,"Adult","Geriatric"))</f>
        <v>Adult</v>
      </c>
    </row>
    <row r="1412" spans="1:19" ht="15.75" customHeight="1" x14ac:dyDescent="0.3">
      <c r="A1412" s="4" t="s">
        <v>2850</v>
      </c>
      <c r="B1412" s="5" t="str">
        <f>TEXT(Patient_Data!$E1412,"mmmm")</f>
        <v>November</v>
      </c>
      <c r="C1412" s="6" t="str">
        <f t="shared" si="10"/>
        <v>Nov</v>
      </c>
      <c r="D1412" s="6">
        <f>MONTH(Patient_Data!$E1412)</f>
        <v>11</v>
      </c>
      <c r="E1412" s="7">
        <v>45977</v>
      </c>
      <c r="F1412" s="55" t="str">
        <f>TEXT(Patient_Data[[#This Row],[Admission_Date]],"YYYY")</f>
        <v>2025</v>
      </c>
      <c r="G1412" s="8" t="s">
        <v>2851</v>
      </c>
      <c r="H1412" s="8" t="s">
        <v>53</v>
      </c>
      <c r="I1412" s="4" t="s">
        <v>29</v>
      </c>
      <c r="J1412" s="4">
        <v>30</v>
      </c>
      <c r="K1412" s="4" t="s">
        <v>45</v>
      </c>
      <c r="L1412" s="8">
        <v>5</v>
      </c>
      <c r="M1412" s="9" t="s">
        <v>72</v>
      </c>
      <c r="N1412" s="9" t="str">
        <f t="shared" si="11"/>
        <v>Surgery</v>
      </c>
      <c r="O1412" s="10">
        <v>23494.65</v>
      </c>
      <c r="P1412" s="10">
        <v>17219.89</v>
      </c>
      <c r="Q1412" s="11">
        <v>8.6</v>
      </c>
      <c r="R1412" s="13" t="str">
        <f>IF(Patient_Data!$L1412&lt;2,"Low Risk",IF(Patient_Data!$L1412&lt;4,"Moderate Risk","High Risk"))</f>
        <v>High Risk</v>
      </c>
      <c r="S1412" s="12" t="str">
        <f>IF(Patient_Data[[#This Row],[Age]]&lt;=18,"Pediatric",IF(Patient_Data[[#This Row],[Age]]&lt;=64,"Adult","Geriatric"))</f>
        <v>Adult</v>
      </c>
    </row>
    <row r="1413" spans="1:19" ht="15.75" customHeight="1" x14ac:dyDescent="0.3">
      <c r="A1413" s="4" t="s">
        <v>2852</v>
      </c>
      <c r="B1413" s="5" t="str">
        <f>TEXT(Patient_Data!$E1413,"mmmm")</f>
        <v>January</v>
      </c>
      <c r="C1413" s="6" t="str">
        <f t="shared" si="10"/>
        <v>Jan</v>
      </c>
      <c r="D1413" s="6">
        <f>MONTH(Patient_Data!$E1413)</f>
        <v>1</v>
      </c>
      <c r="E1413" s="7">
        <v>45295</v>
      </c>
      <c r="F1413" s="55" t="str">
        <f>TEXT(Patient_Data[[#This Row],[Admission_Date]],"YYYY")</f>
        <v>2024</v>
      </c>
      <c r="G1413" s="8" t="s">
        <v>2853</v>
      </c>
      <c r="H1413" s="8" t="s">
        <v>132</v>
      </c>
      <c r="I1413" s="4" t="s">
        <v>35</v>
      </c>
      <c r="J1413" s="4">
        <v>55</v>
      </c>
      <c r="K1413" s="4" t="s">
        <v>30</v>
      </c>
      <c r="L1413" s="8">
        <v>1</v>
      </c>
      <c r="M1413" s="9" t="s">
        <v>83</v>
      </c>
      <c r="N1413" s="9" t="str">
        <f t="shared" si="11"/>
        <v>ER</v>
      </c>
      <c r="O1413" s="10">
        <v>3159.11</v>
      </c>
      <c r="P1413" s="10">
        <v>2568.92</v>
      </c>
      <c r="Q1413" s="11">
        <v>21</v>
      </c>
      <c r="R1413" s="13" t="str">
        <f>IF(Patient_Data!$L1413&lt;2,"Low Risk",IF(Patient_Data!$L1413&lt;4,"Moderate Risk","High Risk"))</f>
        <v>Low Risk</v>
      </c>
      <c r="S1413" s="12" t="str">
        <f>IF(Patient_Data[[#This Row],[Age]]&lt;=18,"Pediatric",IF(Patient_Data[[#This Row],[Age]]&lt;=64,"Adult","Geriatric"))</f>
        <v>Adult</v>
      </c>
    </row>
    <row r="1414" spans="1:19" ht="15.75" customHeight="1" x14ac:dyDescent="0.3">
      <c r="A1414" s="4" t="s">
        <v>2854</v>
      </c>
      <c r="B1414" s="5" t="str">
        <f>TEXT(Patient_Data!$E1414,"mmmm")</f>
        <v>May</v>
      </c>
      <c r="C1414" s="6" t="str">
        <f t="shared" si="10"/>
        <v>May</v>
      </c>
      <c r="D1414" s="6">
        <f>MONTH(Patient_Data!$E1414)</f>
        <v>5</v>
      </c>
      <c r="E1414" s="7">
        <v>46169</v>
      </c>
      <c r="F1414" s="55" t="str">
        <f>TEXT(Patient_Data[[#This Row],[Admission_Date]],"YYYY")</f>
        <v>2026</v>
      </c>
      <c r="G1414" s="8" t="s">
        <v>2855</v>
      </c>
      <c r="H1414" s="8" t="s">
        <v>82</v>
      </c>
      <c r="I1414" s="4" t="s">
        <v>29</v>
      </c>
      <c r="J1414" s="4">
        <v>5</v>
      </c>
      <c r="K1414" s="4" t="s">
        <v>30</v>
      </c>
      <c r="L1414" s="8">
        <v>1</v>
      </c>
      <c r="M1414" s="9" t="s">
        <v>79</v>
      </c>
      <c r="N1414" s="9" t="str">
        <f t="shared" si="11"/>
        <v>PD</v>
      </c>
      <c r="O1414" s="10">
        <v>1822.68</v>
      </c>
      <c r="P1414" s="10">
        <v>1061.1500000000001</v>
      </c>
      <c r="Q1414" s="11">
        <v>0.5</v>
      </c>
      <c r="R1414" s="13" t="str">
        <f>IF(Patient_Data!$L1414&lt;2,"Low Risk",IF(Patient_Data!$L1414&lt;4,"Moderate Risk","High Risk"))</f>
        <v>Low Risk</v>
      </c>
      <c r="S1414" s="12" t="str">
        <f>IF(Patient_Data[[#This Row],[Age]]&lt;=18,"Pediatric",IF(Patient_Data[[#This Row],[Age]]&lt;=64,"Adult","Geriatric"))</f>
        <v>Pediatric</v>
      </c>
    </row>
    <row r="1415" spans="1:19" ht="15.75" customHeight="1" x14ac:dyDescent="0.3">
      <c r="A1415" s="4" t="s">
        <v>2856</v>
      </c>
      <c r="B1415" s="5" t="str">
        <f>TEXT(Patient_Data!$E1415,"mmmm")</f>
        <v>March</v>
      </c>
      <c r="C1415" s="6" t="str">
        <f t="shared" si="10"/>
        <v>Mar</v>
      </c>
      <c r="D1415" s="6">
        <f>MONTH(Patient_Data!$E1415)</f>
        <v>3</v>
      </c>
      <c r="E1415" s="7">
        <v>46104</v>
      </c>
      <c r="F1415" s="55" t="str">
        <f>TEXT(Patient_Data[[#This Row],[Admission_Date]],"YYYY")</f>
        <v>2026</v>
      </c>
      <c r="G1415" s="8" t="s">
        <v>2857</v>
      </c>
      <c r="H1415" s="8" t="s">
        <v>28</v>
      </c>
      <c r="I1415" s="4" t="s">
        <v>35</v>
      </c>
      <c r="J1415" s="4">
        <v>53</v>
      </c>
      <c r="K1415" s="4" t="s">
        <v>54</v>
      </c>
      <c r="L1415" s="8">
        <v>2</v>
      </c>
      <c r="M1415" s="9" t="s">
        <v>31</v>
      </c>
      <c r="N1415" s="9" t="str">
        <f t="shared" si="11"/>
        <v>Neuro</v>
      </c>
      <c r="O1415" s="10">
        <v>5115.3999999999996</v>
      </c>
      <c r="P1415" s="10">
        <v>3195.59</v>
      </c>
      <c r="Q1415" s="11">
        <v>9.4</v>
      </c>
      <c r="R1415" s="13" t="str">
        <f>IF(Patient_Data!$L1415&lt;2,"Low Risk",IF(Patient_Data!$L1415&lt;4,"Moderate Risk","High Risk"))</f>
        <v>Moderate Risk</v>
      </c>
      <c r="S1415" s="12" t="str">
        <f>IF(Patient_Data[[#This Row],[Age]]&lt;=18,"Pediatric",IF(Patient_Data[[#This Row],[Age]]&lt;=64,"Adult","Geriatric"))</f>
        <v>Adult</v>
      </c>
    </row>
    <row r="1416" spans="1:19" ht="15.75" customHeight="1" x14ac:dyDescent="0.3">
      <c r="A1416" s="4" t="s">
        <v>2858</v>
      </c>
      <c r="B1416" s="5" t="str">
        <f>TEXT(Patient_Data!$E1416,"mmmm")</f>
        <v>August</v>
      </c>
      <c r="C1416" s="6" t="str">
        <f t="shared" si="10"/>
        <v>Aug</v>
      </c>
      <c r="D1416" s="6">
        <f>MONTH(Patient_Data!$E1416)</f>
        <v>8</v>
      </c>
      <c r="E1416" s="7">
        <v>45520</v>
      </c>
      <c r="F1416" s="55" t="str">
        <f>TEXT(Patient_Data[[#This Row],[Admission_Date]],"YYYY")</f>
        <v>2024</v>
      </c>
      <c r="G1416" s="8" t="s">
        <v>2859</v>
      </c>
      <c r="H1416" s="8" t="s">
        <v>42</v>
      </c>
      <c r="I1416" s="4" t="s">
        <v>29</v>
      </c>
      <c r="J1416" s="4">
        <v>67</v>
      </c>
      <c r="K1416" s="4" t="s">
        <v>54</v>
      </c>
      <c r="L1416" s="8">
        <v>4</v>
      </c>
      <c r="M1416" s="9" t="s">
        <v>50</v>
      </c>
      <c r="N1416" s="9" t="str">
        <f t="shared" si="11"/>
        <v>ICU</v>
      </c>
      <c r="O1416" s="10">
        <v>21221.31</v>
      </c>
      <c r="P1416" s="10">
        <v>13722.44</v>
      </c>
      <c r="Q1416" s="11">
        <v>17.600000000000001</v>
      </c>
      <c r="R1416" s="13" t="str">
        <f>IF(Patient_Data!$L1416&lt;2,"Low Risk",IF(Patient_Data!$L1416&lt;4,"Moderate Risk","High Risk"))</f>
        <v>High Risk</v>
      </c>
      <c r="S1416" s="12" t="str">
        <f>IF(Patient_Data[[#This Row],[Age]]&lt;=18,"Pediatric",IF(Patient_Data[[#This Row],[Age]]&lt;=64,"Adult","Geriatric"))</f>
        <v>Geriatric</v>
      </c>
    </row>
    <row r="1417" spans="1:19" ht="15.75" customHeight="1" x14ac:dyDescent="0.3">
      <c r="A1417" s="4" t="s">
        <v>2860</v>
      </c>
      <c r="B1417" s="5" t="str">
        <f>TEXT(Patient_Data!$E1417,"mmmm")</f>
        <v>April</v>
      </c>
      <c r="C1417" s="6" t="str">
        <f t="shared" si="10"/>
        <v>Apr</v>
      </c>
      <c r="D1417" s="6">
        <f>MONTH(Patient_Data!$E1417)</f>
        <v>4</v>
      </c>
      <c r="E1417" s="7">
        <v>45776</v>
      </c>
      <c r="F1417" s="55" t="str">
        <f>TEXT(Patient_Data[[#This Row],[Admission_Date]],"YYYY")</f>
        <v>2025</v>
      </c>
      <c r="G1417" s="8" t="s">
        <v>2861</v>
      </c>
      <c r="H1417" s="8" t="s">
        <v>28</v>
      </c>
      <c r="I1417" s="4" t="s">
        <v>29</v>
      </c>
      <c r="J1417" s="4">
        <v>40</v>
      </c>
      <c r="K1417" s="4" t="s">
        <v>45</v>
      </c>
      <c r="L1417" s="8">
        <v>2</v>
      </c>
      <c r="M1417" s="9" t="s">
        <v>83</v>
      </c>
      <c r="N1417" s="9" t="str">
        <f t="shared" si="11"/>
        <v>ER</v>
      </c>
      <c r="O1417" s="10">
        <v>3824.34</v>
      </c>
      <c r="P1417" s="10">
        <v>2681.51</v>
      </c>
      <c r="Q1417" s="11">
        <v>14.9</v>
      </c>
      <c r="R1417" s="13" t="str">
        <f>IF(Patient_Data!$L1417&lt;2,"Low Risk",IF(Patient_Data!$L1417&lt;4,"Moderate Risk","High Risk"))</f>
        <v>Moderate Risk</v>
      </c>
      <c r="S1417" s="12" t="str">
        <f>IF(Patient_Data[[#This Row],[Age]]&lt;=18,"Pediatric",IF(Patient_Data[[#This Row],[Age]]&lt;=64,"Adult","Geriatric"))</f>
        <v>Adult</v>
      </c>
    </row>
    <row r="1418" spans="1:19" ht="15.75" customHeight="1" x14ac:dyDescent="0.3">
      <c r="A1418" s="4" t="s">
        <v>2862</v>
      </c>
      <c r="B1418" s="5" t="str">
        <f>TEXT(Patient_Data!$E1418,"mmmm")</f>
        <v>May</v>
      </c>
      <c r="C1418" s="6" t="str">
        <f t="shared" si="10"/>
        <v>May</v>
      </c>
      <c r="D1418" s="6">
        <f>MONTH(Patient_Data!$E1418)</f>
        <v>5</v>
      </c>
      <c r="E1418" s="7">
        <v>45808</v>
      </c>
      <c r="F1418" s="55" t="str">
        <f>TEXT(Patient_Data[[#This Row],[Admission_Date]],"YYYY")</f>
        <v>2025</v>
      </c>
      <c r="G1418" s="8" t="s">
        <v>2863</v>
      </c>
      <c r="H1418" s="8" t="s">
        <v>82</v>
      </c>
      <c r="I1418" s="4" t="s">
        <v>29</v>
      </c>
      <c r="J1418" s="4">
        <v>74</v>
      </c>
      <c r="K1418" s="4" t="s">
        <v>30</v>
      </c>
      <c r="L1418" s="8">
        <v>2</v>
      </c>
      <c r="M1418" s="9" t="s">
        <v>31</v>
      </c>
      <c r="N1418" s="9" t="str">
        <f t="shared" si="11"/>
        <v>Neuro</v>
      </c>
      <c r="O1418" s="10">
        <v>7225.74</v>
      </c>
      <c r="P1418" s="10">
        <v>5134.82</v>
      </c>
      <c r="Q1418" s="11">
        <v>9.6</v>
      </c>
      <c r="R1418" s="13" t="str">
        <f>IF(Patient_Data!$L1418&lt;2,"Low Risk",IF(Patient_Data!$L1418&lt;4,"Moderate Risk","High Risk"))</f>
        <v>Moderate Risk</v>
      </c>
      <c r="S1418" s="12" t="str">
        <f>IF(Patient_Data[[#This Row],[Age]]&lt;=18,"Pediatric",IF(Patient_Data[[#This Row],[Age]]&lt;=64,"Adult","Geriatric"))</f>
        <v>Geriatric</v>
      </c>
    </row>
    <row r="1419" spans="1:19" ht="15.75" customHeight="1" x14ac:dyDescent="0.3">
      <c r="A1419" s="4" t="s">
        <v>2864</v>
      </c>
      <c r="B1419" s="5" t="str">
        <f>TEXT(Patient_Data!$E1419,"mmmm")</f>
        <v>May</v>
      </c>
      <c r="C1419" s="6" t="str">
        <f t="shared" si="10"/>
        <v>May</v>
      </c>
      <c r="D1419" s="6">
        <f>MONTH(Patient_Data!$E1419)</f>
        <v>5</v>
      </c>
      <c r="E1419" s="7">
        <v>45792</v>
      </c>
      <c r="F1419" s="55" t="str">
        <f>TEXT(Patient_Data[[#This Row],[Admission_Date]],"YYYY")</f>
        <v>2025</v>
      </c>
      <c r="G1419" s="8" t="s">
        <v>2865</v>
      </c>
      <c r="H1419" s="8" t="s">
        <v>34</v>
      </c>
      <c r="I1419" s="4" t="s">
        <v>35</v>
      </c>
      <c r="J1419" s="4">
        <v>69</v>
      </c>
      <c r="K1419" s="4" t="s">
        <v>30</v>
      </c>
      <c r="L1419" s="8">
        <v>3</v>
      </c>
      <c r="M1419" s="9" t="s">
        <v>46</v>
      </c>
      <c r="N1419" s="9" t="str">
        <f t="shared" si="11"/>
        <v>Ortho</v>
      </c>
      <c r="O1419" s="10">
        <v>10916.65</v>
      </c>
      <c r="P1419" s="10">
        <v>8029.95</v>
      </c>
      <c r="Q1419" s="11">
        <v>7.6</v>
      </c>
      <c r="R1419" s="13" t="str">
        <f>IF(Patient_Data!$L1419&lt;2,"Low Risk",IF(Patient_Data!$L1419&lt;4,"Moderate Risk","High Risk"))</f>
        <v>Moderate Risk</v>
      </c>
      <c r="S1419" s="12" t="str">
        <f>IF(Patient_Data[[#This Row],[Age]]&lt;=18,"Pediatric",IF(Patient_Data[[#This Row],[Age]]&lt;=64,"Adult","Geriatric"))</f>
        <v>Geriatric</v>
      </c>
    </row>
    <row r="1420" spans="1:19" ht="15.75" customHeight="1" x14ac:dyDescent="0.3">
      <c r="A1420" s="4" t="s">
        <v>2866</v>
      </c>
      <c r="B1420" s="5" t="str">
        <f>TEXT(Patient_Data!$E1420,"mmmm")</f>
        <v>April</v>
      </c>
      <c r="C1420" s="6" t="str">
        <f t="shared" si="10"/>
        <v>Apr</v>
      </c>
      <c r="D1420" s="6">
        <f>MONTH(Patient_Data!$E1420)</f>
        <v>4</v>
      </c>
      <c r="E1420" s="7">
        <v>45406</v>
      </c>
      <c r="F1420" s="55" t="str">
        <f>TEXT(Patient_Data[[#This Row],[Admission_Date]],"YYYY")</f>
        <v>2024</v>
      </c>
      <c r="G1420" s="8" t="s">
        <v>2867</v>
      </c>
      <c r="H1420" s="8" t="s">
        <v>82</v>
      </c>
      <c r="I1420" s="4" t="s">
        <v>35</v>
      </c>
      <c r="J1420" s="4">
        <v>67</v>
      </c>
      <c r="K1420" s="4" t="s">
        <v>54</v>
      </c>
      <c r="L1420" s="8">
        <v>5</v>
      </c>
      <c r="M1420" s="9" t="s">
        <v>46</v>
      </c>
      <c r="N1420" s="9" t="str">
        <f t="shared" si="11"/>
        <v>Ortho</v>
      </c>
      <c r="O1420" s="10">
        <v>9509.0400000000009</v>
      </c>
      <c r="P1420" s="10">
        <v>7226.87</v>
      </c>
      <c r="Q1420" s="11"/>
      <c r="R1420" s="13" t="str">
        <f>IF(Patient_Data!$L1420&lt;2,"Low Risk",IF(Patient_Data!$L1420&lt;4,"Moderate Risk","High Risk"))</f>
        <v>High Risk</v>
      </c>
      <c r="S1420" s="12" t="str">
        <f>IF(Patient_Data[[#This Row],[Age]]&lt;=18,"Pediatric",IF(Patient_Data[[#This Row],[Age]]&lt;=64,"Adult","Geriatric"))</f>
        <v>Geriatric</v>
      </c>
    </row>
    <row r="1421" spans="1:19" ht="15.75" customHeight="1" x14ac:dyDescent="0.3">
      <c r="A1421" s="4" t="s">
        <v>2868</v>
      </c>
      <c r="B1421" s="5" t="str">
        <f>TEXT(Patient_Data!$E1421,"mmmm")</f>
        <v>September</v>
      </c>
      <c r="C1421" s="6" t="str">
        <f t="shared" si="10"/>
        <v>Sep</v>
      </c>
      <c r="D1421" s="6">
        <f>MONTH(Patient_Data!$E1421)</f>
        <v>9</v>
      </c>
      <c r="E1421" s="7">
        <v>45541</v>
      </c>
      <c r="F1421" s="55" t="str">
        <f>TEXT(Patient_Data[[#This Row],[Admission_Date]],"YYYY")</f>
        <v>2024</v>
      </c>
      <c r="G1421" s="8" t="s">
        <v>2869</v>
      </c>
      <c r="H1421" s="8" t="s">
        <v>132</v>
      </c>
      <c r="I1421" s="4" t="s">
        <v>29</v>
      </c>
      <c r="J1421" s="4">
        <v>50</v>
      </c>
      <c r="K1421" s="4" t="s">
        <v>30</v>
      </c>
      <c r="L1421" s="8">
        <v>2</v>
      </c>
      <c r="M1421" s="9" t="s">
        <v>36</v>
      </c>
      <c r="N1421" s="9" t="str">
        <f t="shared" si="11"/>
        <v>Cardio</v>
      </c>
      <c r="O1421" s="10">
        <v>10166.74</v>
      </c>
      <c r="P1421" s="10">
        <v>5927.91</v>
      </c>
      <c r="Q1421" s="11">
        <v>3.9</v>
      </c>
      <c r="R1421" s="13" t="str">
        <f>IF(Patient_Data!$L1421&lt;2,"Low Risk",IF(Patient_Data!$L1421&lt;4,"Moderate Risk","High Risk"))</f>
        <v>Moderate Risk</v>
      </c>
      <c r="S1421" s="12" t="str">
        <f>IF(Patient_Data[[#This Row],[Age]]&lt;=18,"Pediatric",IF(Patient_Data[[#This Row],[Age]]&lt;=64,"Adult","Geriatric"))</f>
        <v>Adult</v>
      </c>
    </row>
    <row r="1422" spans="1:19" ht="15.75" customHeight="1" x14ac:dyDescent="0.3">
      <c r="A1422" s="4" t="s">
        <v>2870</v>
      </c>
      <c r="B1422" s="5" t="str">
        <f>TEXT(Patient_Data!$E1422,"mmmm")</f>
        <v>October</v>
      </c>
      <c r="C1422" s="6" t="str">
        <f t="shared" si="10"/>
        <v>Oct</v>
      </c>
      <c r="D1422" s="6">
        <f>MONTH(Patient_Data!$E1422)</f>
        <v>10</v>
      </c>
      <c r="E1422" s="7">
        <v>45931</v>
      </c>
      <c r="F1422" s="55" t="str">
        <f>TEXT(Patient_Data[[#This Row],[Admission_Date]],"YYYY")</f>
        <v>2025</v>
      </c>
      <c r="G1422" s="8" t="s">
        <v>2871</v>
      </c>
      <c r="H1422" s="8" t="s">
        <v>34</v>
      </c>
      <c r="I1422" s="4" t="s">
        <v>29</v>
      </c>
      <c r="J1422" s="4">
        <v>1</v>
      </c>
      <c r="K1422" s="4" t="s">
        <v>45</v>
      </c>
      <c r="L1422" s="8">
        <v>4</v>
      </c>
      <c r="M1422" s="9" t="s">
        <v>79</v>
      </c>
      <c r="N1422" s="9" t="str">
        <f t="shared" si="11"/>
        <v>PD</v>
      </c>
      <c r="O1422" s="10">
        <v>1074.49</v>
      </c>
      <c r="P1422" s="10">
        <v>673.84</v>
      </c>
      <c r="Q1422" s="11">
        <v>2.2999999999999998</v>
      </c>
      <c r="R1422" s="13" t="str">
        <f>IF(Patient_Data!$L1422&lt;2,"Low Risk",IF(Patient_Data!$L1422&lt;4,"Moderate Risk","High Risk"))</f>
        <v>High Risk</v>
      </c>
      <c r="S1422" s="12" t="str">
        <f>IF(Patient_Data[[#This Row],[Age]]&lt;=18,"Pediatric",IF(Patient_Data[[#This Row],[Age]]&lt;=64,"Adult","Geriatric"))</f>
        <v>Pediatric</v>
      </c>
    </row>
    <row r="1423" spans="1:19" ht="15.75" customHeight="1" x14ac:dyDescent="0.3">
      <c r="A1423" s="4" t="s">
        <v>2872</v>
      </c>
      <c r="B1423" s="5" t="str">
        <f>TEXT(Patient_Data!$E1423,"mmmm")</f>
        <v>June</v>
      </c>
      <c r="C1423" s="6" t="str">
        <f t="shared" si="10"/>
        <v>Jun</v>
      </c>
      <c r="D1423" s="6">
        <f>MONTH(Patient_Data!$E1423)</f>
        <v>6</v>
      </c>
      <c r="E1423" s="7">
        <v>45456</v>
      </c>
      <c r="F1423" s="55" t="str">
        <f>TEXT(Patient_Data[[#This Row],[Admission_Date]],"YYYY")</f>
        <v>2024</v>
      </c>
      <c r="G1423" s="8" t="s">
        <v>2873</v>
      </c>
      <c r="H1423" s="8" t="s">
        <v>98</v>
      </c>
      <c r="I1423" s="4" t="s">
        <v>29</v>
      </c>
      <c r="J1423" s="4">
        <v>73</v>
      </c>
      <c r="K1423" s="4" t="s">
        <v>45</v>
      </c>
      <c r="L1423" s="8">
        <v>3</v>
      </c>
      <c r="M1423" s="9" t="s">
        <v>31</v>
      </c>
      <c r="N1423" s="9" t="str">
        <f t="shared" si="11"/>
        <v>Neuro</v>
      </c>
      <c r="O1423" s="10">
        <v>13421.61</v>
      </c>
      <c r="P1423" s="10">
        <v>8659.43</v>
      </c>
      <c r="Q1423" s="11">
        <v>8.6999999999999993</v>
      </c>
      <c r="R1423" s="13" t="str">
        <f>IF(Patient_Data!$L1423&lt;2,"Low Risk",IF(Patient_Data!$L1423&lt;4,"Moderate Risk","High Risk"))</f>
        <v>Moderate Risk</v>
      </c>
      <c r="S1423" s="12" t="str">
        <f>IF(Patient_Data[[#This Row],[Age]]&lt;=18,"Pediatric",IF(Patient_Data[[#This Row],[Age]]&lt;=64,"Adult","Geriatric"))</f>
        <v>Geriatric</v>
      </c>
    </row>
    <row r="1424" spans="1:19" ht="15.75" customHeight="1" x14ac:dyDescent="0.3">
      <c r="A1424" s="4" t="s">
        <v>2874</v>
      </c>
      <c r="B1424" s="5" t="str">
        <f>TEXT(Patient_Data!$E1424,"mmmm")</f>
        <v>July</v>
      </c>
      <c r="C1424" s="6" t="str">
        <f t="shared" si="10"/>
        <v>Jul</v>
      </c>
      <c r="D1424" s="6">
        <f>MONTH(Patient_Data!$E1424)</f>
        <v>7</v>
      </c>
      <c r="E1424" s="7">
        <v>46213</v>
      </c>
      <c r="F1424" s="55" t="str">
        <f>TEXT(Patient_Data[[#This Row],[Admission_Date]],"YYYY")</f>
        <v>2026</v>
      </c>
      <c r="G1424" s="8" t="s">
        <v>2875</v>
      </c>
      <c r="H1424" s="8" t="s">
        <v>53</v>
      </c>
      <c r="I1424" s="4" t="s">
        <v>29</v>
      </c>
      <c r="J1424" s="4">
        <v>85</v>
      </c>
      <c r="K1424" s="4" t="s">
        <v>30</v>
      </c>
      <c r="L1424" s="8">
        <v>1</v>
      </c>
      <c r="M1424" s="9" t="s">
        <v>31</v>
      </c>
      <c r="N1424" s="9" t="str">
        <f t="shared" si="11"/>
        <v>Neuro</v>
      </c>
      <c r="O1424" s="10">
        <v>7904.52</v>
      </c>
      <c r="P1424" s="10">
        <v>5339.23</v>
      </c>
      <c r="Q1424" s="11">
        <v>5.4</v>
      </c>
      <c r="R1424" s="13" t="str">
        <f>IF(Patient_Data!$L1424&lt;2,"Low Risk",IF(Patient_Data!$L1424&lt;4,"Moderate Risk","High Risk"))</f>
        <v>Low Risk</v>
      </c>
      <c r="S1424" s="12" t="str">
        <f>IF(Patient_Data[[#This Row],[Age]]&lt;=18,"Pediatric",IF(Patient_Data[[#This Row],[Age]]&lt;=64,"Adult","Geriatric"))</f>
        <v>Geriatric</v>
      </c>
    </row>
    <row r="1425" spans="1:19" ht="15.75" customHeight="1" x14ac:dyDescent="0.3">
      <c r="A1425" s="4" t="s">
        <v>2876</v>
      </c>
      <c r="B1425" s="5" t="str">
        <f>TEXT(Patient_Data!$E1425,"mmmm")</f>
        <v>June</v>
      </c>
      <c r="C1425" s="6" t="str">
        <f t="shared" si="10"/>
        <v>Jun</v>
      </c>
      <c r="D1425" s="6">
        <f>MONTH(Patient_Data!$E1425)</f>
        <v>6</v>
      </c>
      <c r="E1425" s="7">
        <v>45449</v>
      </c>
      <c r="F1425" s="55" t="str">
        <f>TEXT(Patient_Data[[#This Row],[Admission_Date]],"YYYY")</f>
        <v>2024</v>
      </c>
      <c r="G1425" s="8" t="s">
        <v>2877</v>
      </c>
      <c r="H1425" s="8" t="s">
        <v>53</v>
      </c>
      <c r="I1425" s="4" t="s">
        <v>29</v>
      </c>
      <c r="J1425" s="4">
        <v>91</v>
      </c>
      <c r="K1425" s="4" t="s">
        <v>45</v>
      </c>
      <c r="L1425" s="8">
        <v>3</v>
      </c>
      <c r="M1425" s="9" t="s">
        <v>50</v>
      </c>
      <c r="N1425" s="9" t="str">
        <f t="shared" si="11"/>
        <v>ICU</v>
      </c>
      <c r="O1425" s="10">
        <v>10403.99</v>
      </c>
      <c r="P1425" s="10">
        <v>7394.79</v>
      </c>
      <c r="Q1425" s="11">
        <v>14</v>
      </c>
      <c r="R1425" s="13" t="str">
        <f>IF(Patient_Data!$L1425&lt;2,"Low Risk",IF(Patient_Data!$L1425&lt;4,"Moderate Risk","High Risk"))</f>
        <v>Moderate Risk</v>
      </c>
      <c r="S1425" s="12" t="str">
        <f>IF(Patient_Data[[#This Row],[Age]]&lt;=18,"Pediatric",IF(Patient_Data[[#This Row],[Age]]&lt;=64,"Adult","Geriatric"))</f>
        <v>Geriatric</v>
      </c>
    </row>
    <row r="1426" spans="1:19" ht="15.75" customHeight="1" x14ac:dyDescent="0.3">
      <c r="A1426" s="4" t="s">
        <v>2878</v>
      </c>
      <c r="B1426" s="5" t="str">
        <f>TEXT(Patient_Data!$E1426,"mmmm")</f>
        <v>October</v>
      </c>
      <c r="C1426" s="6" t="str">
        <f t="shared" si="10"/>
        <v>Oct</v>
      </c>
      <c r="D1426" s="6">
        <f>MONTH(Patient_Data!$E1426)</f>
        <v>10</v>
      </c>
      <c r="E1426" s="7">
        <v>45952</v>
      </c>
      <c r="F1426" s="55" t="str">
        <f>TEXT(Patient_Data[[#This Row],[Admission_Date]],"YYYY")</f>
        <v>2025</v>
      </c>
      <c r="G1426" s="8" t="s">
        <v>2879</v>
      </c>
      <c r="H1426" s="8" t="s">
        <v>49</v>
      </c>
      <c r="I1426" s="4" t="s">
        <v>35</v>
      </c>
      <c r="J1426" s="4">
        <v>25</v>
      </c>
      <c r="K1426" s="4" t="s">
        <v>30</v>
      </c>
      <c r="L1426" s="8">
        <v>1</v>
      </c>
      <c r="M1426" s="9" t="s">
        <v>83</v>
      </c>
      <c r="N1426" s="9" t="str">
        <f t="shared" si="11"/>
        <v>ER</v>
      </c>
      <c r="O1426" s="10">
        <v>6275.27</v>
      </c>
      <c r="P1426" s="10">
        <v>4708.95</v>
      </c>
      <c r="Q1426" s="11">
        <v>16</v>
      </c>
      <c r="R1426" s="13" t="str">
        <f>IF(Patient_Data!$L1426&lt;2,"Low Risk",IF(Patient_Data!$L1426&lt;4,"Moderate Risk","High Risk"))</f>
        <v>Low Risk</v>
      </c>
      <c r="S1426" s="12" t="str">
        <f>IF(Patient_Data[[#This Row],[Age]]&lt;=18,"Pediatric",IF(Patient_Data[[#This Row],[Age]]&lt;=64,"Adult","Geriatric"))</f>
        <v>Adult</v>
      </c>
    </row>
    <row r="1427" spans="1:19" ht="15.75" customHeight="1" x14ac:dyDescent="0.3">
      <c r="A1427" s="4" t="s">
        <v>2880</v>
      </c>
      <c r="B1427" s="5" t="str">
        <f>TEXT(Patient_Data!$E1427,"mmmm")</f>
        <v>May</v>
      </c>
      <c r="C1427" s="6" t="str">
        <f t="shared" si="10"/>
        <v>May</v>
      </c>
      <c r="D1427" s="6">
        <f>MONTH(Patient_Data!$E1427)</f>
        <v>5</v>
      </c>
      <c r="E1427" s="7">
        <v>46169</v>
      </c>
      <c r="F1427" s="55" t="str">
        <f>TEXT(Patient_Data[[#This Row],[Admission_Date]],"YYYY")</f>
        <v>2026</v>
      </c>
      <c r="G1427" s="8" t="s">
        <v>2881</v>
      </c>
      <c r="H1427" s="8" t="s">
        <v>53</v>
      </c>
      <c r="I1427" s="4" t="s">
        <v>29</v>
      </c>
      <c r="J1427" s="4">
        <v>63</v>
      </c>
      <c r="K1427" s="4" t="s">
        <v>45</v>
      </c>
      <c r="L1427" s="8">
        <v>4</v>
      </c>
      <c r="M1427" s="9" t="s">
        <v>50</v>
      </c>
      <c r="N1427" s="9" t="str">
        <f t="shared" si="11"/>
        <v>ICU</v>
      </c>
      <c r="O1427" s="10">
        <v>12965.78</v>
      </c>
      <c r="P1427" s="10">
        <v>9997.99</v>
      </c>
      <c r="Q1427" s="11">
        <v>18</v>
      </c>
      <c r="R1427" s="13" t="str">
        <f>IF(Patient_Data!$L1427&lt;2,"Low Risk",IF(Patient_Data!$L1427&lt;4,"Moderate Risk","High Risk"))</f>
        <v>High Risk</v>
      </c>
      <c r="S1427" s="12" t="str">
        <f>IF(Patient_Data[[#This Row],[Age]]&lt;=18,"Pediatric",IF(Patient_Data[[#This Row],[Age]]&lt;=64,"Adult","Geriatric"))</f>
        <v>Adult</v>
      </c>
    </row>
    <row r="1428" spans="1:19" ht="15.75" customHeight="1" x14ac:dyDescent="0.3">
      <c r="A1428" s="4" t="s">
        <v>2882</v>
      </c>
      <c r="B1428" s="5" t="str">
        <f>TEXT(Patient_Data!$E1428,"mmmm")</f>
        <v>April</v>
      </c>
      <c r="C1428" s="6" t="str">
        <f t="shared" si="10"/>
        <v>Apr</v>
      </c>
      <c r="D1428" s="6">
        <f>MONTH(Patient_Data!$E1428)</f>
        <v>4</v>
      </c>
      <c r="E1428" s="7">
        <v>45758</v>
      </c>
      <c r="F1428" s="55" t="str">
        <f>TEXT(Patient_Data[[#This Row],[Admission_Date]],"YYYY")</f>
        <v>2025</v>
      </c>
      <c r="G1428" s="8" t="s">
        <v>2883</v>
      </c>
      <c r="H1428" s="8" t="s">
        <v>28</v>
      </c>
      <c r="I1428" s="4" t="s">
        <v>35</v>
      </c>
      <c r="J1428" s="4">
        <v>79</v>
      </c>
      <c r="K1428" s="4" t="s">
        <v>45</v>
      </c>
      <c r="L1428" s="8">
        <v>5</v>
      </c>
      <c r="M1428" s="9" t="s">
        <v>72</v>
      </c>
      <c r="N1428" s="9" t="str">
        <f t="shared" si="11"/>
        <v>Surgery</v>
      </c>
      <c r="O1428" s="10">
        <v>13684.14</v>
      </c>
      <c r="P1428" s="10">
        <v>8031.2</v>
      </c>
      <c r="Q1428" s="11">
        <v>11.8</v>
      </c>
      <c r="R1428" s="13" t="str">
        <f>IF(Patient_Data!$L1428&lt;2,"Low Risk",IF(Patient_Data!$L1428&lt;4,"Moderate Risk","High Risk"))</f>
        <v>High Risk</v>
      </c>
      <c r="S1428" s="12" t="str">
        <f>IF(Patient_Data[[#This Row],[Age]]&lt;=18,"Pediatric",IF(Patient_Data[[#This Row],[Age]]&lt;=64,"Adult","Geriatric"))</f>
        <v>Geriatric</v>
      </c>
    </row>
    <row r="1429" spans="1:19" ht="15.75" customHeight="1" x14ac:dyDescent="0.3">
      <c r="A1429" s="4" t="s">
        <v>2884</v>
      </c>
      <c r="B1429" s="5" t="str">
        <f>TEXT(Patient_Data!$E1429,"mmmm")</f>
        <v>June</v>
      </c>
      <c r="C1429" s="6" t="str">
        <f t="shared" si="10"/>
        <v>Jun</v>
      </c>
      <c r="D1429" s="6">
        <f>MONTH(Patient_Data!$E1429)</f>
        <v>6</v>
      </c>
      <c r="E1429" s="7">
        <v>45454</v>
      </c>
      <c r="F1429" s="55" t="str">
        <f>TEXT(Patient_Data[[#This Row],[Admission_Date]],"YYYY")</f>
        <v>2024</v>
      </c>
      <c r="G1429" s="8" t="s">
        <v>2885</v>
      </c>
      <c r="H1429" s="8" t="s">
        <v>34</v>
      </c>
      <c r="I1429" s="4" t="s">
        <v>29</v>
      </c>
      <c r="J1429" s="4">
        <v>72</v>
      </c>
      <c r="K1429" s="4" t="s">
        <v>54</v>
      </c>
      <c r="L1429" s="8">
        <v>4</v>
      </c>
      <c r="M1429" s="9" t="s">
        <v>39</v>
      </c>
      <c r="N1429" s="9" t="str">
        <f t="shared" si="11"/>
        <v>GM</v>
      </c>
      <c r="O1429" s="10">
        <v>1896.06</v>
      </c>
      <c r="P1429" s="10">
        <v>1192.5999999999999</v>
      </c>
      <c r="Q1429" s="11">
        <v>4.5</v>
      </c>
      <c r="R1429" s="13" t="str">
        <f>IF(Patient_Data!$L1429&lt;2,"Low Risk",IF(Patient_Data!$L1429&lt;4,"Moderate Risk","High Risk"))</f>
        <v>High Risk</v>
      </c>
      <c r="S1429" s="12" t="str">
        <f>IF(Patient_Data[[#This Row],[Age]]&lt;=18,"Pediatric",IF(Patient_Data[[#This Row],[Age]]&lt;=64,"Adult","Geriatric"))</f>
        <v>Geriatric</v>
      </c>
    </row>
    <row r="1430" spans="1:19" ht="15.75" customHeight="1" x14ac:dyDescent="0.3">
      <c r="A1430" s="4" t="s">
        <v>2886</v>
      </c>
      <c r="B1430" s="5" t="str">
        <f>TEXT(Patient_Data!$E1430,"mmmm")</f>
        <v>March</v>
      </c>
      <c r="C1430" s="6" t="str">
        <f t="shared" si="10"/>
        <v>Mar</v>
      </c>
      <c r="D1430" s="6">
        <f>MONTH(Patient_Data!$E1430)</f>
        <v>3</v>
      </c>
      <c r="E1430" s="7">
        <v>46090</v>
      </c>
      <c r="F1430" s="55" t="str">
        <f>TEXT(Patient_Data[[#This Row],[Admission_Date]],"YYYY")</f>
        <v>2026</v>
      </c>
      <c r="G1430" s="8" t="s">
        <v>2887</v>
      </c>
      <c r="H1430" s="8" t="s">
        <v>82</v>
      </c>
      <c r="I1430" s="4" t="s">
        <v>35</v>
      </c>
      <c r="J1430" s="4">
        <v>61</v>
      </c>
      <c r="K1430" s="4" t="s">
        <v>30</v>
      </c>
      <c r="L1430" s="8">
        <v>3</v>
      </c>
      <c r="M1430" s="9" t="s">
        <v>36</v>
      </c>
      <c r="N1430" s="9" t="str">
        <f t="shared" si="11"/>
        <v>Cardio</v>
      </c>
      <c r="O1430" s="10">
        <v>13243.9</v>
      </c>
      <c r="P1430" s="10">
        <v>8497.7000000000007</v>
      </c>
      <c r="Q1430" s="11">
        <v>2.7</v>
      </c>
      <c r="R1430" s="13" t="str">
        <f>IF(Patient_Data!$L1430&lt;2,"Low Risk",IF(Patient_Data!$L1430&lt;4,"Moderate Risk","High Risk"))</f>
        <v>Moderate Risk</v>
      </c>
      <c r="S1430" s="12" t="str">
        <f>IF(Patient_Data[[#This Row],[Age]]&lt;=18,"Pediatric",IF(Patient_Data[[#This Row],[Age]]&lt;=64,"Adult","Geriatric"))</f>
        <v>Adult</v>
      </c>
    </row>
    <row r="1431" spans="1:19" ht="15.75" customHeight="1" x14ac:dyDescent="0.3">
      <c r="A1431" s="4" t="s">
        <v>2888</v>
      </c>
      <c r="B1431" s="5" t="str">
        <f>TEXT(Patient_Data!$E1431,"mmmm")</f>
        <v>October</v>
      </c>
      <c r="C1431" s="6" t="str">
        <f t="shared" si="10"/>
        <v>Oct</v>
      </c>
      <c r="D1431" s="6">
        <f>MONTH(Patient_Data!$E1431)</f>
        <v>10</v>
      </c>
      <c r="E1431" s="7">
        <v>45566</v>
      </c>
      <c r="F1431" s="55" t="str">
        <f>TEXT(Patient_Data[[#This Row],[Admission_Date]],"YYYY")</f>
        <v>2024</v>
      </c>
      <c r="G1431" s="8" t="s">
        <v>2889</v>
      </c>
      <c r="H1431" s="8" t="s">
        <v>34</v>
      </c>
      <c r="I1431" s="4" t="s">
        <v>29</v>
      </c>
      <c r="J1431" s="4">
        <v>52</v>
      </c>
      <c r="K1431" s="4" t="s">
        <v>54</v>
      </c>
      <c r="L1431" s="8">
        <v>5</v>
      </c>
      <c r="M1431" s="9" t="s">
        <v>72</v>
      </c>
      <c r="N1431" s="9" t="str">
        <f t="shared" si="11"/>
        <v>Surgery</v>
      </c>
      <c r="O1431" s="10">
        <v>15557.37</v>
      </c>
      <c r="P1431" s="10">
        <v>10462.64</v>
      </c>
      <c r="Q1431" s="11">
        <v>4.9000000000000004</v>
      </c>
      <c r="R1431" s="13" t="str">
        <f>IF(Patient_Data!$L1431&lt;2,"Low Risk",IF(Patient_Data!$L1431&lt;4,"Moderate Risk","High Risk"))</f>
        <v>High Risk</v>
      </c>
      <c r="S1431" s="12" t="str">
        <f>IF(Patient_Data[[#This Row],[Age]]&lt;=18,"Pediatric",IF(Patient_Data[[#This Row],[Age]]&lt;=64,"Adult","Geriatric"))</f>
        <v>Adult</v>
      </c>
    </row>
    <row r="1432" spans="1:19" ht="15.75" customHeight="1" x14ac:dyDescent="0.3">
      <c r="A1432" s="4" t="s">
        <v>2890</v>
      </c>
      <c r="B1432" s="5" t="str">
        <f>TEXT(Patient_Data!$E1432,"mmmm")</f>
        <v>October</v>
      </c>
      <c r="C1432" s="6" t="str">
        <f t="shared" si="10"/>
        <v>Oct</v>
      </c>
      <c r="D1432" s="6">
        <f>MONTH(Patient_Data!$E1432)</f>
        <v>10</v>
      </c>
      <c r="E1432" s="7">
        <v>45953</v>
      </c>
      <c r="F1432" s="55" t="str">
        <f>TEXT(Patient_Data[[#This Row],[Admission_Date]],"YYYY")</f>
        <v>2025</v>
      </c>
      <c r="G1432" s="8" t="s">
        <v>2891</v>
      </c>
      <c r="H1432" s="8" t="s">
        <v>82</v>
      </c>
      <c r="I1432" s="4" t="s">
        <v>35</v>
      </c>
      <c r="J1432" s="4">
        <v>30</v>
      </c>
      <c r="K1432" s="4" t="s">
        <v>30</v>
      </c>
      <c r="L1432" s="8">
        <v>4</v>
      </c>
      <c r="M1432" s="9" t="s">
        <v>72</v>
      </c>
      <c r="N1432" s="9" t="str">
        <f t="shared" si="11"/>
        <v>Surgery</v>
      </c>
      <c r="O1432" s="10">
        <v>12642.26</v>
      </c>
      <c r="P1432" s="10">
        <v>8881.58</v>
      </c>
      <c r="Q1432" s="11">
        <v>4</v>
      </c>
      <c r="R1432" s="13" t="str">
        <f>IF(Patient_Data!$L1432&lt;2,"Low Risk",IF(Patient_Data!$L1432&lt;4,"Moderate Risk","High Risk"))</f>
        <v>High Risk</v>
      </c>
      <c r="S1432" s="12" t="str">
        <f>IF(Patient_Data[[#This Row],[Age]]&lt;=18,"Pediatric",IF(Patient_Data[[#This Row],[Age]]&lt;=64,"Adult","Geriatric"))</f>
        <v>Adult</v>
      </c>
    </row>
    <row r="1433" spans="1:19" ht="15.75" customHeight="1" x14ac:dyDescent="0.3">
      <c r="A1433" s="4" t="s">
        <v>2892</v>
      </c>
      <c r="B1433" s="5" t="str">
        <f>TEXT(Patient_Data!$E1433,"mmmm")</f>
        <v>June</v>
      </c>
      <c r="C1433" s="6" t="str">
        <f t="shared" si="10"/>
        <v>Jun</v>
      </c>
      <c r="D1433" s="6">
        <f>MONTH(Patient_Data!$E1433)</f>
        <v>6</v>
      </c>
      <c r="E1433" s="7">
        <v>46202</v>
      </c>
      <c r="F1433" s="55" t="str">
        <f>TEXT(Patient_Data[[#This Row],[Admission_Date]],"YYYY")</f>
        <v>2026</v>
      </c>
      <c r="G1433" s="8" t="s">
        <v>2893</v>
      </c>
      <c r="H1433" s="8" t="s">
        <v>34</v>
      </c>
      <c r="I1433" s="4" t="s">
        <v>29</v>
      </c>
      <c r="J1433" s="4">
        <v>48</v>
      </c>
      <c r="K1433" s="4" t="s">
        <v>30</v>
      </c>
      <c r="L1433" s="8">
        <v>1</v>
      </c>
      <c r="M1433" s="9" t="s">
        <v>36</v>
      </c>
      <c r="N1433" s="9" t="str">
        <f t="shared" si="11"/>
        <v>Cardio</v>
      </c>
      <c r="O1433" s="10">
        <v>7857.22</v>
      </c>
      <c r="P1433" s="10">
        <v>5802.17</v>
      </c>
      <c r="Q1433" s="11">
        <v>8.3000000000000007</v>
      </c>
      <c r="R1433" s="13" t="str">
        <f>IF(Patient_Data!$L1433&lt;2,"Low Risk",IF(Patient_Data!$L1433&lt;4,"Moderate Risk","High Risk"))</f>
        <v>Low Risk</v>
      </c>
      <c r="S1433" s="12" t="str">
        <f>IF(Patient_Data[[#This Row],[Age]]&lt;=18,"Pediatric",IF(Patient_Data[[#This Row],[Age]]&lt;=64,"Adult","Geriatric"))</f>
        <v>Adult</v>
      </c>
    </row>
    <row r="1434" spans="1:19" ht="15.75" customHeight="1" x14ac:dyDescent="0.3">
      <c r="A1434" s="4" t="s">
        <v>2894</v>
      </c>
      <c r="B1434" s="5" t="str">
        <f>TEXT(Patient_Data!$E1434,"mmmm")</f>
        <v>June</v>
      </c>
      <c r="C1434" s="6" t="str">
        <f t="shared" si="10"/>
        <v>Jun</v>
      </c>
      <c r="D1434" s="6">
        <f>MONTH(Patient_Data!$E1434)</f>
        <v>6</v>
      </c>
      <c r="E1434" s="7">
        <v>46174</v>
      </c>
      <c r="F1434" s="55" t="str">
        <f>TEXT(Patient_Data[[#This Row],[Admission_Date]],"YYYY")</f>
        <v>2026</v>
      </c>
      <c r="G1434" s="8" t="s">
        <v>1785</v>
      </c>
      <c r="H1434" s="8" t="s">
        <v>28</v>
      </c>
      <c r="I1434" s="4" t="s">
        <v>29</v>
      </c>
      <c r="J1434" s="4">
        <v>75</v>
      </c>
      <c r="K1434" s="4" t="s">
        <v>45</v>
      </c>
      <c r="L1434" s="8">
        <v>4</v>
      </c>
      <c r="M1434" s="9" t="s">
        <v>39</v>
      </c>
      <c r="N1434" s="9" t="str">
        <f t="shared" si="11"/>
        <v>GM</v>
      </c>
      <c r="O1434" s="10">
        <v>5218.97</v>
      </c>
      <c r="P1434" s="10">
        <v>4023.22</v>
      </c>
      <c r="Q1434" s="11">
        <v>7.1</v>
      </c>
      <c r="R1434" s="13" t="str">
        <f>IF(Patient_Data!$L1434&lt;2,"Low Risk",IF(Patient_Data!$L1434&lt;4,"Moderate Risk","High Risk"))</f>
        <v>High Risk</v>
      </c>
      <c r="S1434" s="12" t="str">
        <f>IF(Patient_Data[[#This Row],[Age]]&lt;=18,"Pediatric",IF(Patient_Data[[#This Row],[Age]]&lt;=64,"Adult","Geriatric"))</f>
        <v>Geriatric</v>
      </c>
    </row>
    <row r="1435" spans="1:19" ht="15.75" customHeight="1" x14ac:dyDescent="0.3">
      <c r="A1435" s="4" t="s">
        <v>2895</v>
      </c>
      <c r="B1435" s="5" t="str">
        <f>TEXT(Patient_Data!$E1435,"mmmm")</f>
        <v>February</v>
      </c>
      <c r="C1435" s="6" t="str">
        <f t="shared" si="10"/>
        <v>Feb</v>
      </c>
      <c r="D1435" s="6">
        <f>MONTH(Patient_Data!$E1435)</f>
        <v>2</v>
      </c>
      <c r="E1435" s="7">
        <v>46076</v>
      </c>
      <c r="F1435" s="55" t="str">
        <f>TEXT(Patient_Data[[#This Row],[Admission_Date]],"YYYY")</f>
        <v>2026</v>
      </c>
      <c r="G1435" s="8" t="s">
        <v>2896</v>
      </c>
      <c r="H1435" s="8" t="s">
        <v>34</v>
      </c>
      <c r="I1435" s="4" t="s">
        <v>29</v>
      </c>
      <c r="J1435" s="4">
        <v>42</v>
      </c>
      <c r="K1435" s="4" t="s">
        <v>30</v>
      </c>
      <c r="L1435" s="8">
        <v>1</v>
      </c>
      <c r="M1435" s="9" t="s">
        <v>36</v>
      </c>
      <c r="N1435" s="9" t="str">
        <f t="shared" si="11"/>
        <v>Cardio</v>
      </c>
      <c r="O1435" s="10">
        <v>9204.01</v>
      </c>
      <c r="P1435" s="10">
        <v>5368.73</v>
      </c>
      <c r="Q1435" s="11">
        <v>3.8</v>
      </c>
      <c r="R1435" s="13" t="str">
        <f>IF(Patient_Data!$L1435&lt;2,"Low Risk",IF(Patient_Data!$L1435&lt;4,"Moderate Risk","High Risk"))</f>
        <v>Low Risk</v>
      </c>
      <c r="S1435" s="12" t="str">
        <f>IF(Patient_Data[[#This Row],[Age]]&lt;=18,"Pediatric",IF(Patient_Data[[#This Row],[Age]]&lt;=64,"Adult","Geriatric"))</f>
        <v>Adult</v>
      </c>
    </row>
    <row r="1436" spans="1:19" ht="15.75" customHeight="1" x14ac:dyDescent="0.3">
      <c r="A1436" s="4" t="s">
        <v>2897</v>
      </c>
      <c r="B1436" s="5" t="str">
        <f>TEXT(Patient_Data!$E1436,"mmmm")</f>
        <v>May</v>
      </c>
      <c r="C1436" s="6" t="str">
        <f t="shared" si="10"/>
        <v>May</v>
      </c>
      <c r="D1436" s="6">
        <f>MONTH(Patient_Data!$E1436)</f>
        <v>5</v>
      </c>
      <c r="E1436" s="7">
        <v>46167</v>
      </c>
      <c r="F1436" s="55" t="str">
        <f>TEXT(Patient_Data[[#This Row],[Admission_Date]],"YYYY")</f>
        <v>2026</v>
      </c>
      <c r="G1436" s="8" t="s">
        <v>2898</v>
      </c>
      <c r="H1436" s="8" t="s">
        <v>28</v>
      </c>
      <c r="I1436" s="4" t="s">
        <v>35</v>
      </c>
      <c r="J1436" s="4">
        <v>77</v>
      </c>
      <c r="K1436" s="4" t="s">
        <v>54</v>
      </c>
      <c r="L1436" s="8">
        <v>3</v>
      </c>
      <c r="M1436" s="9" t="s">
        <v>39</v>
      </c>
      <c r="N1436" s="9" t="str">
        <f t="shared" si="11"/>
        <v>GM</v>
      </c>
      <c r="O1436" s="10">
        <v>4541.01</v>
      </c>
      <c r="P1436" s="10">
        <v>2822.02</v>
      </c>
      <c r="Q1436" s="11">
        <v>6.5</v>
      </c>
      <c r="R1436" s="13" t="str">
        <f>IF(Patient_Data!$L1436&lt;2,"Low Risk",IF(Patient_Data!$L1436&lt;4,"Moderate Risk","High Risk"))</f>
        <v>Moderate Risk</v>
      </c>
      <c r="S1436" s="12" t="str">
        <f>IF(Patient_Data[[#This Row],[Age]]&lt;=18,"Pediatric",IF(Patient_Data[[#This Row],[Age]]&lt;=64,"Adult","Geriatric"))</f>
        <v>Geriatric</v>
      </c>
    </row>
    <row r="1437" spans="1:19" ht="15.75" customHeight="1" x14ac:dyDescent="0.3">
      <c r="A1437" s="4" t="s">
        <v>2899</v>
      </c>
      <c r="B1437" s="5" t="str">
        <f>TEXT(Patient_Data!$E1437,"mmmm")</f>
        <v>August</v>
      </c>
      <c r="C1437" s="6" t="str">
        <f t="shared" si="10"/>
        <v>Aug</v>
      </c>
      <c r="D1437" s="6">
        <f>MONTH(Patient_Data!$E1437)</f>
        <v>8</v>
      </c>
      <c r="E1437" s="7">
        <v>45509</v>
      </c>
      <c r="F1437" s="55" t="str">
        <f>TEXT(Patient_Data[[#This Row],[Admission_Date]],"YYYY")</f>
        <v>2024</v>
      </c>
      <c r="G1437" s="8" t="s">
        <v>2900</v>
      </c>
      <c r="H1437" s="8" t="s">
        <v>132</v>
      </c>
      <c r="I1437" s="4" t="s">
        <v>29</v>
      </c>
      <c r="J1437" s="4">
        <v>67</v>
      </c>
      <c r="K1437" s="4" t="s">
        <v>54</v>
      </c>
      <c r="L1437" s="8">
        <v>1</v>
      </c>
      <c r="M1437" s="9" t="s">
        <v>46</v>
      </c>
      <c r="N1437" s="9" t="str">
        <f t="shared" si="11"/>
        <v>Ortho</v>
      </c>
      <c r="O1437" s="10">
        <v>3534.89</v>
      </c>
      <c r="P1437" s="10">
        <v>2314.33</v>
      </c>
      <c r="Q1437" s="11">
        <v>6.5</v>
      </c>
      <c r="R1437" s="13" t="str">
        <f>IF(Patient_Data!$L1437&lt;2,"Low Risk",IF(Patient_Data!$L1437&lt;4,"Moderate Risk","High Risk"))</f>
        <v>Low Risk</v>
      </c>
      <c r="S1437" s="12" t="str">
        <f>IF(Patient_Data[[#This Row],[Age]]&lt;=18,"Pediatric",IF(Patient_Data[[#This Row],[Age]]&lt;=64,"Adult","Geriatric"))</f>
        <v>Geriatric</v>
      </c>
    </row>
    <row r="1438" spans="1:19" ht="15.75" customHeight="1" x14ac:dyDescent="0.3">
      <c r="A1438" s="4" t="s">
        <v>2901</v>
      </c>
      <c r="B1438" s="5" t="str">
        <f>TEXT(Patient_Data!$E1438,"mmmm")</f>
        <v>February</v>
      </c>
      <c r="C1438" s="6" t="str">
        <f t="shared" si="10"/>
        <v>Feb</v>
      </c>
      <c r="D1438" s="6">
        <f>MONTH(Patient_Data!$E1438)</f>
        <v>2</v>
      </c>
      <c r="E1438" s="7">
        <v>45336</v>
      </c>
      <c r="F1438" s="55" t="str">
        <f>TEXT(Patient_Data[[#This Row],[Admission_Date]],"YYYY")</f>
        <v>2024</v>
      </c>
      <c r="G1438" s="8" t="s">
        <v>2902</v>
      </c>
      <c r="H1438" s="8" t="s">
        <v>42</v>
      </c>
      <c r="I1438" s="4" t="s">
        <v>29</v>
      </c>
      <c r="J1438" s="4">
        <v>47</v>
      </c>
      <c r="K1438" s="4" t="s">
        <v>30</v>
      </c>
      <c r="L1438" s="8">
        <v>1</v>
      </c>
      <c r="M1438" s="9" t="s">
        <v>46</v>
      </c>
      <c r="N1438" s="9" t="str">
        <f t="shared" si="11"/>
        <v>Ortho</v>
      </c>
      <c r="O1438" s="10">
        <v>5238.4799999999996</v>
      </c>
      <c r="P1438" s="10">
        <v>3568.18</v>
      </c>
      <c r="Q1438" s="11">
        <v>7.3</v>
      </c>
      <c r="R1438" s="13" t="str">
        <f>IF(Patient_Data!$L1438&lt;2,"Low Risk",IF(Patient_Data!$L1438&lt;4,"Moderate Risk","High Risk"))</f>
        <v>Low Risk</v>
      </c>
      <c r="S1438" s="12" t="str">
        <f>IF(Patient_Data[[#This Row],[Age]]&lt;=18,"Pediatric",IF(Patient_Data[[#This Row],[Age]]&lt;=64,"Adult","Geriatric"))</f>
        <v>Adult</v>
      </c>
    </row>
    <row r="1439" spans="1:19" ht="15.75" customHeight="1" x14ac:dyDescent="0.3">
      <c r="A1439" s="4" t="s">
        <v>2903</v>
      </c>
      <c r="B1439" s="5" t="str">
        <f>TEXT(Patient_Data!$E1439,"mmmm")</f>
        <v>October</v>
      </c>
      <c r="C1439" s="6" t="str">
        <f t="shared" si="10"/>
        <v>Oct</v>
      </c>
      <c r="D1439" s="6">
        <f>MONTH(Patient_Data!$E1439)</f>
        <v>10</v>
      </c>
      <c r="E1439" s="7">
        <v>45230</v>
      </c>
      <c r="F1439" s="55" t="str">
        <f>TEXT(Patient_Data[[#This Row],[Admission_Date]],"YYYY")</f>
        <v>2023</v>
      </c>
      <c r="G1439" s="8" t="s">
        <v>2904</v>
      </c>
      <c r="H1439" s="8" t="s">
        <v>82</v>
      </c>
      <c r="I1439" s="4" t="s">
        <v>29</v>
      </c>
      <c r="J1439" s="4">
        <v>67</v>
      </c>
      <c r="K1439" s="4" t="s">
        <v>30</v>
      </c>
      <c r="L1439" s="8">
        <v>2</v>
      </c>
      <c r="M1439" s="9" t="s">
        <v>46</v>
      </c>
      <c r="N1439" s="9" t="str">
        <f t="shared" si="11"/>
        <v>Ortho</v>
      </c>
      <c r="O1439" s="10">
        <v>6005.15</v>
      </c>
      <c r="P1439" s="10">
        <v>4248.3999999999996</v>
      </c>
      <c r="Q1439" s="11">
        <v>5.6</v>
      </c>
      <c r="R1439" s="13" t="str">
        <f>IF(Patient_Data!$L1439&lt;2,"Low Risk",IF(Patient_Data!$L1439&lt;4,"Moderate Risk","High Risk"))</f>
        <v>Moderate Risk</v>
      </c>
      <c r="S1439" s="12" t="str">
        <f>IF(Patient_Data[[#This Row],[Age]]&lt;=18,"Pediatric",IF(Patient_Data[[#This Row],[Age]]&lt;=64,"Adult","Geriatric"))</f>
        <v>Geriatric</v>
      </c>
    </row>
    <row r="1440" spans="1:19" ht="15.75" customHeight="1" x14ac:dyDescent="0.3">
      <c r="A1440" s="4" t="s">
        <v>2905</v>
      </c>
      <c r="B1440" s="5" t="str">
        <f>TEXT(Patient_Data!$E1440,"mmmm")</f>
        <v>November</v>
      </c>
      <c r="C1440" s="6" t="str">
        <f t="shared" si="10"/>
        <v>Nov</v>
      </c>
      <c r="D1440" s="6">
        <f>MONTH(Patient_Data!$E1440)</f>
        <v>11</v>
      </c>
      <c r="E1440" s="7">
        <v>45618</v>
      </c>
      <c r="F1440" s="55" t="str">
        <f>TEXT(Patient_Data[[#This Row],[Admission_Date]],"YYYY")</f>
        <v>2024</v>
      </c>
      <c r="G1440" s="8" t="s">
        <v>2906</v>
      </c>
      <c r="H1440" s="8" t="s">
        <v>75</v>
      </c>
      <c r="I1440" s="4" t="s">
        <v>35</v>
      </c>
      <c r="J1440" s="4">
        <v>70</v>
      </c>
      <c r="K1440" s="4" t="s">
        <v>54</v>
      </c>
      <c r="L1440" s="8">
        <v>4</v>
      </c>
      <c r="M1440" s="9" t="s">
        <v>39</v>
      </c>
      <c r="N1440" s="9" t="str">
        <f t="shared" si="11"/>
        <v>GM</v>
      </c>
      <c r="O1440" s="10">
        <v>3941.9</v>
      </c>
      <c r="P1440" s="10">
        <v>2911.99</v>
      </c>
      <c r="Q1440" s="11">
        <v>4.3</v>
      </c>
      <c r="R1440" s="13" t="str">
        <f>IF(Patient_Data!$L1440&lt;2,"Low Risk",IF(Patient_Data!$L1440&lt;4,"Moderate Risk","High Risk"))</f>
        <v>High Risk</v>
      </c>
      <c r="S1440" s="12" t="str">
        <f>IF(Patient_Data[[#This Row],[Age]]&lt;=18,"Pediatric",IF(Patient_Data[[#This Row],[Age]]&lt;=64,"Adult","Geriatric"))</f>
        <v>Geriatric</v>
      </c>
    </row>
    <row r="1441" spans="1:19" ht="15.75" customHeight="1" x14ac:dyDescent="0.3">
      <c r="A1441" s="4" t="s">
        <v>2907</v>
      </c>
      <c r="B1441" s="5" t="str">
        <f>TEXT(Patient_Data!$E1441,"mmmm")</f>
        <v>April</v>
      </c>
      <c r="C1441" s="6" t="str">
        <f t="shared" si="10"/>
        <v>Apr</v>
      </c>
      <c r="D1441" s="6">
        <f>MONTH(Patient_Data!$E1441)</f>
        <v>4</v>
      </c>
      <c r="E1441" s="7">
        <v>45765</v>
      </c>
      <c r="F1441" s="55" t="str">
        <f>TEXT(Patient_Data[[#This Row],[Admission_Date]],"YYYY")</f>
        <v>2025</v>
      </c>
      <c r="G1441" s="8" t="s">
        <v>1941</v>
      </c>
      <c r="H1441" s="8" t="s">
        <v>28</v>
      </c>
      <c r="I1441" s="4" t="s">
        <v>35</v>
      </c>
      <c r="J1441" s="4">
        <v>65</v>
      </c>
      <c r="K1441" s="4" t="s">
        <v>45</v>
      </c>
      <c r="L1441" s="8">
        <v>4</v>
      </c>
      <c r="M1441" s="9" t="s">
        <v>50</v>
      </c>
      <c r="N1441" s="9" t="str">
        <f t="shared" si="11"/>
        <v>ICU</v>
      </c>
      <c r="O1441" s="10">
        <v>13342.86</v>
      </c>
      <c r="P1441" s="10">
        <v>10210.969999999999</v>
      </c>
      <c r="Q1441" s="11">
        <v>8.8000000000000007</v>
      </c>
      <c r="R1441" s="13" t="str">
        <f>IF(Patient_Data!$L1441&lt;2,"Low Risk",IF(Patient_Data!$L1441&lt;4,"Moderate Risk","High Risk"))</f>
        <v>High Risk</v>
      </c>
      <c r="S1441" s="12" t="str">
        <f>IF(Patient_Data[[#This Row],[Age]]&lt;=18,"Pediatric",IF(Patient_Data[[#This Row],[Age]]&lt;=64,"Adult","Geriatric"))</f>
        <v>Geriatric</v>
      </c>
    </row>
    <row r="1442" spans="1:19" ht="15.75" customHeight="1" x14ac:dyDescent="0.3">
      <c r="A1442" s="4" t="s">
        <v>2908</v>
      </c>
      <c r="B1442" s="5" t="str">
        <f>TEXT(Patient_Data!$E1442,"mmmm")</f>
        <v>November</v>
      </c>
      <c r="C1442" s="6" t="str">
        <f t="shared" si="10"/>
        <v>Nov</v>
      </c>
      <c r="D1442" s="6">
        <f>MONTH(Patient_Data!$E1442)</f>
        <v>11</v>
      </c>
      <c r="E1442" s="7">
        <v>45233</v>
      </c>
      <c r="F1442" s="55" t="str">
        <f>TEXT(Patient_Data[[#This Row],[Admission_Date]],"YYYY")</f>
        <v>2023</v>
      </c>
      <c r="G1442" s="8" t="s">
        <v>2909</v>
      </c>
      <c r="H1442" s="8" t="s">
        <v>132</v>
      </c>
      <c r="I1442" s="4" t="s">
        <v>35</v>
      </c>
      <c r="J1442" s="4">
        <v>81</v>
      </c>
      <c r="K1442" s="4" t="s">
        <v>45</v>
      </c>
      <c r="L1442" s="8">
        <v>2</v>
      </c>
      <c r="M1442" s="9" t="s">
        <v>39</v>
      </c>
      <c r="N1442" s="9" t="str">
        <f t="shared" si="11"/>
        <v>GM</v>
      </c>
      <c r="O1442" s="10">
        <v>4113.88</v>
      </c>
      <c r="P1442" s="10">
        <v>2438.0500000000002</v>
      </c>
      <c r="Q1442" s="11">
        <v>6.5</v>
      </c>
      <c r="R1442" s="13" t="str">
        <f>IF(Patient_Data!$L1442&lt;2,"Low Risk",IF(Patient_Data!$L1442&lt;4,"Moderate Risk","High Risk"))</f>
        <v>Moderate Risk</v>
      </c>
      <c r="S1442" s="12" t="str">
        <f>IF(Patient_Data[[#This Row],[Age]]&lt;=18,"Pediatric",IF(Patient_Data[[#This Row],[Age]]&lt;=64,"Adult","Geriatric"))</f>
        <v>Geriatric</v>
      </c>
    </row>
    <row r="1443" spans="1:19" ht="15.75" customHeight="1" x14ac:dyDescent="0.3">
      <c r="A1443" s="4" t="s">
        <v>2910</v>
      </c>
      <c r="B1443" s="5" t="str">
        <f>TEXT(Patient_Data!$E1443,"mmmm")</f>
        <v>March</v>
      </c>
      <c r="C1443" s="6" t="str">
        <f t="shared" si="10"/>
        <v>Mar</v>
      </c>
      <c r="D1443" s="6">
        <f>MONTH(Patient_Data!$E1443)</f>
        <v>3</v>
      </c>
      <c r="E1443" s="7">
        <v>45729</v>
      </c>
      <c r="F1443" s="55" t="str">
        <f>TEXT(Patient_Data[[#This Row],[Admission_Date]],"YYYY")</f>
        <v>2025</v>
      </c>
      <c r="G1443" s="8" t="s">
        <v>2911</v>
      </c>
      <c r="H1443" s="8" t="s">
        <v>132</v>
      </c>
      <c r="I1443" s="4" t="s">
        <v>35</v>
      </c>
      <c r="J1443" s="4">
        <v>65</v>
      </c>
      <c r="K1443" s="4" t="s">
        <v>45</v>
      </c>
      <c r="L1443" s="8">
        <v>4</v>
      </c>
      <c r="M1443" s="9" t="s">
        <v>50</v>
      </c>
      <c r="N1443" s="9" t="str">
        <f t="shared" si="11"/>
        <v>ICU</v>
      </c>
      <c r="O1443" s="10">
        <v>17346.07</v>
      </c>
      <c r="P1443" s="10">
        <v>10713.9</v>
      </c>
      <c r="Q1443" s="11">
        <v>16.600000000000001</v>
      </c>
      <c r="R1443" s="13" t="str">
        <f>IF(Patient_Data!$L1443&lt;2,"Low Risk",IF(Patient_Data!$L1443&lt;4,"Moderate Risk","High Risk"))</f>
        <v>High Risk</v>
      </c>
      <c r="S1443" s="12" t="str">
        <f>IF(Patient_Data[[#This Row],[Age]]&lt;=18,"Pediatric",IF(Patient_Data[[#This Row],[Age]]&lt;=64,"Adult","Geriatric"))</f>
        <v>Geriatric</v>
      </c>
    </row>
    <row r="1444" spans="1:19" ht="15.75" customHeight="1" x14ac:dyDescent="0.3">
      <c r="A1444" s="4" t="s">
        <v>2912</v>
      </c>
      <c r="B1444" s="5" t="str">
        <f>TEXT(Patient_Data!$E1444,"mmmm")</f>
        <v>August</v>
      </c>
      <c r="C1444" s="6" t="str">
        <f t="shared" si="10"/>
        <v>Aug</v>
      </c>
      <c r="D1444" s="6">
        <f>MONTH(Patient_Data!$E1444)</f>
        <v>8</v>
      </c>
      <c r="E1444" s="7">
        <v>45511</v>
      </c>
      <c r="F1444" s="55" t="str">
        <f>TEXT(Patient_Data[[#This Row],[Admission_Date]],"YYYY")</f>
        <v>2024</v>
      </c>
      <c r="G1444" s="8" t="s">
        <v>685</v>
      </c>
      <c r="H1444" s="8" t="s">
        <v>75</v>
      </c>
      <c r="I1444" s="4" t="s">
        <v>35</v>
      </c>
      <c r="J1444" s="4">
        <v>64</v>
      </c>
      <c r="K1444" s="4" t="s">
        <v>30</v>
      </c>
      <c r="L1444" s="8">
        <v>1</v>
      </c>
      <c r="M1444" s="9" t="s">
        <v>39</v>
      </c>
      <c r="N1444" s="9" t="str">
        <f t="shared" si="11"/>
        <v>GM</v>
      </c>
      <c r="O1444" s="10">
        <v>4258.82</v>
      </c>
      <c r="P1444" s="10">
        <v>2774.44</v>
      </c>
      <c r="Q1444" s="11">
        <v>6.1</v>
      </c>
      <c r="R1444" s="13" t="str">
        <f>IF(Patient_Data!$L1444&lt;2,"Low Risk",IF(Patient_Data!$L1444&lt;4,"Moderate Risk","High Risk"))</f>
        <v>Low Risk</v>
      </c>
      <c r="S1444" s="12" t="str">
        <f>IF(Patient_Data[[#This Row],[Age]]&lt;=18,"Pediatric",IF(Patient_Data[[#This Row],[Age]]&lt;=64,"Adult","Geriatric"))</f>
        <v>Adult</v>
      </c>
    </row>
    <row r="1445" spans="1:19" ht="15.75" customHeight="1" x14ac:dyDescent="0.3">
      <c r="A1445" s="4" t="s">
        <v>2913</v>
      </c>
      <c r="B1445" s="5" t="str">
        <f>TEXT(Patient_Data!$E1445,"mmmm")</f>
        <v>June</v>
      </c>
      <c r="C1445" s="6" t="str">
        <f t="shared" si="10"/>
        <v>Jun</v>
      </c>
      <c r="D1445" s="6">
        <f>MONTH(Patient_Data!$E1445)</f>
        <v>6</v>
      </c>
      <c r="E1445" s="7">
        <v>46181</v>
      </c>
      <c r="F1445" s="55" t="str">
        <f>TEXT(Patient_Data[[#This Row],[Admission_Date]],"YYYY")</f>
        <v>2026</v>
      </c>
      <c r="G1445" s="8" t="s">
        <v>2914</v>
      </c>
      <c r="H1445" s="8" t="s">
        <v>53</v>
      </c>
      <c r="I1445" s="4" t="s">
        <v>35</v>
      </c>
      <c r="J1445" s="4">
        <v>68</v>
      </c>
      <c r="K1445" s="4" t="s">
        <v>54</v>
      </c>
      <c r="L1445" s="8">
        <v>5</v>
      </c>
      <c r="M1445" s="9" t="s">
        <v>72</v>
      </c>
      <c r="N1445" s="9" t="str">
        <f t="shared" si="11"/>
        <v>Surgery</v>
      </c>
      <c r="O1445" s="10">
        <v>16027.95</v>
      </c>
      <c r="P1445" s="10">
        <v>10767.53</v>
      </c>
      <c r="Q1445" s="11">
        <v>3.6</v>
      </c>
      <c r="R1445" s="13" t="str">
        <f>IF(Patient_Data!$L1445&lt;2,"Low Risk",IF(Patient_Data!$L1445&lt;4,"Moderate Risk","High Risk"))</f>
        <v>High Risk</v>
      </c>
      <c r="S1445" s="12" t="str">
        <f>IF(Patient_Data[[#This Row],[Age]]&lt;=18,"Pediatric",IF(Patient_Data[[#This Row],[Age]]&lt;=64,"Adult","Geriatric"))</f>
        <v>Geriatric</v>
      </c>
    </row>
    <row r="1446" spans="1:19" ht="15.75" customHeight="1" x14ac:dyDescent="0.3">
      <c r="A1446" s="4" t="s">
        <v>2915</v>
      </c>
      <c r="B1446" s="5" t="str">
        <f>TEXT(Patient_Data!$E1446,"mmmm")</f>
        <v>July</v>
      </c>
      <c r="C1446" s="6" t="str">
        <f t="shared" si="10"/>
        <v>Jul</v>
      </c>
      <c r="D1446" s="6">
        <f>MONTH(Patient_Data!$E1446)</f>
        <v>7</v>
      </c>
      <c r="E1446" s="7">
        <v>46213</v>
      </c>
      <c r="F1446" s="55" t="str">
        <f>TEXT(Patient_Data[[#This Row],[Admission_Date]],"YYYY")</f>
        <v>2026</v>
      </c>
      <c r="G1446" s="8" t="s">
        <v>2916</v>
      </c>
      <c r="H1446" s="8" t="s">
        <v>28</v>
      </c>
      <c r="I1446" s="4" t="s">
        <v>35</v>
      </c>
      <c r="J1446" s="4">
        <v>44</v>
      </c>
      <c r="K1446" s="4" t="s">
        <v>54</v>
      </c>
      <c r="L1446" s="8">
        <v>1</v>
      </c>
      <c r="M1446" s="9" t="s">
        <v>83</v>
      </c>
      <c r="N1446" s="9" t="str">
        <f t="shared" si="11"/>
        <v>ER</v>
      </c>
      <c r="O1446" s="10">
        <v>5200.91</v>
      </c>
      <c r="P1446" s="10">
        <v>3827.04</v>
      </c>
      <c r="Q1446" s="11">
        <v>23.3</v>
      </c>
      <c r="R1446" s="13" t="str">
        <f>IF(Patient_Data!$L1446&lt;2,"Low Risk",IF(Patient_Data!$L1446&lt;4,"Moderate Risk","High Risk"))</f>
        <v>Low Risk</v>
      </c>
      <c r="S1446" s="12" t="str">
        <f>IF(Patient_Data[[#This Row],[Age]]&lt;=18,"Pediatric",IF(Patient_Data[[#This Row],[Age]]&lt;=64,"Adult","Geriatric"))</f>
        <v>Adult</v>
      </c>
    </row>
    <row r="1447" spans="1:19" ht="15.75" customHeight="1" x14ac:dyDescent="0.3">
      <c r="A1447" s="4" t="s">
        <v>2917</v>
      </c>
      <c r="B1447" s="5" t="str">
        <f>TEXT(Patient_Data!$E1447,"mmmm")</f>
        <v>April</v>
      </c>
      <c r="C1447" s="6" t="str">
        <f t="shared" si="10"/>
        <v>Apr</v>
      </c>
      <c r="D1447" s="6">
        <f>MONTH(Patient_Data!$E1447)</f>
        <v>4</v>
      </c>
      <c r="E1447" s="7">
        <v>45398</v>
      </c>
      <c r="F1447" s="55" t="str">
        <f>TEXT(Patient_Data[[#This Row],[Admission_Date]],"YYYY")</f>
        <v>2024</v>
      </c>
      <c r="G1447" s="8" t="s">
        <v>1220</v>
      </c>
      <c r="H1447" s="8" t="s">
        <v>28</v>
      </c>
      <c r="I1447" s="4" t="s">
        <v>29</v>
      </c>
      <c r="J1447" s="4">
        <v>57</v>
      </c>
      <c r="K1447" s="4" t="s">
        <v>30</v>
      </c>
      <c r="L1447" s="8">
        <v>1</v>
      </c>
      <c r="M1447" s="9" t="s">
        <v>39</v>
      </c>
      <c r="N1447" s="9" t="str">
        <f t="shared" si="11"/>
        <v>GM</v>
      </c>
      <c r="O1447" s="10">
        <v>4098.9399999999996</v>
      </c>
      <c r="P1447" s="10">
        <v>3051.43</v>
      </c>
      <c r="Q1447" s="11">
        <v>7.4</v>
      </c>
      <c r="R1447" s="13" t="str">
        <f>IF(Patient_Data!$L1447&lt;2,"Low Risk",IF(Patient_Data!$L1447&lt;4,"Moderate Risk","High Risk"))</f>
        <v>Low Risk</v>
      </c>
      <c r="S1447" s="12" t="str">
        <f>IF(Patient_Data[[#This Row],[Age]]&lt;=18,"Pediatric",IF(Patient_Data[[#This Row],[Age]]&lt;=64,"Adult","Geriatric"))</f>
        <v>Adult</v>
      </c>
    </row>
    <row r="1448" spans="1:19" ht="15.75" customHeight="1" x14ac:dyDescent="0.3">
      <c r="A1448" s="4" t="s">
        <v>2918</v>
      </c>
      <c r="B1448" s="5" t="str">
        <f>TEXT(Patient_Data!$E1448,"mmmm")</f>
        <v>April</v>
      </c>
      <c r="C1448" s="6" t="str">
        <f t="shared" si="10"/>
        <v>Apr</v>
      </c>
      <c r="D1448" s="6">
        <f>MONTH(Patient_Data!$E1448)</f>
        <v>4</v>
      </c>
      <c r="E1448" s="7">
        <v>45400</v>
      </c>
      <c r="F1448" s="55" t="str">
        <f>TEXT(Patient_Data[[#This Row],[Admission_Date]],"YYYY")</f>
        <v>2024</v>
      </c>
      <c r="G1448" s="8" t="s">
        <v>2919</v>
      </c>
      <c r="H1448" s="8" t="s">
        <v>28</v>
      </c>
      <c r="I1448" s="4" t="s">
        <v>29</v>
      </c>
      <c r="J1448" s="4">
        <v>37</v>
      </c>
      <c r="K1448" s="4" t="s">
        <v>45</v>
      </c>
      <c r="L1448" s="8">
        <v>4</v>
      </c>
      <c r="M1448" s="9" t="s">
        <v>72</v>
      </c>
      <c r="N1448" s="9" t="str">
        <f t="shared" si="11"/>
        <v>Surgery</v>
      </c>
      <c r="O1448" s="10">
        <v>15749.62</v>
      </c>
      <c r="P1448" s="10">
        <v>12054.51</v>
      </c>
      <c r="Q1448" s="11">
        <v>10.6</v>
      </c>
      <c r="R1448" s="13" t="str">
        <f>IF(Patient_Data!$L1448&lt;2,"Low Risk",IF(Patient_Data!$L1448&lt;4,"Moderate Risk","High Risk"))</f>
        <v>High Risk</v>
      </c>
      <c r="S1448" s="12" t="str">
        <f>IF(Patient_Data[[#This Row],[Age]]&lt;=18,"Pediatric",IF(Patient_Data[[#This Row],[Age]]&lt;=64,"Adult","Geriatric"))</f>
        <v>Adult</v>
      </c>
    </row>
    <row r="1449" spans="1:19" ht="15.75" customHeight="1" x14ac:dyDescent="0.3">
      <c r="A1449" s="4" t="s">
        <v>2920</v>
      </c>
      <c r="B1449" s="5" t="str">
        <f>TEXT(Patient_Data!$E1449,"mmmm")</f>
        <v>February</v>
      </c>
      <c r="C1449" s="6" t="str">
        <f t="shared" si="10"/>
        <v>Feb</v>
      </c>
      <c r="D1449" s="6">
        <f>MONTH(Patient_Data!$E1449)</f>
        <v>2</v>
      </c>
      <c r="E1449" s="7">
        <v>45715</v>
      </c>
      <c r="F1449" s="55" t="str">
        <f>TEXT(Patient_Data[[#This Row],[Admission_Date]],"YYYY")</f>
        <v>2025</v>
      </c>
      <c r="G1449" s="8" t="s">
        <v>2921</v>
      </c>
      <c r="H1449" s="8" t="s">
        <v>28</v>
      </c>
      <c r="I1449" s="4" t="s">
        <v>29</v>
      </c>
      <c r="J1449" s="4">
        <v>25</v>
      </c>
      <c r="K1449" s="4" t="s">
        <v>30</v>
      </c>
      <c r="L1449" s="8">
        <v>5</v>
      </c>
      <c r="M1449" s="9" t="s">
        <v>72</v>
      </c>
      <c r="N1449" s="9" t="str">
        <f t="shared" si="11"/>
        <v>Surgery</v>
      </c>
      <c r="O1449" s="10">
        <v>19676.099999999999</v>
      </c>
      <c r="P1449" s="10">
        <v>11504.94</v>
      </c>
      <c r="Q1449" s="11">
        <v>11.6</v>
      </c>
      <c r="R1449" s="13" t="str">
        <f>IF(Patient_Data!$L1449&lt;2,"Low Risk",IF(Patient_Data!$L1449&lt;4,"Moderate Risk","High Risk"))</f>
        <v>High Risk</v>
      </c>
      <c r="S1449" s="12" t="str">
        <f>IF(Patient_Data[[#This Row],[Age]]&lt;=18,"Pediatric",IF(Patient_Data[[#This Row],[Age]]&lt;=64,"Adult","Geriatric"))</f>
        <v>Adult</v>
      </c>
    </row>
    <row r="1450" spans="1:19" ht="15.75" customHeight="1" x14ac:dyDescent="0.3">
      <c r="A1450" s="4" t="s">
        <v>2922</v>
      </c>
      <c r="B1450" s="5" t="str">
        <f>TEXT(Patient_Data!$E1450,"mmmm")</f>
        <v>September</v>
      </c>
      <c r="C1450" s="6" t="str">
        <f t="shared" si="10"/>
        <v>Sep</v>
      </c>
      <c r="D1450" s="6">
        <f>MONTH(Patient_Data!$E1450)</f>
        <v>9</v>
      </c>
      <c r="E1450" s="7">
        <v>45918</v>
      </c>
      <c r="F1450" s="55" t="str">
        <f>TEXT(Patient_Data[[#This Row],[Admission_Date]],"YYYY")</f>
        <v>2025</v>
      </c>
      <c r="G1450" s="8" t="s">
        <v>2923</v>
      </c>
      <c r="H1450" s="8" t="s">
        <v>28</v>
      </c>
      <c r="I1450" s="4" t="s">
        <v>35</v>
      </c>
      <c r="J1450" s="4">
        <v>82</v>
      </c>
      <c r="K1450" s="4" t="s">
        <v>30</v>
      </c>
      <c r="L1450" s="8">
        <v>3</v>
      </c>
      <c r="M1450" s="9" t="s">
        <v>83</v>
      </c>
      <c r="N1450" s="9" t="str">
        <f t="shared" si="11"/>
        <v>ER</v>
      </c>
      <c r="O1450" s="10">
        <v>9924.99</v>
      </c>
      <c r="P1450" s="10">
        <v>6181.44</v>
      </c>
      <c r="Q1450" s="11">
        <v>15.9</v>
      </c>
      <c r="R1450" s="13" t="str">
        <f>IF(Patient_Data!$L1450&lt;2,"Low Risk",IF(Patient_Data!$L1450&lt;4,"Moderate Risk","High Risk"))</f>
        <v>Moderate Risk</v>
      </c>
      <c r="S1450" s="12" t="str">
        <f>IF(Patient_Data[[#This Row],[Age]]&lt;=18,"Pediatric",IF(Patient_Data[[#This Row],[Age]]&lt;=64,"Adult","Geriatric"))</f>
        <v>Geriatric</v>
      </c>
    </row>
    <row r="1451" spans="1:19" ht="15.75" customHeight="1" x14ac:dyDescent="0.3">
      <c r="A1451" s="4" t="s">
        <v>2924</v>
      </c>
      <c r="B1451" s="5" t="str">
        <f>TEXT(Patient_Data!$E1451,"mmmm")</f>
        <v>November</v>
      </c>
      <c r="C1451" s="6" t="str">
        <f t="shared" si="10"/>
        <v>Nov</v>
      </c>
      <c r="D1451" s="6">
        <f>MONTH(Patient_Data!$E1451)</f>
        <v>11</v>
      </c>
      <c r="E1451" s="7">
        <v>45252</v>
      </c>
      <c r="F1451" s="55" t="str">
        <f>TEXT(Patient_Data[[#This Row],[Admission_Date]],"YYYY")</f>
        <v>2023</v>
      </c>
      <c r="G1451" s="8" t="s">
        <v>2925</v>
      </c>
      <c r="H1451" s="8" t="s">
        <v>82</v>
      </c>
      <c r="I1451" s="4" t="s">
        <v>35</v>
      </c>
      <c r="J1451" s="4">
        <v>55</v>
      </c>
      <c r="K1451" s="4" t="s">
        <v>45</v>
      </c>
      <c r="L1451" s="8">
        <v>3</v>
      </c>
      <c r="M1451" s="9" t="s">
        <v>50</v>
      </c>
      <c r="N1451" s="9" t="str">
        <f t="shared" si="11"/>
        <v>ICU</v>
      </c>
      <c r="O1451" s="10">
        <v>13228.72</v>
      </c>
      <c r="P1451" s="10">
        <v>8548.7800000000007</v>
      </c>
      <c r="Q1451" s="11">
        <v>10.3</v>
      </c>
      <c r="R1451" s="13" t="str">
        <f>IF(Patient_Data!$L1451&lt;2,"Low Risk",IF(Patient_Data!$L1451&lt;4,"Moderate Risk","High Risk"))</f>
        <v>Moderate Risk</v>
      </c>
      <c r="S1451" s="12" t="str">
        <f>IF(Patient_Data[[#This Row],[Age]]&lt;=18,"Pediatric",IF(Patient_Data[[#This Row],[Age]]&lt;=64,"Adult","Geriatric"))</f>
        <v>Adult</v>
      </c>
    </row>
    <row r="1452" spans="1:19" ht="15.75" customHeight="1" x14ac:dyDescent="0.3">
      <c r="A1452" s="4" t="s">
        <v>2926</v>
      </c>
      <c r="B1452" s="5" t="str">
        <f>TEXT(Patient_Data!$E1452,"mmmm")</f>
        <v>February</v>
      </c>
      <c r="C1452" s="6" t="str">
        <f t="shared" si="10"/>
        <v>Feb</v>
      </c>
      <c r="D1452" s="6">
        <f>MONTH(Patient_Data!$E1452)</f>
        <v>2</v>
      </c>
      <c r="E1452" s="7">
        <v>46070</v>
      </c>
      <c r="F1452" s="55" t="str">
        <f>TEXT(Patient_Data[[#This Row],[Admission_Date]],"YYYY")</f>
        <v>2026</v>
      </c>
      <c r="G1452" s="8" t="s">
        <v>2927</v>
      </c>
      <c r="H1452" s="8" t="s">
        <v>28</v>
      </c>
      <c r="I1452" s="4" t="s">
        <v>29</v>
      </c>
      <c r="J1452" s="4">
        <v>49</v>
      </c>
      <c r="K1452" s="4" t="s">
        <v>54</v>
      </c>
      <c r="L1452" s="8">
        <v>1</v>
      </c>
      <c r="M1452" s="9" t="s">
        <v>46</v>
      </c>
      <c r="N1452" s="9" t="str">
        <f t="shared" si="11"/>
        <v>Ortho</v>
      </c>
      <c r="O1452" s="10">
        <v>7730.68</v>
      </c>
      <c r="P1452" s="10">
        <v>5251.56</v>
      </c>
      <c r="Q1452" s="11">
        <v>9</v>
      </c>
      <c r="R1452" s="13" t="str">
        <f>IF(Patient_Data!$L1452&lt;2,"Low Risk",IF(Patient_Data!$L1452&lt;4,"Moderate Risk","High Risk"))</f>
        <v>Low Risk</v>
      </c>
      <c r="S1452" s="12" t="str">
        <f>IF(Patient_Data[[#This Row],[Age]]&lt;=18,"Pediatric",IF(Patient_Data[[#This Row],[Age]]&lt;=64,"Adult","Geriatric"))</f>
        <v>Adult</v>
      </c>
    </row>
    <row r="1453" spans="1:19" ht="15.75" customHeight="1" x14ac:dyDescent="0.3">
      <c r="A1453" s="4" t="s">
        <v>2928</v>
      </c>
      <c r="B1453" s="5" t="str">
        <f>TEXT(Patient_Data!$E1453,"mmmm")</f>
        <v>November</v>
      </c>
      <c r="C1453" s="6" t="str">
        <f t="shared" si="10"/>
        <v>Nov</v>
      </c>
      <c r="D1453" s="6">
        <f>MONTH(Patient_Data!$E1453)</f>
        <v>11</v>
      </c>
      <c r="E1453" s="7">
        <v>45614</v>
      </c>
      <c r="F1453" s="55" t="str">
        <f>TEXT(Patient_Data[[#This Row],[Admission_Date]],"YYYY")</f>
        <v>2024</v>
      </c>
      <c r="G1453" s="8" t="s">
        <v>2929</v>
      </c>
      <c r="H1453" s="8" t="s">
        <v>28</v>
      </c>
      <c r="I1453" s="4" t="s">
        <v>29</v>
      </c>
      <c r="J1453" s="4">
        <v>44</v>
      </c>
      <c r="K1453" s="4" t="s">
        <v>54</v>
      </c>
      <c r="L1453" s="8">
        <v>4</v>
      </c>
      <c r="M1453" s="9" t="s">
        <v>36</v>
      </c>
      <c r="N1453" s="9" t="str">
        <f t="shared" si="11"/>
        <v>Cardio</v>
      </c>
      <c r="O1453" s="10">
        <v>16947.8</v>
      </c>
      <c r="P1453" s="10">
        <v>11944.26</v>
      </c>
      <c r="Q1453" s="11">
        <v>10.1</v>
      </c>
      <c r="R1453" s="13" t="str">
        <f>IF(Patient_Data!$L1453&lt;2,"Low Risk",IF(Patient_Data!$L1453&lt;4,"Moderate Risk","High Risk"))</f>
        <v>High Risk</v>
      </c>
      <c r="S1453" s="12" t="str">
        <f>IF(Patient_Data[[#This Row],[Age]]&lt;=18,"Pediatric",IF(Patient_Data[[#This Row],[Age]]&lt;=64,"Adult","Geriatric"))</f>
        <v>Adult</v>
      </c>
    </row>
    <row r="1454" spans="1:19" ht="15.75" customHeight="1" x14ac:dyDescent="0.3">
      <c r="A1454" s="4" t="s">
        <v>2930</v>
      </c>
      <c r="B1454" s="5" t="str">
        <f>TEXT(Patient_Data!$E1454,"mmmm")</f>
        <v>January</v>
      </c>
      <c r="C1454" s="6" t="str">
        <f t="shared" si="10"/>
        <v>Jan</v>
      </c>
      <c r="D1454" s="6">
        <f>MONTH(Patient_Data!$E1454)</f>
        <v>1</v>
      </c>
      <c r="E1454" s="7">
        <v>46037</v>
      </c>
      <c r="F1454" s="55" t="str">
        <f>TEXT(Patient_Data[[#This Row],[Admission_Date]],"YYYY")</f>
        <v>2026</v>
      </c>
      <c r="G1454" s="8" t="s">
        <v>2931</v>
      </c>
      <c r="H1454" s="8" t="s">
        <v>132</v>
      </c>
      <c r="I1454" s="4" t="s">
        <v>35</v>
      </c>
      <c r="J1454" s="4">
        <v>68</v>
      </c>
      <c r="K1454" s="4" t="s">
        <v>30</v>
      </c>
      <c r="L1454" s="8">
        <v>3</v>
      </c>
      <c r="M1454" s="9" t="s">
        <v>39</v>
      </c>
      <c r="N1454" s="9" t="str">
        <f t="shared" si="11"/>
        <v>GM</v>
      </c>
      <c r="O1454" s="10">
        <v>2414.75</v>
      </c>
      <c r="P1454" s="10">
        <v>1829.97</v>
      </c>
      <c r="Q1454" s="11">
        <v>8.4</v>
      </c>
      <c r="R1454" s="13" t="str">
        <f>IF(Patient_Data!$L1454&lt;2,"Low Risk",IF(Patient_Data!$L1454&lt;4,"Moderate Risk","High Risk"))</f>
        <v>Moderate Risk</v>
      </c>
      <c r="S1454" s="12" t="str">
        <f>IF(Patient_Data[[#This Row],[Age]]&lt;=18,"Pediatric",IF(Patient_Data[[#This Row],[Age]]&lt;=64,"Adult","Geriatric"))</f>
        <v>Geriatric</v>
      </c>
    </row>
    <row r="1455" spans="1:19" ht="15.75" customHeight="1" x14ac:dyDescent="0.3">
      <c r="A1455" s="4" t="s">
        <v>2932</v>
      </c>
      <c r="B1455" s="5" t="str">
        <f>TEXT(Patient_Data!$E1455,"mmmm")</f>
        <v>March</v>
      </c>
      <c r="C1455" s="6" t="str">
        <f t="shared" si="10"/>
        <v>Mar</v>
      </c>
      <c r="D1455" s="6">
        <f>MONTH(Patient_Data!$E1455)</f>
        <v>3</v>
      </c>
      <c r="E1455" s="7">
        <v>45376</v>
      </c>
      <c r="F1455" s="55" t="str">
        <f>TEXT(Patient_Data[[#This Row],[Admission_Date]],"YYYY")</f>
        <v>2024</v>
      </c>
      <c r="G1455" s="8" t="s">
        <v>2265</v>
      </c>
      <c r="H1455" s="8" t="s">
        <v>28</v>
      </c>
      <c r="I1455" s="4" t="s">
        <v>35</v>
      </c>
      <c r="J1455" s="4">
        <v>5</v>
      </c>
      <c r="K1455" s="4" t="s">
        <v>30</v>
      </c>
      <c r="L1455" s="8">
        <v>2</v>
      </c>
      <c r="M1455" s="9" t="s">
        <v>79</v>
      </c>
      <c r="N1455" s="9" t="str">
        <f t="shared" si="11"/>
        <v>PD</v>
      </c>
      <c r="O1455" s="10">
        <v>2361.56</v>
      </c>
      <c r="P1455" s="10">
        <v>1836.39</v>
      </c>
      <c r="Q1455" s="11">
        <v>5.2</v>
      </c>
      <c r="R1455" s="13" t="str">
        <f>IF(Patient_Data!$L1455&lt;2,"Low Risk",IF(Patient_Data!$L1455&lt;4,"Moderate Risk","High Risk"))</f>
        <v>Moderate Risk</v>
      </c>
      <c r="S1455" s="12" t="str">
        <f>IF(Patient_Data[[#This Row],[Age]]&lt;=18,"Pediatric",IF(Patient_Data[[#This Row],[Age]]&lt;=64,"Adult","Geriatric"))</f>
        <v>Pediatric</v>
      </c>
    </row>
    <row r="1456" spans="1:19" ht="15.75" customHeight="1" x14ac:dyDescent="0.3">
      <c r="A1456" s="4" t="s">
        <v>2933</v>
      </c>
      <c r="B1456" s="5" t="str">
        <f>TEXT(Patient_Data!$E1456,"mmmm")</f>
        <v>January</v>
      </c>
      <c r="C1456" s="6" t="str">
        <f t="shared" si="10"/>
        <v>Jan</v>
      </c>
      <c r="D1456" s="6">
        <f>MONTH(Patient_Data!$E1456)</f>
        <v>1</v>
      </c>
      <c r="E1456" s="7">
        <v>45673</v>
      </c>
      <c r="F1456" s="55" t="str">
        <f>TEXT(Patient_Data[[#This Row],[Admission_Date]],"YYYY")</f>
        <v>2025</v>
      </c>
      <c r="G1456" s="8" t="s">
        <v>2934</v>
      </c>
      <c r="H1456" s="8" t="s">
        <v>28</v>
      </c>
      <c r="I1456" s="4" t="s">
        <v>35</v>
      </c>
      <c r="J1456" s="4">
        <v>0</v>
      </c>
      <c r="K1456" s="4" t="s">
        <v>30</v>
      </c>
      <c r="L1456" s="8">
        <v>1</v>
      </c>
      <c r="M1456" s="9" t="s">
        <v>79</v>
      </c>
      <c r="N1456" s="9" t="str">
        <f t="shared" si="11"/>
        <v>PD</v>
      </c>
      <c r="O1456" s="10">
        <v>1076.93</v>
      </c>
      <c r="P1456" s="10">
        <v>669.42</v>
      </c>
      <c r="Q1456" s="11">
        <v>5.6</v>
      </c>
      <c r="R1456" s="13" t="str">
        <f>IF(Patient_Data!$L1456&lt;2,"Low Risk",IF(Patient_Data!$L1456&lt;4,"Moderate Risk","High Risk"))</f>
        <v>Low Risk</v>
      </c>
      <c r="S1456" s="12" t="str">
        <f>IF(Patient_Data[[#This Row],[Age]]&lt;=18,"Pediatric",IF(Patient_Data[[#This Row],[Age]]&lt;=64,"Adult","Geriatric"))</f>
        <v>Pediatric</v>
      </c>
    </row>
    <row r="1457" spans="1:19" ht="15.75" customHeight="1" x14ac:dyDescent="0.3">
      <c r="A1457" s="4" t="s">
        <v>2935</v>
      </c>
      <c r="B1457" s="5" t="str">
        <f>TEXT(Patient_Data!$E1457,"mmmm")</f>
        <v>April</v>
      </c>
      <c r="C1457" s="6" t="str">
        <f t="shared" si="10"/>
        <v>Apr</v>
      </c>
      <c r="D1457" s="6">
        <f>MONTH(Patient_Data!$E1457)</f>
        <v>4</v>
      </c>
      <c r="E1457" s="7">
        <v>45776</v>
      </c>
      <c r="F1457" s="55" t="str">
        <f>TEXT(Patient_Data[[#This Row],[Admission_Date]],"YYYY")</f>
        <v>2025</v>
      </c>
      <c r="G1457" s="8" t="s">
        <v>2936</v>
      </c>
      <c r="H1457" s="8" t="s">
        <v>132</v>
      </c>
      <c r="I1457" s="4" t="s">
        <v>29</v>
      </c>
      <c r="J1457" s="4">
        <v>52</v>
      </c>
      <c r="K1457" s="4" t="s">
        <v>54</v>
      </c>
      <c r="L1457" s="8">
        <v>5</v>
      </c>
      <c r="M1457" s="9" t="s">
        <v>72</v>
      </c>
      <c r="N1457" s="9" t="str">
        <f t="shared" si="11"/>
        <v>Surgery</v>
      </c>
      <c r="O1457" s="10">
        <v>16692.919999999998</v>
      </c>
      <c r="P1457" s="10">
        <v>10267.48</v>
      </c>
      <c r="Q1457" s="11">
        <v>10.6</v>
      </c>
      <c r="R1457" s="13" t="str">
        <f>IF(Patient_Data!$L1457&lt;2,"Low Risk",IF(Patient_Data!$L1457&lt;4,"Moderate Risk","High Risk"))</f>
        <v>High Risk</v>
      </c>
      <c r="S1457" s="12" t="str">
        <f>IF(Patient_Data[[#This Row],[Age]]&lt;=18,"Pediatric",IF(Patient_Data[[#This Row],[Age]]&lt;=64,"Adult","Geriatric"))</f>
        <v>Adult</v>
      </c>
    </row>
    <row r="1458" spans="1:19" ht="15.75" customHeight="1" x14ac:dyDescent="0.3">
      <c r="A1458" s="4" t="s">
        <v>2937</v>
      </c>
      <c r="B1458" s="5" t="str">
        <f>TEXT(Patient_Data!$E1458,"mmmm")</f>
        <v>November</v>
      </c>
      <c r="C1458" s="6" t="str">
        <f t="shared" si="10"/>
        <v>Nov</v>
      </c>
      <c r="D1458" s="6">
        <f>MONTH(Patient_Data!$E1458)</f>
        <v>11</v>
      </c>
      <c r="E1458" s="7">
        <v>45233</v>
      </c>
      <c r="F1458" s="55" t="str">
        <f>TEXT(Patient_Data[[#This Row],[Admission_Date]],"YYYY")</f>
        <v>2023</v>
      </c>
      <c r="G1458" s="8" t="s">
        <v>2938</v>
      </c>
      <c r="H1458" s="8" t="s">
        <v>28</v>
      </c>
      <c r="I1458" s="4" t="s">
        <v>29</v>
      </c>
      <c r="J1458" s="4">
        <v>71</v>
      </c>
      <c r="K1458" s="4" t="s">
        <v>54</v>
      </c>
      <c r="L1458" s="8">
        <v>4</v>
      </c>
      <c r="M1458" s="9" t="s">
        <v>72</v>
      </c>
      <c r="N1458" s="9" t="str">
        <f t="shared" si="11"/>
        <v>Surgery</v>
      </c>
      <c r="O1458" s="10">
        <v>19073.43</v>
      </c>
      <c r="P1458" s="10">
        <v>12283</v>
      </c>
      <c r="Q1458" s="11">
        <v>9.5</v>
      </c>
      <c r="R1458" s="13" t="str">
        <f>IF(Patient_Data!$L1458&lt;2,"Low Risk",IF(Patient_Data!$L1458&lt;4,"Moderate Risk","High Risk"))</f>
        <v>High Risk</v>
      </c>
      <c r="S1458" s="12" t="str">
        <f>IF(Patient_Data[[#This Row],[Age]]&lt;=18,"Pediatric",IF(Patient_Data[[#This Row],[Age]]&lt;=64,"Adult","Geriatric"))</f>
        <v>Geriatric</v>
      </c>
    </row>
    <row r="1459" spans="1:19" ht="15.75" customHeight="1" x14ac:dyDescent="0.3">
      <c r="A1459" s="4" t="s">
        <v>2939</v>
      </c>
      <c r="B1459" s="5" t="str">
        <f>TEXT(Patient_Data!$E1459,"mmmm")</f>
        <v>February</v>
      </c>
      <c r="C1459" s="6" t="str">
        <f t="shared" si="10"/>
        <v>Feb</v>
      </c>
      <c r="D1459" s="6">
        <f>MONTH(Patient_Data!$E1459)</f>
        <v>2</v>
      </c>
      <c r="E1459" s="7">
        <v>45345</v>
      </c>
      <c r="F1459" s="55" t="str">
        <f>TEXT(Patient_Data[[#This Row],[Admission_Date]],"YYYY")</f>
        <v>2024</v>
      </c>
      <c r="G1459" s="8" t="s">
        <v>2940</v>
      </c>
      <c r="H1459" s="8" t="s">
        <v>49</v>
      </c>
      <c r="I1459" s="4" t="s">
        <v>35</v>
      </c>
      <c r="J1459" s="4">
        <v>60</v>
      </c>
      <c r="K1459" s="4" t="s">
        <v>30</v>
      </c>
      <c r="L1459" s="8">
        <v>3</v>
      </c>
      <c r="M1459" s="9" t="s">
        <v>72</v>
      </c>
      <c r="N1459" s="9" t="str">
        <f t="shared" si="11"/>
        <v>Surgery</v>
      </c>
      <c r="O1459" s="10">
        <v>13100.55</v>
      </c>
      <c r="P1459" s="10">
        <v>8865.3700000000008</v>
      </c>
      <c r="Q1459" s="11">
        <v>11</v>
      </c>
      <c r="R1459" s="13" t="str">
        <f>IF(Patient_Data!$L1459&lt;2,"Low Risk",IF(Patient_Data!$L1459&lt;4,"Moderate Risk","High Risk"))</f>
        <v>Moderate Risk</v>
      </c>
      <c r="S1459" s="12" t="str">
        <f>IF(Patient_Data[[#This Row],[Age]]&lt;=18,"Pediatric",IF(Patient_Data[[#This Row],[Age]]&lt;=64,"Adult","Geriatric"))</f>
        <v>Adult</v>
      </c>
    </row>
    <row r="1460" spans="1:19" ht="15.75" customHeight="1" x14ac:dyDescent="0.3">
      <c r="A1460" s="4" t="s">
        <v>2941</v>
      </c>
      <c r="B1460" s="5" t="str">
        <f>TEXT(Patient_Data!$E1460,"mmmm")</f>
        <v>February</v>
      </c>
      <c r="C1460" s="6" t="str">
        <f t="shared" si="10"/>
        <v>Feb</v>
      </c>
      <c r="D1460" s="6">
        <f>MONTH(Patient_Data!$E1460)</f>
        <v>2</v>
      </c>
      <c r="E1460" s="7">
        <v>46066</v>
      </c>
      <c r="F1460" s="55" t="str">
        <f>TEXT(Patient_Data[[#This Row],[Admission_Date]],"YYYY")</f>
        <v>2026</v>
      </c>
      <c r="G1460" s="8" t="s">
        <v>2942</v>
      </c>
      <c r="H1460" s="8" t="s">
        <v>28</v>
      </c>
      <c r="I1460" s="4" t="s">
        <v>29</v>
      </c>
      <c r="J1460" s="4">
        <v>81</v>
      </c>
      <c r="K1460" s="4" t="s">
        <v>30</v>
      </c>
      <c r="L1460" s="8">
        <v>2</v>
      </c>
      <c r="M1460" s="9" t="s">
        <v>46</v>
      </c>
      <c r="N1460" s="9" t="str">
        <f t="shared" si="11"/>
        <v>Ortho</v>
      </c>
      <c r="O1460" s="10">
        <v>7852.43</v>
      </c>
      <c r="P1460" s="10">
        <v>5587.9</v>
      </c>
      <c r="Q1460" s="11">
        <v>11.4</v>
      </c>
      <c r="R1460" s="13" t="str">
        <f>IF(Patient_Data!$L1460&lt;2,"Low Risk",IF(Patient_Data!$L1460&lt;4,"Moderate Risk","High Risk"))</f>
        <v>Moderate Risk</v>
      </c>
      <c r="S1460" s="12" t="str">
        <f>IF(Patient_Data[[#This Row],[Age]]&lt;=18,"Pediatric",IF(Patient_Data[[#This Row],[Age]]&lt;=64,"Adult","Geriatric"))</f>
        <v>Geriatric</v>
      </c>
    </row>
    <row r="1461" spans="1:19" ht="15.75" customHeight="1" x14ac:dyDescent="0.3">
      <c r="A1461" s="4" t="s">
        <v>2943</v>
      </c>
      <c r="B1461" s="5" t="str">
        <f>TEXT(Patient_Data!$E1461,"mmmm")</f>
        <v>April</v>
      </c>
      <c r="C1461" s="6" t="str">
        <f t="shared" si="10"/>
        <v>Apr</v>
      </c>
      <c r="D1461" s="6">
        <f>MONTH(Patient_Data!$E1461)</f>
        <v>4</v>
      </c>
      <c r="E1461" s="7">
        <v>45407</v>
      </c>
      <c r="F1461" s="55" t="str">
        <f>TEXT(Patient_Data[[#This Row],[Admission_Date]],"YYYY")</f>
        <v>2024</v>
      </c>
      <c r="G1461" s="8" t="s">
        <v>2944</v>
      </c>
      <c r="H1461" s="8" t="s">
        <v>132</v>
      </c>
      <c r="I1461" s="4" t="s">
        <v>29</v>
      </c>
      <c r="J1461" s="4">
        <v>10</v>
      </c>
      <c r="K1461" s="4" t="s">
        <v>30</v>
      </c>
      <c r="L1461" s="8">
        <v>1</v>
      </c>
      <c r="M1461" s="9" t="s">
        <v>79</v>
      </c>
      <c r="N1461" s="9" t="str">
        <f t="shared" si="11"/>
        <v>PD</v>
      </c>
      <c r="O1461" s="10">
        <v>1579.19</v>
      </c>
      <c r="P1461" s="10">
        <v>1174.4100000000001</v>
      </c>
      <c r="Q1461" s="11">
        <v>2.7</v>
      </c>
      <c r="R1461" s="13" t="str">
        <f>IF(Patient_Data!$L1461&lt;2,"Low Risk",IF(Patient_Data!$L1461&lt;4,"Moderate Risk","High Risk"))</f>
        <v>Low Risk</v>
      </c>
      <c r="S1461" s="12" t="str">
        <f>IF(Patient_Data[[#This Row],[Age]]&lt;=18,"Pediatric",IF(Patient_Data[[#This Row],[Age]]&lt;=64,"Adult","Geriatric"))</f>
        <v>Pediatric</v>
      </c>
    </row>
    <row r="1462" spans="1:19" ht="15.75" customHeight="1" x14ac:dyDescent="0.3">
      <c r="A1462" s="4" t="s">
        <v>2945</v>
      </c>
      <c r="B1462" s="5" t="str">
        <f>TEXT(Patient_Data!$E1462,"mmmm")</f>
        <v>December</v>
      </c>
      <c r="C1462" s="6" t="str">
        <f t="shared" si="10"/>
        <v>Dec</v>
      </c>
      <c r="D1462" s="6">
        <f>MONTH(Patient_Data!$E1462)</f>
        <v>12</v>
      </c>
      <c r="E1462" s="7">
        <v>45652</v>
      </c>
      <c r="F1462" s="55" t="str">
        <f>TEXT(Patient_Data[[#This Row],[Admission_Date]],"YYYY")</f>
        <v>2024</v>
      </c>
      <c r="G1462" s="8" t="s">
        <v>2946</v>
      </c>
      <c r="H1462" s="8" t="s">
        <v>75</v>
      </c>
      <c r="I1462" s="4" t="s">
        <v>35</v>
      </c>
      <c r="J1462" s="4">
        <v>5</v>
      </c>
      <c r="K1462" s="4" t="s">
        <v>30</v>
      </c>
      <c r="L1462" s="8">
        <v>1</v>
      </c>
      <c r="M1462" s="9" t="s">
        <v>79</v>
      </c>
      <c r="N1462" s="9" t="str">
        <f t="shared" si="11"/>
        <v>PD</v>
      </c>
      <c r="O1462" s="10">
        <v>2264.2399999999998</v>
      </c>
      <c r="P1462" s="10">
        <v>1755.22</v>
      </c>
      <c r="Q1462" s="11">
        <v>4.3</v>
      </c>
      <c r="R1462" s="13" t="str">
        <f>IF(Patient_Data!$L1462&lt;2,"Low Risk",IF(Patient_Data!$L1462&lt;4,"Moderate Risk","High Risk"))</f>
        <v>Low Risk</v>
      </c>
      <c r="S1462" s="12" t="str">
        <f>IF(Patient_Data[[#This Row],[Age]]&lt;=18,"Pediatric",IF(Patient_Data[[#This Row],[Age]]&lt;=64,"Adult","Geriatric"))</f>
        <v>Pediatric</v>
      </c>
    </row>
    <row r="1463" spans="1:19" ht="15.75" customHeight="1" x14ac:dyDescent="0.3">
      <c r="A1463" s="4" t="s">
        <v>2947</v>
      </c>
      <c r="B1463" s="5" t="str">
        <f>TEXT(Patient_Data!$E1463,"mmmm")</f>
        <v>October</v>
      </c>
      <c r="C1463" s="6" t="str">
        <f t="shared" si="10"/>
        <v>Oct</v>
      </c>
      <c r="D1463" s="6">
        <f>MONTH(Patient_Data!$E1463)</f>
        <v>10</v>
      </c>
      <c r="E1463" s="7">
        <v>45596</v>
      </c>
      <c r="F1463" s="55" t="str">
        <f>TEXT(Patient_Data[[#This Row],[Admission_Date]],"YYYY")</f>
        <v>2024</v>
      </c>
      <c r="G1463" s="8" t="s">
        <v>2948</v>
      </c>
      <c r="H1463" s="8" t="s">
        <v>28</v>
      </c>
      <c r="I1463" s="4" t="s">
        <v>35</v>
      </c>
      <c r="J1463" s="4">
        <v>45</v>
      </c>
      <c r="K1463" s="4" t="s">
        <v>30</v>
      </c>
      <c r="L1463" s="8">
        <v>1</v>
      </c>
      <c r="M1463" s="9" t="s">
        <v>36</v>
      </c>
      <c r="N1463" s="9" t="str">
        <f t="shared" si="11"/>
        <v>Cardio</v>
      </c>
      <c r="O1463" s="10">
        <v>5473.93</v>
      </c>
      <c r="P1463" s="10">
        <v>3238.08</v>
      </c>
      <c r="Q1463" s="11">
        <v>7.9</v>
      </c>
      <c r="R1463" s="13" t="str">
        <f>IF(Patient_Data!$L1463&lt;2,"Low Risk",IF(Patient_Data!$L1463&lt;4,"Moderate Risk","High Risk"))</f>
        <v>Low Risk</v>
      </c>
      <c r="S1463" s="12" t="str">
        <f>IF(Patient_Data[[#This Row],[Age]]&lt;=18,"Pediatric",IF(Patient_Data[[#This Row],[Age]]&lt;=64,"Adult","Geriatric"))</f>
        <v>Adult</v>
      </c>
    </row>
    <row r="1464" spans="1:19" ht="15.75" customHeight="1" x14ac:dyDescent="0.3">
      <c r="A1464" s="4" t="s">
        <v>2949</v>
      </c>
      <c r="B1464" s="5" t="str">
        <f>TEXT(Patient_Data!$E1464,"mmmm")</f>
        <v>January</v>
      </c>
      <c r="C1464" s="6" t="str">
        <f t="shared" si="10"/>
        <v>Jan</v>
      </c>
      <c r="D1464" s="6">
        <f>MONTH(Patient_Data!$E1464)</f>
        <v>1</v>
      </c>
      <c r="E1464" s="7">
        <v>46043</v>
      </c>
      <c r="F1464" s="55" t="str">
        <f>TEXT(Patient_Data[[#This Row],[Admission_Date]],"YYYY")</f>
        <v>2026</v>
      </c>
      <c r="G1464" s="8" t="s">
        <v>2950</v>
      </c>
      <c r="H1464" s="8" t="s">
        <v>132</v>
      </c>
      <c r="I1464" s="4" t="s">
        <v>35</v>
      </c>
      <c r="J1464" s="4">
        <v>63</v>
      </c>
      <c r="K1464" s="4" t="s">
        <v>30</v>
      </c>
      <c r="L1464" s="8">
        <v>1</v>
      </c>
      <c r="M1464" s="9" t="s">
        <v>83</v>
      </c>
      <c r="N1464" s="9" t="str">
        <f t="shared" si="11"/>
        <v>ER</v>
      </c>
      <c r="O1464" s="10">
        <v>2737.71</v>
      </c>
      <c r="P1464" s="10">
        <v>1858</v>
      </c>
      <c r="Q1464" s="11">
        <v>23.5</v>
      </c>
      <c r="R1464" s="13" t="str">
        <f>IF(Patient_Data!$L1464&lt;2,"Low Risk",IF(Patient_Data!$L1464&lt;4,"Moderate Risk","High Risk"))</f>
        <v>Low Risk</v>
      </c>
      <c r="S1464" s="12" t="str">
        <f>IF(Patient_Data[[#This Row],[Age]]&lt;=18,"Pediatric",IF(Patient_Data[[#This Row],[Age]]&lt;=64,"Adult","Geriatric"))</f>
        <v>Adult</v>
      </c>
    </row>
    <row r="1465" spans="1:19" ht="15.75" customHeight="1" x14ac:dyDescent="0.3">
      <c r="A1465" s="4" t="s">
        <v>2951</v>
      </c>
      <c r="B1465" s="5" t="str">
        <f>TEXT(Patient_Data!$E1465,"mmmm")</f>
        <v>August</v>
      </c>
      <c r="C1465" s="6" t="str">
        <f t="shared" si="10"/>
        <v>Aug</v>
      </c>
      <c r="D1465" s="6">
        <f>MONTH(Patient_Data!$E1465)</f>
        <v>8</v>
      </c>
      <c r="E1465" s="7">
        <v>45506</v>
      </c>
      <c r="F1465" s="55" t="str">
        <f>TEXT(Patient_Data[[#This Row],[Admission_Date]],"YYYY")</f>
        <v>2024</v>
      </c>
      <c r="G1465" s="8" t="s">
        <v>2952</v>
      </c>
      <c r="H1465" s="8" t="s">
        <v>132</v>
      </c>
      <c r="I1465" s="4" t="s">
        <v>29</v>
      </c>
      <c r="J1465" s="4">
        <v>7</v>
      </c>
      <c r="K1465" s="4" t="s">
        <v>54</v>
      </c>
      <c r="L1465" s="8">
        <v>1</v>
      </c>
      <c r="M1465" s="9" t="s">
        <v>79</v>
      </c>
      <c r="N1465" s="9" t="str">
        <f t="shared" si="11"/>
        <v>PD</v>
      </c>
      <c r="O1465" s="10">
        <v>1920.08</v>
      </c>
      <c r="P1465" s="10">
        <v>1252.8499999999999</v>
      </c>
      <c r="Q1465" s="11">
        <v>3</v>
      </c>
      <c r="R1465" s="13" t="str">
        <f>IF(Patient_Data!$L1465&lt;2,"Low Risk",IF(Patient_Data!$L1465&lt;4,"Moderate Risk","High Risk"))</f>
        <v>Low Risk</v>
      </c>
      <c r="S1465" s="12" t="str">
        <f>IF(Patient_Data[[#This Row],[Age]]&lt;=18,"Pediatric",IF(Patient_Data[[#This Row],[Age]]&lt;=64,"Adult","Geriatric"))</f>
        <v>Pediatric</v>
      </c>
    </row>
    <row r="1466" spans="1:19" ht="15.75" customHeight="1" x14ac:dyDescent="0.3">
      <c r="A1466" s="4" t="s">
        <v>2953</v>
      </c>
      <c r="B1466" s="5" t="str">
        <f>TEXT(Patient_Data!$E1466,"mmmm")</f>
        <v>October</v>
      </c>
      <c r="C1466" s="6" t="str">
        <f t="shared" si="10"/>
        <v>Oct</v>
      </c>
      <c r="D1466" s="6">
        <f>MONTH(Patient_Data!$E1466)</f>
        <v>10</v>
      </c>
      <c r="E1466" s="7">
        <v>45590</v>
      </c>
      <c r="F1466" s="55" t="str">
        <f>TEXT(Patient_Data[[#This Row],[Admission_Date]],"YYYY")</f>
        <v>2024</v>
      </c>
      <c r="G1466" s="8" t="s">
        <v>2954</v>
      </c>
      <c r="H1466" s="8" t="s">
        <v>53</v>
      </c>
      <c r="I1466" s="4" t="s">
        <v>35</v>
      </c>
      <c r="J1466" s="4">
        <v>11</v>
      </c>
      <c r="K1466" s="4" t="s">
        <v>30</v>
      </c>
      <c r="L1466" s="8">
        <v>1</v>
      </c>
      <c r="M1466" s="9" t="s">
        <v>79</v>
      </c>
      <c r="N1466" s="9" t="str">
        <f t="shared" si="11"/>
        <v>PD</v>
      </c>
      <c r="O1466" s="10">
        <v>1093</v>
      </c>
      <c r="P1466" s="10">
        <v>741.11</v>
      </c>
      <c r="Q1466" s="11">
        <v>1.1000000000000001</v>
      </c>
      <c r="R1466" s="13" t="str">
        <f>IF(Patient_Data!$L1466&lt;2,"Low Risk",IF(Patient_Data!$L1466&lt;4,"Moderate Risk","High Risk"))</f>
        <v>Low Risk</v>
      </c>
      <c r="S1466" s="12" t="str">
        <f>IF(Patient_Data[[#This Row],[Age]]&lt;=18,"Pediatric",IF(Patient_Data[[#This Row],[Age]]&lt;=64,"Adult","Geriatric"))</f>
        <v>Pediatric</v>
      </c>
    </row>
    <row r="1467" spans="1:19" ht="15.75" customHeight="1" x14ac:dyDescent="0.3">
      <c r="A1467" s="4" t="s">
        <v>2955</v>
      </c>
      <c r="B1467" s="5" t="str">
        <f>TEXT(Patient_Data!$E1467,"mmmm")</f>
        <v>December</v>
      </c>
      <c r="C1467" s="6" t="str">
        <f t="shared" si="10"/>
        <v>Dec</v>
      </c>
      <c r="D1467" s="6">
        <f>MONTH(Patient_Data!$E1467)</f>
        <v>12</v>
      </c>
      <c r="E1467" s="7">
        <v>45288</v>
      </c>
      <c r="F1467" s="55" t="str">
        <f>TEXT(Patient_Data[[#This Row],[Admission_Date]],"YYYY")</f>
        <v>2023</v>
      </c>
      <c r="G1467" s="8" t="s">
        <v>2956</v>
      </c>
      <c r="H1467" s="8" t="s">
        <v>49</v>
      </c>
      <c r="I1467" s="4" t="s">
        <v>35</v>
      </c>
      <c r="J1467" s="4">
        <v>10</v>
      </c>
      <c r="K1467" s="4" t="s">
        <v>30</v>
      </c>
      <c r="L1467" s="8">
        <v>1</v>
      </c>
      <c r="M1467" s="9" t="s">
        <v>79</v>
      </c>
      <c r="N1467" s="9" t="str">
        <f t="shared" si="11"/>
        <v>PD</v>
      </c>
      <c r="O1467" s="10">
        <v>2476.37</v>
      </c>
      <c r="P1467" s="10">
        <v>1774.26</v>
      </c>
      <c r="Q1467" s="11">
        <v>5.0999999999999996</v>
      </c>
      <c r="R1467" s="13" t="str">
        <f>IF(Patient_Data!$L1467&lt;2,"Low Risk",IF(Patient_Data!$L1467&lt;4,"Moderate Risk","High Risk"))</f>
        <v>Low Risk</v>
      </c>
      <c r="S1467" s="12" t="str">
        <f>IF(Patient_Data[[#This Row],[Age]]&lt;=18,"Pediatric",IF(Patient_Data[[#This Row],[Age]]&lt;=64,"Adult","Geriatric"))</f>
        <v>Pediatric</v>
      </c>
    </row>
    <row r="1468" spans="1:19" ht="15.75" customHeight="1" x14ac:dyDescent="0.3">
      <c r="A1468" s="4" t="s">
        <v>2957</v>
      </c>
      <c r="B1468" s="5" t="str">
        <f>TEXT(Patient_Data!$E1468,"mmmm")</f>
        <v>August</v>
      </c>
      <c r="C1468" s="6" t="str">
        <f t="shared" si="10"/>
        <v>Aug</v>
      </c>
      <c r="D1468" s="6">
        <f>MONTH(Patient_Data!$E1468)</f>
        <v>8</v>
      </c>
      <c r="E1468" s="7">
        <v>45511</v>
      </c>
      <c r="F1468" s="55" t="str">
        <f>TEXT(Patient_Data[[#This Row],[Admission_Date]],"YYYY")</f>
        <v>2024</v>
      </c>
      <c r="G1468" s="8" t="s">
        <v>2958</v>
      </c>
      <c r="H1468" s="8" t="s">
        <v>53</v>
      </c>
      <c r="I1468" s="4" t="s">
        <v>29</v>
      </c>
      <c r="J1468" s="4">
        <v>60</v>
      </c>
      <c r="K1468" s="4" t="s">
        <v>30</v>
      </c>
      <c r="L1468" s="8">
        <v>1</v>
      </c>
      <c r="M1468" s="9" t="s">
        <v>83</v>
      </c>
      <c r="N1468" s="9" t="str">
        <f t="shared" si="11"/>
        <v>ER</v>
      </c>
      <c r="O1468" s="10">
        <v>6040.59</v>
      </c>
      <c r="P1468" s="10">
        <v>4564.03</v>
      </c>
      <c r="Q1468" s="11">
        <v>19.3</v>
      </c>
      <c r="R1468" s="13" t="str">
        <f>IF(Patient_Data!$L1468&lt;2,"Low Risk",IF(Patient_Data!$L1468&lt;4,"Moderate Risk","High Risk"))</f>
        <v>Low Risk</v>
      </c>
      <c r="S1468" s="12" t="str">
        <f>IF(Patient_Data[[#This Row],[Age]]&lt;=18,"Pediatric",IF(Patient_Data[[#This Row],[Age]]&lt;=64,"Adult","Geriatric"))</f>
        <v>Adult</v>
      </c>
    </row>
    <row r="1469" spans="1:19" ht="15.75" customHeight="1" x14ac:dyDescent="0.3">
      <c r="A1469" s="4" t="s">
        <v>2959</v>
      </c>
      <c r="B1469" s="5" t="str">
        <f>TEXT(Patient_Data!$E1469,"mmmm")</f>
        <v>February</v>
      </c>
      <c r="C1469" s="6" t="str">
        <f t="shared" si="10"/>
        <v>Feb</v>
      </c>
      <c r="D1469" s="6">
        <f>MONTH(Patient_Data!$E1469)</f>
        <v>2</v>
      </c>
      <c r="E1469" s="7">
        <v>45714</v>
      </c>
      <c r="F1469" s="55" t="str">
        <f>TEXT(Patient_Data[[#This Row],[Admission_Date]],"YYYY")</f>
        <v>2025</v>
      </c>
      <c r="G1469" s="8" t="s">
        <v>2960</v>
      </c>
      <c r="H1469" s="8" t="s">
        <v>82</v>
      </c>
      <c r="I1469" s="4" t="s">
        <v>29</v>
      </c>
      <c r="J1469" s="4">
        <v>75</v>
      </c>
      <c r="K1469" s="4" t="s">
        <v>54</v>
      </c>
      <c r="L1469" s="8">
        <v>2</v>
      </c>
      <c r="M1469" s="9" t="s">
        <v>39</v>
      </c>
      <c r="N1469" s="9" t="str">
        <f t="shared" si="11"/>
        <v>GM</v>
      </c>
      <c r="O1469" s="10">
        <v>3016.5</v>
      </c>
      <c r="P1469" s="10">
        <v>2370.14</v>
      </c>
      <c r="Q1469" s="11">
        <v>9.6999999999999993</v>
      </c>
      <c r="R1469" s="13" t="str">
        <f>IF(Patient_Data!$L1469&lt;2,"Low Risk",IF(Patient_Data!$L1469&lt;4,"Moderate Risk","High Risk"))</f>
        <v>Moderate Risk</v>
      </c>
      <c r="S1469" s="12" t="str">
        <f>IF(Patient_Data[[#This Row],[Age]]&lt;=18,"Pediatric",IF(Patient_Data[[#This Row],[Age]]&lt;=64,"Adult","Geriatric"))</f>
        <v>Geriatric</v>
      </c>
    </row>
    <row r="1470" spans="1:19" ht="15.75" customHeight="1" x14ac:dyDescent="0.3">
      <c r="A1470" s="4" t="s">
        <v>2961</v>
      </c>
      <c r="B1470" s="5" t="str">
        <f>TEXT(Patient_Data!$E1470,"mmmm")</f>
        <v>July</v>
      </c>
      <c r="C1470" s="6" t="str">
        <f t="shared" si="10"/>
        <v>Jul</v>
      </c>
      <c r="D1470" s="6">
        <f>MONTH(Patient_Data!$E1470)</f>
        <v>7</v>
      </c>
      <c r="E1470" s="7">
        <v>46220</v>
      </c>
      <c r="F1470" s="55" t="str">
        <f>TEXT(Patient_Data[[#This Row],[Admission_Date]],"YYYY")</f>
        <v>2026</v>
      </c>
      <c r="G1470" s="8" t="s">
        <v>2962</v>
      </c>
      <c r="H1470" s="8" t="s">
        <v>82</v>
      </c>
      <c r="I1470" s="4" t="s">
        <v>29</v>
      </c>
      <c r="J1470" s="4">
        <v>57</v>
      </c>
      <c r="K1470" s="4" t="s">
        <v>30</v>
      </c>
      <c r="L1470" s="8">
        <v>3</v>
      </c>
      <c r="M1470" s="9" t="s">
        <v>50</v>
      </c>
      <c r="N1470" s="9" t="str">
        <f t="shared" si="11"/>
        <v>ICU</v>
      </c>
      <c r="O1470" s="10">
        <v>10278.44</v>
      </c>
      <c r="P1470" s="10">
        <v>6083.1</v>
      </c>
      <c r="Q1470" s="11">
        <v>15.2</v>
      </c>
      <c r="R1470" s="13" t="str">
        <f>IF(Patient_Data!$L1470&lt;2,"Low Risk",IF(Patient_Data!$L1470&lt;4,"Moderate Risk","High Risk"))</f>
        <v>Moderate Risk</v>
      </c>
      <c r="S1470" s="12" t="str">
        <f>IF(Patient_Data[[#This Row],[Age]]&lt;=18,"Pediatric",IF(Patient_Data[[#This Row],[Age]]&lt;=64,"Adult","Geriatric"))</f>
        <v>Adult</v>
      </c>
    </row>
    <row r="1471" spans="1:19" ht="15.75" customHeight="1" x14ac:dyDescent="0.3">
      <c r="A1471" s="4" t="s">
        <v>2963</v>
      </c>
      <c r="B1471" s="5" t="str">
        <f>TEXT(Patient_Data!$E1471,"mmmm")</f>
        <v>March</v>
      </c>
      <c r="C1471" s="6" t="str">
        <f t="shared" si="10"/>
        <v>Mar</v>
      </c>
      <c r="D1471" s="6">
        <f>MONTH(Patient_Data!$E1471)</f>
        <v>3</v>
      </c>
      <c r="E1471" s="7">
        <v>45362</v>
      </c>
      <c r="F1471" s="55" t="str">
        <f>TEXT(Patient_Data[[#This Row],[Admission_Date]],"YYYY")</f>
        <v>2024</v>
      </c>
      <c r="G1471" s="8" t="s">
        <v>2964</v>
      </c>
      <c r="H1471" s="8" t="s">
        <v>28</v>
      </c>
      <c r="I1471" s="4" t="s">
        <v>29</v>
      </c>
      <c r="J1471" s="4">
        <v>76</v>
      </c>
      <c r="K1471" s="4" t="s">
        <v>30</v>
      </c>
      <c r="L1471" s="8">
        <v>2</v>
      </c>
      <c r="M1471" s="9" t="s">
        <v>36</v>
      </c>
      <c r="N1471" s="9" t="str">
        <f t="shared" si="11"/>
        <v>Cardio</v>
      </c>
      <c r="O1471" s="10">
        <v>10929.24</v>
      </c>
      <c r="P1471" s="10">
        <v>6723.64</v>
      </c>
      <c r="Q1471" s="11">
        <v>7.1</v>
      </c>
      <c r="R1471" s="13" t="str">
        <f>IF(Patient_Data!$L1471&lt;2,"Low Risk",IF(Patient_Data!$L1471&lt;4,"Moderate Risk","High Risk"))</f>
        <v>Moderate Risk</v>
      </c>
      <c r="S1471" s="12" t="str">
        <f>IF(Patient_Data[[#This Row],[Age]]&lt;=18,"Pediatric",IF(Patient_Data[[#This Row],[Age]]&lt;=64,"Adult","Geriatric"))</f>
        <v>Geriatric</v>
      </c>
    </row>
    <row r="1472" spans="1:19" ht="15.75" customHeight="1" x14ac:dyDescent="0.3">
      <c r="A1472" s="4" t="s">
        <v>2965</v>
      </c>
      <c r="B1472" s="5" t="str">
        <f>TEXT(Patient_Data!$E1472,"mmmm")</f>
        <v>December</v>
      </c>
      <c r="C1472" s="6" t="str">
        <f t="shared" si="10"/>
        <v>Dec</v>
      </c>
      <c r="D1472" s="6">
        <f>MONTH(Patient_Data!$E1472)</f>
        <v>12</v>
      </c>
      <c r="E1472" s="7">
        <v>46009</v>
      </c>
      <c r="F1472" s="55" t="str">
        <f>TEXT(Patient_Data[[#This Row],[Admission_Date]],"YYYY")</f>
        <v>2025</v>
      </c>
      <c r="G1472" s="8" t="s">
        <v>2966</v>
      </c>
      <c r="H1472" s="8" t="s">
        <v>82</v>
      </c>
      <c r="I1472" s="4" t="s">
        <v>35</v>
      </c>
      <c r="J1472" s="4">
        <v>61</v>
      </c>
      <c r="K1472" s="4" t="s">
        <v>45</v>
      </c>
      <c r="L1472" s="8">
        <v>3</v>
      </c>
      <c r="M1472" s="9" t="s">
        <v>72</v>
      </c>
      <c r="N1472" s="9" t="str">
        <f t="shared" si="11"/>
        <v>Surgery</v>
      </c>
      <c r="O1472" s="10">
        <v>11169.74</v>
      </c>
      <c r="P1472" s="10">
        <v>7224.63</v>
      </c>
      <c r="Q1472" s="11">
        <v>9.5</v>
      </c>
      <c r="R1472" s="13" t="str">
        <f>IF(Patient_Data!$L1472&lt;2,"Low Risk",IF(Patient_Data!$L1472&lt;4,"Moderate Risk","High Risk"))</f>
        <v>Moderate Risk</v>
      </c>
      <c r="S1472" s="12" t="str">
        <f>IF(Patient_Data[[#This Row],[Age]]&lt;=18,"Pediatric",IF(Patient_Data[[#This Row],[Age]]&lt;=64,"Adult","Geriatric"))</f>
        <v>Adult</v>
      </c>
    </row>
    <row r="1473" spans="1:19" ht="15.75" customHeight="1" x14ac:dyDescent="0.3">
      <c r="A1473" s="4" t="s">
        <v>2967</v>
      </c>
      <c r="B1473" s="5" t="str">
        <f>TEXT(Patient_Data!$E1473,"mmmm")</f>
        <v>December</v>
      </c>
      <c r="C1473" s="6" t="str">
        <f t="shared" si="10"/>
        <v>Dec</v>
      </c>
      <c r="D1473" s="6">
        <f>MONTH(Patient_Data!$E1473)</f>
        <v>12</v>
      </c>
      <c r="E1473" s="7">
        <v>45288</v>
      </c>
      <c r="F1473" s="55" t="str">
        <f>TEXT(Patient_Data[[#This Row],[Admission_Date]],"YYYY")</f>
        <v>2023</v>
      </c>
      <c r="G1473" s="8" t="s">
        <v>2968</v>
      </c>
      <c r="H1473" s="8" t="s">
        <v>82</v>
      </c>
      <c r="I1473" s="4" t="s">
        <v>35</v>
      </c>
      <c r="J1473" s="4">
        <v>35</v>
      </c>
      <c r="K1473" s="4" t="s">
        <v>54</v>
      </c>
      <c r="L1473" s="8">
        <v>3</v>
      </c>
      <c r="M1473" s="9" t="s">
        <v>31</v>
      </c>
      <c r="N1473" s="9" t="str">
        <f t="shared" si="11"/>
        <v>Neuro</v>
      </c>
      <c r="O1473" s="10">
        <v>6436.43</v>
      </c>
      <c r="P1473" s="10">
        <v>4405.21</v>
      </c>
      <c r="Q1473" s="11">
        <v>11.6</v>
      </c>
      <c r="R1473" s="13" t="str">
        <f>IF(Patient_Data!$L1473&lt;2,"Low Risk",IF(Patient_Data!$L1473&lt;4,"Moderate Risk","High Risk"))</f>
        <v>Moderate Risk</v>
      </c>
      <c r="S1473" s="12" t="str">
        <f>IF(Patient_Data[[#This Row],[Age]]&lt;=18,"Pediatric",IF(Patient_Data[[#This Row],[Age]]&lt;=64,"Adult","Geriatric"))</f>
        <v>Adult</v>
      </c>
    </row>
    <row r="1474" spans="1:19" ht="15.75" customHeight="1" x14ac:dyDescent="0.3">
      <c r="A1474" s="4" t="s">
        <v>2969</v>
      </c>
      <c r="B1474" s="5" t="str">
        <f>TEXT(Patient_Data!$E1474,"mmmm")</f>
        <v>March</v>
      </c>
      <c r="C1474" s="6" t="str">
        <f t="shared" si="10"/>
        <v>Mar</v>
      </c>
      <c r="D1474" s="6">
        <f>MONTH(Patient_Data!$E1474)</f>
        <v>3</v>
      </c>
      <c r="E1474" s="7">
        <v>45734</v>
      </c>
      <c r="F1474" s="55" t="str">
        <f>TEXT(Patient_Data[[#This Row],[Admission_Date]],"YYYY")</f>
        <v>2025</v>
      </c>
      <c r="G1474" s="8" t="s">
        <v>2970</v>
      </c>
      <c r="H1474" s="8" t="s">
        <v>132</v>
      </c>
      <c r="I1474" s="4" t="s">
        <v>35</v>
      </c>
      <c r="J1474" s="4">
        <v>83</v>
      </c>
      <c r="K1474" s="4" t="s">
        <v>45</v>
      </c>
      <c r="L1474" s="8">
        <v>5</v>
      </c>
      <c r="M1474" s="9" t="s">
        <v>46</v>
      </c>
      <c r="N1474" s="9" t="str">
        <f t="shared" si="11"/>
        <v>Ortho</v>
      </c>
      <c r="O1474" s="10">
        <v>7330.39</v>
      </c>
      <c r="P1474" s="10">
        <v>5175.2700000000004</v>
      </c>
      <c r="Q1474" s="11">
        <v>5.5</v>
      </c>
      <c r="R1474" s="13" t="str">
        <f>IF(Patient_Data!$L1474&lt;2,"Low Risk",IF(Patient_Data!$L1474&lt;4,"Moderate Risk","High Risk"))</f>
        <v>High Risk</v>
      </c>
      <c r="S1474" s="12" t="str">
        <f>IF(Patient_Data[[#This Row],[Age]]&lt;=18,"Pediatric",IF(Patient_Data[[#This Row],[Age]]&lt;=64,"Adult","Geriatric"))</f>
        <v>Geriatric</v>
      </c>
    </row>
    <row r="1475" spans="1:19" ht="15.75" customHeight="1" x14ac:dyDescent="0.3">
      <c r="A1475" s="4" t="s">
        <v>2971</v>
      </c>
      <c r="B1475" s="5" t="str">
        <f>TEXT(Patient_Data!$E1475,"mmmm")</f>
        <v>May</v>
      </c>
      <c r="C1475" s="6" t="str">
        <f t="shared" si="10"/>
        <v>May</v>
      </c>
      <c r="D1475" s="6">
        <f>MONTH(Patient_Data!$E1475)</f>
        <v>5</v>
      </c>
      <c r="E1475" s="7">
        <v>45426</v>
      </c>
      <c r="F1475" s="55" t="str">
        <f>TEXT(Patient_Data[[#This Row],[Admission_Date]],"YYYY")</f>
        <v>2024</v>
      </c>
      <c r="G1475" s="8" t="s">
        <v>2972</v>
      </c>
      <c r="H1475" s="8" t="s">
        <v>28</v>
      </c>
      <c r="I1475" s="4" t="s">
        <v>29</v>
      </c>
      <c r="J1475" s="4">
        <v>4</v>
      </c>
      <c r="K1475" s="4" t="s">
        <v>54</v>
      </c>
      <c r="L1475" s="8">
        <v>2</v>
      </c>
      <c r="M1475" s="9" t="s">
        <v>79</v>
      </c>
      <c r="N1475" s="9" t="str">
        <f t="shared" si="11"/>
        <v>PD</v>
      </c>
      <c r="O1475" s="10">
        <v>2384.04</v>
      </c>
      <c r="P1475" s="10">
        <v>1785.15</v>
      </c>
      <c r="Q1475" s="11">
        <v>5.6</v>
      </c>
      <c r="R1475" s="13" t="str">
        <f>IF(Patient_Data!$L1475&lt;2,"Low Risk",IF(Patient_Data!$L1475&lt;4,"Moderate Risk","High Risk"))</f>
        <v>Moderate Risk</v>
      </c>
      <c r="S1475" s="12" t="str">
        <f>IF(Patient_Data[[#This Row],[Age]]&lt;=18,"Pediatric",IF(Patient_Data[[#This Row],[Age]]&lt;=64,"Adult","Geriatric"))</f>
        <v>Pediatric</v>
      </c>
    </row>
    <row r="1476" spans="1:19" ht="15.75" customHeight="1" x14ac:dyDescent="0.3">
      <c r="A1476" s="4" t="s">
        <v>2973</v>
      </c>
      <c r="B1476" s="5" t="str">
        <f>TEXT(Patient_Data!$E1476,"mmmm")</f>
        <v>June</v>
      </c>
      <c r="C1476" s="6" t="str">
        <f t="shared" si="10"/>
        <v>Jun</v>
      </c>
      <c r="D1476" s="6">
        <f>MONTH(Patient_Data!$E1476)</f>
        <v>6</v>
      </c>
      <c r="E1476" s="7">
        <v>45826</v>
      </c>
      <c r="F1476" s="55" t="str">
        <f>TEXT(Patient_Data[[#This Row],[Admission_Date]],"YYYY")</f>
        <v>2025</v>
      </c>
      <c r="G1476" s="8" t="s">
        <v>2974</v>
      </c>
      <c r="H1476" s="8" t="s">
        <v>132</v>
      </c>
      <c r="I1476" s="4" t="s">
        <v>29</v>
      </c>
      <c r="J1476" s="4">
        <v>15</v>
      </c>
      <c r="K1476" s="4" t="s">
        <v>30</v>
      </c>
      <c r="L1476" s="8">
        <v>1</v>
      </c>
      <c r="M1476" s="9" t="s">
        <v>79</v>
      </c>
      <c r="N1476" s="9" t="str">
        <f t="shared" si="11"/>
        <v>PD</v>
      </c>
      <c r="O1476" s="10">
        <v>1144.6199999999999</v>
      </c>
      <c r="P1476" s="10">
        <v>889.91</v>
      </c>
      <c r="Q1476" s="11">
        <v>2.5</v>
      </c>
      <c r="R1476" s="13" t="str">
        <f>IF(Patient_Data!$L1476&lt;2,"Low Risk",IF(Patient_Data!$L1476&lt;4,"Moderate Risk","High Risk"))</f>
        <v>Low Risk</v>
      </c>
      <c r="S1476" s="12" t="str">
        <f>IF(Patient_Data[[#This Row],[Age]]&lt;=18,"Pediatric",IF(Patient_Data[[#This Row],[Age]]&lt;=64,"Adult","Geriatric"))</f>
        <v>Pediatric</v>
      </c>
    </row>
    <row r="1477" spans="1:19" ht="15.75" customHeight="1" x14ac:dyDescent="0.3">
      <c r="A1477" s="4" t="s">
        <v>2975</v>
      </c>
      <c r="B1477" s="5" t="str">
        <f>TEXT(Patient_Data!$E1477,"mmmm")</f>
        <v>January</v>
      </c>
      <c r="C1477" s="6" t="str">
        <f t="shared" si="10"/>
        <v>Jan</v>
      </c>
      <c r="D1477" s="6">
        <f>MONTH(Patient_Data!$E1477)</f>
        <v>1</v>
      </c>
      <c r="E1477" s="7">
        <v>45673</v>
      </c>
      <c r="F1477" s="55" t="str">
        <f>TEXT(Patient_Data[[#This Row],[Admission_Date]],"YYYY")</f>
        <v>2025</v>
      </c>
      <c r="G1477" s="8" t="s">
        <v>2976</v>
      </c>
      <c r="H1477" s="8" t="s">
        <v>75</v>
      </c>
      <c r="I1477" s="4" t="s">
        <v>35</v>
      </c>
      <c r="J1477" s="4">
        <v>47</v>
      </c>
      <c r="K1477" s="4" t="s">
        <v>30</v>
      </c>
      <c r="L1477" s="8">
        <v>5</v>
      </c>
      <c r="M1477" s="9" t="s">
        <v>36</v>
      </c>
      <c r="N1477" s="9" t="str">
        <f t="shared" si="11"/>
        <v>Cardio</v>
      </c>
      <c r="O1477" s="10">
        <v>10054.73</v>
      </c>
      <c r="P1477" s="10">
        <v>5917.34</v>
      </c>
      <c r="Q1477" s="11">
        <v>10.7</v>
      </c>
      <c r="R1477" s="13" t="str">
        <f>IF(Patient_Data!$L1477&lt;2,"Low Risk",IF(Patient_Data!$L1477&lt;4,"Moderate Risk","High Risk"))</f>
        <v>High Risk</v>
      </c>
      <c r="S1477" s="12" t="str">
        <f>IF(Patient_Data[[#This Row],[Age]]&lt;=18,"Pediatric",IF(Patient_Data[[#This Row],[Age]]&lt;=64,"Adult","Geriatric"))</f>
        <v>Adult</v>
      </c>
    </row>
    <row r="1478" spans="1:19" ht="15.75" customHeight="1" x14ac:dyDescent="0.3">
      <c r="A1478" s="4" t="s">
        <v>2977</v>
      </c>
      <c r="B1478" s="5" t="str">
        <f>TEXT(Patient_Data!$E1478,"mmmm")</f>
        <v>November</v>
      </c>
      <c r="C1478" s="6" t="str">
        <f t="shared" si="10"/>
        <v>Nov</v>
      </c>
      <c r="D1478" s="6">
        <f>MONTH(Patient_Data!$E1478)</f>
        <v>11</v>
      </c>
      <c r="E1478" s="7">
        <v>45971</v>
      </c>
      <c r="F1478" s="55" t="str">
        <f>TEXT(Patient_Data[[#This Row],[Admission_Date]],"YYYY")</f>
        <v>2025</v>
      </c>
      <c r="G1478" s="8" t="s">
        <v>2978</v>
      </c>
      <c r="H1478" s="8" t="s">
        <v>132</v>
      </c>
      <c r="I1478" s="4" t="s">
        <v>29</v>
      </c>
      <c r="J1478" s="4">
        <v>11</v>
      </c>
      <c r="K1478" s="4" t="s">
        <v>30</v>
      </c>
      <c r="L1478" s="8">
        <v>1</v>
      </c>
      <c r="M1478" s="9" t="s">
        <v>79</v>
      </c>
      <c r="N1478" s="9" t="str">
        <f t="shared" si="11"/>
        <v>PD</v>
      </c>
      <c r="O1478" s="10">
        <v>1549.08</v>
      </c>
      <c r="P1478" s="10">
        <v>966.54</v>
      </c>
      <c r="Q1478" s="11">
        <v>2.7</v>
      </c>
      <c r="R1478" s="13" t="str">
        <f>IF(Patient_Data!$L1478&lt;2,"Low Risk",IF(Patient_Data!$L1478&lt;4,"Moderate Risk","High Risk"))</f>
        <v>Low Risk</v>
      </c>
      <c r="S1478" s="12" t="str">
        <f>IF(Patient_Data[[#This Row],[Age]]&lt;=18,"Pediatric",IF(Patient_Data[[#This Row],[Age]]&lt;=64,"Adult","Geriatric"))</f>
        <v>Pediatric</v>
      </c>
    </row>
    <row r="1479" spans="1:19" ht="15.75" customHeight="1" x14ac:dyDescent="0.3">
      <c r="A1479" s="4" t="s">
        <v>2979</v>
      </c>
      <c r="B1479" s="5" t="str">
        <f>TEXT(Patient_Data!$E1479,"mmmm")</f>
        <v>May</v>
      </c>
      <c r="C1479" s="6" t="str">
        <f t="shared" si="10"/>
        <v>May</v>
      </c>
      <c r="D1479" s="6">
        <f>MONTH(Patient_Data!$E1479)</f>
        <v>5</v>
      </c>
      <c r="E1479" s="7">
        <v>46169</v>
      </c>
      <c r="F1479" s="55" t="str">
        <f>TEXT(Patient_Data[[#This Row],[Admission_Date]],"YYYY")</f>
        <v>2026</v>
      </c>
      <c r="G1479" s="8" t="s">
        <v>2980</v>
      </c>
      <c r="H1479" s="8" t="s">
        <v>53</v>
      </c>
      <c r="I1479" s="4" t="s">
        <v>29</v>
      </c>
      <c r="J1479" s="4">
        <v>77</v>
      </c>
      <c r="K1479" s="4" t="s">
        <v>45</v>
      </c>
      <c r="L1479" s="8">
        <v>5</v>
      </c>
      <c r="M1479" s="9" t="s">
        <v>31</v>
      </c>
      <c r="N1479" s="9" t="str">
        <f t="shared" si="11"/>
        <v>Neuro</v>
      </c>
      <c r="O1479" s="10">
        <v>7794.13</v>
      </c>
      <c r="P1479" s="10">
        <v>5047.4399999999996</v>
      </c>
      <c r="Q1479" s="11">
        <v>7.4</v>
      </c>
      <c r="R1479" s="13" t="str">
        <f>IF(Patient_Data!$L1479&lt;2,"Low Risk",IF(Patient_Data!$L1479&lt;4,"Moderate Risk","High Risk"))</f>
        <v>High Risk</v>
      </c>
      <c r="S1479" s="12" t="str">
        <f>IF(Patient_Data[[#This Row],[Age]]&lt;=18,"Pediatric",IF(Patient_Data[[#This Row],[Age]]&lt;=64,"Adult","Geriatric"))</f>
        <v>Geriatric</v>
      </c>
    </row>
    <row r="1480" spans="1:19" ht="15.75" customHeight="1" x14ac:dyDescent="0.3">
      <c r="A1480" s="4" t="s">
        <v>2981</v>
      </c>
      <c r="B1480" s="5" t="str">
        <f>TEXT(Patient_Data!$E1480,"mmmm")</f>
        <v>March</v>
      </c>
      <c r="C1480" s="6" t="str">
        <f t="shared" si="10"/>
        <v>Mar</v>
      </c>
      <c r="D1480" s="6">
        <f>MONTH(Patient_Data!$E1480)</f>
        <v>3</v>
      </c>
      <c r="E1480" s="7">
        <v>45357</v>
      </c>
      <c r="F1480" s="55" t="str">
        <f>TEXT(Patient_Data[[#This Row],[Admission_Date]],"YYYY")</f>
        <v>2024</v>
      </c>
      <c r="G1480" s="8" t="s">
        <v>2982</v>
      </c>
      <c r="H1480" s="8" t="s">
        <v>82</v>
      </c>
      <c r="I1480" s="4" t="s">
        <v>35</v>
      </c>
      <c r="J1480" s="4">
        <v>13</v>
      </c>
      <c r="K1480" s="4" t="s">
        <v>30</v>
      </c>
      <c r="L1480" s="8">
        <v>2</v>
      </c>
      <c r="M1480" s="9" t="s">
        <v>79</v>
      </c>
      <c r="N1480" s="9" t="str">
        <f t="shared" si="11"/>
        <v>PD</v>
      </c>
      <c r="O1480" s="10">
        <v>2882.09</v>
      </c>
      <c r="P1480" s="10">
        <v>1976.6</v>
      </c>
      <c r="Q1480" s="11">
        <v>5.7</v>
      </c>
      <c r="R1480" s="13" t="str">
        <f>IF(Patient_Data!$L1480&lt;2,"Low Risk",IF(Patient_Data!$L1480&lt;4,"Moderate Risk","High Risk"))</f>
        <v>Moderate Risk</v>
      </c>
      <c r="S1480" s="12" t="str">
        <f>IF(Patient_Data[[#This Row],[Age]]&lt;=18,"Pediatric",IF(Patient_Data[[#This Row],[Age]]&lt;=64,"Adult","Geriatric"))</f>
        <v>Pediatric</v>
      </c>
    </row>
    <row r="1481" spans="1:19" ht="15.75" customHeight="1" x14ac:dyDescent="0.3">
      <c r="A1481" s="4" t="s">
        <v>2983</v>
      </c>
      <c r="B1481" s="5" t="str">
        <f>TEXT(Patient_Data!$E1481,"mmmm")</f>
        <v>December</v>
      </c>
      <c r="C1481" s="6" t="str">
        <f t="shared" si="10"/>
        <v>Dec</v>
      </c>
      <c r="D1481" s="6">
        <f>MONTH(Patient_Data!$E1481)</f>
        <v>12</v>
      </c>
      <c r="E1481" s="7">
        <v>45992</v>
      </c>
      <c r="F1481" s="55" t="str">
        <f>TEXT(Patient_Data[[#This Row],[Admission_Date]],"YYYY")</f>
        <v>2025</v>
      </c>
      <c r="G1481" s="8" t="s">
        <v>2984</v>
      </c>
      <c r="H1481" s="8" t="s">
        <v>49</v>
      </c>
      <c r="I1481" s="4" t="s">
        <v>35</v>
      </c>
      <c r="J1481" s="4">
        <v>48</v>
      </c>
      <c r="K1481" s="4" t="s">
        <v>30</v>
      </c>
      <c r="L1481" s="8">
        <v>2</v>
      </c>
      <c r="M1481" s="9" t="s">
        <v>36</v>
      </c>
      <c r="N1481" s="9" t="str">
        <f t="shared" si="11"/>
        <v>Cardio</v>
      </c>
      <c r="O1481" s="10">
        <v>8318.4599999999991</v>
      </c>
      <c r="P1481" s="10">
        <v>5897.32</v>
      </c>
      <c r="Q1481" s="11">
        <v>9.3000000000000007</v>
      </c>
      <c r="R1481" s="13" t="str">
        <f>IF(Patient_Data!$L1481&lt;2,"Low Risk",IF(Patient_Data!$L1481&lt;4,"Moderate Risk","High Risk"))</f>
        <v>Moderate Risk</v>
      </c>
      <c r="S1481" s="12" t="str">
        <f>IF(Patient_Data[[#This Row],[Age]]&lt;=18,"Pediatric",IF(Patient_Data[[#This Row],[Age]]&lt;=64,"Adult","Geriatric"))</f>
        <v>Adult</v>
      </c>
    </row>
    <row r="1482" spans="1:19" ht="15.75" customHeight="1" x14ac:dyDescent="0.3">
      <c r="A1482" s="4" t="s">
        <v>2985</v>
      </c>
      <c r="B1482" s="5" t="str">
        <f>TEXT(Patient_Data!$E1482,"mmmm")</f>
        <v>September</v>
      </c>
      <c r="C1482" s="6" t="str">
        <f t="shared" si="10"/>
        <v>Sep</v>
      </c>
      <c r="D1482" s="6">
        <f>MONTH(Patient_Data!$E1482)</f>
        <v>9</v>
      </c>
      <c r="E1482" s="7">
        <v>45922</v>
      </c>
      <c r="F1482" s="55" t="str">
        <f>TEXT(Patient_Data[[#This Row],[Admission_Date]],"YYYY")</f>
        <v>2025</v>
      </c>
      <c r="G1482" s="8" t="s">
        <v>2986</v>
      </c>
      <c r="H1482" s="8" t="s">
        <v>28</v>
      </c>
      <c r="I1482" s="4" t="s">
        <v>35</v>
      </c>
      <c r="J1482" s="4">
        <v>47</v>
      </c>
      <c r="K1482" s="4" t="s">
        <v>30</v>
      </c>
      <c r="L1482" s="8">
        <v>1</v>
      </c>
      <c r="M1482" s="9" t="s">
        <v>83</v>
      </c>
      <c r="N1482" s="9" t="str">
        <f t="shared" si="11"/>
        <v>ER</v>
      </c>
      <c r="O1482" s="10">
        <v>6557.9</v>
      </c>
      <c r="P1482" s="10">
        <v>4952.87</v>
      </c>
      <c r="Q1482" s="11">
        <v>20.7</v>
      </c>
      <c r="R1482" s="13" t="str">
        <f>IF(Patient_Data!$L1482&lt;2,"Low Risk",IF(Patient_Data!$L1482&lt;4,"Moderate Risk","High Risk"))</f>
        <v>Low Risk</v>
      </c>
      <c r="S1482" s="12" t="str">
        <f>IF(Patient_Data[[#This Row],[Age]]&lt;=18,"Pediatric",IF(Patient_Data[[#This Row],[Age]]&lt;=64,"Adult","Geriatric"))</f>
        <v>Adult</v>
      </c>
    </row>
    <row r="1483" spans="1:19" ht="15.75" customHeight="1" x14ac:dyDescent="0.3">
      <c r="A1483" s="4" t="s">
        <v>2987</v>
      </c>
      <c r="B1483" s="5" t="str">
        <f>TEXT(Patient_Data!$E1483,"mmmm")</f>
        <v>March</v>
      </c>
      <c r="C1483" s="6" t="str">
        <f t="shared" si="10"/>
        <v>Mar</v>
      </c>
      <c r="D1483" s="6">
        <f>MONTH(Patient_Data!$E1483)</f>
        <v>3</v>
      </c>
      <c r="E1483" s="7">
        <v>46098</v>
      </c>
      <c r="F1483" s="55" t="str">
        <f>TEXT(Patient_Data[[#This Row],[Admission_Date]],"YYYY")</f>
        <v>2026</v>
      </c>
      <c r="G1483" s="8" t="s">
        <v>2988</v>
      </c>
      <c r="H1483" s="8" t="s">
        <v>28</v>
      </c>
      <c r="I1483" s="4" t="s">
        <v>35</v>
      </c>
      <c r="J1483" s="4">
        <v>79</v>
      </c>
      <c r="K1483" s="4" t="s">
        <v>30</v>
      </c>
      <c r="L1483" s="8">
        <v>3</v>
      </c>
      <c r="M1483" s="9" t="s">
        <v>39</v>
      </c>
      <c r="N1483" s="9" t="str">
        <f t="shared" si="11"/>
        <v>GM</v>
      </c>
      <c r="O1483" s="10">
        <v>6273.26</v>
      </c>
      <c r="P1483" s="10">
        <v>4799.68</v>
      </c>
      <c r="Q1483" s="11">
        <v>4</v>
      </c>
      <c r="R1483" s="13" t="str">
        <f>IF(Patient_Data!$L1483&lt;2,"Low Risk",IF(Patient_Data!$L1483&lt;4,"Moderate Risk","High Risk"))</f>
        <v>Moderate Risk</v>
      </c>
      <c r="S1483" s="12" t="str">
        <f>IF(Patient_Data[[#This Row],[Age]]&lt;=18,"Pediatric",IF(Patient_Data[[#This Row],[Age]]&lt;=64,"Adult","Geriatric"))</f>
        <v>Geriatric</v>
      </c>
    </row>
    <row r="1484" spans="1:19" ht="15.75" customHeight="1" x14ac:dyDescent="0.3">
      <c r="A1484" s="4" t="s">
        <v>2989</v>
      </c>
      <c r="B1484" s="5" t="str">
        <f>TEXT(Patient_Data!$E1484,"mmmm")</f>
        <v>March</v>
      </c>
      <c r="C1484" s="6" t="str">
        <f t="shared" si="10"/>
        <v>Mar</v>
      </c>
      <c r="D1484" s="6">
        <f>MONTH(Patient_Data!$E1484)</f>
        <v>3</v>
      </c>
      <c r="E1484" s="7">
        <v>45357</v>
      </c>
      <c r="F1484" s="55" t="str">
        <f>TEXT(Patient_Data[[#This Row],[Admission_Date]],"YYYY")</f>
        <v>2024</v>
      </c>
      <c r="G1484" s="8" t="s">
        <v>2990</v>
      </c>
      <c r="H1484" s="8" t="s">
        <v>34</v>
      </c>
      <c r="I1484" s="4" t="s">
        <v>29</v>
      </c>
      <c r="J1484" s="4">
        <v>28</v>
      </c>
      <c r="K1484" s="4" t="s">
        <v>45</v>
      </c>
      <c r="L1484" s="8">
        <v>4</v>
      </c>
      <c r="M1484" s="9" t="s">
        <v>72</v>
      </c>
      <c r="N1484" s="9" t="str">
        <f t="shared" si="11"/>
        <v>Surgery</v>
      </c>
      <c r="O1484" s="10">
        <v>12392.6</v>
      </c>
      <c r="P1484" s="10">
        <v>7280.51</v>
      </c>
      <c r="Q1484" s="11">
        <v>11.6</v>
      </c>
      <c r="R1484" s="13" t="str">
        <f>IF(Patient_Data!$L1484&lt;2,"Low Risk",IF(Patient_Data!$L1484&lt;4,"Moderate Risk","High Risk"))</f>
        <v>High Risk</v>
      </c>
      <c r="S1484" s="12" t="str">
        <f>IF(Patient_Data[[#This Row],[Age]]&lt;=18,"Pediatric",IF(Patient_Data[[#This Row],[Age]]&lt;=64,"Adult","Geriatric"))</f>
        <v>Adult</v>
      </c>
    </row>
    <row r="1485" spans="1:19" ht="15.75" customHeight="1" x14ac:dyDescent="0.3">
      <c r="A1485" s="4" t="s">
        <v>2991</v>
      </c>
      <c r="B1485" s="5" t="str">
        <f>TEXT(Patient_Data!$E1485,"mmmm")</f>
        <v>March</v>
      </c>
      <c r="C1485" s="6" t="str">
        <f t="shared" si="10"/>
        <v>Mar</v>
      </c>
      <c r="D1485" s="6">
        <f>MONTH(Patient_Data!$E1485)</f>
        <v>3</v>
      </c>
      <c r="E1485" s="7">
        <v>46105</v>
      </c>
      <c r="F1485" s="55" t="str">
        <f>TEXT(Patient_Data[[#This Row],[Admission_Date]],"YYYY")</f>
        <v>2026</v>
      </c>
      <c r="G1485" s="8" t="s">
        <v>2992</v>
      </c>
      <c r="H1485" s="8" t="s">
        <v>34</v>
      </c>
      <c r="I1485" s="4" t="s">
        <v>35</v>
      </c>
      <c r="J1485" s="4">
        <v>52</v>
      </c>
      <c r="K1485" s="4" t="s">
        <v>54</v>
      </c>
      <c r="L1485" s="8">
        <v>3</v>
      </c>
      <c r="M1485" s="9" t="s">
        <v>72</v>
      </c>
      <c r="N1485" s="9" t="str">
        <f t="shared" si="11"/>
        <v>Surgery</v>
      </c>
      <c r="O1485" s="10">
        <v>15113.73</v>
      </c>
      <c r="P1485" s="10">
        <v>9280.18</v>
      </c>
      <c r="Q1485" s="11">
        <v>7.6</v>
      </c>
      <c r="R1485" s="13" t="str">
        <f>IF(Patient_Data!$L1485&lt;2,"Low Risk",IF(Patient_Data!$L1485&lt;4,"Moderate Risk","High Risk"))</f>
        <v>Moderate Risk</v>
      </c>
      <c r="S1485" s="12" t="str">
        <f>IF(Patient_Data[[#This Row],[Age]]&lt;=18,"Pediatric",IF(Patient_Data[[#This Row],[Age]]&lt;=64,"Adult","Geriatric"))</f>
        <v>Adult</v>
      </c>
    </row>
    <row r="1486" spans="1:19" ht="15.75" customHeight="1" x14ac:dyDescent="0.3">
      <c r="A1486" s="4" t="s">
        <v>2993</v>
      </c>
      <c r="B1486" s="5" t="str">
        <f>TEXT(Patient_Data!$E1486,"mmmm")</f>
        <v>November</v>
      </c>
      <c r="C1486" s="6" t="str">
        <f t="shared" si="10"/>
        <v>Nov</v>
      </c>
      <c r="D1486" s="6">
        <f>MONTH(Patient_Data!$E1486)</f>
        <v>11</v>
      </c>
      <c r="E1486" s="7">
        <v>45981</v>
      </c>
      <c r="F1486" s="55" t="str">
        <f>TEXT(Patient_Data[[#This Row],[Admission_Date]],"YYYY")</f>
        <v>2025</v>
      </c>
      <c r="G1486" s="8" t="s">
        <v>2994</v>
      </c>
      <c r="H1486" s="8" t="s">
        <v>82</v>
      </c>
      <c r="I1486" s="4" t="s">
        <v>29</v>
      </c>
      <c r="J1486" s="4">
        <v>52</v>
      </c>
      <c r="K1486" s="4" t="s">
        <v>30</v>
      </c>
      <c r="L1486" s="8">
        <v>2</v>
      </c>
      <c r="M1486" s="9" t="s">
        <v>46</v>
      </c>
      <c r="N1486" s="9" t="str">
        <f t="shared" si="11"/>
        <v>Ortho</v>
      </c>
      <c r="O1486" s="10">
        <v>9959.43</v>
      </c>
      <c r="P1486" s="10">
        <v>6374.04</v>
      </c>
      <c r="Q1486" s="11"/>
      <c r="R1486" s="13" t="str">
        <f>IF(Patient_Data!$L1486&lt;2,"Low Risk",IF(Patient_Data!$L1486&lt;4,"Moderate Risk","High Risk"))</f>
        <v>Moderate Risk</v>
      </c>
      <c r="S1486" s="12" t="str">
        <f>IF(Patient_Data[[#This Row],[Age]]&lt;=18,"Pediatric",IF(Patient_Data[[#This Row],[Age]]&lt;=64,"Adult","Geriatric"))</f>
        <v>Adult</v>
      </c>
    </row>
    <row r="1487" spans="1:19" ht="15.75" customHeight="1" x14ac:dyDescent="0.3">
      <c r="A1487" s="4" t="s">
        <v>2995</v>
      </c>
      <c r="B1487" s="5" t="str">
        <f>TEXT(Patient_Data!$E1487,"mmmm")</f>
        <v>November</v>
      </c>
      <c r="C1487" s="6" t="str">
        <f t="shared" si="10"/>
        <v>Nov</v>
      </c>
      <c r="D1487" s="6">
        <f>MONTH(Patient_Data!$E1487)</f>
        <v>11</v>
      </c>
      <c r="E1487" s="7">
        <v>45600</v>
      </c>
      <c r="F1487" s="55" t="str">
        <f>TEXT(Patient_Data[[#This Row],[Admission_Date]],"YYYY")</f>
        <v>2024</v>
      </c>
      <c r="G1487" s="8" t="s">
        <v>2996</v>
      </c>
      <c r="H1487" s="8" t="s">
        <v>132</v>
      </c>
      <c r="I1487" s="4" t="s">
        <v>29</v>
      </c>
      <c r="J1487" s="4">
        <v>7</v>
      </c>
      <c r="K1487" s="4" t="s">
        <v>30</v>
      </c>
      <c r="L1487" s="8">
        <v>2</v>
      </c>
      <c r="M1487" s="9" t="s">
        <v>79</v>
      </c>
      <c r="N1487" s="9" t="str">
        <f t="shared" si="11"/>
        <v>PD</v>
      </c>
      <c r="O1487" s="10">
        <v>796.48</v>
      </c>
      <c r="P1487" s="10">
        <v>576.84</v>
      </c>
      <c r="Q1487" s="11">
        <v>5.4</v>
      </c>
      <c r="R1487" s="13" t="str">
        <f>IF(Patient_Data!$L1487&lt;2,"Low Risk",IF(Patient_Data!$L1487&lt;4,"Moderate Risk","High Risk"))</f>
        <v>Moderate Risk</v>
      </c>
      <c r="S1487" s="12" t="str">
        <f>IF(Patient_Data[[#This Row],[Age]]&lt;=18,"Pediatric",IF(Patient_Data[[#This Row],[Age]]&lt;=64,"Adult","Geriatric"))</f>
        <v>Pediatric</v>
      </c>
    </row>
    <row r="1488" spans="1:19" ht="15.75" customHeight="1" x14ac:dyDescent="0.3">
      <c r="A1488" s="4" t="s">
        <v>2997</v>
      </c>
      <c r="B1488" s="5" t="str">
        <f>TEXT(Patient_Data!$E1488,"mmmm")</f>
        <v>March</v>
      </c>
      <c r="C1488" s="6" t="str">
        <f t="shared" si="10"/>
        <v>Mar</v>
      </c>
      <c r="D1488" s="6">
        <f>MONTH(Patient_Data!$E1488)</f>
        <v>3</v>
      </c>
      <c r="E1488" s="7">
        <v>45747</v>
      </c>
      <c r="F1488" s="55" t="str">
        <f>TEXT(Patient_Data[[#This Row],[Admission_Date]],"YYYY")</f>
        <v>2025</v>
      </c>
      <c r="G1488" s="8" t="s">
        <v>2998</v>
      </c>
      <c r="H1488" s="8" t="s">
        <v>28</v>
      </c>
      <c r="I1488" s="4" t="s">
        <v>29</v>
      </c>
      <c r="J1488" s="4">
        <v>6</v>
      </c>
      <c r="K1488" s="4" t="s">
        <v>30</v>
      </c>
      <c r="L1488" s="8">
        <v>1</v>
      </c>
      <c r="M1488" s="9" t="s">
        <v>79</v>
      </c>
      <c r="N1488" s="9" t="str">
        <f t="shared" si="11"/>
        <v>PD</v>
      </c>
      <c r="O1488" s="10">
        <v>1963.97</v>
      </c>
      <c r="P1488" s="10">
        <v>1403.58</v>
      </c>
      <c r="Q1488" s="11">
        <v>3.6</v>
      </c>
      <c r="R1488" s="13" t="str">
        <f>IF(Patient_Data!$L1488&lt;2,"Low Risk",IF(Patient_Data!$L1488&lt;4,"Moderate Risk","High Risk"))</f>
        <v>Low Risk</v>
      </c>
      <c r="S1488" s="12" t="str">
        <f>IF(Patient_Data[[#This Row],[Age]]&lt;=18,"Pediatric",IF(Patient_Data[[#This Row],[Age]]&lt;=64,"Adult","Geriatric"))</f>
        <v>Pediatric</v>
      </c>
    </row>
    <row r="1489" spans="1:19" ht="15.75" customHeight="1" x14ac:dyDescent="0.3">
      <c r="A1489" s="4" t="s">
        <v>2999</v>
      </c>
      <c r="B1489" s="5" t="str">
        <f>TEXT(Patient_Data!$E1489,"mmmm")</f>
        <v>May</v>
      </c>
      <c r="C1489" s="6" t="str">
        <f t="shared" si="10"/>
        <v>May</v>
      </c>
      <c r="D1489" s="6">
        <f>MONTH(Patient_Data!$E1489)</f>
        <v>5</v>
      </c>
      <c r="E1489" s="7">
        <v>45434</v>
      </c>
      <c r="F1489" s="55" t="str">
        <f>TEXT(Patient_Data[[#This Row],[Admission_Date]],"YYYY")</f>
        <v>2024</v>
      </c>
      <c r="G1489" s="8" t="s">
        <v>3000</v>
      </c>
      <c r="H1489" s="8" t="s">
        <v>75</v>
      </c>
      <c r="I1489" s="4" t="s">
        <v>35</v>
      </c>
      <c r="J1489" s="4">
        <v>74</v>
      </c>
      <c r="K1489" s="4" t="s">
        <v>45</v>
      </c>
      <c r="L1489" s="8">
        <v>4</v>
      </c>
      <c r="M1489" s="9" t="s">
        <v>50</v>
      </c>
      <c r="N1489" s="9" t="str">
        <f t="shared" si="11"/>
        <v>ICU</v>
      </c>
      <c r="O1489" s="10">
        <v>12135.5</v>
      </c>
      <c r="P1489" s="10">
        <v>8970.11</v>
      </c>
      <c r="Q1489" s="11">
        <v>13.9</v>
      </c>
      <c r="R1489" s="13" t="str">
        <f>IF(Patient_Data!$L1489&lt;2,"Low Risk",IF(Patient_Data!$L1489&lt;4,"Moderate Risk","High Risk"))</f>
        <v>High Risk</v>
      </c>
      <c r="S1489" s="12" t="str">
        <f>IF(Patient_Data[[#This Row],[Age]]&lt;=18,"Pediatric",IF(Patient_Data[[#This Row],[Age]]&lt;=64,"Adult","Geriatric"))</f>
        <v>Geriatric</v>
      </c>
    </row>
    <row r="1490" spans="1:19" ht="15.75" customHeight="1" x14ac:dyDescent="0.3">
      <c r="A1490" s="4" t="s">
        <v>1554</v>
      </c>
      <c r="B1490" s="5" t="str">
        <f>TEXT(Patient_Data!$E1490,"mmmm")</f>
        <v>May</v>
      </c>
      <c r="C1490" s="6" t="str">
        <f t="shared" si="10"/>
        <v>May</v>
      </c>
      <c r="D1490" s="6">
        <f>MONTH(Patient_Data!$E1490)</f>
        <v>5</v>
      </c>
      <c r="E1490" s="7">
        <v>46160</v>
      </c>
      <c r="F1490" s="55" t="str">
        <f>TEXT(Patient_Data[[#This Row],[Admission_Date]],"YYYY")</f>
        <v>2026</v>
      </c>
      <c r="G1490" s="8" t="s">
        <v>1555</v>
      </c>
      <c r="H1490" s="8" t="s">
        <v>53</v>
      </c>
      <c r="I1490" s="4" t="s">
        <v>35</v>
      </c>
      <c r="J1490" s="4">
        <v>23</v>
      </c>
      <c r="K1490" s="4" t="s">
        <v>30</v>
      </c>
      <c r="L1490" s="8">
        <v>3</v>
      </c>
      <c r="M1490" s="9" t="s">
        <v>31</v>
      </c>
      <c r="N1490" s="9" t="str">
        <f t="shared" si="11"/>
        <v>Neuro</v>
      </c>
      <c r="O1490" s="10">
        <v>13977.26</v>
      </c>
      <c r="P1490" s="10">
        <v>10671.52</v>
      </c>
      <c r="Q1490" s="11">
        <v>6.1</v>
      </c>
      <c r="R1490" s="13" t="str">
        <f>IF(Patient_Data!$L1490&lt;2,"Low Risk",IF(Patient_Data!$L1490&lt;4,"Moderate Risk","High Risk"))</f>
        <v>Moderate Risk</v>
      </c>
      <c r="S1490" s="12" t="str">
        <f>IF(Patient_Data[[#This Row],[Age]]&lt;=18,"Pediatric",IF(Patient_Data[[#This Row],[Age]]&lt;=64,"Adult","Geriatric"))</f>
        <v>Adult</v>
      </c>
    </row>
    <row r="1491" spans="1:19" ht="15.75" customHeight="1" x14ac:dyDescent="0.3">
      <c r="A1491" s="4" t="s">
        <v>3001</v>
      </c>
      <c r="B1491" s="5" t="str">
        <f>TEXT(Patient_Data!$E1491,"mmmm")</f>
        <v>August</v>
      </c>
      <c r="C1491" s="6" t="str">
        <f t="shared" si="10"/>
        <v>Aug</v>
      </c>
      <c r="D1491" s="6">
        <f>MONTH(Patient_Data!$E1491)</f>
        <v>8</v>
      </c>
      <c r="E1491" s="7">
        <v>45870</v>
      </c>
      <c r="F1491" s="55" t="str">
        <f>TEXT(Patient_Data[[#This Row],[Admission_Date]],"YYYY")</f>
        <v>2025</v>
      </c>
      <c r="G1491" s="8" t="s">
        <v>3002</v>
      </c>
      <c r="H1491" s="8" t="s">
        <v>28</v>
      </c>
      <c r="I1491" s="4" t="s">
        <v>29</v>
      </c>
      <c r="J1491" s="4">
        <v>35</v>
      </c>
      <c r="K1491" s="4" t="s">
        <v>30</v>
      </c>
      <c r="L1491" s="8">
        <v>2</v>
      </c>
      <c r="M1491" s="9" t="s">
        <v>39</v>
      </c>
      <c r="N1491" s="9" t="str">
        <f t="shared" si="11"/>
        <v>GM</v>
      </c>
      <c r="O1491" s="10">
        <v>3715.71</v>
      </c>
      <c r="P1491" s="10">
        <v>2227.91</v>
      </c>
      <c r="Q1491" s="11">
        <v>9.1</v>
      </c>
      <c r="R1491" s="13" t="str">
        <f>IF(Patient_Data!$L1491&lt;2,"Low Risk",IF(Patient_Data!$L1491&lt;4,"Moderate Risk","High Risk"))</f>
        <v>Moderate Risk</v>
      </c>
      <c r="S1491" s="12" t="str">
        <f>IF(Patient_Data[[#This Row],[Age]]&lt;=18,"Pediatric",IF(Patient_Data[[#This Row],[Age]]&lt;=64,"Adult","Geriatric"))</f>
        <v>Adult</v>
      </c>
    </row>
    <row r="1492" spans="1:19" ht="15.75" customHeight="1" x14ac:dyDescent="0.3">
      <c r="A1492" s="4" t="s">
        <v>3003</v>
      </c>
      <c r="B1492" s="5" t="str">
        <f>TEXT(Patient_Data!$E1492,"mmmm")</f>
        <v>December</v>
      </c>
      <c r="C1492" s="6" t="str">
        <f t="shared" si="10"/>
        <v>Dec</v>
      </c>
      <c r="D1492" s="6">
        <f>MONTH(Patient_Data!$E1492)</f>
        <v>12</v>
      </c>
      <c r="E1492" s="7">
        <v>45266</v>
      </c>
      <c r="F1492" s="55" t="str">
        <f>TEXT(Patient_Data[[#This Row],[Admission_Date]],"YYYY")</f>
        <v>2023</v>
      </c>
      <c r="G1492" s="8" t="s">
        <v>3004</v>
      </c>
      <c r="H1492" s="8" t="s">
        <v>132</v>
      </c>
      <c r="I1492" s="4" t="s">
        <v>35</v>
      </c>
      <c r="J1492" s="4">
        <v>41</v>
      </c>
      <c r="K1492" s="4" t="s">
        <v>54</v>
      </c>
      <c r="L1492" s="8">
        <v>4</v>
      </c>
      <c r="M1492" s="9" t="s">
        <v>83</v>
      </c>
      <c r="N1492" s="9" t="str">
        <f t="shared" si="11"/>
        <v>ER</v>
      </c>
      <c r="O1492" s="10">
        <v>4994.75</v>
      </c>
      <c r="P1492" s="10">
        <v>3234.8</v>
      </c>
      <c r="Q1492" s="11">
        <v>23.5</v>
      </c>
      <c r="R1492" s="13" t="str">
        <f>IF(Patient_Data!$L1492&lt;2,"Low Risk",IF(Patient_Data!$L1492&lt;4,"Moderate Risk","High Risk"))</f>
        <v>High Risk</v>
      </c>
      <c r="S1492" s="12" t="str">
        <f>IF(Patient_Data[[#This Row],[Age]]&lt;=18,"Pediatric",IF(Patient_Data[[#This Row],[Age]]&lt;=64,"Adult","Geriatric"))</f>
        <v>Adult</v>
      </c>
    </row>
    <row r="1493" spans="1:19" ht="15.75" customHeight="1" x14ac:dyDescent="0.3">
      <c r="A1493" s="4" t="s">
        <v>3005</v>
      </c>
      <c r="B1493" s="5" t="str">
        <f>TEXT(Patient_Data!$E1493,"mmmm")</f>
        <v>December</v>
      </c>
      <c r="C1493" s="6" t="str">
        <f t="shared" si="10"/>
        <v>Dec</v>
      </c>
      <c r="D1493" s="6">
        <f>MONTH(Patient_Data!$E1493)</f>
        <v>12</v>
      </c>
      <c r="E1493" s="7">
        <v>45261</v>
      </c>
      <c r="F1493" s="55" t="str">
        <f>TEXT(Patient_Data[[#This Row],[Admission_Date]],"YYYY")</f>
        <v>2023</v>
      </c>
      <c r="G1493" s="8" t="s">
        <v>3006</v>
      </c>
      <c r="H1493" s="8" t="s">
        <v>28</v>
      </c>
      <c r="I1493" s="4" t="s">
        <v>29</v>
      </c>
      <c r="J1493" s="4">
        <v>71</v>
      </c>
      <c r="K1493" s="4" t="s">
        <v>30</v>
      </c>
      <c r="L1493" s="8">
        <v>4</v>
      </c>
      <c r="M1493" s="9" t="s">
        <v>46</v>
      </c>
      <c r="N1493" s="9" t="str">
        <f t="shared" si="11"/>
        <v>Ortho</v>
      </c>
      <c r="O1493" s="10">
        <v>10555.13</v>
      </c>
      <c r="P1493" s="10">
        <v>6815.28</v>
      </c>
      <c r="Q1493" s="11">
        <v>7.5</v>
      </c>
      <c r="R1493" s="13" t="str">
        <f>IF(Patient_Data!$L1493&lt;2,"Low Risk",IF(Patient_Data!$L1493&lt;4,"Moderate Risk","High Risk"))</f>
        <v>High Risk</v>
      </c>
      <c r="S1493" s="12" t="str">
        <f>IF(Patient_Data[[#This Row],[Age]]&lt;=18,"Pediatric",IF(Patient_Data[[#This Row],[Age]]&lt;=64,"Adult","Geriatric"))</f>
        <v>Geriatric</v>
      </c>
    </row>
    <row r="1494" spans="1:19" ht="15.75" customHeight="1" x14ac:dyDescent="0.3">
      <c r="A1494" s="4" t="s">
        <v>3007</v>
      </c>
      <c r="B1494" s="5" t="str">
        <f>TEXT(Patient_Data!$E1494,"mmmm")</f>
        <v>March</v>
      </c>
      <c r="C1494" s="6" t="str">
        <f t="shared" si="10"/>
        <v>Mar</v>
      </c>
      <c r="D1494" s="6">
        <f>MONTH(Patient_Data!$E1494)</f>
        <v>3</v>
      </c>
      <c r="E1494" s="7">
        <v>45370</v>
      </c>
      <c r="F1494" s="55" t="str">
        <f>TEXT(Patient_Data[[#This Row],[Admission_Date]],"YYYY")</f>
        <v>2024</v>
      </c>
      <c r="G1494" s="8" t="s">
        <v>3008</v>
      </c>
      <c r="H1494" s="8" t="s">
        <v>42</v>
      </c>
      <c r="I1494" s="4" t="s">
        <v>29</v>
      </c>
      <c r="J1494" s="4">
        <v>34</v>
      </c>
      <c r="K1494" s="4" t="s">
        <v>45</v>
      </c>
      <c r="L1494" s="8">
        <v>4</v>
      </c>
      <c r="M1494" s="9" t="s">
        <v>72</v>
      </c>
      <c r="N1494" s="9" t="str">
        <f t="shared" si="11"/>
        <v>Surgery</v>
      </c>
      <c r="O1494" s="10">
        <v>12246.82</v>
      </c>
      <c r="P1494" s="10">
        <v>8256.57</v>
      </c>
      <c r="Q1494" s="11">
        <v>6.4</v>
      </c>
      <c r="R1494" s="13" t="str">
        <f>IF(Patient_Data!$L1494&lt;2,"Low Risk",IF(Patient_Data!$L1494&lt;4,"Moderate Risk","High Risk"))</f>
        <v>High Risk</v>
      </c>
      <c r="S1494" s="12" t="str">
        <f>IF(Patient_Data[[#This Row],[Age]]&lt;=18,"Pediatric",IF(Patient_Data[[#This Row],[Age]]&lt;=64,"Adult","Geriatric"))</f>
        <v>Adult</v>
      </c>
    </row>
    <row r="1495" spans="1:19" ht="15.75" customHeight="1" x14ac:dyDescent="0.3">
      <c r="A1495" s="4" t="s">
        <v>3009</v>
      </c>
      <c r="B1495" s="5" t="str">
        <f>TEXT(Patient_Data!$E1495,"mmmm")</f>
        <v>March</v>
      </c>
      <c r="C1495" s="6" t="str">
        <f t="shared" si="10"/>
        <v>Mar</v>
      </c>
      <c r="D1495" s="6">
        <f>MONTH(Patient_Data!$E1495)</f>
        <v>3</v>
      </c>
      <c r="E1495" s="7">
        <v>46108</v>
      </c>
      <c r="F1495" s="55" t="str">
        <f>TEXT(Patient_Data[[#This Row],[Admission_Date]],"YYYY")</f>
        <v>2026</v>
      </c>
      <c r="G1495" s="8" t="s">
        <v>3010</v>
      </c>
      <c r="H1495" s="8" t="s">
        <v>75</v>
      </c>
      <c r="I1495" s="4" t="s">
        <v>35</v>
      </c>
      <c r="J1495" s="4">
        <v>65</v>
      </c>
      <c r="K1495" s="4" t="s">
        <v>30</v>
      </c>
      <c r="L1495" s="8">
        <v>3</v>
      </c>
      <c r="M1495" s="9" t="s">
        <v>72</v>
      </c>
      <c r="N1495" s="9" t="str">
        <f t="shared" si="11"/>
        <v>Surgery</v>
      </c>
      <c r="O1495" s="10">
        <v>11580.95</v>
      </c>
      <c r="P1495" s="10">
        <v>8189.06</v>
      </c>
      <c r="Q1495" s="11">
        <v>10.3</v>
      </c>
      <c r="R1495" s="13" t="str">
        <f>IF(Patient_Data!$L1495&lt;2,"Low Risk",IF(Patient_Data!$L1495&lt;4,"Moderate Risk","High Risk"))</f>
        <v>Moderate Risk</v>
      </c>
      <c r="S1495" s="12" t="str">
        <f>IF(Patient_Data[[#This Row],[Age]]&lt;=18,"Pediatric",IF(Patient_Data[[#This Row],[Age]]&lt;=64,"Adult","Geriatric"))</f>
        <v>Geriatric</v>
      </c>
    </row>
    <row r="1496" spans="1:19" ht="15.75" customHeight="1" x14ac:dyDescent="0.3">
      <c r="A1496" s="4" t="s">
        <v>3011</v>
      </c>
      <c r="B1496" s="5" t="str">
        <f>TEXT(Patient_Data!$E1496,"mmmm")</f>
        <v>October</v>
      </c>
      <c r="C1496" s="6" t="str">
        <f t="shared" si="10"/>
        <v>Oct</v>
      </c>
      <c r="D1496" s="6">
        <f>MONTH(Patient_Data!$E1496)</f>
        <v>10</v>
      </c>
      <c r="E1496" s="7">
        <v>45200</v>
      </c>
      <c r="F1496" s="55" t="str">
        <f>TEXT(Patient_Data[[#This Row],[Admission_Date]],"YYYY")</f>
        <v>2023</v>
      </c>
      <c r="G1496" s="8" t="s">
        <v>3012</v>
      </c>
      <c r="H1496" s="8" t="s">
        <v>49</v>
      </c>
      <c r="I1496" s="4" t="s">
        <v>35</v>
      </c>
      <c r="J1496" s="4">
        <v>24</v>
      </c>
      <c r="K1496" s="4" t="s">
        <v>30</v>
      </c>
      <c r="L1496" s="8">
        <v>2</v>
      </c>
      <c r="M1496" s="9" t="s">
        <v>83</v>
      </c>
      <c r="N1496" s="9" t="str">
        <f t="shared" si="11"/>
        <v>ER</v>
      </c>
      <c r="O1496" s="10">
        <v>8714</v>
      </c>
      <c r="P1496" s="10">
        <v>6446.02</v>
      </c>
      <c r="Q1496" s="11">
        <v>10.6</v>
      </c>
      <c r="R1496" s="13" t="str">
        <f>IF(Patient_Data!$L1496&lt;2,"Low Risk",IF(Patient_Data!$L1496&lt;4,"Moderate Risk","High Risk"))</f>
        <v>Moderate Risk</v>
      </c>
      <c r="S1496" s="12" t="str">
        <f>IF(Patient_Data[[#This Row],[Age]]&lt;=18,"Pediatric",IF(Patient_Data[[#This Row],[Age]]&lt;=64,"Adult","Geriatric"))</f>
        <v>Adult</v>
      </c>
    </row>
    <row r="1497" spans="1:19" ht="15.75" customHeight="1" x14ac:dyDescent="0.3">
      <c r="A1497" s="4" t="s">
        <v>3013</v>
      </c>
      <c r="B1497" s="5" t="str">
        <f>TEXT(Patient_Data!$E1497,"mmmm")</f>
        <v>July</v>
      </c>
      <c r="C1497" s="6" t="str">
        <f t="shared" si="10"/>
        <v>Jul</v>
      </c>
      <c r="D1497" s="6">
        <f>MONTH(Patient_Data!$E1497)</f>
        <v>7</v>
      </c>
      <c r="E1497" s="7">
        <v>45490</v>
      </c>
      <c r="F1497" s="55" t="str">
        <f>TEXT(Patient_Data[[#This Row],[Admission_Date]],"YYYY")</f>
        <v>2024</v>
      </c>
      <c r="G1497" s="8" t="s">
        <v>3014</v>
      </c>
      <c r="H1497" s="8" t="s">
        <v>28</v>
      </c>
      <c r="I1497" s="4" t="s">
        <v>29</v>
      </c>
      <c r="J1497" s="4">
        <v>89</v>
      </c>
      <c r="K1497" s="4" t="s">
        <v>30</v>
      </c>
      <c r="L1497" s="8">
        <v>4</v>
      </c>
      <c r="M1497" s="9" t="s">
        <v>46</v>
      </c>
      <c r="N1497" s="9" t="str">
        <f t="shared" si="11"/>
        <v>Ortho</v>
      </c>
      <c r="O1497" s="10">
        <v>11050.22</v>
      </c>
      <c r="P1497" s="10">
        <v>8436.57</v>
      </c>
      <c r="Q1497" s="11">
        <v>4.8</v>
      </c>
      <c r="R1497" s="13" t="str">
        <f>IF(Patient_Data!$L1497&lt;2,"Low Risk",IF(Patient_Data!$L1497&lt;4,"Moderate Risk","High Risk"))</f>
        <v>High Risk</v>
      </c>
      <c r="S1497" s="12" t="str">
        <f>IF(Patient_Data[[#This Row],[Age]]&lt;=18,"Pediatric",IF(Patient_Data[[#This Row],[Age]]&lt;=64,"Adult","Geriatric"))</f>
        <v>Geriatric</v>
      </c>
    </row>
    <row r="1498" spans="1:19" ht="15.75" customHeight="1" x14ac:dyDescent="0.3">
      <c r="A1498" s="4" t="s">
        <v>3015</v>
      </c>
      <c r="B1498" s="5" t="str">
        <f>TEXT(Patient_Data!$E1498,"mmmm")</f>
        <v>February</v>
      </c>
      <c r="C1498" s="6" t="str">
        <f t="shared" si="10"/>
        <v>Feb</v>
      </c>
      <c r="D1498" s="6">
        <f>MONTH(Patient_Data!$E1498)</f>
        <v>2</v>
      </c>
      <c r="E1498" s="7">
        <v>46070</v>
      </c>
      <c r="F1498" s="55" t="str">
        <f>TEXT(Patient_Data[[#This Row],[Admission_Date]],"YYYY")</f>
        <v>2026</v>
      </c>
      <c r="G1498" s="8" t="s">
        <v>3016</v>
      </c>
      <c r="H1498" s="8" t="s">
        <v>49</v>
      </c>
      <c r="I1498" s="4" t="s">
        <v>29</v>
      </c>
      <c r="J1498" s="4">
        <v>1</v>
      </c>
      <c r="K1498" s="4" t="s">
        <v>30</v>
      </c>
      <c r="L1498" s="8">
        <v>2</v>
      </c>
      <c r="M1498" s="9" t="s">
        <v>79</v>
      </c>
      <c r="N1498" s="9" t="str">
        <f t="shared" si="11"/>
        <v>PD</v>
      </c>
      <c r="O1498" s="10">
        <v>751.31</v>
      </c>
      <c r="P1498" s="10">
        <v>455.76</v>
      </c>
      <c r="Q1498" s="11">
        <v>2.5</v>
      </c>
      <c r="R1498" s="13" t="str">
        <f>IF(Patient_Data!$L1498&lt;2,"Low Risk",IF(Patient_Data!$L1498&lt;4,"Moderate Risk","High Risk"))</f>
        <v>Moderate Risk</v>
      </c>
      <c r="S1498" s="12" t="str">
        <f>IF(Patient_Data[[#This Row],[Age]]&lt;=18,"Pediatric",IF(Patient_Data[[#This Row],[Age]]&lt;=64,"Adult","Geriatric"))</f>
        <v>Pediatric</v>
      </c>
    </row>
    <row r="1499" spans="1:19" ht="15.75" customHeight="1" x14ac:dyDescent="0.3">
      <c r="A1499" s="4" t="s">
        <v>3017</v>
      </c>
      <c r="B1499" s="5" t="str">
        <f>TEXT(Patient_Data!$E1499,"mmmm")</f>
        <v>March</v>
      </c>
      <c r="C1499" s="6" t="str">
        <f t="shared" si="10"/>
        <v>Mar</v>
      </c>
      <c r="D1499" s="6">
        <f>MONTH(Patient_Data!$E1499)</f>
        <v>3</v>
      </c>
      <c r="E1499" s="7">
        <v>46101</v>
      </c>
      <c r="F1499" s="55" t="str">
        <f>TEXT(Patient_Data[[#This Row],[Admission_Date]],"YYYY")</f>
        <v>2026</v>
      </c>
      <c r="G1499" s="8" t="s">
        <v>3018</v>
      </c>
      <c r="H1499" s="8" t="s">
        <v>132</v>
      </c>
      <c r="I1499" s="4" t="s">
        <v>29</v>
      </c>
      <c r="J1499" s="4">
        <v>29</v>
      </c>
      <c r="K1499" s="4" t="s">
        <v>30</v>
      </c>
      <c r="L1499" s="8">
        <v>4</v>
      </c>
      <c r="M1499" s="9" t="s">
        <v>72</v>
      </c>
      <c r="N1499" s="9" t="str">
        <f t="shared" si="11"/>
        <v>Surgery</v>
      </c>
      <c r="O1499" s="10">
        <v>17045.14</v>
      </c>
      <c r="P1499" s="10">
        <v>10472.74</v>
      </c>
      <c r="Q1499" s="11">
        <v>9.4</v>
      </c>
      <c r="R1499" s="13" t="str">
        <f>IF(Patient_Data!$L1499&lt;2,"Low Risk",IF(Patient_Data!$L1499&lt;4,"Moderate Risk","High Risk"))</f>
        <v>High Risk</v>
      </c>
      <c r="S1499" s="12" t="str">
        <f>IF(Patient_Data[[#This Row],[Age]]&lt;=18,"Pediatric",IF(Patient_Data[[#This Row],[Age]]&lt;=64,"Adult","Geriatric"))</f>
        <v>Adult</v>
      </c>
    </row>
    <row r="1500" spans="1:19" ht="15.75" customHeight="1" x14ac:dyDescent="0.3">
      <c r="A1500" s="4" t="s">
        <v>3019</v>
      </c>
      <c r="B1500" s="5" t="str">
        <f>TEXT(Patient_Data!$E1500,"mmmm")</f>
        <v>August</v>
      </c>
      <c r="C1500" s="6" t="str">
        <f t="shared" si="10"/>
        <v>Aug</v>
      </c>
      <c r="D1500" s="6">
        <f>MONTH(Patient_Data!$E1500)</f>
        <v>8</v>
      </c>
      <c r="E1500" s="7">
        <v>45168</v>
      </c>
      <c r="F1500" s="55" t="str">
        <f>TEXT(Patient_Data[[#This Row],[Admission_Date]],"YYYY")</f>
        <v>2023</v>
      </c>
      <c r="G1500" s="8" t="s">
        <v>3020</v>
      </c>
      <c r="H1500" s="8" t="s">
        <v>82</v>
      </c>
      <c r="I1500" s="4" t="s">
        <v>35</v>
      </c>
      <c r="J1500" s="4">
        <v>61</v>
      </c>
      <c r="K1500" s="4" t="s">
        <v>30</v>
      </c>
      <c r="L1500" s="8">
        <v>1</v>
      </c>
      <c r="M1500" s="9" t="s">
        <v>31</v>
      </c>
      <c r="N1500" s="9" t="str">
        <f t="shared" si="11"/>
        <v>Neuro</v>
      </c>
      <c r="O1500" s="10">
        <v>6780.45</v>
      </c>
      <c r="P1500" s="10">
        <v>4421.8900000000003</v>
      </c>
      <c r="Q1500" s="11">
        <v>10.3</v>
      </c>
      <c r="R1500" s="13" t="str">
        <f>IF(Patient_Data!$L1500&lt;2,"Low Risk",IF(Patient_Data!$L1500&lt;4,"Moderate Risk","High Risk"))</f>
        <v>Low Risk</v>
      </c>
      <c r="S1500" s="12" t="str">
        <f>IF(Patient_Data[[#This Row],[Age]]&lt;=18,"Pediatric",IF(Patient_Data[[#This Row],[Age]]&lt;=64,"Adult","Geriatric"))</f>
        <v>Adult</v>
      </c>
    </row>
    <row r="1501" spans="1:19" ht="15.75" customHeight="1" x14ac:dyDescent="0.3">
      <c r="A1501" s="4" t="s">
        <v>3021</v>
      </c>
      <c r="B1501" s="5" t="str">
        <f>TEXT(Patient_Data!$E1501,"mmmm")</f>
        <v>January</v>
      </c>
      <c r="C1501" s="6" t="str">
        <f t="shared" si="10"/>
        <v>Jan</v>
      </c>
      <c r="D1501" s="6">
        <f>MONTH(Patient_Data!$E1501)</f>
        <v>1</v>
      </c>
      <c r="E1501" s="7">
        <v>46043</v>
      </c>
      <c r="F1501" s="55" t="str">
        <f>TEXT(Patient_Data[[#This Row],[Admission_Date]],"YYYY")</f>
        <v>2026</v>
      </c>
      <c r="G1501" s="8" t="s">
        <v>3022</v>
      </c>
      <c r="H1501" s="8" t="s">
        <v>132</v>
      </c>
      <c r="I1501" s="4" t="s">
        <v>35</v>
      </c>
      <c r="J1501" s="4">
        <v>64</v>
      </c>
      <c r="K1501" s="4" t="s">
        <v>45</v>
      </c>
      <c r="L1501" s="8">
        <v>1</v>
      </c>
      <c r="M1501" s="9" t="s">
        <v>31</v>
      </c>
      <c r="N1501" s="9" t="str">
        <f t="shared" si="11"/>
        <v>Neuro</v>
      </c>
      <c r="O1501" s="10">
        <v>6945.46</v>
      </c>
      <c r="P1501" s="10">
        <v>4735.8599999999997</v>
      </c>
      <c r="Q1501" s="11">
        <v>10.3</v>
      </c>
      <c r="R1501" s="13" t="str">
        <f>IF(Patient_Data!$L1501&lt;2,"Low Risk",IF(Patient_Data!$L1501&lt;4,"Moderate Risk","High Risk"))</f>
        <v>Low Risk</v>
      </c>
      <c r="S1501" s="12" t="str">
        <f>IF(Patient_Data[[#This Row],[Age]]&lt;=18,"Pediatric",IF(Patient_Data[[#This Row],[Age]]&lt;=64,"Adult","Geriatric"))</f>
        <v>Adult</v>
      </c>
    </row>
    <row r="1502" spans="1:19" ht="15.75" customHeight="1" x14ac:dyDescent="0.3">
      <c r="A1502" s="4" t="s">
        <v>3023</v>
      </c>
      <c r="B1502" s="5" t="str">
        <f>TEXT(Patient_Data!$E1502,"mmmm")</f>
        <v>October</v>
      </c>
      <c r="C1502" s="6" t="str">
        <f t="shared" si="10"/>
        <v>Oct</v>
      </c>
      <c r="D1502" s="6">
        <f>MONTH(Patient_Data!$E1502)</f>
        <v>10</v>
      </c>
      <c r="E1502" s="7">
        <v>45581</v>
      </c>
      <c r="F1502" s="55" t="str">
        <f>TEXT(Patient_Data[[#This Row],[Admission_Date]],"YYYY")</f>
        <v>2024</v>
      </c>
      <c r="G1502" s="8" t="s">
        <v>3024</v>
      </c>
      <c r="H1502" s="8" t="s">
        <v>28</v>
      </c>
      <c r="I1502" s="4" t="s">
        <v>35</v>
      </c>
      <c r="J1502" s="4">
        <v>59</v>
      </c>
      <c r="K1502" s="4" t="s">
        <v>30</v>
      </c>
      <c r="L1502" s="8">
        <v>2</v>
      </c>
      <c r="M1502" s="9" t="s">
        <v>36</v>
      </c>
      <c r="N1502" s="9" t="str">
        <f t="shared" si="11"/>
        <v>Cardio</v>
      </c>
      <c r="O1502" s="10">
        <v>11112.47</v>
      </c>
      <c r="P1502" s="10">
        <v>7853.93</v>
      </c>
      <c r="Q1502" s="11">
        <v>9.4</v>
      </c>
      <c r="R1502" s="13" t="str">
        <f>IF(Patient_Data!$L1502&lt;2,"Low Risk",IF(Patient_Data!$L1502&lt;4,"Moderate Risk","High Risk"))</f>
        <v>Moderate Risk</v>
      </c>
      <c r="S1502" s="12" t="str">
        <f>IF(Patient_Data[[#This Row],[Age]]&lt;=18,"Pediatric",IF(Patient_Data[[#This Row],[Age]]&lt;=64,"Adult","Geriatric"))</f>
        <v>Adult</v>
      </c>
    </row>
    <row r="1503" spans="1:19" ht="15.75" customHeight="1" x14ac:dyDescent="0.3">
      <c r="A1503" s="4" t="s">
        <v>3025</v>
      </c>
      <c r="B1503" s="5" t="str">
        <f>TEXT(Patient_Data!$E1503,"mmmm")</f>
        <v>May</v>
      </c>
      <c r="C1503" s="6" t="str">
        <f t="shared" si="10"/>
        <v>May</v>
      </c>
      <c r="D1503" s="6">
        <f>MONTH(Patient_Data!$E1503)</f>
        <v>5</v>
      </c>
      <c r="E1503" s="7">
        <v>45785</v>
      </c>
      <c r="F1503" s="55" t="str">
        <f>TEXT(Patient_Data[[#This Row],[Admission_Date]],"YYYY")</f>
        <v>2025</v>
      </c>
      <c r="G1503" s="8" t="s">
        <v>3026</v>
      </c>
      <c r="H1503" s="8" t="s">
        <v>28</v>
      </c>
      <c r="I1503" s="4" t="s">
        <v>29</v>
      </c>
      <c r="J1503" s="4">
        <v>30</v>
      </c>
      <c r="K1503" s="4" t="s">
        <v>45</v>
      </c>
      <c r="L1503" s="8">
        <v>3</v>
      </c>
      <c r="M1503" s="9" t="s">
        <v>83</v>
      </c>
      <c r="N1503" s="9" t="str">
        <f t="shared" si="11"/>
        <v>ER</v>
      </c>
      <c r="O1503" s="10">
        <v>6488.32</v>
      </c>
      <c r="P1503" s="10">
        <v>4846.07</v>
      </c>
      <c r="Q1503" s="11">
        <v>13.7</v>
      </c>
      <c r="R1503" s="13" t="str">
        <f>IF(Patient_Data!$L1503&lt;2,"Low Risk",IF(Patient_Data!$L1503&lt;4,"Moderate Risk","High Risk"))</f>
        <v>Moderate Risk</v>
      </c>
      <c r="S1503" s="12" t="str">
        <f>IF(Patient_Data[[#This Row],[Age]]&lt;=18,"Pediatric",IF(Patient_Data[[#This Row],[Age]]&lt;=64,"Adult","Geriatric"))</f>
        <v>Adult</v>
      </c>
    </row>
    <row r="1504" spans="1:19" ht="15.75" customHeight="1" x14ac:dyDescent="0.3">
      <c r="A1504" s="4" t="s">
        <v>3027</v>
      </c>
      <c r="B1504" s="5" t="str">
        <f>TEXT(Patient_Data!$E1504,"mmmm")</f>
        <v>July</v>
      </c>
      <c r="C1504" s="6" t="str">
        <f t="shared" si="10"/>
        <v>Jul</v>
      </c>
      <c r="D1504" s="6">
        <f>MONTH(Patient_Data!$E1504)</f>
        <v>7</v>
      </c>
      <c r="E1504" s="7">
        <v>45492</v>
      </c>
      <c r="F1504" s="55" t="str">
        <f>TEXT(Patient_Data[[#This Row],[Admission_Date]],"YYYY")</f>
        <v>2024</v>
      </c>
      <c r="G1504" s="8" t="s">
        <v>3028</v>
      </c>
      <c r="H1504" s="8" t="s">
        <v>34</v>
      </c>
      <c r="I1504" s="4" t="s">
        <v>35</v>
      </c>
      <c r="J1504" s="4">
        <v>52</v>
      </c>
      <c r="K1504" s="4" t="s">
        <v>45</v>
      </c>
      <c r="L1504" s="8">
        <v>3</v>
      </c>
      <c r="M1504" s="9" t="s">
        <v>83</v>
      </c>
      <c r="N1504" s="9" t="str">
        <f t="shared" si="11"/>
        <v>ER</v>
      </c>
      <c r="O1504" s="10">
        <v>7169.92</v>
      </c>
      <c r="P1504" s="10">
        <v>5603.54</v>
      </c>
      <c r="Q1504" s="11">
        <v>19.3</v>
      </c>
      <c r="R1504" s="13" t="str">
        <f>IF(Patient_Data!$L1504&lt;2,"Low Risk",IF(Patient_Data!$L1504&lt;4,"Moderate Risk","High Risk"))</f>
        <v>Moderate Risk</v>
      </c>
      <c r="S1504" s="12" t="str">
        <f>IF(Patient_Data[[#This Row],[Age]]&lt;=18,"Pediatric",IF(Patient_Data[[#This Row],[Age]]&lt;=64,"Adult","Geriatric"))</f>
        <v>Adult</v>
      </c>
    </row>
    <row r="1505" spans="1:19" ht="15.75" customHeight="1" x14ac:dyDescent="0.3">
      <c r="A1505" s="4" t="s">
        <v>3029</v>
      </c>
      <c r="B1505" s="5" t="str">
        <f>TEXT(Patient_Data!$E1505,"mmmm")</f>
        <v>March</v>
      </c>
      <c r="C1505" s="6" t="str">
        <f t="shared" si="10"/>
        <v>Mar</v>
      </c>
      <c r="D1505" s="6">
        <f>MONTH(Patient_Data!$E1505)</f>
        <v>3</v>
      </c>
      <c r="E1505" s="7">
        <v>45728</v>
      </c>
      <c r="F1505" s="55" t="str">
        <f>TEXT(Patient_Data[[#This Row],[Admission_Date]],"YYYY")</f>
        <v>2025</v>
      </c>
      <c r="G1505" s="8" t="s">
        <v>3030</v>
      </c>
      <c r="H1505" s="8" t="s">
        <v>132</v>
      </c>
      <c r="I1505" s="4" t="s">
        <v>29</v>
      </c>
      <c r="J1505" s="4">
        <v>13</v>
      </c>
      <c r="K1505" s="4" t="s">
        <v>30</v>
      </c>
      <c r="L1505" s="8">
        <v>2</v>
      </c>
      <c r="M1505" s="9" t="s">
        <v>79</v>
      </c>
      <c r="N1505" s="9" t="str">
        <f t="shared" si="11"/>
        <v>PD</v>
      </c>
      <c r="O1505" s="10">
        <v>2066.77</v>
      </c>
      <c r="P1505" s="10">
        <v>1209.93</v>
      </c>
      <c r="Q1505" s="11">
        <v>1.4</v>
      </c>
      <c r="R1505" s="13" t="str">
        <f>IF(Patient_Data!$L1505&lt;2,"Low Risk",IF(Patient_Data!$L1505&lt;4,"Moderate Risk","High Risk"))</f>
        <v>Moderate Risk</v>
      </c>
      <c r="S1505" s="12" t="str">
        <f>IF(Patient_Data[[#This Row],[Age]]&lt;=18,"Pediatric",IF(Patient_Data[[#This Row],[Age]]&lt;=64,"Adult","Geriatric"))</f>
        <v>Pediatric</v>
      </c>
    </row>
    <row r="1506" spans="1:19" ht="15.75" customHeight="1" x14ac:dyDescent="0.3">
      <c r="A1506" s="4" t="s">
        <v>3031</v>
      </c>
      <c r="B1506" s="5" t="str">
        <f>TEXT(Patient_Data!$E1506,"mmmm")</f>
        <v>March</v>
      </c>
      <c r="C1506" s="6" t="str">
        <f t="shared" si="10"/>
        <v>Mar</v>
      </c>
      <c r="D1506" s="6">
        <f>MONTH(Patient_Data!$E1506)</f>
        <v>3</v>
      </c>
      <c r="E1506" s="7">
        <v>45358</v>
      </c>
      <c r="F1506" s="55" t="str">
        <f>TEXT(Patient_Data[[#This Row],[Admission_Date]],"YYYY")</f>
        <v>2024</v>
      </c>
      <c r="G1506" s="8" t="s">
        <v>3032</v>
      </c>
      <c r="H1506" s="8" t="s">
        <v>82</v>
      </c>
      <c r="I1506" s="4" t="s">
        <v>35</v>
      </c>
      <c r="J1506" s="4">
        <v>75</v>
      </c>
      <c r="K1506" s="4" t="s">
        <v>54</v>
      </c>
      <c r="L1506" s="8">
        <v>4</v>
      </c>
      <c r="M1506" s="9" t="s">
        <v>50</v>
      </c>
      <c r="N1506" s="9" t="str">
        <f t="shared" si="11"/>
        <v>ICU</v>
      </c>
      <c r="O1506" s="10">
        <v>19187.349999999999</v>
      </c>
      <c r="P1506" s="10">
        <v>11808.28</v>
      </c>
      <c r="Q1506" s="11">
        <v>13</v>
      </c>
      <c r="R1506" s="13" t="str">
        <f>IF(Patient_Data!$L1506&lt;2,"Low Risk",IF(Patient_Data!$L1506&lt;4,"Moderate Risk","High Risk"))</f>
        <v>High Risk</v>
      </c>
      <c r="S1506" s="12" t="str">
        <f>IF(Patient_Data[[#This Row],[Age]]&lt;=18,"Pediatric",IF(Patient_Data[[#This Row],[Age]]&lt;=64,"Adult","Geriatric"))</f>
        <v>Geriatric</v>
      </c>
    </row>
    <row r="1507" spans="1:19" ht="15.75" customHeight="1" x14ac:dyDescent="0.3">
      <c r="A1507" s="4" t="s">
        <v>3033</v>
      </c>
      <c r="B1507" s="5" t="str">
        <f>TEXT(Patient_Data!$E1507,"mmmm")</f>
        <v>September</v>
      </c>
      <c r="C1507" s="6" t="str">
        <f t="shared" si="10"/>
        <v>Sep</v>
      </c>
      <c r="D1507" s="6">
        <f>MONTH(Patient_Data!$E1507)</f>
        <v>9</v>
      </c>
      <c r="E1507" s="7">
        <v>45905</v>
      </c>
      <c r="F1507" s="55" t="str">
        <f>TEXT(Patient_Data[[#This Row],[Admission_Date]],"YYYY")</f>
        <v>2025</v>
      </c>
      <c r="G1507" s="8" t="s">
        <v>3034</v>
      </c>
      <c r="H1507" s="8" t="s">
        <v>53</v>
      </c>
      <c r="I1507" s="4" t="s">
        <v>35</v>
      </c>
      <c r="J1507" s="4">
        <v>74</v>
      </c>
      <c r="K1507" s="4" t="s">
        <v>30</v>
      </c>
      <c r="L1507" s="8">
        <v>3</v>
      </c>
      <c r="M1507" s="9" t="s">
        <v>31</v>
      </c>
      <c r="N1507" s="9" t="str">
        <f t="shared" si="11"/>
        <v>Neuro</v>
      </c>
      <c r="O1507" s="10">
        <v>7900.35</v>
      </c>
      <c r="P1507" s="10">
        <v>5081.82</v>
      </c>
      <c r="Q1507" s="11">
        <v>3.2</v>
      </c>
      <c r="R1507" s="13" t="str">
        <f>IF(Patient_Data!$L1507&lt;2,"Low Risk",IF(Patient_Data!$L1507&lt;4,"Moderate Risk","High Risk"))</f>
        <v>Moderate Risk</v>
      </c>
      <c r="S1507" s="12" t="str">
        <f>IF(Patient_Data[[#This Row],[Age]]&lt;=18,"Pediatric",IF(Patient_Data[[#This Row],[Age]]&lt;=64,"Adult","Geriatric"))</f>
        <v>Geriatric</v>
      </c>
    </row>
    <row r="1508" spans="1:19" ht="15.75" customHeight="1" x14ac:dyDescent="0.3">
      <c r="A1508" s="4" t="s">
        <v>3035</v>
      </c>
      <c r="B1508" s="5" t="str">
        <f>TEXT(Patient_Data!$E1508,"mmmm")</f>
        <v>January</v>
      </c>
      <c r="C1508" s="6" t="str">
        <f t="shared" si="10"/>
        <v>Jan</v>
      </c>
      <c r="D1508" s="6">
        <f>MONTH(Patient_Data!$E1508)</f>
        <v>1</v>
      </c>
      <c r="E1508" s="7">
        <v>45679</v>
      </c>
      <c r="F1508" s="55" t="str">
        <f>TEXT(Patient_Data[[#This Row],[Admission_Date]],"YYYY")</f>
        <v>2025</v>
      </c>
      <c r="G1508" s="8" t="s">
        <v>3036</v>
      </c>
      <c r="H1508" s="8" t="s">
        <v>34</v>
      </c>
      <c r="I1508" s="4" t="s">
        <v>35</v>
      </c>
      <c r="J1508" s="4">
        <v>62</v>
      </c>
      <c r="K1508" s="4" t="s">
        <v>30</v>
      </c>
      <c r="L1508" s="8">
        <v>3</v>
      </c>
      <c r="M1508" s="9" t="s">
        <v>50</v>
      </c>
      <c r="N1508" s="9" t="str">
        <f t="shared" si="11"/>
        <v>ICU</v>
      </c>
      <c r="O1508" s="10">
        <v>14682.96</v>
      </c>
      <c r="P1508" s="10">
        <v>9934.3799999999992</v>
      </c>
      <c r="Q1508" s="11">
        <v>12.1</v>
      </c>
      <c r="R1508" s="13" t="str">
        <f>IF(Patient_Data!$L1508&lt;2,"Low Risk",IF(Patient_Data!$L1508&lt;4,"Moderate Risk","High Risk"))</f>
        <v>Moderate Risk</v>
      </c>
      <c r="S1508" s="12" t="str">
        <f>IF(Patient_Data[[#This Row],[Age]]&lt;=18,"Pediatric",IF(Patient_Data[[#This Row],[Age]]&lt;=64,"Adult","Geriatric"))</f>
        <v>Adult</v>
      </c>
    </row>
    <row r="1509" spans="1:19" ht="15.75" customHeight="1" x14ac:dyDescent="0.3">
      <c r="A1509" s="4" t="s">
        <v>3037</v>
      </c>
      <c r="B1509" s="5" t="str">
        <f>TEXT(Patient_Data!$E1509,"mmmm")</f>
        <v>February</v>
      </c>
      <c r="C1509" s="6" t="str">
        <f t="shared" si="10"/>
        <v>Feb</v>
      </c>
      <c r="D1509" s="6">
        <f>MONTH(Patient_Data!$E1509)</f>
        <v>2</v>
      </c>
      <c r="E1509" s="7">
        <v>45335</v>
      </c>
      <c r="F1509" s="55" t="str">
        <f>TEXT(Patient_Data[[#This Row],[Admission_Date]],"YYYY")</f>
        <v>2024</v>
      </c>
      <c r="G1509" s="8" t="s">
        <v>3038</v>
      </c>
      <c r="H1509" s="8" t="s">
        <v>49</v>
      </c>
      <c r="I1509" s="4" t="s">
        <v>29</v>
      </c>
      <c r="J1509" s="4">
        <v>71</v>
      </c>
      <c r="K1509" s="4" t="s">
        <v>54</v>
      </c>
      <c r="L1509" s="8">
        <v>3</v>
      </c>
      <c r="M1509" s="9" t="s">
        <v>36</v>
      </c>
      <c r="N1509" s="9" t="str">
        <f t="shared" si="11"/>
        <v>Cardio</v>
      </c>
      <c r="O1509" s="10">
        <v>7122.54</v>
      </c>
      <c r="P1509" s="10">
        <v>5076.18</v>
      </c>
      <c r="Q1509" s="11">
        <v>11.3</v>
      </c>
      <c r="R1509" s="13" t="str">
        <f>IF(Patient_Data!$L1509&lt;2,"Low Risk",IF(Patient_Data!$L1509&lt;4,"Moderate Risk","High Risk"))</f>
        <v>Moderate Risk</v>
      </c>
      <c r="S1509" s="12" t="str">
        <f>IF(Patient_Data[[#This Row],[Age]]&lt;=18,"Pediatric",IF(Patient_Data[[#This Row],[Age]]&lt;=64,"Adult","Geriatric"))</f>
        <v>Geriatric</v>
      </c>
    </row>
    <row r="1510" spans="1:19" ht="15.75" customHeight="1" x14ac:dyDescent="0.3">
      <c r="A1510" s="4" t="s">
        <v>3039</v>
      </c>
      <c r="B1510" s="5" t="str">
        <f>TEXT(Patient_Data!$E1510,"mmmm")</f>
        <v>August</v>
      </c>
      <c r="C1510" s="6" t="str">
        <f t="shared" si="10"/>
        <v>Aug</v>
      </c>
      <c r="D1510" s="6">
        <f>MONTH(Patient_Data!$E1510)</f>
        <v>8</v>
      </c>
      <c r="E1510" s="7">
        <v>45505</v>
      </c>
      <c r="F1510" s="55" t="str">
        <f>TEXT(Patient_Data[[#This Row],[Admission_Date]],"YYYY")</f>
        <v>2024</v>
      </c>
      <c r="G1510" s="8" t="s">
        <v>3040</v>
      </c>
      <c r="H1510" s="8" t="s">
        <v>28</v>
      </c>
      <c r="I1510" s="4" t="s">
        <v>35</v>
      </c>
      <c r="J1510" s="4">
        <v>30</v>
      </c>
      <c r="K1510" s="4" t="s">
        <v>30</v>
      </c>
      <c r="L1510" s="8">
        <v>1</v>
      </c>
      <c r="M1510" s="9" t="s">
        <v>39</v>
      </c>
      <c r="N1510" s="9" t="str">
        <f t="shared" si="11"/>
        <v>GM</v>
      </c>
      <c r="O1510" s="10">
        <v>1749.03</v>
      </c>
      <c r="P1510" s="10">
        <v>1355.99</v>
      </c>
      <c r="Q1510" s="11">
        <v>9.9</v>
      </c>
      <c r="R1510" s="13" t="str">
        <f>IF(Patient_Data!$L1510&lt;2,"Low Risk",IF(Patient_Data!$L1510&lt;4,"Moderate Risk","High Risk"))</f>
        <v>Low Risk</v>
      </c>
      <c r="S1510" s="12" t="str">
        <f>IF(Patient_Data[[#This Row],[Age]]&lt;=18,"Pediatric",IF(Patient_Data[[#This Row],[Age]]&lt;=64,"Adult","Geriatric"))</f>
        <v>Adult</v>
      </c>
    </row>
    <row r="1511" spans="1:19" ht="15.75" customHeight="1" x14ac:dyDescent="0.3">
      <c r="A1511" s="4" t="s">
        <v>3041</v>
      </c>
      <c r="B1511" s="5" t="str">
        <f>TEXT(Patient_Data!$E1511,"mmmm")</f>
        <v>December</v>
      </c>
      <c r="C1511" s="6" t="str">
        <f t="shared" si="10"/>
        <v>Dec</v>
      </c>
      <c r="D1511" s="6">
        <f>MONTH(Patient_Data!$E1511)</f>
        <v>12</v>
      </c>
      <c r="E1511" s="7">
        <v>45273</v>
      </c>
      <c r="F1511" s="55" t="str">
        <f>TEXT(Patient_Data[[#This Row],[Admission_Date]],"YYYY")</f>
        <v>2023</v>
      </c>
      <c r="G1511" s="8" t="s">
        <v>3042</v>
      </c>
      <c r="H1511" s="8" t="s">
        <v>82</v>
      </c>
      <c r="I1511" s="4" t="s">
        <v>35</v>
      </c>
      <c r="J1511" s="4">
        <v>63</v>
      </c>
      <c r="K1511" s="4" t="s">
        <v>54</v>
      </c>
      <c r="L1511" s="8">
        <v>1</v>
      </c>
      <c r="M1511" s="9" t="s">
        <v>31</v>
      </c>
      <c r="N1511" s="9" t="str">
        <f t="shared" si="11"/>
        <v>Neuro</v>
      </c>
      <c r="O1511" s="10">
        <v>6299.22</v>
      </c>
      <c r="P1511" s="10">
        <v>4839.41</v>
      </c>
      <c r="Q1511" s="11">
        <v>6.5</v>
      </c>
      <c r="R1511" s="13" t="str">
        <f>IF(Patient_Data!$L1511&lt;2,"Low Risk",IF(Patient_Data!$L1511&lt;4,"Moderate Risk","High Risk"))</f>
        <v>Low Risk</v>
      </c>
      <c r="S1511" s="12" t="str">
        <f>IF(Patient_Data[[#This Row],[Age]]&lt;=18,"Pediatric",IF(Patient_Data[[#This Row],[Age]]&lt;=64,"Adult","Geriatric"))</f>
        <v>Adult</v>
      </c>
    </row>
    <row r="1512" spans="1:19" ht="15.75" customHeight="1" x14ac:dyDescent="0.3">
      <c r="A1512" s="4" t="s">
        <v>3043</v>
      </c>
      <c r="B1512" s="5" t="str">
        <f>TEXT(Patient_Data!$E1512,"mmmm")</f>
        <v>November</v>
      </c>
      <c r="C1512" s="6" t="str">
        <f t="shared" si="10"/>
        <v>Nov</v>
      </c>
      <c r="D1512" s="6">
        <f>MONTH(Patient_Data!$E1512)</f>
        <v>11</v>
      </c>
      <c r="E1512" s="7">
        <v>45978</v>
      </c>
      <c r="F1512" s="55" t="str">
        <f>TEXT(Patient_Data[[#This Row],[Admission_Date]],"YYYY")</f>
        <v>2025</v>
      </c>
      <c r="G1512" s="8" t="s">
        <v>3044</v>
      </c>
      <c r="H1512" s="8" t="s">
        <v>28</v>
      </c>
      <c r="I1512" s="4" t="s">
        <v>29</v>
      </c>
      <c r="J1512" s="4">
        <v>60</v>
      </c>
      <c r="K1512" s="4" t="s">
        <v>30</v>
      </c>
      <c r="L1512" s="8">
        <v>2</v>
      </c>
      <c r="M1512" s="9" t="s">
        <v>46</v>
      </c>
      <c r="N1512" s="9" t="str">
        <f t="shared" si="11"/>
        <v>Ortho</v>
      </c>
      <c r="O1512" s="10">
        <v>7465.5</v>
      </c>
      <c r="P1512" s="10">
        <v>4394.79</v>
      </c>
      <c r="Q1512" s="11">
        <v>8.1</v>
      </c>
      <c r="R1512" s="13" t="str">
        <f>IF(Patient_Data!$L1512&lt;2,"Low Risk",IF(Patient_Data!$L1512&lt;4,"Moderate Risk","High Risk"))</f>
        <v>Moderate Risk</v>
      </c>
      <c r="S1512" s="12" t="str">
        <f>IF(Patient_Data[[#This Row],[Age]]&lt;=18,"Pediatric",IF(Patient_Data[[#This Row],[Age]]&lt;=64,"Adult","Geriatric"))</f>
        <v>Adult</v>
      </c>
    </row>
    <row r="1513" spans="1:19" ht="15.75" customHeight="1" x14ac:dyDescent="0.3">
      <c r="A1513" s="4" t="s">
        <v>3045</v>
      </c>
      <c r="B1513" s="5" t="str">
        <f>TEXT(Patient_Data!$E1513,"mmmm")</f>
        <v>May</v>
      </c>
      <c r="C1513" s="6" t="str">
        <f t="shared" si="10"/>
        <v>May</v>
      </c>
      <c r="D1513" s="6">
        <f>MONTH(Patient_Data!$E1513)</f>
        <v>5</v>
      </c>
      <c r="E1513" s="7">
        <v>45792</v>
      </c>
      <c r="F1513" s="55" t="str">
        <f>TEXT(Patient_Data[[#This Row],[Admission_Date]],"YYYY")</f>
        <v>2025</v>
      </c>
      <c r="G1513" s="8" t="s">
        <v>3046</v>
      </c>
      <c r="H1513" s="8" t="s">
        <v>53</v>
      </c>
      <c r="I1513" s="4" t="s">
        <v>35</v>
      </c>
      <c r="J1513" s="4">
        <v>66</v>
      </c>
      <c r="K1513" s="4" t="s">
        <v>54</v>
      </c>
      <c r="L1513" s="8">
        <v>3</v>
      </c>
      <c r="M1513" s="9" t="s">
        <v>50</v>
      </c>
      <c r="N1513" s="9" t="str">
        <f t="shared" si="11"/>
        <v>ICU</v>
      </c>
      <c r="O1513" s="10">
        <v>20084.64</v>
      </c>
      <c r="P1513" s="10">
        <v>12251.63</v>
      </c>
      <c r="Q1513" s="11"/>
      <c r="R1513" s="13" t="str">
        <f>IF(Patient_Data!$L1513&lt;2,"Low Risk",IF(Patient_Data!$L1513&lt;4,"Moderate Risk","High Risk"))</f>
        <v>Moderate Risk</v>
      </c>
      <c r="S1513" s="12" t="str">
        <f>IF(Patient_Data[[#This Row],[Age]]&lt;=18,"Pediatric",IF(Patient_Data[[#This Row],[Age]]&lt;=64,"Adult","Geriatric"))</f>
        <v>Geriatric</v>
      </c>
    </row>
    <row r="1514" spans="1:19" ht="15.75" customHeight="1" x14ac:dyDescent="0.3">
      <c r="A1514" s="4" t="s">
        <v>3047</v>
      </c>
      <c r="B1514" s="5" t="str">
        <f>TEXT(Patient_Data!$E1514,"mmmm")</f>
        <v>December</v>
      </c>
      <c r="C1514" s="6" t="str">
        <f t="shared" si="10"/>
        <v>Dec</v>
      </c>
      <c r="D1514" s="6">
        <f>MONTH(Patient_Data!$E1514)</f>
        <v>12</v>
      </c>
      <c r="E1514" s="7">
        <v>45646</v>
      </c>
      <c r="F1514" s="55" t="str">
        <f>TEXT(Patient_Data[[#This Row],[Admission_Date]],"YYYY")</f>
        <v>2024</v>
      </c>
      <c r="G1514" s="8" t="s">
        <v>3048</v>
      </c>
      <c r="H1514" s="8" t="s">
        <v>49</v>
      </c>
      <c r="I1514" s="4" t="s">
        <v>35</v>
      </c>
      <c r="J1514" s="4">
        <v>67</v>
      </c>
      <c r="K1514" s="4" t="s">
        <v>30</v>
      </c>
      <c r="L1514" s="8">
        <v>1</v>
      </c>
      <c r="M1514" s="9" t="s">
        <v>83</v>
      </c>
      <c r="N1514" s="9" t="str">
        <f t="shared" si="11"/>
        <v>ER</v>
      </c>
      <c r="O1514" s="10">
        <v>2896.23</v>
      </c>
      <c r="P1514" s="10">
        <v>1966.39</v>
      </c>
      <c r="Q1514" s="11">
        <v>14.1</v>
      </c>
      <c r="R1514" s="13" t="str">
        <f>IF(Patient_Data!$L1514&lt;2,"Low Risk",IF(Patient_Data!$L1514&lt;4,"Moderate Risk","High Risk"))</f>
        <v>Low Risk</v>
      </c>
      <c r="S1514" s="12" t="str">
        <f>IF(Patient_Data[[#This Row],[Age]]&lt;=18,"Pediatric",IF(Patient_Data[[#This Row],[Age]]&lt;=64,"Adult","Geriatric"))</f>
        <v>Geriatric</v>
      </c>
    </row>
    <row r="1515" spans="1:19" ht="15.75" customHeight="1" x14ac:dyDescent="0.3">
      <c r="A1515" s="4" t="s">
        <v>3049</v>
      </c>
      <c r="B1515" s="5" t="str">
        <f>TEXT(Patient_Data!$E1515,"mmmm")</f>
        <v>March</v>
      </c>
      <c r="C1515" s="6" t="str">
        <f t="shared" si="10"/>
        <v>Mar</v>
      </c>
      <c r="D1515" s="6">
        <f>MONTH(Patient_Data!$E1515)</f>
        <v>3</v>
      </c>
      <c r="E1515" s="7">
        <v>45361</v>
      </c>
      <c r="F1515" s="55" t="str">
        <f>TEXT(Patient_Data[[#This Row],[Admission_Date]],"YYYY")</f>
        <v>2024</v>
      </c>
      <c r="G1515" s="8" t="s">
        <v>3050</v>
      </c>
      <c r="H1515" s="8" t="s">
        <v>28</v>
      </c>
      <c r="I1515" s="4" t="s">
        <v>35</v>
      </c>
      <c r="J1515" s="4">
        <v>60</v>
      </c>
      <c r="K1515" s="4" t="s">
        <v>54</v>
      </c>
      <c r="L1515" s="8">
        <v>4</v>
      </c>
      <c r="M1515" s="9" t="s">
        <v>50</v>
      </c>
      <c r="N1515" s="9" t="str">
        <f t="shared" si="11"/>
        <v>ICU</v>
      </c>
      <c r="O1515" s="10">
        <v>13971.62</v>
      </c>
      <c r="P1515" s="10">
        <v>9434.59</v>
      </c>
      <c r="Q1515" s="11">
        <v>9.1999999999999993</v>
      </c>
      <c r="R1515" s="13" t="str">
        <f>IF(Patient_Data!$L1515&lt;2,"Low Risk",IF(Patient_Data!$L1515&lt;4,"Moderate Risk","High Risk"))</f>
        <v>High Risk</v>
      </c>
      <c r="S1515" s="12" t="str">
        <f>IF(Patient_Data[[#This Row],[Age]]&lt;=18,"Pediatric",IF(Patient_Data[[#This Row],[Age]]&lt;=64,"Adult","Geriatric"))</f>
        <v>Adult</v>
      </c>
    </row>
    <row r="1516" spans="1:19" ht="15.75" customHeight="1" x14ac:dyDescent="0.3">
      <c r="A1516" s="4" t="s">
        <v>3051</v>
      </c>
      <c r="B1516" s="5" t="str">
        <f>TEXT(Patient_Data!$E1516,"mmmm")</f>
        <v>May</v>
      </c>
      <c r="C1516" s="6" t="str">
        <f t="shared" si="10"/>
        <v>May</v>
      </c>
      <c r="D1516" s="6">
        <f>MONTH(Patient_Data!$E1516)</f>
        <v>5</v>
      </c>
      <c r="E1516" s="7">
        <v>46143</v>
      </c>
      <c r="F1516" s="55" t="str">
        <f>TEXT(Patient_Data[[#This Row],[Admission_Date]],"YYYY")</f>
        <v>2026</v>
      </c>
      <c r="G1516" s="8" t="s">
        <v>3052</v>
      </c>
      <c r="H1516" s="8" t="s">
        <v>42</v>
      </c>
      <c r="I1516" s="4" t="s">
        <v>29</v>
      </c>
      <c r="J1516" s="4">
        <v>41</v>
      </c>
      <c r="K1516" s="4" t="s">
        <v>30</v>
      </c>
      <c r="L1516" s="8">
        <v>2</v>
      </c>
      <c r="M1516" s="9" t="s">
        <v>31</v>
      </c>
      <c r="N1516" s="9" t="str">
        <f t="shared" si="11"/>
        <v>Neuro</v>
      </c>
      <c r="O1516" s="10">
        <v>10645.26</v>
      </c>
      <c r="P1516" s="10">
        <v>7509.28</v>
      </c>
      <c r="Q1516" s="11">
        <v>7.2</v>
      </c>
      <c r="R1516" s="13" t="str">
        <f>IF(Patient_Data!$L1516&lt;2,"Low Risk",IF(Patient_Data!$L1516&lt;4,"Moderate Risk","High Risk"))</f>
        <v>Moderate Risk</v>
      </c>
      <c r="S1516" s="12" t="str">
        <f>IF(Patient_Data[[#This Row],[Age]]&lt;=18,"Pediatric",IF(Patient_Data[[#This Row],[Age]]&lt;=64,"Adult","Geriatric"))</f>
        <v>Adult</v>
      </c>
    </row>
    <row r="1517" spans="1:19" ht="15.75" customHeight="1" x14ac:dyDescent="0.3">
      <c r="A1517" s="4" t="s">
        <v>3053</v>
      </c>
      <c r="B1517" s="5" t="str">
        <f>TEXT(Patient_Data!$E1517,"mmmm")</f>
        <v>February</v>
      </c>
      <c r="C1517" s="6" t="str">
        <f t="shared" si="10"/>
        <v>Feb</v>
      </c>
      <c r="D1517" s="6">
        <f>MONTH(Patient_Data!$E1517)</f>
        <v>2</v>
      </c>
      <c r="E1517" s="7">
        <v>45326</v>
      </c>
      <c r="F1517" s="55" t="str">
        <f>TEXT(Patient_Data[[#This Row],[Admission_Date]],"YYYY")</f>
        <v>2024</v>
      </c>
      <c r="G1517" s="8" t="s">
        <v>3054</v>
      </c>
      <c r="H1517" s="8" t="s">
        <v>34</v>
      </c>
      <c r="I1517" s="4" t="s">
        <v>35</v>
      </c>
      <c r="J1517" s="4">
        <v>65</v>
      </c>
      <c r="K1517" s="4" t="s">
        <v>30</v>
      </c>
      <c r="L1517" s="8">
        <v>1</v>
      </c>
      <c r="M1517" s="9" t="s">
        <v>46</v>
      </c>
      <c r="N1517" s="9" t="str">
        <f t="shared" si="11"/>
        <v>Ortho</v>
      </c>
      <c r="O1517" s="10">
        <v>7106.05</v>
      </c>
      <c r="P1517" s="10">
        <v>5209.0200000000004</v>
      </c>
      <c r="Q1517" s="11">
        <v>2.7</v>
      </c>
      <c r="R1517" s="13" t="str">
        <f>IF(Patient_Data!$L1517&lt;2,"Low Risk",IF(Patient_Data!$L1517&lt;4,"Moderate Risk","High Risk"))</f>
        <v>Low Risk</v>
      </c>
      <c r="S1517" s="12" t="str">
        <f>IF(Patient_Data[[#This Row],[Age]]&lt;=18,"Pediatric",IF(Patient_Data[[#This Row],[Age]]&lt;=64,"Adult","Geriatric"))</f>
        <v>Geriatric</v>
      </c>
    </row>
    <row r="1518" spans="1:19" ht="15.75" customHeight="1" x14ac:dyDescent="0.3">
      <c r="A1518" s="4" t="s">
        <v>3055</v>
      </c>
      <c r="B1518" s="5" t="str">
        <f>TEXT(Patient_Data!$E1518,"mmmm")</f>
        <v>December</v>
      </c>
      <c r="C1518" s="6" t="str">
        <f t="shared" si="10"/>
        <v>Dec</v>
      </c>
      <c r="D1518" s="6">
        <f>MONTH(Patient_Data!$E1518)</f>
        <v>12</v>
      </c>
      <c r="E1518" s="7">
        <v>45630</v>
      </c>
      <c r="F1518" s="55" t="str">
        <f>TEXT(Patient_Data[[#This Row],[Admission_Date]],"YYYY")</f>
        <v>2024</v>
      </c>
      <c r="G1518" s="8" t="s">
        <v>3056</v>
      </c>
      <c r="H1518" s="8" t="s">
        <v>34</v>
      </c>
      <c r="I1518" s="4" t="s">
        <v>35</v>
      </c>
      <c r="J1518" s="4">
        <v>42</v>
      </c>
      <c r="K1518" s="4" t="s">
        <v>45</v>
      </c>
      <c r="L1518" s="8">
        <v>4</v>
      </c>
      <c r="M1518" s="9" t="s">
        <v>72</v>
      </c>
      <c r="N1518" s="9" t="str">
        <f t="shared" si="11"/>
        <v>Surgery</v>
      </c>
      <c r="O1518" s="10">
        <v>17455.14</v>
      </c>
      <c r="P1518" s="10">
        <v>13324.31</v>
      </c>
      <c r="Q1518" s="11">
        <v>7.3</v>
      </c>
      <c r="R1518" s="13" t="str">
        <f>IF(Patient_Data!$L1518&lt;2,"Low Risk",IF(Patient_Data!$L1518&lt;4,"Moderate Risk","High Risk"))</f>
        <v>High Risk</v>
      </c>
      <c r="S1518" s="12" t="str">
        <f>IF(Patient_Data[[#This Row],[Age]]&lt;=18,"Pediatric",IF(Patient_Data[[#This Row],[Age]]&lt;=64,"Adult","Geriatric"))</f>
        <v>Adult</v>
      </c>
    </row>
    <row r="1519" spans="1:19" ht="15.75" customHeight="1" x14ac:dyDescent="0.3">
      <c r="A1519" s="4" t="s">
        <v>3057</v>
      </c>
      <c r="B1519" s="5" t="str">
        <f>TEXT(Patient_Data!$E1519,"mmmm")</f>
        <v>February</v>
      </c>
      <c r="C1519" s="6" t="str">
        <f t="shared" si="10"/>
        <v>Feb</v>
      </c>
      <c r="D1519" s="6">
        <f>MONTH(Patient_Data!$E1519)</f>
        <v>2</v>
      </c>
      <c r="E1519" s="7">
        <v>46078</v>
      </c>
      <c r="F1519" s="55" t="str">
        <f>TEXT(Patient_Data[[#This Row],[Admission_Date]],"YYYY")</f>
        <v>2026</v>
      </c>
      <c r="G1519" s="8" t="s">
        <v>3058</v>
      </c>
      <c r="H1519" s="8" t="s">
        <v>53</v>
      </c>
      <c r="I1519" s="4" t="s">
        <v>35</v>
      </c>
      <c r="J1519" s="4">
        <v>41</v>
      </c>
      <c r="K1519" s="4" t="s">
        <v>30</v>
      </c>
      <c r="L1519" s="8">
        <v>1</v>
      </c>
      <c r="M1519" s="9" t="s">
        <v>83</v>
      </c>
      <c r="N1519" s="9" t="str">
        <f t="shared" si="11"/>
        <v>ER</v>
      </c>
      <c r="O1519" s="10">
        <v>6791.06</v>
      </c>
      <c r="P1519" s="10">
        <v>4038.01</v>
      </c>
      <c r="Q1519" s="11">
        <v>12.4</v>
      </c>
      <c r="R1519" s="13" t="str">
        <f>IF(Patient_Data!$L1519&lt;2,"Low Risk",IF(Patient_Data!$L1519&lt;4,"Moderate Risk","High Risk"))</f>
        <v>Low Risk</v>
      </c>
      <c r="S1519" s="12" t="str">
        <f>IF(Patient_Data[[#This Row],[Age]]&lt;=18,"Pediatric",IF(Patient_Data[[#This Row],[Age]]&lt;=64,"Adult","Geriatric"))</f>
        <v>Adult</v>
      </c>
    </row>
    <row r="1520" spans="1:19" ht="15.75" customHeight="1" x14ac:dyDescent="0.3">
      <c r="A1520" s="4" t="s">
        <v>3059</v>
      </c>
      <c r="B1520" s="5" t="str">
        <f>TEXT(Patient_Data!$E1520,"mmmm")</f>
        <v>September</v>
      </c>
      <c r="C1520" s="6" t="str">
        <f t="shared" si="10"/>
        <v>Sep</v>
      </c>
      <c r="D1520" s="6">
        <f>MONTH(Patient_Data!$E1520)</f>
        <v>9</v>
      </c>
      <c r="E1520" s="7">
        <v>45186</v>
      </c>
      <c r="F1520" s="55" t="str">
        <f>TEXT(Patient_Data[[#This Row],[Admission_Date]],"YYYY")</f>
        <v>2023</v>
      </c>
      <c r="G1520" s="8" t="s">
        <v>3060</v>
      </c>
      <c r="H1520" s="8" t="s">
        <v>132</v>
      </c>
      <c r="I1520" s="4" t="s">
        <v>29</v>
      </c>
      <c r="J1520" s="4">
        <v>70</v>
      </c>
      <c r="K1520" s="4" t="s">
        <v>54</v>
      </c>
      <c r="L1520" s="8">
        <v>5</v>
      </c>
      <c r="M1520" s="9" t="s">
        <v>50</v>
      </c>
      <c r="N1520" s="9" t="str">
        <f t="shared" si="11"/>
        <v>ICU</v>
      </c>
      <c r="O1520" s="10">
        <v>20822.810000000001</v>
      </c>
      <c r="P1520" s="10">
        <v>12809.11</v>
      </c>
      <c r="Q1520" s="11">
        <v>13.4</v>
      </c>
      <c r="R1520" s="13" t="str">
        <f>IF(Patient_Data!$L1520&lt;2,"Low Risk",IF(Patient_Data!$L1520&lt;4,"Moderate Risk","High Risk"))</f>
        <v>High Risk</v>
      </c>
      <c r="S1520" s="12" t="str">
        <f>IF(Patient_Data[[#This Row],[Age]]&lt;=18,"Pediatric",IF(Patient_Data[[#This Row],[Age]]&lt;=64,"Adult","Geriatric"))</f>
        <v>Geriatric</v>
      </c>
    </row>
    <row r="1521" spans="1:19" ht="15.75" customHeight="1" x14ac:dyDescent="0.3">
      <c r="A1521" s="4" t="s">
        <v>3061</v>
      </c>
      <c r="B1521" s="5" t="str">
        <f>TEXT(Patient_Data!$E1521,"mmmm")</f>
        <v>August</v>
      </c>
      <c r="C1521" s="6" t="str">
        <f t="shared" si="10"/>
        <v>Aug</v>
      </c>
      <c r="D1521" s="6">
        <f>MONTH(Patient_Data!$E1521)</f>
        <v>8</v>
      </c>
      <c r="E1521" s="7">
        <v>45870</v>
      </c>
      <c r="F1521" s="55" t="str">
        <f>TEXT(Patient_Data[[#This Row],[Admission_Date]],"YYYY")</f>
        <v>2025</v>
      </c>
      <c r="G1521" s="8" t="s">
        <v>3062</v>
      </c>
      <c r="H1521" s="8" t="s">
        <v>34</v>
      </c>
      <c r="I1521" s="4" t="s">
        <v>29</v>
      </c>
      <c r="J1521" s="4">
        <v>60</v>
      </c>
      <c r="K1521" s="4" t="s">
        <v>54</v>
      </c>
      <c r="L1521" s="8">
        <v>4</v>
      </c>
      <c r="M1521" s="9" t="s">
        <v>72</v>
      </c>
      <c r="N1521" s="9" t="str">
        <f t="shared" si="11"/>
        <v>Surgery</v>
      </c>
      <c r="O1521" s="10">
        <v>12117.57</v>
      </c>
      <c r="P1521" s="10">
        <v>7791.24</v>
      </c>
      <c r="Q1521" s="11">
        <v>4.5</v>
      </c>
      <c r="R1521" s="13" t="str">
        <f>IF(Patient_Data!$L1521&lt;2,"Low Risk",IF(Patient_Data!$L1521&lt;4,"Moderate Risk","High Risk"))</f>
        <v>High Risk</v>
      </c>
      <c r="S1521" s="12" t="str">
        <f>IF(Patient_Data[[#This Row],[Age]]&lt;=18,"Pediatric",IF(Patient_Data[[#This Row],[Age]]&lt;=64,"Adult","Geriatric"))</f>
        <v>Adult</v>
      </c>
    </row>
    <row r="1522" spans="1:19" ht="15.75" customHeight="1" x14ac:dyDescent="0.3">
      <c r="A1522" s="4" t="s">
        <v>3063</v>
      </c>
      <c r="B1522" s="5" t="str">
        <f>TEXT(Patient_Data!$E1522,"mmmm")</f>
        <v>May</v>
      </c>
      <c r="C1522" s="6" t="str">
        <f t="shared" si="10"/>
        <v>May</v>
      </c>
      <c r="D1522" s="6">
        <f>MONTH(Patient_Data!$E1522)</f>
        <v>5</v>
      </c>
      <c r="E1522" s="7">
        <v>45413</v>
      </c>
      <c r="F1522" s="55" t="str">
        <f>TEXT(Patient_Data[[#This Row],[Admission_Date]],"YYYY")</f>
        <v>2024</v>
      </c>
      <c r="G1522" s="8" t="s">
        <v>3064</v>
      </c>
      <c r="H1522" s="8" t="s">
        <v>98</v>
      </c>
      <c r="I1522" s="4" t="s">
        <v>35</v>
      </c>
      <c r="J1522" s="4">
        <v>71</v>
      </c>
      <c r="K1522" s="4" t="s">
        <v>45</v>
      </c>
      <c r="L1522" s="8">
        <v>4</v>
      </c>
      <c r="M1522" s="9" t="s">
        <v>72</v>
      </c>
      <c r="N1522" s="9" t="str">
        <f t="shared" si="11"/>
        <v>Surgery</v>
      </c>
      <c r="O1522" s="10">
        <v>12507.95</v>
      </c>
      <c r="P1522" s="10">
        <v>8449.1299999999992</v>
      </c>
      <c r="Q1522" s="11">
        <v>8.6</v>
      </c>
      <c r="R1522" s="13" t="str">
        <f>IF(Patient_Data!$L1522&lt;2,"Low Risk",IF(Patient_Data!$L1522&lt;4,"Moderate Risk","High Risk"))</f>
        <v>High Risk</v>
      </c>
      <c r="S1522" s="12" t="str">
        <f>IF(Patient_Data[[#This Row],[Age]]&lt;=18,"Pediatric",IF(Patient_Data[[#This Row],[Age]]&lt;=64,"Adult","Geriatric"))</f>
        <v>Geriatric</v>
      </c>
    </row>
    <row r="1523" spans="1:19" ht="15.75" customHeight="1" x14ac:dyDescent="0.3">
      <c r="A1523" s="4" t="s">
        <v>3065</v>
      </c>
      <c r="B1523" s="5" t="str">
        <f>TEXT(Patient_Data!$E1523,"mmmm")</f>
        <v>January</v>
      </c>
      <c r="C1523" s="6" t="str">
        <f t="shared" si="10"/>
        <v>Jan</v>
      </c>
      <c r="D1523" s="6">
        <f>MONTH(Patient_Data!$E1523)</f>
        <v>1</v>
      </c>
      <c r="E1523" s="7">
        <v>46031</v>
      </c>
      <c r="F1523" s="55" t="str">
        <f>TEXT(Patient_Data[[#This Row],[Admission_Date]],"YYYY")</f>
        <v>2026</v>
      </c>
      <c r="G1523" s="8" t="s">
        <v>3066</v>
      </c>
      <c r="H1523" s="8" t="s">
        <v>34</v>
      </c>
      <c r="I1523" s="4" t="s">
        <v>35</v>
      </c>
      <c r="J1523" s="4">
        <v>23</v>
      </c>
      <c r="K1523" s="4" t="s">
        <v>30</v>
      </c>
      <c r="L1523" s="8">
        <v>1</v>
      </c>
      <c r="M1523" s="9" t="s">
        <v>36</v>
      </c>
      <c r="N1523" s="9" t="str">
        <f t="shared" si="11"/>
        <v>Cardio</v>
      </c>
      <c r="O1523" s="10">
        <v>10952.33</v>
      </c>
      <c r="P1523" s="10">
        <v>7721.83</v>
      </c>
      <c r="Q1523" s="11">
        <v>6.9</v>
      </c>
      <c r="R1523" s="13" t="str">
        <f>IF(Patient_Data!$L1523&lt;2,"Low Risk",IF(Patient_Data!$L1523&lt;4,"Moderate Risk","High Risk"))</f>
        <v>Low Risk</v>
      </c>
      <c r="S1523" s="12" t="str">
        <f>IF(Patient_Data[[#This Row],[Age]]&lt;=18,"Pediatric",IF(Patient_Data[[#This Row],[Age]]&lt;=64,"Adult","Geriatric"))</f>
        <v>Adult</v>
      </c>
    </row>
    <row r="1524" spans="1:19" ht="15.75" customHeight="1" x14ac:dyDescent="0.3">
      <c r="A1524" s="4" t="s">
        <v>3067</v>
      </c>
      <c r="B1524" s="5" t="str">
        <f>TEXT(Patient_Data!$E1524,"mmmm")</f>
        <v>December</v>
      </c>
      <c r="C1524" s="6" t="str">
        <f t="shared" si="10"/>
        <v>Dec</v>
      </c>
      <c r="D1524" s="6">
        <f>MONTH(Patient_Data!$E1524)</f>
        <v>12</v>
      </c>
      <c r="E1524" s="7">
        <v>45635</v>
      </c>
      <c r="F1524" s="55" t="str">
        <f>TEXT(Patient_Data[[#This Row],[Admission_Date]],"YYYY")</f>
        <v>2024</v>
      </c>
      <c r="G1524" s="8" t="s">
        <v>3068</v>
      </c>
      <c r="H1524" s="8" t="s">
        <v>34</v>
      </c>
      <c r="I1524" s="4" t="s">
        <v>35</v>
      </c>
      <c r="J1524" s="4">
        <v>31</v>
      </c>
      <c r="K1524" s="4" t="s">
        <v>54</v>
      </c>
      <c r="L1524" s="8">
        <v>4</v>
      </c>
      <c r="M1524" s="9" t="s">
        <v>72</v>
      </c>
      <c r="N1524" s="9" t="str">
        <f t="shared" si="11"/>
        <v>Surgery</v>
      </c>
      <c r="O1524" s="10">
        <v>17959.009999999998</v>
      </c>
      <c r="P1524" s="10">
        <v>13176.48</v>
      </c>
      <c r="Q1524" s="11">
        <v>8.3000000000000007</v>
      </c>
      <c r="R1524" s="13" t="str">
        <f>IF(Patient_Data!$L1524&lt;2,"Low Risk",IF(Patient_Data!$L1524&lt;4,"Moderate Risk","High Risk"))</f>
        <v>High Risk</v>
      </c>
      <c r="S1524" s="12" t="str">
        <f>IF(Patient_Data[[#This Row],[Age]]&lt;=18,"Pediatric",IF(Patient_Data[[#This Row],[Age]]&lt;=64,"Adult","Geriatric"))</f>
        <v>Adult</v>
      </c>
    </row>
    <row r="1525" spans="1:19" ht="15.75" customHeight="1" x14ac:dyDescent="0.3">
      <c r="A1525" s="4" t="s">
        <v>3069</v>
      </c>
      <c r="B1525" s="5" t="str">
        <f>TEXT(Patient_Data!$E1525,"mmmm")</f>
        <v>October</v>
      </c>
      <c r="C1525" s="6" t="str">
        <f t="shared" si="10"/>
        <v>Oct</v>
      </c>
      <c r="D1525" s="6">
        <f>MONTH(Patient_Data!$E1525)</f>
        <v>10</v>
      </c>
      <c r="E1525" s="7">
        <v>45951</v>
      </c>
      <c r="F1525" s="55" t="str">
        <f>TEXT(Patient_Data[[#This Row],[Admission_Date]],"YYYY")</f>
        <v>2025</v>
      </c>
      <c r="G1525" s="8" t="s">
        <v>3070</v>
      </c>
      <c r="H1525" s="8" t="s">
        <v>28</v>
      </c>
      <c r="I1525" s="4" t="s">
        <v>29</v>
      </c>
      <c r="J1525" s="4">
        <v>34</v>
      </c>
      <c r="K1525" s="4" t="s">
        <v>30</v>
      </c>
      <c r="L1525" s="8">
        <v>1</v>
      </c>
      <c r="M1525" s="9" t="s">
        <v>31</v>
      </c>
      <c r="N1525" s="9" t="str">
        <f t="shared" si="11"/>
        <v>Neuro</v>
      </c>
      <c r="O1525" s="10">
        <v>7504.04</v>
      </c>
      <c r="P1525" s="10">
        <v>5719.87</v>
      </c>
      <c r="Q1525" s="11">
        <v>2.1</v>
      </c>
      <c r="R1525" s="13" t="str">
        <f>IF(Patient_Data!$L1525&lt;2,"Low Risk",IF(Patient_Data!$L1525&lt;4,"Moderate Risk","High Risk"))</f>
        <v>Low Risk</v>
      </c>
      <c r="S1525" s="12" t="str">
        <f>IF(Patient_Data[[#This Row],[Age]]&lt;=18,"Pediatric",IF(Patient_Data[[#This Row],[Age]]&lt;=64,"Adult","Geriatric"))</f>
        <v>Adult</v>
      </c>
    </row>
    <row r="1526" spans="1:19" ht="15.75" customHeight="1" x14ac:dyDescent="0.3">
      <c r="A1526" s="4" t="s">
        <v>3071</v>
      </c>
      <c r="B1526" s="5" t="str">
        <f>TEXT(Patient_Data!$E1526,"mmmm")</f>
        <v>February</v>
      </c>
      <c r="C1526" s="6" t="str">
        <f t="shared" si="10"/>
        <v>Feb</v>
      </c>
      <c r="D1526" s="6">
        <f>MONTH(Patient_Data!$E1526)</f>
        <v>2</v>
      </c>
      <c r="E1526" s="7">
        <v>45349</v>
      </c>
      <c r="F1526" s="55" t="str">
        <f>TEXT(Patient_Data[[#This Row],[Admission_Date]],"YYYY")</f>
        <v>2024</v>
      </c>
      <c r="G1526" s="8" t="s">
        <v>3072</v>
      </c>
      <c r="H1526" s="8" t="s">
        <v>132</v>
      </c>
      <c r="I1526" s="4" t="s">
        <v>29</v>
      </c>
      <c r="J1526" s="4">
        <v>40</v>
      </c>
      <c r="K1526" s="4" t="s">
        <v>54</v>
      </c>
      <c r="L1526" s="8">
        <v>2</v>
      </c>
      <c r="M1526" s="9" t="s">
        <v>31</v>
      </c>
      <c r="N1526" s="9" t="str">
        <f t="shared" si="11"/>
        <v>Neuro</v>
      </c>
      <c r="O1526" s="10">
        <v>5643.54</v>
      </c>
      <c r="P1526" s="10">
        <v>3296.45</v>
      </c>
      <c r="Q1526" s="11">
        <v>2.9</v>
      </c>
      <c r="R1526" s="13" t="str">
        <f>IF(Patient_Data!$L1526&lt;2,"Low Risk",IF(Patient_Data!$L1526&lt;4,"Moderate Risk","High Risk"))</f>
        <v>Moderate Risk</v>
      </c>
      <c r="S1526" s="12" t="str">
        <f>IF(Patient_Data[[#This Row],[Age]]&lt;=18,"Pediatric",IF(Patient_Data[[#This Row],[Age]]&lt;=64,"Adult","Geriatric"))</f>
        <v>Adult</v>
      </c>
    </row>
    <row r="1527" spans="1:19" ht="15.75" customHeight="1" x14ac:dyDescent="0.3">
      <c r="A1527" s="4" t="s">
        <v>3073</v>
      </c>
      <c r="B1527" s="5" t="str">
        <f>TEXT(Patient_Data!$E1527,"mmmm")</f>
        <v>March</v>
      </c>
      <c r="C1527" s="6" t="str">
        <f t="shared" si="10"/>
        <v>Mar</v>
      </c>
      <c r="D1527" s="6">
        <f>MONTH(Patient_Data!$E1527)</f>
        <v>3</v>
      </c>
      <c r="E1527" s="7">
        <v>45376</v>
      </c>
      <c r="F1527" s="55" t="str">
        <f>TEXT(Patient_Data[[#This Row],[Admission_Date]],"YYYY")</f>
        <v>2024</v>
      </c>
      <c r="G1527" s="8" t="s">
        <v>3074</v>
      </c>
      <c r="H1527" s="8" t="s">
        <v>28</v>
      </c>
      <c r="I1527" s="4" t="s">
        <v>35</v>
      </c>
      <c r="J1527" s="4">
        <v>4</v>
      </c>
      <c r="K1527" s="4" t="s">
        <v>45</v>
      </c>
      <c r="L1527" s="8">
        <v>1</v>
      </c>
      <c r="M1527" s="9" t="s">
        <v>79</v>
      </c>
      <c r="N1527" s="9" t="str">
        <f t="shared" si="11"/>
        <v>PD</v>
      </c>
      <c r="O1527" s="10">
        <v>2431.48</v>
      </c>
      <c r="P1527" s="10">
        <v>1513.6</v>
      </c>
      <c r="Q1527" s="11">
        <v>3.8</v>
      </c>
      <c r="R1527" s="13" t="str">
        <f>IF(Patient_Data!$L1527&lt;2,"Low Risk",IF(Patient_Data!$L1527&lt;4,"Moderate Risk","High Risk"))</f>
        <v>Low Risk</v>
      </c>
      <c r="S1527" s="12" t="str">
        <f>IF(Patient_Data[[#This Row],[Age]]&lt;=18,"Pediatric",IF(Patient_Data[[#This Row],[Age]]&lt;=64,"Adult","Geriatric"))</f>
        <v>Pediatric</v>
      </c>
    </row>
    <row r="1528" spans="1:19" ht="15.75" customHeight="1" x14ac:dyDescent="0.3">
      <c r="A1528" s="4" t="s">
        <v>3075</v>
      </c>
      <c r="B1528" s="5" t="str">
        <f>TEXT(Patient_Data!$E1528,"mmmm")</f>
        <v>March</v>
      </c>
      <c r="C1528" s="6" t="str">
        <f t="shared" si="10"/>
        <v>Mar</v>
      </c>
      <c r="D1528" s="6">
        <f>MONTH(Patient_Data!$E1528)</f>
        <v>3</v>
      </c>
      <c r="E1528" s="7">
        <v>45378</v>
      </c>
      <c r="F1528" s="55" t="str">
        <f>TEXT(Patient_Data[[#This Row],[Admission_Date]],"YYYY")</f>
        <v>2024</v>
      </c>
      <c r="G1528" s="8" t="s">
        <v>3076</v>
      </c>
      <c r="H1528" s="8" t="s">
        <v>28</v>
      </c>
      <c r="I1528" s="4" t="s">
        <v>35</v>
      </c>
      <c r="J1528" s="4">
        <v>50</v>
      </c>
      <c r="K1528" s="4" t="s">
        <v>30</v>
      </c>
      <c r="L1528" s="8">
        <v>2</v>
      </c>
      <c r="M1528" s="9" t="s">
        <v>39</v>
      </c>
      <c r="N1528" s="9" t="str">
        <f t="shared" si="11"/>
        <v>GM</v>
      </c>
      <c r="O1528" s="10">
        <v>3349.69</v>
      </c>
      <c r="P1528" s="10">
        <v>2198.1999999999998</v>
      </c>
      <c r="Q1528" s="11">
        <v>6.8</v>
      </c>
      <c r="R1528" s="13" t="str">
        <f>IF(Patient_Data!$L1528&lt;2,"Low Risk",IF(Patient_Data!$L1528&lt;4,"Moderate Risk","High Risk"))</f>
        <v>Moderate Risk</v>
      </c>
      <c r="S1528" s="12" t="str">
        <f>IF(Patient_Data[[#This Row],[Age]]&lt;=18,"Pediatric",IF(Patient_Data[[#This Row],[Age]]&lt;=64,"Adult","Geriatric"))</f>
        <v>Adult</v>
      </c>
    </row>
    <row r="1529" spans="1:19" ht="15.75" customHeight="1" x14ac:dyDescent="0.3">
      <c r="A1529" s="4" t="s">
        <v>3077</v>
      </c>
      <c r="B1529" s="5" t="str">
        <f>TEXT(Patient_Data!$E1529,"mmmm")</f>
        <v>May</v>
      </c>
      <c r="C1529" s="6" t="str">
        <f t="shared" si="10"/>
        <v>May</v>
      </c>
      <c r="D1529" s="6">
        <f>MONTH(Patient_Data!$E1529)</f>
        <v>5</v>
      </c>
      <c r="E1529" s="7">
        <v>45779</v>
      </c>
      <c r="F1529" s="55" t="str">
        <f>TEXT(Patient_Data[[#This Row],[Admission_Date]],"YYYY")</f>
        <v>2025</v>
      </c>
      <c r="G1529" s="8" t="s">
        <v>3078</v>
      </c>
      <c r="H1529" s="8" t="s">
        <v>53</v>
      </c>
      <c r="I1529" s="4" t="s">
        <v>35</v>
      </c>
      <c r="J1529" s="4">
        <v>10</v>
      </c>
      <c r="K1529" s="4" t="s">
        <v>30</v>
      </c>
      <c r="L1529" s="8">
        <v>3</v>
      </c>
      <c r="M1529" s="9" t="s">
        <v>79</v>
      </c>
      <c r="N1529" s="9" t="str">
        <f t="shared" si="11"/>
        <v>PD</v>
      </c>
      <c r="O1529" s="10">
        <v>1853.67</v>
      </c>
      <c r="P1529" s="10">
        <v>1270.76</v>
      </c>
      <c r="Q1529" s="11">
        <v>3.6</v>
      </c>
      <c r="R1529" s="13" t="str">
        <f>IF(Patient_Data!$L1529&lt;2,"Low Risk",IF(Patient_Data!$L1529&lt;4,"Moderate Risk","High Risk"))</f>
        <v>Moderate Risk</v>
      </c>
      <c r="S1529" s="12" t="str">
        <f>IF(Patient_Data[[#This Row],[Age]]&lt;=18,"Pediatric",IF(Patient_Data[[#This Row],[Age]]&lt;=64,"Adult","Geriatric"))</f>
        <v>Pediatric</v>
      </c>
    </row>
    <row r="1530" spans="1:19" ht="15.75" customHeight="1" x14ac:dyDescent="0.3">
      <c r="A1530" s="4" t="s">
        <v>3079</v>
      </c>
      <c r="B1530" s="5" t="str">
        <f>TEXT(Patient_Data!$E1530,"mmmm")</f>
        <v>June</v>
      </c>
      <c r="C1530" s="6" t="str">
        <f t="shared" si="10"/>
        <v>Jun</v>
      </c>
      <c r="D1530" s="6">
        <f>MONTH(Patient_Data!$E1530)</f>
        <v>6</v>
      </c>
      <c r="E1530" s="7">
        <v>45447</v>
      </c>
      <c r="F1530" s="55" t="str">
        <f>TEXT(Patient_Data[[#This Row],[Admission_Date]],"YYYY")</f>
        <v>2024</v>
      </c>
      <c r="G1530" s="8" t="s">
        <v>3080</v>
      </c>
      <c r="H1530" s="8" t="s">
        <v>49</v>
      </c>
      <c r="I1530" s="4" t="s">
        <v>29</v>
      </c>
      <c r="J1530" s="4">
        <v>74</v>
      </c>
      <c r="K1530" s="4" t="s">
        <v>30</v>
      </c>
      <c r="L1530" s="8">
        <v>3</v>
      </c>
      <c r="M1530" s="9" t="s">
        <v>36</v>
      </c>
      <c r="N1530" s="9" t="str">
        <f t="shared" si="11"/>
        <v>Cardio</v>
      </c>
      <c r="O1530" s="10">
        <v>7221.54</v>
      </c>
      <c r="P1530" s="10">
        <v>5075.88</v>
      </c>
      <c r="Q1530" s="11">
        <v>2.6</v>
      </c>
      <c r="R1530" s="13" t="str">
        <f>IF(Patient_Data!$L1530&lt;2,"Low Risk",IF(Patient_Data!$L1530&lt;4,"Moderate Risk","High Risk"))</f>
        <v>Moderate Risk</v>
      </c>
      <c r="S1530" s="12" t="str">
        <f>IF(Patient_Data[[#This Row],[Age]]&lt;=18,"Pediatric",IF(Patient_Data[[#This Row],[Age]]&lt;=64,"Adult","Geriatric"))</f>
        <v>Geriatric</v>
      </c>
    </row>
    <row r="1531" spans="1:19" ht="15.75" customHeight="1" x14ac:dyDescent="0.3">
      <c r="A1531" s="4" t="s">
        <v>3081</v>
      </c>
      <c r="B1531" s="5" t="str">
        <f>TEXT(Patient_Data!$E1531,"mmmm")</f>
        <v>October</v>
      </c>
      <c r="C1531" s="6" t="str">
        <f t="shared" si="10"/>
        <v>Oct</v>
      </c>
      <c r="D1531" s="6">
        <f>MONTH(Patient_Data!$E1531)</f>
        <v>10</v>
      </c>
      <c r="E1531" s="7">
        <v>45950</v>
      </c>
      <c r="F1531" s="55" t="str">
        <f>TEXT(Patient_Data[[#This Row],[Admission_Date]],"YYYY")</f>
        <v>2025</v>
      </c>
      <c r="G1531" s="8" t="s">
        <v>3082</v>
      </c>
      <c r="H1531" s="8" t="s">
        <v>75</v>
      </c>
      <c r="I1531" s="4" t="s">
        <v>35</v>
      </c>
      <c r="J1531" s="4">
        <v>65</v>
      </c>
      <c r="K1531" s="4" t="s">
        <v>45</v>
      </c>
      <c r="L1531" s="8">
        <v>4</v>
      </c>
      <c r="M1531" s="9" t="s">
        <v>50</v>
      </c>
      <c r="N1531" s="9" t="str">
        <f t="shared" si="11"/>
        <v>ICU</v>
      </c>
      <c r="O1531" s="10">
        <v>19180.86</v>
      </c>
      <c r="P1531" s="10">
        <v>14110.83</v>
      </c>
      <c r="Q1531" s="11">
        <v>13.6</v>
      </c>
      <c r="R1531" s="13" t="str">
        <f>IF(Patient_Data!$L1531&lt;2,"Low Risk",IF(Patient_Data!$L1531&lt;4,"Moderate Risk","High Risk"))</f>
        <v>High Risk</v>
      </c>
      <c r="S1531" s="12" t="str">
        <f>IF(Patient_Data[[#This Row],[Age]]&lt;=18,"Pediatric",IF(Patient_Data[[#This Row],[Age]]&lt;=64,"Adult","Geriatric"))</f>
        <v>Geriatric</v>
      </c>
    </row>
    <row r="1532" spans="1:19" ht="15.75" customHeight="1" x14ac:dyDescent="0.3">
      <c r="A1532" s="4" t="s">
        <v>3083</v>
      </c>
      <c r="B1532" s="5" t="str">
        <f>TEXT(Patient_Data!$E1532,"mmmm")</f>
        <v>May</v>
      </c>
      <c r="C1532" s="6" t="str">
        <f t="shared" ref="C1532:C1786" si="12">LEFT(B1532,3)</f>
        <v>May</v>
      </c>
      <c r="D1532" s="6">
        <f>MONTH(Patient_Data!$E1532)</f>
        <v>5</v>
      </c>
      <c r="E1532" s="7">
        <v>45439</v>
      </c>
      <c r="F1532" s="55" t="str">
        <f>TEXT(Patient_Data[[#This Row],[Admission_Date]],"YYYY")</f>
        <v>2024</v>
      </c>
      <c r="G1532" s="8" t="s">
        <v>3084</v>
      </c>
      <c r="H1532" s="8" t="s">
        <v>82</v>
      </c>
      <c r="I1532" s="4" t="s">
        <v>29</v>
      </c>
      <c r="J1532" s="4">
        <v>94</v>
      </c>
      <c r="K1532" s="4" t="s">
        <v>45</v>
      </c>
      <c r="L1532" s="8">
        <v>4</v>
      </c>
      <c r="M1532" s="9" t="s">
        <v>50</v>
      </c>
      <c r="N1532" s="9" t="str">
        <f t="shared" ref="N1532:N1786" si="13">IF(M1532="Cardiology","Cardio",IF(M1532="Intensive Care Unit","ICU",IF(M1532="Neurology","Neuro",IF(M1532="Emergency Room","ER",IF(M1532="Pediatrics","PD",IF(M1532="Surgery","Surgery",IF(M1532="General Medicine","GM",IF(M1532="Orthopedics","Ortho",""))))))))</f>
        <v>ICU</v>
      </c>
      <c r="O1532" s="10">
        <v>12966.92</v>
      </c>
      <c r="P1532" s="10">
        <v>9923.66</v>
      </c>
      <c r="Q1532" s="11">
        <v>8.6</v>
      </c>
      <c r="R1532" s="13" t="str">
        <f>IF(Patient_Data!$L1532&lt;2,"Low Risk",IF(Patient_Data!$L1532&lt;4,"Moderate Risk","High Risk"))</f>
        <v>High Risk</v>
      </c>
      <c r="S1532" s="12" t="str">
        <f>IF(Patient_Data[[#This Row],[Age]]&lt;=18,"Pediatric",IF(Patient_Data[[#This Row],[Age]]&lt;=64,"Adult","Geriatric"))</f>
        <v>Geriatric</v>
      </c>
    </row>
    <row r="1533" spans="1:19" ht="15.75" customHeight="1" x14ac:dyDescent="0.3">
      <c r="A1533" s="4" t="s">
        <v>3085</v>
      </c>
      <c r="B1533" s="5" t="str">
        <f>TEXT(Patient_Data!$E1533,"mmmm")</f>
        <v>June</v>
      </c>
      <c r="C1533" s="6" t="str">
        <f t="shared" si="12"/>
        <v>Jun</v>
      </c>
      <c r="D1533" s="6">
        <f>MONTH(Patient_Data!$E1533)</f>
        <v>6</v>
      </c>
      <c r="E1533" s="7">
        <v>45459</v>
      </c>
      <c r="F1533" s="55" t="str">
        <f>TEXT(Patient_Data[[#This Row],[Admission_Date]],"YYYY")</f>
        <v>2024</v>
      </c>
      <c r="G1533" s="8" t="s">
        <v>3086</v>
      </c>
      <c r="H1533" s="8" t="s">
        <v>42</v>
      </c>
      <c r="I1533" s="4" t="s">
        <v>29</v>
      </c>
      <c r="J1533" s="4">
        <v>27</v>
      </c>
      <c r="K1533" s="4" t="s">
        <v>30</v>
      </c>
      <c r="L1533" s="8">
        <v>1</v>
      </c>
      <c r="M1533" s="9" t="s">
        <v>39</v>
      </c>
      <c r="N1533" s="9" t="str">
        <f t="shared" si="13"/>
        <v>GM</v>
      </c>
      <c r="O1533" s="10">
        <v>2013.11</v>
      </c>
      <c r="P1533" s="10">
        <v>1238.8</v>
      </c>
      <c r="Q1533" s="11">
        <v>8.9</v>
      </c>
      <c r="R1533" s="13" t="str">
        <f>IF(Patient_Data!$L1533&lt;2,"Low Risk",IF(Patient_Data!$L1533&lt;4,"Moderate Risk","High Risk"))</f>
        <v>Low Risk</v>
      </c>
      <c r="S1533" s="12" t="str">
        <f>IF(Patient_Data[[#This Row],[Age]]&lt;=18,"Pediatric",IF(Patient_Data[[#This Row],[Age]]&lt;=64,"Adult","Geriatric"))</f>
        <v>Adult</v>
      </c>
    </row>
    <row r="1534" spans="1:19" ht="15.75" customHeight="1" x14ac:dyDescent="0.3">
      <c r="A1534" s="4" t="s">
        <v>3087</v>
      </c>
      <c r="B1534" s="5" t="str">
        <f>TEXT(Patient_Data!$E1534,"mmmm")</f>
        <v>September</v>
      </c>
      <c r="C1534" s="6" t="str">
        <f t="shared" si="12"/>
        <v>Sep</v>
      </c>
      <c r="D1534" s="6">
        <f>MONTH(Patient_Data!$E1534)</f>
        <v>9</v>
      </c>
      <c r="E1534" s="7">
        <v>45184</v>
      </c>
      <c r="F1534" s="55" t="str">
        <f>TEXT(Patient_Data[[#This Row],[Admission_Date]],"YYYY")</f>
        <v>2023</v>
      </c>
      <c r="G1534" s="8" t="s">
        <v>3088</v>
      </c>
      <c r="H1534" s="8" t="s">
        <v>98</v>
      </c>
      <c r="I1534" s="4" t="s">
        <v>35</v>
      </c>
      <c r="J1534" s="4">
        <v>68</v>
      </c>
      <c r="K1534" s="4" t="s">
        <v>54</v>
      </c>
      <c r="L1534" s="8">
        <v>3</v>
      </c>
      <c r="M1534" s="9" t="s">
        <v>50</v>
      </c>
      <c r="N1534" s="9" t="str">
        <f t="shared" si="13"/>
        <v>ICU</v>
      </c>
      <c r="O1534" s="10">
        <v>13609.88</v>
      </c>
      <c r="P1534" s="10">
        <v>8369.23</v>
      </c>
      <c r="Q1534" s="11">
        <v>8.4</v>
      </c>
      <c r="R1534" s="13" t="str">
        <f>IF(Patient_Data!$L1534&lt;2,"Low Risk",IF(Patient_Data!$L1534&lt;4,"Moderate Risk","High Risk"))</f>
        <v>Moderate Risk</v>
      </c>
      <c r="S1534" s="12" t="str">
        <f>IF(Patient_Data[[#This Row],[Age]]&lt;=18,"Pediatric",IF(Patient_Data[[#This Row],[Age]]&lt;=64,"Adult","Geriatric"))</f>
        <v>Geriatric</v>
      </c>
    </row>
    <row r="1535" spans="1:19" ht="15.75" customHeight="1" x14ac:dyDescent="0.3">
      <c r="A1535" s="4" t="s">
        <v>3089</v>
      </c>
      <c r="B1535" s="5" t="str">
        <f>TEXT(Patient_Data!$E1535,"mmmm")</f>
        <v>July</v>
      </c>
      <c r="C1535" s="6" t="str">
        <f t="shared" si="12"/>
        <v>Jul</v>
      </c>
      <c r="D1535" s="6">
        <f>MONTH(Patient_Data!$E1535)</f>
        <v>7</v>
      </c>
      <c r="E1535" s="7">
        <v>45503</v>
      </c>
      <c r="F1535" s="55" t="str">
        <f>TEXT(Patient_Data[[#This Row],[Admission_Date]],"YYYY")</f>
        <v>2024</v>
      </c>
      <c r="G1535" s="8" t="s">
        <v>3090</v>
      </c>
      <c r="H1535" s="8" t="s">
        <v>98</v>
      </c>
      <c r="I1535" s="4" t="s">
        <v>35</v>
      </c>
      <c r="J1535" s="4">
        <v>88</v>
      </c>
      <c r="K1535" s="4" t="s">
        <v>54</v>
      </c>
      <c r="L1535" s="8">
        <v>4</v>
      </c>
      <c r="M1535" s="9" t="s">
        <v>72</v>
      </c>
      <c r="N1535" s="9" t="str">
        <f t="shared" si="13"/>
        <v>Surgery</v>
      </c>
      <c r="O1535" s="10">
        <v>14174.15</v>
      </c>
      <c r="P1535" s="10">
        <v>9144.26</v>
      </c>
      <c r="Q1535" s="11">
        <v>9.1</v>
      </c>
      <c r="R1535" s="13" t="str">
        <f>IF(Patient_Data!$L1535&lt;2,"Low Risk",IF(Patient_Data!$L1535&lt;4,"Moderate Risk","High Risk"))</f>
        <v>High Risk</v>
      </c>
      <c r="S1535" s="12" t="str">
        <f>IF(Patient_Data[[#This Row],[Age]]&lt;=18,"Pediatric",IF(Patient_Data[[#This Row],[Age]]&lt;=64,"Adult","Geriatric"))</f>
        <v>Geriatric</v>
      </c>
    </row>
    <row r="1536" spans="1:19" ht="15.75" customHeight="1" x14ac:dyDescent="0.3">
      <c r="A1536" s="4" t="s">
        <v>3091</v>
      </c>
      <c r="B1536" s="5" t="str">
        <f>TEXT(Patient_Data!$E1536,"mmmm")</f>
        <v>November</v>
      </c>
      <c r="C1536" s="6" t="str">
        <f t="shared" si="12"/>
        <v>Nov</v>
      </c>
      <c r="D1536" s="6">
        <f>MONTH(Patient_Data!$E1536)</f>
        <v>11</v>
      </c>
      <c r="E1536" s="7">
        <v>45603</v>
      </c>
      <c r="F1536" s="55" t="str">
        <f>TEXT(Patient_Data[[#This Row],[Admission_Date]],"YYYY")</f>
        <v>2024</v>
      </c>
      <c r="G1536" s="8" t="s">
        <v>3092</v>
      </c>
      <c r="H1536" s="8" t="s">
        <v>75</v>
      </c>
      <c r="I1536" s="4" t="s">
        <v>29</v>
      </c>
      <c r="J1536" s="4">
        <v>71</v>
      </c>
      <c r="K1536" s="4" t="s">
        <v>45</v>
      </c>
      <c r="L1536" s="8">
        <v>3</v>
      </c>
      <c r="M1536" s="9" t="s">
        <v>83</v>
      </c>
      <c r="N1536" s="9" t="str">
        <f t="shared" si="13"/>
        <v>ER</v>
      </c>
      <c r="O1536" s="10">
        <v>12385.39</v>
      </c>
      <c r="P1536" s="10">
        <v>8427.81</v>
      </c>
      <c r="Q1536" s="11">
        <v>16.2</v>
      </c>
      <c r="R1536" s="13" t="str">
        <f>IF(Patient_Data!$L1536&lt;2,"Low Risk",IF(Patient_Data!$L1536&lt;4,"Moderate Risk","High Risk"))</f>
        <v>Moderate Risk</v>
      </c>
      <c r="S1536" s="12" t="str">
        <f>IF(Patient_Data[[#This Row],[Age]]&lt;=18,"Pediatric",IF(Patient_Data[[#This Row],[Age]]&lt;=64,"Adult","Geriatric"))</f>
        <v>Geriatric</v>
      </c>
    </row>
    <row r="1537" spans="1:19" ht="15.75" customHeight="1" x14ac:dyDescent="0.3">
      <c r="A1537" s="4" t="s">
        <v>3093</v>
      </c>
      <c r="B1537" s="5" t="str">
        <f>TEXT(Patient_Data!$E1537,"mmmm")</f>
        <v>July</v>
      </c>
      <c r="C1537" s="6" t="str">
        <f t="shared" si="12"/>
        <v>Jul</v>
      </c>
      <c r="D1537" s="6">
        <f>MONTH(Patient_Data!$E1537)</f>
        <v>7</v>
      </c>
      <c r="E1537" s="7">
        <v>45477</v>
      </c>
      <c r="F1537" s="55" t="str">
        <f>TEXT(Patient_Data[[#This Row],[Admission_Date]],"YYYY")</f>
        <v>2024</v>
      </c>
      <c r="G1537" s="8" t="s">
        <v>3094</v>
      </c>
      <c r="H1537" s="8" t="s">
        <v>28</v>
      </c>
      <c r="I1537" s="4" t="s">
        <v>35</v>
      </c>
      <c r="J1537" s="4">
        <v>8</v>
      </c>
      <c r="K1537" s="4" t="s">
        <v>30</v>
      </c>
      <c r="L1537" s="8">
        <v>1</v>
      </c>
      <c r="M1537" s="9" t="s">
        <v>79</v>
      </c>
      <c r="N1537" s="9" t="str">
        <f t="shared" si="13"/>
        <v>PD</v>
      </c>
      <c r="O1537" s="10">
        <v>1658.15</v>
      </c>
      <c r="P1537" s="10">
        <v>1192.7</v>
      </c>
      <c r="Q1537" s="11">
        <v>4</v>
      </c>
      <c r="R1537" s="13" t="str">
        <f>IF(Patient_Data!$L1537&lt;2,"Low Risk",IF(Patient_Data!$L1537&lt;4,"Moderate Risk","High Risk"))</f>
        <v>Low Risk</v>
      </c>
      <c r="S1537" s="12" t="str">
        <f>IF(Patient_Data[[#This Row],[Age]]&lt;=18,"Pediatric",IF(Patient_Data[[#This Row],[Age]]&lt;=64,"Adult","Geriatric"))</f>
        <v>Pediatric</v>
      </c>
    </row>
    <row r="1538" spans="1:19" ht="15.75" customHeight="1" x14ac:dyDescent="0.3">
      <c r="A1538" s="4" t="s">
        <v>3095</v>
      </c>
      <c r="B1538" s="5" t="str">
        <f>TEXT(Patient_Data!$E1538,"mmmm")</f>
        <v>December</v>
      </c>
      <c r="C1538" s="6" t="str">
        <f t="shared" si="12"/>
        <v>Dec</v>
      </c>
      <c r="D1538" s="6">
        <f>MONTH(Patient_Data!$E1538)</f>
        <v>12</v>
      </c>
      <c r="E1538" s="7">
        <v>46010</v>
      </c>
      <c r="F1538" s="55" t="str">
        <f>TEXT(Patient_Data[[#This Row],[Admission_Date]],"YYYY")</f>
        <v>2025</v>
      </c>
      <c r="G1538" s="8" t="s">
        <v>3096</v>
      </c>
      <c r="H1538" s="8" t="s">
        <v>53</v>
      </c>
      <c r="I1538" s="4" t="s">
        <v>35</v>
      </c>
      <c r="J1538" s="4">
        <v>72</v>
      </c>
      <c r="K1538" s="4" t="s">
        <v>54</v>
      </c>
      <c r="L1538" s="8">
        <v>4</v>
      </c>
      <c r="M1538" s="9" t="s">
        <v>50</v>
      </c>
      <c r="N1538" s="9" t="str">
        <f t="shared" si="13"/>
        <v>ICU</v>
      </c>
      <c r="O1538" s="10">
        <v>14299.58</v>
      </c>
      <c r="P1538" s="10">
        <v>10579.49</v>
      </c>
      <c r="Q1538" s="11">
        <v>17.600000000000001</v>
      </c>
      <c r="R1538" s="13" t="str">
        <f>IF(Patient_Data!$L1538&lt;2,"Low Risk",IF(Patient_Data!$L1538&lt;4,"Moderate Risk","High Risk"))</f>
        <v>High Risk</v>
      </c>
      <c r="S1538" s="12" t="str">
        <f>IF(Patient_Data[[#This Row],[Age]]&lt;=18,"Pediatric",IF(Patient_Data[[#This Row],[Age]]&lt;=64,"Adult","Geriatric"))</f>
        <v>Geriatric</v>
      </c>
    </row>
    <row r="1539" spans="1:19" ht="15.75" customHeight="1" x14ac:dyDescent="0.3">
      <c r="A1539" s="4" t="s">
        <v>3097</v>
      </c>
      <c r="B1539" s="5" t="str">
        <f>TEXT(Patient_Data!$E1539,"mmmm")</f>
        <v>February</v>
      </c>
      <c r="C1539" s="6" t="str">
        <f t="shared" si="12"/>
        <v>Feb</v>
      </c>
      <c r="D1539" s="6">
        <f>MONTH(Patient_Data!$E1539)</f>
        <v>2</v>
      </c>
      <c r="E1539" s="7">
        <v>46073</v>
      </c>
      <c r="F1539" s="55" t="str">
        <f>TEXT(Patient_Data[[#This Row],[Admission_Date]],"YYYY")</f>
        <v>2026</v>
      </c>
      <c r="G1539" s="8" t="s">
        <v>3098</v>
      </c>
      <c r="H1539" s="8" t="s">
        <v>49</v>
      </c>
      <c r="I1539" s="4" t="s">
        <v>29</v>
      </c>
      <c r="J1539" s="4">
        <v>43</v>
      </c>
      <c r="K1539" s="4" t="s">
        <v>54</v>
      </c>
      <c r="L1539" s="8">
        <v>2</v>
      </c>
      <c r="M1539" s="9" t="s">
        <v>31</v>
      </c>
      <c r="N1539" s="9" t="str">
        <f t="shared" si="13"/>
        <v>Neuro</v>
      </c>
      <c r="O1539" s="10">
        <v>8846.9599999999991</v>
      </c>
      <c r="P1539" s="10">
        <v>6743.69</v>
      </c>
      <c r="Q1539" s="11">
        <v>2.5</v>
      </c>
      <c r="R1539" s="13" t="str">
        <f>IF(Patient_Data!$L1539&lt;2,"Low Risk",IF(Patient_Data!$L1539&lt;4,"Moderate Risk","High Risk"))</f>
        <v>Moderate Risk</v>
      </c>
      <c r="S1539" s="12" t="str">
        <f>IF(Patient_Data[[#This Row],[Age]]&lt;=18,"Pediatric",IF(Patient_Data[[#This Row],[Age]]&lt;=64,"Adult","Geriatric"))</f>
        <v>Adult</v>
      </c>
    </row>
    <row r="1540" spans="1:19" ht="15.75" customHeight="1" x14ac:dyDescent="0.3">
      <c r="A1540" s="4" t="s">
        <v>3099</v>
      </c>
      <c r="B1540" s="5" t="str">
        <f>TEXT(Patient_Data!$E1540,"mmmm")</f>
        <v>November</v>
      </c>
      <c r="C1540" s="6" t="str">
        <f t="shared" si="12"/>
        <v>Nov</v>
      </c>
      <c r="D1540" s="6">
        <f>MONTH(Patient_Data!$E1540)</f>
        <v>11</v>
      </c>
      <c r="E1540" s="7">
        <v>45611</v>
      </c>
      <c r="F1540" s="55" t="str">
        <f>TEXT(Patient_Data[[#This Row],[Admission_Date]],"YYYY")</f>
        <v>2024</v>
      </c>
      <c r="G1540" s="8" t="s">
        <v>3100</v>
      </c>
      <c r="H1540" s="8" t="s">
        <v>49</v>
      </c>
      <c r="I1540" s="4" t="s">
        <v>29</v>
      </c>
      <c r="J1540" s="4">
        <v>60</v>
      </c>
      <c r="K1540" s="4" t="s">
        <v>30</v>
      </c>
      <c r="L1540" s="8">
        <v>3</v>
      </c>
      <c r="M1540" s="9" t="s">
        <v>46</v>
      </c>
      <c r="N1540" s="9" t="str">
        <f t="shared" si="13"/>
        <v>Ortho</v>
      </c>
      <c r="O1540" s="10">
        <v>9162.27</v>
      </c>
      <c r="P1540" s="10">
        <v>5361.32</v>
      </c>
      <c r="Q1540" s="11">
        <v>5.9</v>
      </c>
      <c r="R1540" s="13" t="str">
        <f>IF(Patient_Data!$L1540&lt;2,"Low Risk",IF(Patient_Data!$L1540&lt;4,"Moderate Risk","High Risk"))</f>
        <v>Moderate Risk</v>
      </c>
      <c r="S1540" s="12" t="str">
        <f>IF(Patient_Data[[#This Row],[Age]]&lt;=18,"Pediatric",IF(Patient_Data[[#This Row],[Age]]&lt;=64,"Adult","Geriatric"))</f>
        <v>Adult</v>
      </c>
    </row>
    <row r="1541" spans="1:19" ht="15.75" customHeight="1" x14ac:dyDescent="0.3">
      <c r="A1541" s="4" t="s">
        <v>3101</v>
      </c>
      <c r="B1541" s="5" t="str">
        <f>TEXT(Patient_Data!$E1541,"mmmm")</f>
        <v>February</v>
      </c>
      <c r="C1541" s="6" t="str">
        <f t="shared" si="12"/>
        <v>Feb</v>
      </c>
      <c r="D1541" s="6">
        <f>MONTH(Patient_Data!$E1541)</f>
        <v>2</v>
      </c>
      <c r="E1541" s="7">
        <v>45344</v>
      </c>
      <c r="F1541" s="55" t="str">
        <f>TEXT(Patient_Data[[#This Row],[Admission_Date]],"YYYY")</f>
        <v>2024</v>
      </c>
      <c r="G1541" s="8" t="s">
        <v>3102</v>
      </c>
      <c r="H1541" s="8" t="s">
        <v>34</v>
      </c>
      <c r="I1541" s="4" t="s">
        <v>35</v>
      </c>
      <c r="J1541" s="4">
        <v>22</v>
      </c>
      <c r="K1541" s="4" t="s">
        <v>30</v>
      </c>
      <c r="L1541" s="8">
        <v>1</v>
      </c>
      <c r="M1541" s="9" t="s">
        <v>39</v>
      </c>
      <c r="N1541" s="9" t="str">
        <f t="shared" si="13"/>
        <v>GM</v>
      </c>
      <c r="O1541" s="10">
        <v>4279.16</v>
      </c>
      <c r="P1541" s="10">
        <v>2655.09</v>
      </c>
      <c r="Q1541" s="11">
        <v>5.6</v>
      </c>
      <c r="R1541" s="13" t="str">
        <f>IF(Patient_Data!$L1541&lt;2,"Low Risk",IF(Patient_Data!$L1541&lt;4,"Moderate Risk","High Risk"))</f>
        <v>Low Risk</v>
      </c>
      <c r="S1541" s="12" t="str">
        <f>IF(Patient_Data[[#This Row],[Age]]&lt;=18,"Pediatric",IF(Patient_Data[[#This Row],[Age]]&lt;=64,"Adult","Geriatric"))</f>
        <v>Adult</v>
      </c>
    </row>
    <row r="1542" spans="1:19" ht="15.75" customHeight="1" x14ac:dyDescent="0.3">
      <c r="A1542" s="4" t="s">
        <v>3103</v>
      </c>
      <c r="B1542" s="5" t="str">
        <f>TEXT(Patient_Data!$E1542,"mmmm")</f>
        <v>March</v>
      </c>
      <c r="C1542" s="6" t="str">
        <f t="shared" si="12"/>
        <v>Mar</v>
      </c>
      <c r="D1542" s="6">
        <f>MONTH(Patient_Data!$E1542)</f>
        <v>3</v>
      </c>
      <c r="E1542" s="7">
        <v>45372</v>
      </c>
      <c r="F1542" s="55" t="str">
        <f>TEXT(Patient_Data[[#This Row],[Admission_Date]],"YYYY")</f>
        <v>2024</v>
      </c>
      <c r="G1542" s="8" t="s">
        <v>3104</v>
      </c>
      <c r="H1542" s="8" t="s">
        <v>98</v>
      </c>
      <c r="I1542" s="4" t="s">
        <v>35</v>
      </c>
      <c r="J1542" s="4">
        <v>80</v>
      </c>
      <c r="K1542" s="4" t="s">
        <v>54</v>
      </c>
      <c r="L1542" s="8">
        <v>4</v>
      </c>
      <c r="M1542" s="9" t="s">
        <v>31</v>
      </c>
      <c r="N1542" s="9" t="str">
        <f t="shared" si="13"/>
        <v>Neuro</v>
      </c>
      <c r="O1542" s="10">
        <v>6725.45</v>
      </c>
      <c r="P1542" s="10">
        <v>4323.49</v>
      </c>
      <c r="Q1542" s="11">
        <v>2.4</v>
      </c>
      <c r="R1542" s="13" t="str">
        <f>IF(Patient_Data!$L1542&lt;2,"Low Risk",IF(Patient_Data!$L1542&lt;4,"Moderate Risk","High Risk"))</f>
        <v>High Risk</v>
      </c>
      <c r="S1542" s="12" t="str">
        <f>IF(Patient_Data[[#This Row],[Age]]&lt;=18,"Pediatric",IF(Patient_Data[[#This Row],[Age]]&lt;=64,"Adult","Geriatric"))</f>
        <v>Geriatric</v>
      </c>
    </row>
    <row r="1543" spans="1:19" ht="15.75" customHeight="1" x14ac:dyDescent="0.3">
      <c r="A1543" s="4" t="s">
        <v>3105</v>
      </c>
      <c r="B1543" s="5" t="str">
        <f>TEXT(Patient_Data!$E1543,"mmmm")</f>
        <v>June</v>
      </c>
      <c r="C1543" s="6" t="str">
        <f t="shared" si="12"/>
        <v>Jun</v>
      </c>
      <c r="D1543" s="6">
        <f>MONTH(Patient_Data!$E1543)</f>
        <v>6</v>
      </c>
      <c r="E1543" s="7">
        <v>45453</v>
      </c>
      <c r="F1543" s="55" t="str">
        <f>TEXT(Patient_Data[[#This Row],[Admission_Date]],"YYYY")</f>
        <v>2024</v>
      </c>
      <c r="G1543" s="8" t="s">
        <v>3106</v>
      </c>
      <c r="H1543" s="8" t="s">
        <v>132</v>
      </c>
      <c r="I1543" s="4" t="s">
        <v>35</v>
      </c>
      <c r="J1543" s="4">
        <v>47</v>
      </c>
      <c r="K1543" s="4" t="s">
        <v>30</v>
      </c>
      <c r="L1543" s="8">
        <v>2</v>
      </c>
      <c r="M1543" s="9" t="s">
        <v>46</v>
      </c>
      <c r="N1543" s="9" t="str">
        <f t="shared" si="13"/>
        <v>Ortho</v>
      </c>
      <c r="O1543" s="10">
        <v>9759.35</v>
      </c>
      <c r="P1543" s="10">
        <v>6576.36</v>
      </c>
      <c r="Q1543" s="11">
        <v>4.7</v>
      </c>
      <c r="R1543" s="13" t="str">
        <f>IF(Patient_Data!$L1543&lt;2,"Low Risk",IF(Patient_Data!$L1543&lt;4,"Moderate Risk","High Risk"))</f>
        <v>Moderate Risk</v>
      </c>
      <c r="S1543" s="12" t="str">
        <f>IF(Patient_Data[[#This Row],[Age]]&lt;=18,"Pediatric",IF(Patient_Data[[#This Row],[Age]]&lt;=64,"Adult","Geriatric"))</f>
        <v>Adult</v>
      </c>
    </row>
    <row r="1544" spans="1:19" ht="15.75" customHeight="1" x14ac:dyDescent="0.3">
      <c r="A1544" s="4" t="s">
        <v>3107</v>
      </c>
      <c r="B1544" s="5" t="str">
        <f>TEXT(Patient_Data!$E1544,"mmmm")</f>
        <v>May</v>
      </c>
      <c r="C1544" s="6" t="str">
        <f t="shared" si="12"/>
        <v>May</v>
      </c>
      <c r="D1544" s="6">
        <f>MONTH(Patient_Data!$E1544)</f>
        <v>5</v>
      </c>
      <c r="E1544" s="7">
        <v>45419</v>
      </c>
      <c r="F1544" s="55" t="str">
        <f>TEXT(Patient_Data[[#This Row],[Admission_Date]],"YYYY")</f>
        <v>2024</v>
      </c>
      <c r="G1544" s="8" t="s">
        <v>3108</v>
      </c>
      <c r="H1544" s="8" t="s">
        <v>82</v>
      </c>
      <c r="I1544" s="4" t="s">
        <v>29</v>
      </c>
      <c r="J1544" s="4">
        <v>83</v>
      </c>
      <c r="K1544" s="4" t="s">
        <v>30</v>
      </c>
      <c r="L1544" s="8">
        <v>2</v>
      </c>
      <c r="M1544" s="9" t="s">
        <v>83</v>
      </c>
      <c r="N1544" s="9" t="str">
        <f t="shared" si="13"/>
        <v>ER</v>
      </c>
      <c r="O1544" s="10">
        <v>5374.32</v>
      </c>
      <c r="P1544" s="10">
        <v>3870.82</v>
      </c>
      <c r="Q1544" s="11">
        <v>13.6</v>
      </c>
      <c r="R1544" s="13" t="str">
        <f>IF(Patient_Data!$L1544&lt;2,"Low Risk",IF(Patient_Data!$L1544&lt;4,"Moderate Risk","High Risk"))</f>
        <v>Moderate Risk</v>
      </c>
      <c r="S1544" s="12" t="str">
        <f>IF(Patient_Data[[#This Row],[Age]]&lt;=18,"Pediatric",IF(Patient_Data[[#This Row],[Age]]&lt;=64,"Adult","Geriatric"))</f>
        <v>Geriatric</v>
      </c>
    </row>
    <row r="1545" spans="1:19" ht="15.75" customHeight="1" x14ac:dyDescent="0.3">
      <c r="A1545" s="4" t="s">
        <v>3109</v>
      </c>
      <c r="B1545" s="5" t="str">
        <f>TEXT(Patient_Data!$E1545,"mmmm")</f>
        <v>October</v>
      </c>
      <c r="C1545" s="6" t="str">
        <f t="shared" si="12"/>
        <v>Oct</v>
      </c>
      <c r="D1545" s="6">
        <f>MONTH(Patient_Data!$E1545)</f>
        <v>10</v>
      </c>
      <c r="E1545" s="7">
        <v>45953</v>
      </c>
      <c r="F1545" s="55" t="str">
        <f>TEXT(Patient_Data[[#This Row],[Admission_Date]],"YYYY")</f>
        <v>2025</v>
      </c>
      <c r="G1545" s="8" t="s">
        <v>3110</v>
      </c>
      <c r="H1545" s="8" t="s">
        <v>28</v>
      </c>
      <c r="I1545" s="4" t="s">
        <v>35</v>
      </c>
      <c r="J1545" s="4">
        <v>39</v>
      </c>
      <c r="K1545" s="4" t="s">
        <v>30</v>
      </c>
      <c r="L1545" s="8">
        <v>2</v>
      </c>
      <c r="M1545" s="9" t="s">
        <v>31</v>
      </c>
      <c r="N1545" s="9" t="str">
        <f t="shared" si="13"/>
        <v>Neuro</v>
      </c>
      <c r="O1545" s="10">
        <v>11741.11</v>
      </c>
      <c r="P1545" s="10">
        <v>8616.61</v>
      </c>
      <c r="Q1545" s="11">
        <v>5.7</v>
      </c>
      <c r="R1545" s="13" t="str">
        <f>IF(Patient_Data!$L1545&lt;2,"Low Risk",IF(Patient_Data!$L1545&lt;4,"Moderate Risk","High Risk"))</f>
        <v>Moderate Risk</v>
      </c>
      <c r="S1545" s="12" t="str">
        <f>IF(Patient_Data[[#This Row],[Age]]&lt;=18,"Pediatric",IF(Patient_Data[[#This Row],[Age]]&lt;=64,"Adult","Geriatric"))</f>
        <v>Adult</v>
      </c>
    </row>
    <row r="1546" spans="1:19" ht="15.75" customHeight="1" x14ac:dyDescent="0.3">
      <c r="A1546" s="4" t="s">
        <v>3111</v>
      </c>
      <c r="B1546" s="5" t="str">
        <f>TEXT(Patient_Data!$E1546,"mmmm")</f>
        <v>June</v>
      </c>
      <c r="C1546" s="6" t="str">
        <f t="shared" si="12"/>
        <v>Jun</v>
      </c>
      <c r="D1546" s="6">
        <f>MONTH(Patient_Data!$E1546)</f>
        <v>6</v>
      </c>
      <c r="E1546" s="7">
        <v>45811</v>
      </c>
      <c r="F1546" s="55" t="str">
        <f>TEXT(Patient_Data[[#This Row],[Admission_Date]],"YYYY")</f>
        <v>2025</v>
      </c>
      <c r="G1546" s="8" t="s">
        <v>3112</v>
      </c>
      <c r="H1546" s="8" t="s">
        <v>132</v>
      </c>
      <c r="I1546" s="4" t="s">
        <v>29</v>
      </c>
      <c r="J1546" s="4">
        <v>29</v>
      </c>
      <c r="K1546" s="4" t="s">
        <v>30</v>
      </c>
      <c r="L1546" s="8">
        <v>1</v>
      </c>
      <c r="M1546" s="9" t="s">
        <v>36</v>
      </c>
      <c r="N1546" s="9" t="str">
        <f t="shared" si="13"/>
        <v>Cardio</v>
      </c>
      <c r="O1546" s="10">
        <v>6583.23</v>
      </c>
      <c r="P1546" s="10">
        <v>5061.6499999999996</v>
      </c>
      <c r="Q1546" s="11">
        <v>7.3</v>
      </c>
      <c r="R1546" s="13" t="str">
        <f>IF(Patient_Data!$L1546&lt;2,"Low Risk",IF(Patient_Data!$L1546&lt;4,"Moderate Risk","High Risk"))</f>
        <v>Low Risk</v>
      </c>
      <c r="S1546" s="12" t="str">
        <f>IF(Patient_Data[[#This Row],[Age]]&lt;=18,"Pediatric",IF(Patient_Data[[#This Row],[Age]]&lt;=64,"Adult","Geriatric"))</f>
        <v>Adult</v>
      </c>
    </row>
    <row r="1547" spans="1:19" ht="15.75" customHeight="1" x14ac:dyDescent="0.3">
      <c r="A1547" s="4" t="s">
        <v>3113</v>
      </c>
      <c r="B1547" s="5" t="str">
        <f>TEXT(Patient_Data!$E1547,"mmmm")</f>
        <v>June</v>
      </c>
      <c r="C1547" s="6" t="str">
        <f t="shared" si="12"/>
        <v>Jun</v>
      </c>
      <c r="D1547" s="6">
        <f>MONTH(Patient_Data!$E1547)</f>
        <v>6</v>
      </c>
      <c r="E1547" s="7">
        <v>45453</v>
      </c>
      <c r="F1547" s="55" t="str">
        <f>TEXT(Patient_Data[[#This Row],[Admission_Date]],"YYYY")</f>
        <v>2024</v>
      </c>
      <c r="G1547" s="8" t="s">
        <v>3114</v>
      </c>
      <c r="H1547" s="8" t="s">
        <v>34</v>
      </c>
      <c r="I1547" s="4" t="s">
        <v>29</v>
      </c>
      <c r="J1547" s="4">
        <v>7</v>
      </c>
      <c r="K1547" s="4" t="s">
        <v>30</v>
      </c>
      <c r="L1547" s="8">
        <v>1</v>
      </c>
      <c r="M1547" s="9" t="s">
        <v>79</v>
      </c>
      <c r="N1547" s="9" t="str">
        <f t="shared" si="13"/>
        <v>PD</v>
      </c>
      <c r="O1547" s="10">
        <v>1411.25</v>
      </c>
      <c r="P1547" s="10">
        <v>820.92</v>
      </c>
      <c r="Q1547" s="11">
        <v>0.3</v>
      </c>
      <c r="R1547" s="13" t="str">
        <f>IF(Patient_Data!$L1547&lt;2,"Low Risk",IF(Patient_Data!$L1547&lt;4,"Moderate Risk","High Risk"))</f>
        <v>Low Risk</v>
      </c>
      <c r="S1547" s="12" t="str">
        <f>IF(Patient_Data[[#This Row],[Age]]&lt;=18,"Pediatric",IF(Patient_Data[[#This Row],[Age]]&lt;=64,"Adult","Geriatric"))</f>
        <v>Pediatric</v>
      </c>
    </row>
    <row r="1548" spans="1:19" ht="15.75" customHeight="1" x14ac:dyDescent="0.3">
      <c r="A1548" s="4" t="s">
        <v>3115</v>
      </c>
      <c r="B1548" s="5" t="str">
        <f>TEXT(Patient_Data!$E1548,"mmmm")</f>
        <v>January</v>
      </c>
      <c r="C1548" s="6" t="str">
        <f t="shared" si="12"/>
        <v>Jan</v>
      </c>
      <c r="D1548" s="6">
        <f>MONTH(Patient_Data!$E1548)</f>
        <v>1</v>
      </c>
      <c r="E1548" s="7">
        <v>45674</v>
      </c>
      <c r="F1548" s="55" t="str">
        <f>TEXT(Patient_Data[[#This Row],[Admission_Date]],"YYYY")</f>
        <v>2025</v>
      </c>
      <c r="G1548" s="8" t="s">
        <v>3116</v>
      </c>
      <c r="H1548" s="8" t="s">
        <v>28</v>
      </c>
      <c r="I1548" s="4" t="s">
        <v>29</v>
      </c>
      <c r="J1548" s="4">
        <v>28</v>
      </c>
      <c r="K1548" s="4" t="s">
        <v>54</v>
      </c>
      <c r="L1548" s="8">
        <v>3</v>
      </c>
      <c r="M1548" s="9" t="s">
        <v>31</v>
      </c>
      <c r="N1548" s="9" t="str">
        <f t="shared" si="13"/>
        <v>Neuro</v>
      </c>
      <c r="O1548" s="10">
        <v>7811.44</v>
      </c>
      <c r="P1548" s="10">
        <v>4783.38</v>
      </c>
      <c r="Q1548" s="11">
        <v>2.2999999999999998</v>
      </c>
      <c r="R1548" s="13" t="str">
        <f>IF(Patient_Data!$L1548&lt;2,"Low Risk",IF(Patient_Data!$L1548&lt;4,"Moderate Risk","High Risk"))</f>
        <v>Moderate Risk</v>
      </c>
      <c r="S1548" s="12" t="str">
        <f>IF(Patient_Data[[#This Row],[Age]]&lt;=18,"Pediatric",IF(Patient_Data[[#This Row],[Age]]&lt;=64,"Adult","Geriatric"))</f>
        <v>Adult</v>
      </c>
    </row>
    <row r="1549" spans="1:19" ht="15.75" customHeight="1" x14ac:dyDescent="0.3">
      <c r="A1549" s="4" t="s">
        <v>3117</v>
      </c>
      <c r="B1549" s="5" t="str">
        <f>TEXT(Patient_Data!$E1549,"mmmm")</f>
        <v>March</v>
      </c>
      <c r="C1549" s="6" t="str">
        <f t="shared" si="12"/>
        <v>Mar</v>
      </c>
      <c r="D1549" s="6">
        <f>MONTH(Patient_Data!$E1549)</f>
        <v>3</v>
      </c>
      <c r="E1549" s="7">
        <v>45734</v>
      </c>
      <c r="F1549" s="55" t="str">
        <f>TEXT(Patient_Data[[#This Row],[Admission_Date]],"YYYY")</f>
        <v>2025</v>
      </c>
      <c r="G1549" s="8" t="s">
        <v>3118</v>
      </c>
      <c r="H1549" s="8" t="s">
        <v>132</v>
      </c>
      <c r="I1549" s="4" t="s">
        <v>29</v>
      </c>
      <c r="J1549" s="4">
        <v>40</v>
      </c>
      <c r="K1549" s="4" t="s">
        <v>45</v>
      </c>
      <c r="L1549" s="8">
        <v>4</v>
      </c>
      <c r="M1549" s="9" t="s">
        <v>39</v>
      </c>
      <c r="N1549" s="9" t="str">
        <f t="shared" si="13"/>
        <v>GM</v>
      </c>
      <c r="O1549" s="10">
        <v>6297.21</v>
      </c>
      <c r="P1549" s="10">
        <v>4095.81</v>
      </c>
      <c r="Q1549" s="11">
        <v>8.1999999999999993</v>
      </c>
      <c r="R1549" s="13" t="str">
        <f>IF(Patient_Data!$L1549&lt;2,"Low Risk",IF(Patient_Data!$L1549&lt;4,"Moderate Risk","High Risk"))</f>
        <v>High Risk</v>
      </c>
      <c r="S1549" s="12" t="str">
        <f>IF(Patient_Data[[#This Row],[Age]]&lt;=18,"Pediatric",IF(Patient_Data[[#This Row],[Age]]&lt;=64,"Adult","Geriatric"))</f>
        <v>Adult</v>
      </c>
    </row>
    <row r="1550" spans="1:19" ht="15.75" customHeight="1" x14ac:dyDescent="0.3">
      <c r="A1550" s="4" t="s">
        <v>3119</v>
      </c>
      <c r="B1550" s="5" t="str">
        <f>TEXT(Patient_Data!$E1550,"mmmm")</f>
        <v>April</v>
      </c>
      <c r="C1550" s="6" t="str">
        <f t="shared" si="12"/>
        <v>Apr</v>
      </c>
      <c r="D1550" s="6">
        <f>MONTH(Patient_Data!$E1550)</f>
        <v>4</v>
      </c>
      <c r="E1550" s="7">
        <v>45750</v>
      </c>
      <c r="F1550" s="55" t="str">
        <f>TEXT(Patient_Data[[#This Row],[Admission_Date]],"YYYY")</f>
        <v>2025</v>
      </c>
      <c r="G1550" s="8" t="s">
        <v>3120</v>
      </c>
      <c r="H1550" s="8" t="s">
        <v>53</v>
      </c>
      <c r="I1550" s="4" t="s">
        <v>35</v>
      </c>
      <c r="J1550" s="4">
        <v>76</v>
      </c>
      <c r="K1550" s="4" t="s">
        <v>45</v>
      </c>
      <c r="L1550" s="8">
        <v>3</v>
      </c>
      <c r="M1550" s="9" t="s">
        <v>50</v>
      </c>
      <c r="N1550" s="9" t="str">
        <f t="shared" si="13"/>
        <v>ICU</v>
      </c>
      <c r="O1550" s="10">
        <v>15160.07</v>
      </c>
      <c r="P1550" s="10">
        <v>10267.65</v>
      </c>
      <c r="Q1550" s="11">
        <v>13.8</v>
      </c>
      <c r="R1550" s="13" t="str">
        <f>IF(Patient_Data!$L1550&lt;2,"Low Risk",IF(Patient_Data!$L1550&lt;4,"Moderate Risk","High Risk"))</f>
        <v>Moderate Risk</v>
      </c>
      <c r="S1550" s="12" t="str">
        <f>IF(Patient_Data[[#This Row],[Age]]&lt;=18,"Pediatric",IF(Patient_Data[[#This Row],[Age]]&lt;=64,"Adult","Geriatric"))</f>
        <v>Geriatric</v>
      </c>
    </row>
    <row r="1551" spans="1:19" ht="15.75" customHeight="1" x14ac:dyDescent="0.3">
      <c r="A1551" s="4" t="s">
        <v>3121</v>
      </c>
      <c r="B1551" s="5" t="str">
        <f>TEXT(Patient_Data!$E1551,"mmmm")</f>
        <v>May</v>
      </c>
      <c r="C1551" s="6" t="str">
        <f t="shared" si="12"/>
        <v>May</v>
      </c>
      <c r="D1551" s="6">
        <f>MONTH(Patient_Data!$E1551)</f>
        <v>5</v>
      </c>
      <c r="E1551" s="7">
        <v>45784</v>
      </c>
      <c r="F1551" s="55" t="str">
        <f>TEXT(Patient_Data[[#This Row],[Admission_Date]],"YYYY")</f>
        <v>2025</v>
      </c>
      <c r="G1551" s="8" t="s">
        <v>3122</v>
      </c>
      <c r="H1551" s="8" t="s">
        <v>28</v>
      </c>
      <c r="I1551" s="4" t="s">
        <v>29</v>
      </c>
      <c r="J1551" s="4">
        <v>3</v>
      </c>
      <c r="K1551" s="4" t="s">
        <v>30</v>
      </c>
      <c r="L1551" s="8">
        <v>1</v>
      </c>
      <c r="M1551" s="9" t="s">
        <v>79</v>
      </c>
      <c r="N1551" s="9" t="str">
        <f t="shared" si="13"/>
        <v>PD</v>
      </c>
      <c r="O1551" s="10">
        <v>580.25</v>
      </c>
      <c r="P1551" s="10">
        <v>444.57</v>
      </c>
      <c r="Q1551" s="11">
        <v>4.8</v>
      </c>
      <c r="R1551" s="13" t="str">
        <f>IF(Patient_Data!$L1551&lt;2,"Low Risk",IF(Patient_Data!$L1551&lt;4,"Moderate Risk","High Risk"))</f>
        <v>Low Risk</v>
      </c>
      <c r="S1551" s="12" t="str">
        <f>IF(Patient_Data[[#This Row],[Age]]&lt;=18,"Pediatric",IF(Patient_Data[[#This Row],[Age]]&lt;=64,"Adult","Geriatric"))</f>
        <v>Pediatric</v>
      </c>
    </row>
    <row r="1552" spans="1:19" ht="15.75" customHeight="1" x14ac:dyDescent="0.3">
      <c r="A1552" s="4" t="s">
        <v>3123</v>
      </c>
      <c r="B1552" s="5" t="str">
        <f>TEXT(Patient_Data!$E1552,"mmmm")</f>
        <v>October</v>
      </c>
      <c r="C1552" s="6" t="str">
        <f t="shared" si="12"/>
        <v>Oct</v>
      </c>
      <c r="D1552" s="6">
        <f>MONTH(Patient_Data!$E1552)</f>
        <v>10</v>
      </c>
      <c r="E1552" s="7">
        <v>45587</v>
      </c>
      <c r="F1552" s="55" t="str">
        <f>TEXT(Patient_Data[[#This Row],[Admission_Date]],"YYYY")</f>
        <v>2024</v>
      </c>
      <c r="G1552" s="8" t="s">
        <v>3124</v>
      </c>
      <c r="H1552" s="8" t="s">
        <v>53</v>
      </c>
      <c r="I1552" s="4" t="s">
        <v>35</v>
      </c>
      <c r="J1552" s="4">
        <v>92</v>
      </c>
      <c r="K1552" s="4" t="s">
        <v>54</v>
      </c>
      <c r="L1552" s="8">
        <v>4</v>
      </c>
      <c r="M1552" s="9" t="s">
        <v>50</v>
      </c>
      <c r="N1552" s="9" t="str">
        <f t="shared" si="13"/>
        <v>ICU</v>
      </c>
      <c r="O1552" s="10">
        <v>15080.07</v>
      </c>
      <c r="P1552" s="10">
        <v>11117.25</v>
      </c>
      <c r="Q1552" s="11">
        <v>13.6</v>
      </c>
      <c r="R1552" s="13" t="str">
        <f>IF(Patient_Data!$L1552&lt;2,"Low Risk",IF(Patient_Data!$L1552&lt;4,"Moderate Risk","High Risk"))</f>
        <v>High Risk</v>
      </c>
      <c r="S1552" s="12" t="str">
        <f>IF(Patient_Data[[#This Row],[Age]]&lt;=18,"Pediatric",IF(Patient_Data[[#This Row],[Age]]&lt;=64,"Adult","Geriatric"))</f>
        <v>Geriatric</v>
      </c>
    </row>
    <row r="1553" spans="1:19" ht="15.75" customHeight="1" x14ac:dyDescent="0.3">
      <c r="A1553" s="4" t="s">
        <v>3125</v>
      </c>
      <c r="B1553" s="5" t="str">
        <f>TEXT(Patient_Data!$E1553,"mmmm")</f>
        <v>July</v>
      </c>
      <c r="C1553" s="6" t="str">
        <f t="shared" si="12"/>
        <v>Jul</v>
      </c>
      <c r="D1553" s="6">
        <f>MONTH(Patient_Data!$E1553)</f>
        <v>7</v>
      </c>
      <c r="E1553" s="7">
        <v>46210</v>
      </c>
      <c r="F1553" s="55" t="str">
        <f>TEXT(Patient_Data[[#This Row],[Admission_Date]],"YYYY")</f>
        <v>2026</v>
      </c>
      <c r="G1553" s="8" t="s">
        <v>3126</v>
      </c>
      <c r="H1553" s="8" t="s">
        <v>82</v>
      </c>
      <c r="I1553" s="4" t="s">
        <v>29</v>
      </c>
      <c r="J1553" s="4">
        <v>29</v>
      </c>
      <c r="K1553" s="4" t="s">
        <v>30</v>
      </c>
      <c r="L1553" s="8">
        <v>3</v>
      </c>
      <c r="M1553" s="9" t="s">
        <v>72</v>
      </c>
      <c r="N1553" s="9" t="str">
        <f t="shared" si="13"/>
        <v>Surgery</v>
      </c>
      <c r="O1553" s="10">
        <v>10464.379999999999</v>
      </c>
      <c r="P1553" s="10">
        <v>7988.13</v>
      </c>
      <c r="Q1553" s="11">
        <v>4.4000000000000004</v>
      </c>
      <c r="R1553" s="13" t="str">
        <f>IF(Patient_Data!$L1553&lt;2,"Low Risk",IF(Patient_Data!$L1553&lt;4,"Moderate Risk","High Risk"))</f>
        <v>Moderate Risk</v>
      </c>
      <c r="S1553" s="12" t="str">
        <f>IF(Patient_Data[[#This Row],[Age]]&lt;=18,"Pediatric",IF(Patient_Data[[#This Row],[Age]]&lt;=64,"Adult","Geriatric"))</f>
        <v>Adult</v>
      </c>
    </row>
    <row r="1554" spans="1:19" ht="15.75" customHeight="1" x14ac:dyDescent="0.3">
      <c r="A1554" s="4" t="s">
        <v>3127</v>
      </c>
      <c r="B1554" s="5" t="str">
        <f>TEXT(Patient_Data!$E1554,"mmmm")</f>
        <v>September</v>
      </c>
      <c r="C1554" s="6" t="str">
        <f t="shared" si="12"/>
        <v>Sep</v>
      </c>
      <c r="D1554" s="6">
        <f>MONTH(Patient_Data!$E1554)</f>
        <v>9</v>
      </c>
      <c r="E1554" s="7">
        <v>45553</v>
      </c>
      <c r="F1554" s="55" t="str">
        <f>TEXT(Patient_Data[[#This Row],[Admission_Date]],"YYYY")</f>
        <v>2024</v>
      </c>
      <c r="G1554" s="8" t="s">
        <v>3128</v>
      </c>
      <c r="H1554" s="8" t="s">
        <v>28</v>
      </c>
      <c r="I1554" s="4" t="s">
        <v>29</v>
      </c>
      <c r="J1554" s="4">
        <v>57</v>
      </c>
      <c r="K1554" s="4" t="s">
        <v>45</v>
      </c>
      <c r="L1554" s="8">
        <v>4</v>
      </c>
      <c r="M1554" s="9" t="s">
        <v>72</v>
      </c>
      <c r="N1554" s="9" t="str">
        <f t="shared" si="13"/>
        <v>Surgery</v>
      </c>
      <c r="O1554" s="10">
        <v>20077.98</v>
      </c>
      <c r="P1554" s="10">
        <v>11683.63</v>
      </c>
      <c r="Q1554" s="11">
        <v>4.8</v>
      </c>
      <c r="R1554" s="13" t="str">
        <f>IF(Patient_Data!$L1554&lt;2,"Low Risk",IF(Patient_Data!$L1554&lt;4,"Moderate Risk","High Risk"))</f>
        <v>High Risk</v>
      </c>
      <c r="S1554" s="12" t="str">
        <f>IF(Patient_Data[[#This Row],[Age]]&lt;=18,"Pediatric",IF(Patient_Data[[#This Row],[Age]]&lt;=64,"Adult","Geriatric"))</f>
        <v>Adult</v>
      </c>
    </row>
    <row r="1555" spans="1:19" ht="15.75" customHeight="1" x14ac:dyDescent="0.3">
      <c r="A1555" s="4" t="s">
        <v>3129</v>
      </c>
      <c r="B1555" s="5" t="str">
        <f>TEXT(Patient_Data!$E1555,"mmmm")</f>
        <v>December</v>
      </c>
      <c r="C1555" s="6" t="str">
        <f t="shared" si="12"/>
        <v>Dec</v>
      </c>
      <c r="D1555" s="6">
        <f>MONTH(Patient_Data!$E1555)</f>
        <v>12</v>
      </c>
      <c r="E1555" s="7">
        <v>45278</v>
      </c>
      <c r="F1555" s="55" t="str">
        <f>TEXT(Patient_Data[[#This Row],[Admission_Date]],"YYYY")</f>
        <v>2023</v>
      </c>
      <c r="G1555" s="8" t="s">
        <v>3130</v>
      </c>
      <c r="H1555" s="8" t="s">
        <v>53</v>
      </c>
      <c r="I1555" s="4" t="s">
        <v>29</v>
      </c>
      <c r="J1555" s="4">
        <v>5</v>
      </c>
      <c r="K1555" s="4" t="s">
        <v>54</v>
      </c>
      <c r="L1555" s="8">
        <v>5</v>
      </c>
      <c r="M1555" s="9" t="s">
        <v>79</v>
      </c>
      <c r="N1555" s="9" t="str">
        <f t="shared" si="13"/>
        <v>PD</v>
      </c>
      <c r="O1555" s="10">
        <v>984.61</v>
      </c>
      <c r="P1555" s="10">
        <v>620.61</v>
      </c>
      <c r="Q1555" s="11">
        <v>2.5</v>
      </c>
      <c r="R1555" s="13" t="str">
        <f>IF(Patient_Data!$L1555&lt;2,"Low Risk",IF(Patient_Data!$L1555&lt;4,"Moderate Risk","High Risk"))</f>
        <v>High Risk</v>
      </c>
      <c r="S1555" s="12" t="str">
        <f>IF(Patient_Data[[#This Row],[Age]]&lt;=18,"Pediatric",IF(Patient_Data[[#This Row],[Age]]&lt;=64,"Adult","Geriatric"))</f>
        <v>Pediatric</v>
      </c>
    </row>
    <row r="1556" spans="1:19" ht="15.75" customHeight="1" x14ac:dyDescent="0.3">
      <c r="A1556" s="4" t="s">
        <v>3131</v>
      </c>
      <c r="B1556" s="5" t="str">
        <f>TEXT(Patient_Data!$E1556,"mmmm")</f>
        <v>December</v>
      </c>
      <c r="C1556" s="6" t="str">
        <f t="shared" si="12"/>
        <v>Dec</v>
      </c>
      <c r="D1556" s="6">
        <f>MONTH(Patient_Data!$E1556)</f>
        <v>12</v>
      </c>
      <c r="E1556" s="7">
        <v>45657</v>
      </c>
      <c r="F1556" s="55" t="str">
        <f>TEXT(Patient_Data[[#This Row],[Admission_Date]],"YYYY")</f>
        <v>2024</v>
      </c>
      <c r="G1556" s="8" t="s">
        <v>3132</v>
      </c>
      <c r="H1556" s="8" t="s">
        <v>34</v>
      </c>
      <c r="I1556" s="4" t="s">
        <v>35</v>
      </c>
      <c r="J1556" s="4">
        <v>2</v>
      </c>
      <c r="K1556" s="4" t="s">
        <v>54</v>
      </c>
      <c r="L1556" s="8">
        <v>1</v>
      </c>
      <c r="M1556" s="9" t="s">
        <v>79</v>
      </c>
      <c r="N1556" s="9" t="str">
        <f t="shared" si="13"/>
        <v>PD</v>
      </c>
      <c r="O1556" s="10">
        <v>2013.73</v>
      </c>
      <c r="P1556" s="10">
        <v>1323.19</v>
      </c>
      <c r="Q1556" s="11">
        <v>4.3</v>
      </c>
      <c r="R1556" s="13" t="str">
        <f>IF(Patient_Data!$L1556&lt;2,"Low Risk",IF(Patient_Data!$L1556&lt;4,"Moderate Risk","High Risk"))</f>
        <v>Low Risk</v>
      </c>
      <c r="S1556" s="12" t="str">
        <f>IF(Patient_Data[[#This Row],[Age]]&lt;=18,"Pediatric",IF(Patient_Data[[#This Row],[Age]]&lt;=64,"Adult","Geriatric"))</f>
        <v>Pediatric</v>
      </c>
    </row>
    <row r="1557" spans="1:19" ht="15.75" customHeight="1" x14ac:dyDescent="0.3">
      <c r="A1557" s="4" t="s">
        <v>3133</v>
      </c>
      <c r="B1557" s="5" t="str">
        <f>TEXT(Patient_Data!$E1557,"mmmm")</f>
        <v>January</v>
      </c>
      <c r="C1557" s="6" t="str">
        <f t="shared" si="12"/>
        <v>Jan</v>
      </c>
      <c r="D1557" s="6">
        <f>MONTH(Patient_Data!$E1557)</f>
        <v>1</v>
      </c>
      <c r="E1557" s="7">
        <v>45660</v>
      </c>
      <c r="F1557" s="55" t="str">
        <f>TEXT(Patient_Data[[#This Row],[Admission_Date]],"YYYY")</f>
        <v>2025</v>
      </c>
      <c r="G1557" s="8" t="s">
        <v>3134</v>
      </c>
      <c r="H1557" s="8" t="s">
        <v>82</v>
      </c>
      <c r="I1557" s="4" t="s">
        <v>35</v>
      </c>
      <c r="J1557" s="4">
        <v>68</v>
      </c>
      <c r="K1557" s="4" t="s">
        <v>54</v>
      </c>
      <c r="L1557" s="8">
        <v>5</v>
      </c>
      <c r="M1557" s="9" t="s">
        <v>50</v>
      </c>
      <c r="N1557" s="9" t="str">
        <f t="shared" si="13"/>
        <v>ICU</v>
      </c>
      <c r="O1557" s="10">
        <v>13791.23</v>
      </c>
      <c r="P1557" s="10">
        <v>9378.52</v>
      </c>
      <c r="Q1557" s="11">
        <v>17.3</v>
      </c>
      <c r="R1557" s="13" t="str">
        <f>IF(Patient_Data!$L1557&lt;2,"Low Risk",IF(Patient_Data!$L1557&lt;4,"Moderate Risk","High Risk"))</f>
        <v>High Risk</v>
      </c>
      <c r="S1557" s="12" t="str">
        <f>IF(Patient_Data[[#This Row],[Age]]&lt;=18,"Pediatric",IF(Patient_Data[[#This Row],[Age]]&lt;=64,"Adult","Geriatric"))</f>
        <v>Geriatric</v>
      </c>
    </row>
    <row r="1558" spans="1:19" ht="15.75" customHeight="1" x14ac:dyDescent="0.3">
      <c r="A1558" s="4" t="s">
        <v>3135</v>
      </c>
      <c r="B1558" s="5" t="str">
        <f>TEXT(Patient_Data!$E1558,"mmmm")</f>
        <v>June</v>
      </c>
      <c r="C1558" s="6" t="str">
        <f t="shared" si="12"/>
        <v>Jun</v>
      </c>
      <c r="D1558" s="6">
        <f>MONTH(Patient_Data!$E1558)</f>
        <v>6</v>
      </c>
      <c r="E1558" s="7">
        <v>46190</v>
      </c>
      <c r="F1558" s="55" t="str">
        <f>TEXT(Patient_Data[[#This Row],[Admission_Date]],"YYYY")</f>
        <v>2026</v>
      </c>
      <c r="G1558" s="8" t="s">
        <v>3136</v>
      </c>
      <c r="H1558" s="8" t="s">
        <v>82</v>
      </c>
      <c r="I1558" s="4" t="s">
        <v>35</v>
      </c>
      <c r="J1558" s="4">
        <v>36</v>
      </c>
      <c r="K1558" s="4" t="s">
        <v>54</v>
      </c>
      <c r="L1558" s="8">
        <v>3</v>
      </c>
      <c r="M1558" s="9" t="s">
        <v>36</v>
      </c>
      <c r="N1558" s="9" t="str">
        <f t="shared" si="13"/>
        <v>Cardio</v>
      </c>
      <c r="O1558" s="10">
        <v>12808.42</v>
      </c>
      <c r="P1558" s="10">
        <v>9055.49</v>
      </c>
      <c r="Q1558" s="11">
        <v>11.2</v>
      </c>
      <c r="R1558" s="13" t="str">
        <f>IF(Patient_Data!$L1558&lt;2,"Low Risk",IF(Patient_Data!$L1558&lt;4,"Moderate Risk","High Risk"))</f>
        <v>Moderate Risk</v>
      </c>
      <c r="S1558" s="12" t="str">
        <f>IF(Patient_Data[[#This Row],[Age]]&lt;=18,"Pediatric",IF(Patient_Data[[#This Row],[Age]]&lt;=64,"Adult","Geriatric"))</f>
        <v>Adult</v>
      </c>
    </row>
    <row r="1559" spans="1:19" ht="15.75" customHeight="1" x14ac:dyDescent="0.3">
      <c r="A1559" s="4" t="s">
        <v>3137</v>
      </c>
      <c r="B1559" s="5" t="str">
        <f>TEXT(Patient_Data!$E1559,"mmmm")</f>
        <v>September</v>
      </c>
      <c r="C1559" s="6" t="str">
        <f t="shared" si="12"/>
        <v>Sep</v>
      </c>
      <c r="D1559" s="6">
        <f>MONTH(Patient_Data!$E1559)</f>
        <v>9</v>
      </c>
      <c r="E1559" s="7">
        <v>45191</v>
      </c>
      <c r="F1559" s="55" t="str">
        <f>TEXT(Patient_Data[[#This Row],[Admission_Date]],"YYYY")</f>
        <v>2023</v>
      </c>
      <c r="G1559" s="8" t="s">
        <v>3138</v>
      </c>
      <c r="H1559" s="8" t="s">
        <v>132</v>
      </c>
      <c r="I1559" s="4" t="s">
        <v>29</v>
      </c>
      <c r="J1559" s="4">
        <v>11</v>
      </c>
      <c r="K1559" s="4" t="s">
        <v>30</v>
      </c>
      <c r="L1559" s="8">
        <v>1</v>
      </c>
      <c r="M1559" s="9" t="s">
        <v>79</v>
      </c>
      <c r="N1559" s="9" t="str">
        <f t="shared" si="13"/>
        <v>PD</v>
      </c>
      <c r="O1559" s="10">
        <v>844.25</v>
      </c>
      <c r="P1559" s="10">
        <v>637.9</v>
      </c>
      <c r="Q1559" s="11">
        <v>2.7</v>
      </c>
      <c r="R1559" s="13" t="str">
        <f>IF(Patient_Data!$L1559&lt;2,"Low Risk",IF(Patient_Data!$L1559&lt;4,"Moderate Risk","High Risk"))</f>
        <v>Low Risk</v>
      </c>
      <c r="S1559" s="12" t="str">
        <f>IF(Patient_Data[[#This Row],[Age]]&lt;=18,"Pediatric",IF(Patient_Data[[#This Row],[Age]]&lt;=64,"Adult","Geriatric"))</f>
        <v>Pediatric</v>
      </c>
    </row>
    <row r="1560" spans="1:19" ht="15.75" customHeight="1" x14ac:dyDescent="0.3">
      <c r="A1560" s="4" t="s">
        <v>3139</v>
      </c>
      <c r="B1560" s="5" t="str">
        <f>TEXT(Patient_Data!$E1560,"mmmm")</f>
        <v>January</v>
      </c>
      <c r="C1560" s="6" t="str">
        <f t="shared" si="12"/>
        <v>Jan</v>
      </c>
      <c r="D1560" s="6">
        <f>MONTH(Patient_Data!$E1560)</f>
        <v>1</v>
      </c>
      <c r="E1560" s="7">
        <v>46028</v>
      </c>
      <c r="F1560" s="55" t="str">
        <f>TEXT(Patient_Data[[#This Row],[Admission_Date]],"YYYY")</f>
        <v>2026</v>
      </c>
      <c r="G1560" s="8" t="s">
        <v>3140</v>
      </c>
      <c r="H1560" s="8" t="s">
        <v>49</v>
      </c>
      <c r="I1560" s="4" t="s">
        <v>35</v>
      </c>
      <c r="J1560" s="4">
        <v>66</v>
      </c>
      <c r="K1560" s="4" t="s">
        <v>45</v>
      </c>
      <c r="L1560" s="8">
        <v>4</v>
      </c>
      <c r="M1560" s="9" t="s">
        <v>39</v>
      </c>
      <c r="N1560" s="9" t="str">
        <f t="shared" si="13"/>
        <v>GM</v>
      </c>
      <c r="O1560" s="10">
        <v>3348.93</v>
      </c>
      <c r="P1560" s="10">
        <v>2589.19</v>
      </c>
      <c r="Q1560" s="11">
        <v>5.5</v>
      </c>
      <c r="R1560" s="13" t="str">
        <f>IF(Patient_Data!$L1560&lt;2,"Low Risk",IF(Patient_Data!$L1560&lt;4,"Moderate Risk","High Risk"))</f>
        <v>High Risk</v>
      </c>
      <c r="S1560" s="12" t="str">
        <f>IF(Patient_Data[[#This Row],[Age]]&lt;=18,"Pediatric",IF(Patient_Data[[#This Row],[Age]]&lt;=64,"Adult","Geriatric"))</f>
        <v>Geriatric</v>
      </c>
    </row>
    <row r="1561" spans="1:19" ht="15.75" customHeight="1" x14ac:dyDescent="0.3">
      <c r="A1561" s="4" t="s">
        <v>3141</v>
      </c>
      <c r="B1561" s="5" t="str">
        <f>TEXT(Patient_Data!$E1561,"mmmm")</f>
        <v>September</v>
      </c>
      <c r="C1561" s="6" t="str">
        <f t="shared" si="12"/>
        <v>Sep</v>
      </c>
      <c r="D1561" s="6">
        <f>MONTH(Patient_Data!$E1561)</f>
        <v>9</v>
      </c>
      <c r="E1561" s="7">
        <v>45915</v>
      </c>
      <c r="F1561" s="55" t="str">
        <f>TEXT(Patient_Data[[#This Row],[Admission_Date]],"YYYY")</f>
        <v>2025</v>
      </c>
      <c r="G1561" s="8" t="s">
        <v>2055</v>
      </c>
      <c r="H1561" s="8" t="s">
        <v>82</v>
      </c>
      <c r="I1561" s="4" t="s">
        <v>35</v>
      </c>
      <c r="J1561" s="4">
        <v>4</v>
      </c>
      <c r="K1561" s="4" t="s">
        <v>54</v>
      </c>
      <c r="L1561" s="8">
        <v>1</v>
      </c>
      <c r="M1561" s="9" t="s">
        <v>79</v>
      </c>
      <c r="N1561" s="9" t="str">
        <f t="shared" si="13"/>
        <v>PD</v>
      </c>
      <c r="O1561" s="10">
        <v>1516.82</v>
      </c>
      <c r="P1561" s="10">
        <v>884.56</v>
      </c>
      <c r="Q1561" s="11">
        <v>0.6</v>
      </c>
      <c r="R1561" s="13" t="str">
        <f>IF(Patient_Data!$L1561&lt;2,"Low Risk",IF(Patient_Data!$L1561&lt;4,"Moderate Risk","High Risk"))</f>
        <v>Low Risk</v>
      </c>
      <c r="S1561" s="12" t="str">
        <f>IF(Patient_Data[[#This Row],[Age]]&lt;=18,"Pediatric",IF(Patient_Data[[#This Row],[Age]]&lt;=64,"Adult","Geriatric"))</f>
        <v>Pediatric</v>
      </c>
    </row>
    <row r="1562" spans="1:19" ht="15.75" customHeight="1" x14ac:dyDescent="0.3">
      <c r="A1562" s="4" t="s">
        <v>3142</v>
      </c>
      <c r="B1562" s="5" t="str">
        <f>TEXT(Patient_Data!$E1562,"mmmm")</f>
        <v>August</v>
      </c>
      <c r="C1562" s="6" t="str">
        <f t="shared" si="12"/>
        <v>Aug</v>
      </c>
      <c r="D1562" s="6">
        <f>MONTH(Patient_Data!$E1562)</f>
        <v>8</v>
      </c>
      <c r="E1562" s="7">
        <v>45520</v>
      </c>
      <c r="F1562" s="55" t="str">
        <f>TEXT(Patient_Data[[#This Row],[Admission_Date]],"YYYY")</f>
        <v>2024</v>
      </c>
      <c r="G1562" s="8" t="s">
        <v>3143</v>
      </c>
      <c r="H1562" s="8" t="s">
        <v>34</v>
      </c>
      <c r="I1562" s="4" t="s">
        <v>29</v>
      </c>
      <c r="J1562" s="4">
        <v>15</v>
      </c>
      <c r="K1562" s="4" t="s">
        <v>30</v>
      </c>
      <c r="L1562" s="8">
        <v>2</v>
      </c>
      <c r="M1562" s="9" t="s">
        <v>79</v>
      </c>
      <c r="N1562" s="9" t="str">
        <f t="shared" si="13"/>
        <v>PD</v>
      </c>
      <c r="O1562" s="10">
        <v>2904.26</v>
      </c>
      <c r="P1562" s="10">
        <v>1801.2</v>
      </c>
      <c r="Q1562" s="11">
        <v>3.7</v>
      </c>
      <c r="R1562" s="13" t="str">
        <f>IF(Patient_Data!$L1562&lt;2,"Low Risk",IF(Patient_Data!$L1562&lt;4,"Moderate Risk","High Risk"))</f>
        <v>Moderate Risk</v>
      </c>
      <c r="S1562" s="12" t="str">
        <f>IF(Patient_Data[[#This Row],[Age]]&lt;=18,"Pediatric",IF(Patient_Data[[#This Row],[Age]]&lt;=64,"Adult","Geriatric"))</f>
        <v>Pediatric</v>
      </c>
    </row>
    <row r="1563" spans="1:19" ht="15.75" customHeight="1" x14ac:dyDescent="0.3">
      <c r="A1563" s="4" t="s">
        <v>3144</v>
      </c>
      <c r="B1563" s="5" t="str">
        <f>TEXT(Patient_Data!$E1563,"mmmm")</f>
        <v>January</v>
      </c>
      <c r="C1563" s="6" t="str">
        <f t="shared" si="12"/>
        <v>Jan</v>
      </c>
      <c r="D1563" s="6">
        <f>MONTH(Patient_Data!$E1563)</f>
        <v>1</v>
      </c>
      <c r="E1563" s="7">
        <v>45316</v>
      </c>
      <c r="F1563" s="55" t="str">
        <f>TEXT(Patient_Data[[#This Row],[Admission_Date]],"YYYY")</f>
        <v>2024</v>
      </c>
      <c r="G1563" s="8" t="s">
        <v>3145</v>
      </c>
      <c r="H1563" s="8" t="s">
        <v>49</v>
      </c>
      <c r="I1563" s="4" t="s">
        <v>29</v>
      </c>
      <c r="J1563" s="4">
        <v>19</v>
      </c>
      <c r="K1563" s="4" t="s">
        <v>30</v>
      </c>
      <c r="L1563" s="8">
        <v>1</v>
      </c>
      <c r="M1563" s="9" t="s">
        <v>31</v>
      </c>
      <c r="N1563" s="9" t="str">
        <f t="shared" si="13"/>
        <v>Neuro</v>
      </c>
      <c r="O1563" s="10">
        <v>5088.78</v>
      </c>
      <c r="P1563" s="10">
        <v>3300.82</v>
      </c>
      <c r="Q1563" s="11">
        <v>5.5</v>
      </c>
      <c r="R1563" s="13" t="str">
        <f>IF(Patient_Data!$L1563&lt;2,"Low Risk",IF(Patient_Data!$L1563&lt;4,"Moderate Risk","High Risk"))</f>
        <v>Low Risk</v>
      </c>
      <c r="S1563" s="12" t="str">
        <f>IF(Patient_Data[[#This Row],[Age]]&lt;=18,"Pediatric",IF(Patient_Data[[#This Row],[Age]]&lt;=64,"Adult","Geriatric"))</f>
        <v>Adult</v>
      </c>
    </row>
    <row r="1564" spans="1:19" ht="15.75" customHeight="1" x14ac:dyDescent="0.3">
      <c r="A1564" s="4" t="s">
        <v>3146</v>
      </c>
      <c r="B1564" s="5" t="str">
        <f>TEXT(Patient_Data!$E1564,"mmmm")</f>
        <v>October</v>
      </c>
      <c r="C1564" s="6" t="str">
        <f t="shared" si="12"/>
        <v>Oct</v>
      </c>
      <c r="D1564" s="6">
        <f>MONTH(Patient_Data!$E1564)</f>
        <v>10</v>
      </c>
      <c r="E1564" s="7">
        <v>45201</v>
      </c>
      <c r="F1564" s="55" t="str">
        <f>TEXT(Patient_Data[[#This Row],[Admission_Date]],"YYYY")</f>
        <v>2023</v>
      </c>
      <c r="G1564" s="8" t="s">
        <v>3147</v>
      </c>
      <c r="H1564" s="8" t="s">
        <v>49</v>
      </c>
      <c r="I1564" s="4" t="s">
        <v>29</v>
      </c>
      <c r="J1564" s="4">
        <v>74</v>
      </c>
      <c r="K1564" s="4" t="s">
        <v>54</v>
      </c>
      <c r="L1564" s="8">
        <v>5</v>
      </c>
      <c r="M1564" s="9" t="s">
        <v>31</v>
      </c>
      <c r="N1564" s="9" t="str">
        <f t="shared" si="13"/>
        <v>Neuro</v>
      </c>
      <c r="O1564" s="10">
        <v>11556.54</v>
      </c>
      <c r="P1564" s="10">
        <v>7793.28</v>
      </c>
      <c r="Q1564" s="11">
        <v>6.3</v>
      </c>
      <c r="R1564" s="13" t="str">
        <f>IF(Patient_Data!$L1564&lt;2,"Low Risk",IF(Patient_Data!$L1564&lt;4,"Moderate Risk","High Risk"))</f>
        <v>High Risk</v>
      </c>
      <c r="S1564" s="12" t="str">
        <f>IF(Patient_Data[[#This Row],[Age]]&lt;=18,"Pediatric",IF(Patient_Data[[#This Row],[Age]]&lt;=64,"Adult","Geriatric"))</f>
        <v>Geriatric</v>
      </c>
    </row>
    <row r="1565" spans="1:19" ht="15.75" customHeight="1" x14ac:dyDescent="0.3">
      <c r="A1565" s="4" t="s">
        <v>3148</v>
      </c>
      <c r="B1565" s="5" t="str">
        <f>TEXT(Patient_Data!$E1565,"mmmm")</f>
        <v>January</v>
      </c>
      <c r="C1565" s="6" t="str">
        <f t="shared" si="12"/>
        <v>Jan</v>
      </c>
      <c r="D1565" s="6">
        <f>MONTH(Patient_Data!$E1565)</f>
        <v>1</v>
      </c>
      <c r="E1565" s="7">
        <v>45305</v>
      </c>
      <c r="F1565" s="55" t="str">
        <f>TEXT(Patient_Data[[#This Row],[Admission_Date]],"YYYY")</f>
        <v>2024</v>
      </c>
      <c r="G1565" s="8" t="s">
        <v>3149</v>
      </c>
      <c r="H1565" s="8" t="s">
        <v>49</v>
      </c>
      <c r="I1565" s="4" t="s">
        <v>35</v>
      </c>
      <c r="J1565" s="4">
        <v>91</v>
      </c>
      <c r="K1565" s="4" t="s">
        <v>30</v>
      </c>
      <c r="L1565" s="8">
        <v>3</v>
      </c>
      <c r="M1565" s="9" t="s">
        <v>50</v>
      </c>
      <c r="N1565" s="9" t="str">
        <f t="shared" si="13"/>
        <v>ICU</v>
      </c>
      <c r="O1565" s="10">
        <v>12498.48</v>
      </c>
      <c r="P1565" s="10">
        <v>8870.5400000000009</v>
      </c>
      <c r="Q1565" s="11">
        <v>15.2</v>
      </c>
      <c r="R1565" s="13" t="str">
        <f>IF(Patient_Data!$L1565&lt;2,"Low Risk",IF(Patient_Data!$L1565&lt;4,"Moderate Risk","High Risk"))</f>
        <v>Moderate Risk</v>
      </c>
      <c r="S1565" s="12" t="str">
        <f>IF(Patient_Data[[#This Row],[Age]]&lt;=18,"Pediatric",IF(Patient_Data[[#This Row],[Age]]&lt;=64,"Adult","Geriatric"))</f>
        <v>Geriatric</v>
      </c>
    </row>
    <row r="1566" spans="1:19" ht="15.75" customHeight="1" x14ac:dyDescent="0.3">
      <c r="A1566" s="4" t="s">
        <v>3150</v>
      </c>
      <c r="B1566" s="5" t="str">
        <f>TEXT(Patient_Data!$E1566,"mmmm")</f>
        <v>November</v>
      </c>
      <c r="C1566" s="6" t="str">
        <f t="shared" si="12"/>
        <v>Nov</v>
      </c>
      <c r="D1566" s="6">
        <f>MONTH(Patient_Data!$E1566)</f>
        <v>11</v>
      </c>
      <c r="E1566" s="7">
        <v>45608</v>
      </c>
      <c r="F1566" s="55" t="str">
        <f>TEXT(Patient_Data[[#This Row],[Admission_Date]],"YYYY")</f>
        <v>2024</v>
      </c>
      <c r="G1566" s="8" t="s">
        <v>3151</v>
      </c>
      <c r="H1566" s="8" t="s">
        <v>49</v>
      </c>
      <c r="I1566" s="4" t="s">
        <v>29</v>
      </c>
      <c r="J1566" s="4">
        <v>61</v>
      </c>
      <c r="K1566" s="4" t="s">
        <v>45</v>
      </c>
      <c r="L1566" s="8">
        <v>2</v>
      </c>
      <c r="M1566" s="9" t="s">
        <v>31</v>
      </c>
      <c r="N1566" s="9" t="str">
        <f t="shared" si="13"/>
        <v>Neuro</v>
      </c>
      <c r="O1566" s="10">
        <v>8519.4500000000007</v>
      </c>
      <c r="P1566" s="10">
        <v>6293.6</v>
      </c>
      <c r="Q1566" s="11">
        <v>9.3000000000000007</v>
      </c>
      <c r="R1566" s="13" t="str">
        <f>IF(Patient_Data!$L1566&lt;2,"Low Risk",IF(Patient_Data!$L1566&lt;4,"Moderate Risk","High Risk"))</f>
        <v>Moderate Risk</v>
      </c>
      <c r="S1566" s="12" t="str">
        <f>IF(Patient_Data[[#This Row],[Age]]&lt;=18,"Pediatric",IF(Patient_Data[[#This Row],[Age]]&lt;=64,"Adult","Geriatric"))</f>
        <v>Adult</v>
      </c>
    </row>
    <row r="1567" spans="1:19" ht="15.75" customHeight="1" x14ac:dyDescent="0.3">
      <c r="A1567" s="4" t="s">
        <v>3152</v>
      </c>
      <c r="B1567" s="5" t="str">
        <f>TEXT(Patient_Data!$E1567,"mmmm")</f>
        <v>November</v>
      </c>
      <c r="C1567" s="6" t="str">
        <f t="shared" si="12"/>
        <v>Nov</v>
      </c>
      <c r="D1567" s="6">
        <f>MONTH(Patient_Data!$E1567)</f>
        <v>11</v>
      </c>
      <c r="E1567" s="7">
        <v>45982</v>
      </c>
      <c r="F1567" s="55" t="str">
        <f>TEXT(Patient_Data[[#This Row],[Admission_Date]],"YYYY")</f>
        <v>2025</v>
      </c>
      <c r="G1567" s="8" t="s">
        <v>3153</v>
      </c>
      <c r="H1567" s="8" t="s">
        <v>34</v>
      </c>
      <c r="I1567" s="4" t="s">
        <v>35</v>
      </c>
      <c r="J1567" s="4">
        <v>55</v>
      </c>
      <c r="K1567" s="4" t="s">
        <v>30</v>
      </c>
      <c r="L1567" s="8">
        <v>2</v>
      </c>
      <c r="M1567" s="9" t="s">
        <v>31</v>
      </c>
      <c r="N1567" s="9" t="str">
        <f t="shared" si="13"/>
        <v>Neuro</v>
      </c>
      <c r="O1567" s="10">
        <v>5385.03</v>
      </c>
      <c r="P1567" s="10">
        <v>4155.0200000000004</v>
      </c>
      <c r="Q1567" s="11">
        <v>7.8</v>
      </c>
      <c r="R1567" s="13" t="str">
        <f>IF(Patient_Data!$L1567&lt;2,"Low Risk",IF(Patient_Data!$L1567&lt;4,"Moderate Risk","High Risk"))</f>
        <v>Moderate Risk</v>
      </c>
      <c r="S1567" s="12" t="str">
        <f>IF(Patient_Data[[#This Row],[Age]]&lt;=18,"Pediatric",IF(Patient_Data[[#This Row],[Age]]&lt;=64,"Adult","Geriatric"))</f>
        <v>Adult</v>
      </c>
    </row>
    <row r="1568" spans="1:19" ht="15.75" customHeight="1" x14ac:dyDescent="0.3">
      <c r="A1568" s="4" t="s">
        <v>3154</v>
      </c>
      <c r="B1568" s="5" t="str">
        <f>TEXT(Patient_Data!$E1568,"mmmm")</f>
        <v>July</v>
      </c>
      <c r="C1568" s="6" t="str">
        <f t="shared" si="12"/>
        <v>Jul</v>
      </c>
      <c r="D1568" s="6">
        <f>MONTH(Patient_Data!$E1568)</f>
        <v>7</v>
      </c>
      <c r="E1568" s="7">
        <v>46204</v>
      </c>
      <c r="F1568" s="55" t="str">
        <f>TEXT(Patient_Data[[#This Row],[Admission_Date]],"YYYY")</f>
        <v>2026</v>
      </c>
      <c r="G1568" s="8" t="s">
        <v>754</v>
      </c>
      <c r="H1568" s="8" t="s">
        <v>49</v>
      </c>
      <c r="I1568" s="4" t="s">
        <v>29</v>
      </c>
      <c r="J1568" s="4">
        <v>71</v>
      </c>
      <c r="K1568" s="4" t="s">
        <v>30</v>
      </c>
      <c r="L1568" s="8">
        <v>3</v>
      </c>
      <c r="M1568" s="9" t="s">
        <v>72</v>
      </c>
      <c r="N1568" s="9" t="str">
        <f t="shared" si="13"/>
        <v>Surgery</v>
      </c>
      <c r="O1568" s="10">
        <v>15207.6</v>
      </c>
      <c r="P1568" s="10">
        <v>8878.01</v>
      </c>
      <c r="Q1568" s="11">
        <v>7.2</v>
      </c>
      <c r="R1568" s="13" t="str">
        <f>IF(Patient_Data!$L1568&lt;2,"Low Risk",IF(Patient_Data!$L1568&lt;4,"Moderate Risk","High Risk"))</f>
        <v>Moderate Risk</v>
      </c>
      <c r="S1568" s="12" t="str">
        <f>IF(Patient_Data[[#This Row],[Age]]&lt;=18,"Pediatric",IF(Patient_Data[[#This Row],[Age]]&lt;=64,"Adult","Geriatric"))</f>
        <v>Geriatric</v>
      </c>
    </row>
    <row r="1569" spans="1:19" ht="15.75" customHeight="1" x14ac:dyDescent="0.3">
      <c r="A1569" s="4" t="s">
        <v>3155</v>
      </c>
      <c r="B1569" s="5" t="str">
        <f>TEXT(Patient_Data!$E1569,"mmmm")</f>
        <v>January</v>
      </c>
      <c r="C1569" s="6" t="str">
        <f t="shared" si="12"/>
        <v>Jan</v>
      </c>
      <c r="D1569" s="6">
        <f>MONTH(Patient_Data!$E1569)</f>
        <v>1</v>
      </c>
      <c r="E1569" s="7">
        <v>46034</v>
      </c>
      <c r="F1569" s="55" t="str">
        <f>TEXT(Patient_Data[[#This Row],[Admission_Date]],"YYYY")</f>
        <v>2026</v>
      </c>
      <c r="G1569" s="8" t="s">
        <v>3156</v>
      </c>
      <c r="H1569" s="8" t="s">
        <v>34</v>
      </c>
      <c r="I1569" s="4" t="s">
        <v>29</v>
      </c>
      <c r="J1569" s="4">
        <v>6</v>
      </c>
      <c r="K1569" s="4" t="s">
        <v>30</v>
      </c>
      <c r="L1569" s="8">
        <v>1</v>
      </c>
      <c r="M1569" s="9" t="s">
        <v>79</v>
      </c>
      <c r="N1569" s="9" t="str">
        <f t="shared" si="13"/>
        <v>PD</v>
      </c>
      <c r="O1569" s="10">
        <v>2255.09</v>
      </c>
      <c r="P1569" s="10">
        <v>1382.8</v>
      </c>
      <c r="Q1569" s="11">
        <v>0.9</v>
      </c>
      <c r="R1569" s="13" t="str">
        <f>IF(Patient_Data!$L1569&lt;2,"Low Risk",IF(Patient_Data!$L1569&lt;4,"Moderate Risk","High Risk"))</f>
        <v>Low Risk</v>
      </c>
      <c r="S1569" s="12" t="str">
        <f>IF(Patient_Data[[#This Row],[Age]]&lt;=18,"Pediatric",IF(Patient_Data[[#This Row],[Age]]&lt;=64,"Adult","Geriatric"))</f>
        <v>Pediatric</v>
      </c>
    </row>
    <row r="1570" spans="1:19" ht="15.75" customHeight="1" x14ac:dyDescent="0.3">
      <c r="A1570" s="4" t="s">
        <v>3157</v>
      </c>
      <c r="B1570" s="5" t="str">
        <f>TEXT(Patient_Data!$E1570,"mmmm")</f>
        <v>November</v>
      </c>
      <c r="C1570" s="6" t="str">
        <f t="shared" si="12"/>
        <v>Nov</v>
      </c>
      <c r="D1570" s="6">
        <f>MONTH(Patient_Data!$E1570)</f>
        <v>11</v>
      </c>
      <c r="E1570" s="7">
        <v>45990</v>
      </c>
      <c r="F1570" s="55" t="str">
        <f>TEXT(Patient_Data[[#This Row],[Admission_Date]],"YYYY")</f>
        <v>2025</v>
      </c>
      <c r="G1570" s="8" t="s">
        <v>3158</v>
      </c>
      <c r="H1570" s="8" t="s">
        <v>28</v>
      </c>
      <c r="I1570" s="4" t="s">
        <v>35</v>
      </c>
      <c r="J1570" s="4">
        <v>45</v>
      </c>
      <c r="K1570" s="4" t="s">
        <v>45</v>
      </c>
      <c r="L1570" s="8">
        <v>4</v>
      </c>
      <c r="M1570" s="9" t="s">
        <v>72</v>
      </c>
      <c r="N1570" s="9" t="str">
        <f t="shared" si="13"/>
        <v>Surgery</v>
      </c>
      <c r="O1570" s="10">
        <v>20422.12</v>
      </c>
      <c r="P1570" s="10">
        <v>13101.36</v>
      </c>
      <c r="Q1570" s="11">
        <v>3.9</v>
      </c>
      <c r="R1570" s="13" t="str">
        <f>IF(Patient_Data!$L1570&lt;2,"Low Risk",IF(Patient_Data!$L1570&lt;4,"Moderate Risk","High Risk"))</f>
        <v>High Risk</v>
      </c>
      <c r="S1570" s="12" t="str">
        <f>IF(Patient_Data[[#This Row],[Age]]&lt;=18,"Pediatric",IF(Patient_Data[[#This Row],[Age]]&lt;=64,"Adult","Geriatric"))</f>
        <v>Adult</v>
      </c>
    </row>
    <row r="1571" spans="1:19" ht="15.75" customHeight="1" x14ac:dyDescent="0.3">
      <c r="A1571" s="4" t="s">
        <v>3159</v>
      </c>
      <c r="B1571" s="5" t="str">
        <f>TEXT(Patient_Data!$E1571,"mmmm")</f>
        <v>May</v>
      </c>
      <c r="C1571" s="6" t="str">
        <f t="shared" si="12"/>
        <v>May</v>
      </c>
      <c r="D1571" s="6">
        <f>MONTH(Patient_Data!$E1571)</f>
        <v>5</v>
      </c>
      <c r="E1571" s="7">
        <v>45801</v>
      </c>
      <c r="F1571" s="55" t="str">
        <f>TEXT(Patient_Data[[#This Row],[Admission_Date]],"YYYY")</f>
        <v>2025</v>
      </c>
      <c r="G1571" s="8" t="s">
        <v>3160</v>
      </c>
      <c r="H1571" s="8" t="s">
        <v>82</v>
      </c>
      <c r="I1571" s="4" t="s">
        <v>29</v>
      </c>
      <c r="J1571" s="4">
        <v>55</v>
      </c>
      <c r="K1571" s="4" t="s">
        <v>54</v>
      </c>
      <c r="L1571" s="8">
        <v>4</v>
      </c>
      <c r="M1571" s="9" t="s">
        <v>50</v>
      </c>
      <c r="N1571" s="9" t="str">
        <f t="shared" si="13"/>
        <v>ICU</v>
      </c>
      <c r="O1571" s="10">
        <v>18899.86</v>
      </c>
      <c r="P1571" s="10">
        <v>12776.51</v>
      </c>
      <c r="Q1571" s="11">
        <v>14.2</v>
      </c>
      <c r="R1571" s="13" t="str">
        <f>IF(Patient_Data!$L1571&lt;2,"Low Risk",IF(Patient_Data!$L1571&lt;4,"Moderate Risk","High Risk"))</f>
        <v>High Risk</v>
      </c>
      <c r="S1571" s="12" t="str">
        <f>IF(Patient_Data[[#This Row],[Age]]&lt;=18,"Pediatric",IF(Patient_Data[[#This Row],[Age]]&lt;=64,"Adult","Geriatric"))</f>
        <v>Adult</v>
      </c>
    </row>
    <row r="1572" spans="1:19" ht="15.75" customHeight="1" x14ac:dyDescent="0.3">
      <c r="A1572" s="4" t="s">
        <v>3161</v>
      </c>
      <c r="B1572" s="5" t="str">
        <f>TEXT(Patient_Data!$E1572,"mmmm")</f>
        <v>October</v>
      </c>
      <c r="C1572" s="6" t="str">
        <f t="shared" si="12"/>
        <v>Oct</v>
      </c>
      <c r="D1572" s="6">
        <f>MONTH(Patient_Data!$E1572)</f>
        <v>10</v>
      </c>
      <c r="E1572" s="7">
        <v>45583</v>
      </c>
      <c r="F1572" s="55" t="str">
        <f>TEXT(Patient_Data[[#This Row],[Admission_Date]],"YYYY")</f>
        <v>2024</v>
      </c>
      <c r="G1572" s="8" t="s">
        <v>3162</v>
      </c>
      <c r="H1572" s="8" t="s">
        <v>49</v>
      </c>
      <c r="I1572" s="4" t="s">
        <v>29</v>
      </c>
      <c r="J1572" s="4">
        <v>70</v>
      </c>
      <c r="K1572" s="4" t="s">
        <v>30</v>
      </c>
      <c r="L1572" s="8">
        <v>2</v>
      </c>
      <c r="M1572" s="9" t="s">
        <v>31</v>
      </c>
      <c r="N1572" s="9" t="str">
        <f t="shared" si="13"/>
        <v>Neuro</v>
      </c>
      <c r="O1572" s="10">
        <v>9704.5400000000009</v>
      </c>
      <c r="P1572" s="10">
        <v>6810.78</v>
      </c>
      <c r="Q1572" s="11">
        <v>2.2000000000000002</v>
      </c>
      <c r="R1572" s="13" t="str">
        <f>IF(Patient_Data!$L1572&lt;2,"Low Risk",IF(Patient_Data!$L1572&lt;4,"Moderate Risk","High Risk"))</f>
        <v>Moderate Risk</v>
      </c>
      <c r="S1572" s="12" t="str">
        <f>IF(Patient_Data[[#This Row],[Age]]&lt;=18,"Pediatric",IF(Patient_Data[[#This Row],[Age]]&lt;=64,"Adult","Geriatric"))</f>
        <v>Geriatric</v>
      </c>
    </row>
    <row r="1573" spans="1:19" ht="15.75" customHeight="1" x14ac:dyDescent="0.3">
      <c r="A1573" s="4" t="s">
        <v>3163</v>
      </c>
      <c r="B1573" s="5" t="str">
        <f>TEXT(Patient_Data!$E1573,"mmmm")</f>
        <v>July</v>
      </c>
      <c r="C1573" s="6" t="str">
        <f t="shared" si="12"/>
        <v>Jul</v>
      </c>
      <c r="D1573" s="6">
        <f>MONTH(Patient_Data!$E1573)</f>
        <v>7</v>
      </c>
      <c r="E1573" s="7">
        <v>45485</v>
      </c>
      <c r="F1573" s="55" t="str">
        <f>TEXT(Patient_Data[[#This Row],[Admission_Date]],"YYYY")</f>
        <v>2024</v>
      </c>
      <c r="G1573" s="8" t="s">
        <v>3164</v>
      </c>
      <c r="H1573" s="8" t="s">
        <v>53</v>
      </c>
      <c r="I1573" s="4" t="s">
        <v>29</v>
      </c>
      <c r="J1573" s="4">
        <v>38</v>
      </c>
      <c r="K1573" s="4" t="s">
        <v>30</v>
      </c>
      <c r="L1573" s="8">
        <v>1</v>
      </c>
      <c r="M1573" s="9" t="s">
        <v>39</v>
      </c>
      <c r="N1573" s="9" t="str">
        <f t="shared" si="13"/>
        <v>GM</v>
      </c>
      <c r="O1573" s="10">
        <v>2173.31</v>
      </c>
      <c r="P1573" s="10">
        <v>1633.72</v>
      </c>
      <c r="Q1573" s="11">
        <v>5.9</v>
      </c>
      <c r="R1573" s="13" t="str">
        <f>IF(Patient_Data!$L1573&lt;2,"Low Risk",IF(Patient_Data!$L1573&lt;4,"Moderate Risk","High Risk"))</f>
        <v>Low Risk</v>
      </c>
      <c r="S1573" s="12" t="str">
        <f>IF(Patient_Data[[#This Row],[Age]]&lt;=18,"Pediatric",IF(Patient_Data[[#This Row],[Age]]&lt;=64,"Adult","Geriatric"))</f>
        <v>Adult</v>
      </c>
    </row>
    <row r="1574" spans="1:19" ht="15.75" customHeight="1" x14ac:dyDescent="0.3">
      <c r="A1574" s="4" t="s">
        <v>3165</v>
      </c>
      <c r="B1574" s="5" t="str">
        <f>TEXT(Patient_Data!$E1574,"mmmm")</f>
        <v>January</v>
      </c>
      <c r="C1574" s="6" t="str">
        <f t="shared" si="12"/>
        <v>Jan</v>
      </c>
      <c r="D1574" s="6">
        <f>MONTH(Patient_Data!$E1574)</f>
        <v>1</v>
      </c>
      <c r="E1574" s="7">
        <v>45302</v>
      </c>
      <c r="F1574" s="55" t="str">
        <f>TEXT(Patient_Data[[#This Row],[Admission_Date]],"YYYY")</f>
        <v>2024</v>
      </c>
      <c r="G1574" s="8" t="s">
        <v>3166</v>
      </c>
      <c r="H1574" s="8" t="s">
        <v>53</v>
      </c>
      <c r="I1574" s="4" t="s">
        <v>35</v>
      </c>
      <c r="J1574" s="4">
        <v>36</v>
      </c>
      <c r="K1574" s="4" t="s">
        <v>30</v>
      </c>
      <c r="L1574" s="8">
        <v>1</v>
      </c>
      <c r="M1574" s="9" t="s">
        <v>36</v>
      </c>
      <c r="N1574" s="9" t="str">
        <f t="shared" si="13"/>
        <v>Cardio</v>
      </c>
      <c r="O1574" s="10">
        <v>8775.7000000000007</v>
      </c>
      <c r="P1574" s="10">
        <v>6669.53</v>
      </c>
      <c r="Q1574" s="11"/>
      <c r="R1574" s="13" t="str">
        <f>IF(Patient_Data!$L1574&lt;2,"Low Risk",IF(Patient_Data!$L1574&lt;4,"Moderate Risk","High Risk"))</f>
        <v>Low Risk</v>
      </c>
      <c r="S1574" s="12" t="str">
        <f>IF(Patient_Data[[#This Row],[Age]]&lt;=18,"Pediatric",IF(Patient_Data[[#This Row],[Age]]&lt;=64,"Adult","Geriatric"))</f>
        <v>Adult</v>
      </c>
    </row>
    <row r="1575" spans="1:19" ht="15.75" customHeight="1" x14ac:dyDescent="0.3">
      <c r="A1575" s="4" t="s">
        <v>3167</v>
      </c>
      <c r="B1575" s="5" t="str">
        <f>TEXT(Patient_Data!$E1575,"mmmm")</f>
        <v>December</v>
      </c>
      <c r="C1575" s="6" t="str">
        <f t="shared" si="12"/>
        <v>Dec</v>
      </c>
      <c r="D1575" s="6">
        <f>MONTH(Patient_Data!$E1575)</f>
        <v>12</v>
      </c>
      <c r="E1575" s="7">
        <v>45655</v>
      </c>
      <c r="F1575" s="55" t="str">
        <f>TEXT(Patient_Data[[#This Row],[Admission_Date]],"YYYY")</f>
        <v>2024</v>
      </c>
      <c r="G1575" s="8" t="s">
        <v>3168</v>
      </c>
      <c r="H1575" s="8" t="s">
        <v>53</v>
      </c>
      <c r="I1575" s="4" t="s">
        <v>29</v>
      </c>
      <c r="J1575" s="4">
        <v>29</v>
      </c>
      <c r="K1575" s="4" t="s">
        <v>54</v>
      </c>
      <c r="L1575" s="8">
        <v>3</v>
      </c>
      <c r="M1575" s="9" t="s">
        <v>31</v>
      </c>
      <c r="N1575" s="9" t="str">
        <f t="shared" si="13"/>
        <v>Neuro</v>
      </c>
      <c r="O1575" s="10">
        <v>5444.13</v>
      </c>
      <c r="P1575" s="10">
        <v>3197.6</v>
      </c>
      <c r="Q1575" s="11">
        <v>5</v>
      </c>
      <c r="R1575" s="13" t="str">
        <f>IF(Patient_Data!$L1575&lt;2,"Low Risk",IF(Patient_Data!$L1575&lt;4,"Moderate Risk","High Risk"))</f>
        <v>Moderate Risk</v>
      </c>
      <c r="S1575" s="12" t="str">
        <f>IF(Patient_Data[[#This Row],[Age]]&lt;=18,"Pediatric",IF(Patient_Data[[#This Row],[Age]]&lt;=64,"Adult","Geriatric"))</f>
        <v>Adult</v>
      </c>
    </row>
    <row r="1576" spans="1:19" ht="15.75" customHeight="1" x14ac:dyDescent="0.3">
      <c r="A1576" s="4" t="s">
        <v>3169</v>
      </c>
      <c r="B1576" s="5" t="str">
        <f>TEXT(Patient_Data!$E1576,"mmmm")</f>
        <v>February</v>
      </c>
      <c r="C1576" s="6" t="str">
        <f t="shared" si="12"/>
        <v>Feb</v>
      </c>
      <c r="D1576" s="6">
        <f>MONTH(Patient_Data!$E1576)</f>
        <v>2</v>
      </c>
      <c r="E1576" s="7">
        <v>45343</v>
      </c>
      <c r="F1576" s="55" t="str">
        <f>TEXT(Patient_Data[[#This Row],[Admission_Date]],"YYYY")</f>
        <v>2024</v>
      </c>
      <c r="G1576" s="8" t="s">
        <v>3170</v>
      </c>
      <c r="H1576" s="8" t="s">
        <v>49</v>
      </c>
      <c r="I1576" s="4" t="s">
        <v>29</v>
      </c>
      <c r="J1576" s="4">
        <v>63</v>
      </c>
      <c r="K1576" s="4" t="s">
        <v>45</v>
      </c>
      <c r="L1576" s="8">
        <v>4</v>
      </c>
      <c r="M1576" s="9" t="s">
        <v>50</v>
      </c>
      <c r="N1576" s="9" t="str">
        <f t="shared" si="13"/>
        <v>ICU</v>
      </c>
      <c r="O1576" s="10">
        <v>16607.55</v>
      </c>
      <c r="P1576" s="10">
        <v>10209.01</v>
      </c>
      <c r="Q1576" s="11">
        <v>9.8000000000000007</v>
      </c>
      <c r="R1576" s="13" t="str">
        <f>IF(Patient_Data!$L1576&lt;2,"Low Risk",IF(Patient_Data!$L1576&lt;4,"Moderate Risk","High Risk"))</f>
        <v>High Risk</v>
      </c>
      <c r="S1576" s="12" t="str">
        <f>IF(Patient_Data[[#This Row],[Age]]&lt;=18,"Pediatric",IF(Patient_Data[[#This Row],[Age]]&lt;=64,"Adult","Geriatric"))</f>
        <v>Adult</v>
      </c>
    </row>
    <row r="1577" spans="1:19" ht="15.75" customHeight="1" x14ac:dyDescent="0.3">
      <c r="A1577" s="4" t="s">
        <v>3171</v>
      </c>
      <c r="B1577" s="5" t="str">
        <f>TEXT(Patient_Data!$E1577,"mmmm")</f>
        <v>February</v>
      </c>
      <c r="C1577" s="6" t="str">
        <f t="shared" si="12"/>
        <v>Feb</v>
      </c>
      <c r="D1577" s="6">
        <f>MONTH(Patient_Data!$E1577)</f>
        <v>2</v>
      </c>
      <c r="E1577" s="7">
        <v>46056</v>
      </c>
      <c r="F1577" s="55" t="str">
        <f>TEXT(Patient_Data[[#This Row],[Admission_Date]],"YYYY")</f>
        <v>2026</v>
      </c>
      <c r="G1577" s="8" t="s">
        <v>3172</v>
      </c>
      <c r="H1577" s="8" t="s">
        <v>49</v>
      </c>
      <c r="I1577" s="4" t="s">
        <v>35</v>
      </c>
      <c r="J1577" s="4">
        <v>70</v>
      </c>
      <c r="K1577" s="4" t="s">
        <v>45</v>
      </c>
      <c r="L1577" s="8">
        <v>3</v>
      </c>
      <c r="M1577" s="9" t="s">
        <v>39</v>
      </c>
      <c r="N1577" s="9" t="str">
        <f t="shared" si="13"/>
        <v>GM</v>
      </c>
      <c r="O1577" s="10">
        <v>4036.71</v>
      </c>
      <c r="P1577" s="10">
        <v>2653.89</v>
      </c>
      <c r="Q1577" s="11">
        <v>8.8000000000000007</v>
      </c>
      <c r="R1577" s="13" t="str">
        <f>IF(Patient_Data!$L1577&lt;2,"Low Risk",IF(Patient_Data!$L1577&lt;4,"Moderate Risk","High Risk"))</f>
        <v>Moderate Risk</v>
      </c>
      <c r="S1577" s="12" t="str">
        <f>IF(Patient_Data[[#This Row],[Age]]&lt;=18,"Pediatric",IF(Patient_Data[[#This Row],[Age]]&lt;=64,"Adult","Geriatric"))</f>
        <v>Geriatric</v>
      </c>
    </row>
    <row r="1578" spans="1:19" ht="15.75" customHeight="1" x14ac:dyDescent="0.3">
      <c r="A1578" s="4" t="s">
        <v>3173</v>
      </c>
      <c r="B1578" s="5" t="str">
        <f>TEXT(Patient_Data!$E1578,"mmmm")</f>
        <v>April</v>
      </c>
      <c r="C1578" s="6" t="str">
        <f t="shared" si="12"/>
        <v>Apr</v>
      </c>
      <c r="D1578" s="6">
        <f>MONTH(Patient_Data!$E1578)</f>
        <v>4</v>
      </c>
      <c r="E1578" s="7">
        <v>45404</v>
      </c>
      <c r="F1578" s="55" t="str">
        <f>TEXT(Patient_Data[[#This Row],[Admission_Date]],"YYYY")</f>
        <v>2024</v>
      </c>
      <c r="G1578" s="8" t="s">
        <v>2318</v>
      </c>
      <c r="H1578" s="8" t="s">
        <v>53</v>
      </c>
      <c r="I1578" s="4" t="s">
        <v>29</v>
      </c>
      <c r="J1578" s="4">
        <v>81</v>
      </c>
      <c r="K1578" s="4" t="s">
        <v>30</v>
      </c>
      <c r="L1578" s="8">
        <v>1</v>
      </c>
      <c r="M1578" s="9" t="s">
        <v>39</v>
      </c>
      <c r="N1578" s="9" t="str">
        <f t="shared" si="13"/>
        <v>GM</v>
      </c>
      <c r="O1578" s="10">
        <v>2020.27</v>
      </c>
      <c r="P1578" s="10">
        <v>1415.18</v>
      </c>
      <c r="Q1578" s="11">
        <v>7.7</v>
      </c>
      <c r="R1578" s="13" t="str">
        <f>IF(Patient_Data!$L1578&lt;2,"Low Risk",IF(Patient_Data!$L1578&lt;4,"Moderate Risk","High Risk"))</f>
        <v>Low Risk</v>
      </c>
      <c r="S1578" s="12" t="str">
        <f>IF(Patient_Data[[#This Row],[Age]]&lt;=18,"Pediatric",IF(Patient_Data[[#This Row],[Age]]&lt;=64,"Adult","Geriatric"))</f>
        <v>Geriatric</v>
      </c>
    </row>
    <row r="1579" spans="1:19" ht="15.75" customHeight="1" x14ac:dyDescent="0.3">
      <c r="A1579" s="4" t="s">
        <v>3174</v>
      </c>
      <c r="B1579" s="5" t="str">
        <f>TEXT(Patient_Data!$E1579,"mmmm")</f>
        <v>December</v>
      </c>
      <c r="C1579" s="6" t="str">
        <f t="shared" si="12"/>
        <v>Dec</v>
      </c>
      <c r="D1579" s="6">
        <f>MONTH(Patient_Data!$E1579)</f>
        <v>12</v>
      </c>
      <c r="E1579" s="7">
        <v>45279</v>
      </c>
      <c r="F1579" s="55" t="str">
        <f>TEXT(Patient_Data[[#This Row],[Admission_Date]],"YYYY")</f>
        <v>2023</v>
      </c>
      <c r="G1579" s="8" t="s">
        <v>1746</v>
      </c>
      <c r="H1579" s="8" t="s">
        <v>42</v>
      </c>
      <c r="I1579" s="4" t="s">
        <v>29</v>
      </c>
      <c r="J1579" s="4">
        <v>64</v>
      </c>
      <c r="K1579" s="4" t="s">
        <v>45</v>
      </c>
      <c r="L1579" s="8">
        <v>4</v>
      </c>
      <c r="M1579" s="9" t="s">
        <v>50</v>
      </c>
      <c r="N1579" s="9" t="str">
        <f t="shared" si="13"/>
        <v>ICU</v>
      </c>
      <c r="O1579" s="10">
        <v>20979.200000000001</v>
      </c>
      <c r="P1579" s="10">
        <v>14778.24</v>
      </c>
      <c r="Q1579" s="11">
        <v>11.6</v>
      </c>
      <c r="R1579" s="13" t="str">
        <f>IF(Patient_Data!$L1579&lt;2,"Low Risk",IF(Patient_Data!$L1579&lt;4,"Moderate Risk","High Risk"))</f>
        <v>High Risk</v>
      </c>
      <c r="S1579" s="12" t="str">
        <f>IF(Patient_Data[[#This Row],[Age]]&lt;=18,"Pediatric",IF(Patient_Data[[#This Row],[Age]]&lt;=64,"Adult","Geriatric"))</f>
        <v>Adult</v>
      </c>
    </row>
    <row r="1580" spans="1:19" ht="15.75" customHeight="1" x14ac:dyDescent="0.3">
      <c r="A1580" s="4" t="s">
        <v>3175</v>
      </c>
      <c r="B1580" s="5" t="str">
        <f>TEXT(Patient_Data!$E1580,"mmmm")</f>
        <v>May</v>
      </c>
      <c r="C1580" s="6" t="str">
        <f t="shared" si="12"/>
        <v>May</v>
      </c>
      <c r="D1580" s="6">
        <f>MONTH(Patient_Data!$E1580)</f>
        <v>5</v>
      </c>
      <c r="E1580" s="7">
        <v>45800</v>
      </c>
      <c r="F1580" s="55" t="str">
        <f>TEXT(Patient_Data[[#This Row],[Admission_Date]],"YYYY")</f>
        <v>2025</v>
      </c>
      <c r="G1580" s="8" t="s">
        <v>3176</v>
      </c>
      <c r="H1580" s="8" t="s">
        <v>98</v>
      </c>
      <c r="I1580" s="4" t="s">
        <v>35</v>
      </c>
      <c r="J1580" s="4">
        <v>86</v>
      </c>
      <c r="K1580" s="4" t="s">
        <v>45</v>
      </c>
      <c r="L1580" s="8">
        <v>4</v>
      </c>
      <c r="M1580" s="9" t="s">
        <v>72</v>
      </c>
      <c r="N1580" s="9" t="str">
        <f t="shared" si="13"/>
        <v>Surgery</v>
      </c>
      <c r="O1580" s="10">
        <v>13169.66</v>
      </c>
      <c r="P1580" s="10">
        <v>9656.25</v>
      </c>
      <c r="Q1580" s="11">
        <v>5.3</v>
      </c>
      <c r="R1580" s="13" t="str">
        <f>IF(Patient_Data!$L1580&lt;2,"Low Risk",IF(Patient_Data!$L1580&lt;4,"Moderate Risk","High Risk"))</f>
        <v>High Risk</v>
      </c>
      <c r="S1580" s="12" t="str">
        <f>IF(Patient_Data[[#This Row],[Age]]&lt;=18,"Pediatric",IF(Patient_Data[[#This Row],[Age]]&lt;=64,"Adult","Geriatric"))</f>
        <v>Geriatric</v>
      </c>
    </row>
    <row r="1581" spans="1:19" ht="15.75" customHeight="1" x14ac:dyDescent="0.3">
      <c r="A1581" s="4" t="s">
        <v>3177</v>
      </c>
      <c r="B1581" s="5" t="str">
        <f>TEXT(Patient_Data!$E1581,"mmmm")</f>
        <v>August</v>
      </c>
      <c r="C1581" s="6" t="str">
        <f t="shared" si="12"/>
        <v>Aug</v>
      </c>
      <c r="D1581" s="6">
        <f>MONTH(Patient_Data!$E1581)</f>
        <v>8</v>
      </c>
      <c r="E1581" s="7">
        <v>45526</v>
      </c>
      <c r="F1581" s="55" t="str">
        <f>TEXT(Patient_Data[[#This Row],[Admission_Date]],"YYYY")</f>
        <v>2024</v>
      </c>
      <c r="G1581" s="8" t="s">
        <v>3178</v>
      </c>
      <c r="H1581" s="8" t="s">
        <v>28</v>
      </c>
      <c r="I1581" s="4" t="s">
        <v>35</v>
      </c>
      <c r="J1581" s="4">
        <v>33</v>
      </c>
      <c r="K1581" s="4" t="s">
        <v>30</v>
      </c>
      <c r="L1581" s="8">
        <v>5</v>
      </c>
      <c r="M1581" s="9" t="s">
        <v>72</v>
      </c>
      <c r="N1581" s="9" t="str">
        <f t="shared" si="13"/>
        <v>Surgery</v>
      </c>
      <c r="O1581" s="10">
        <v>18270.66</v>
      </c>
      <c r="P1581" s="10">
        <v>13976.9</v>
      </c>
      <c r="Q1581" s="11">
        <v>11.4</v>
      </c>
      <c r="R1581" s="13" t="str">
        <f>IF(Patient_Data!$L1581&lt;2,"Low Risk",IF(Patient_Data!$L1581&lt;4,"Moderate Risk","High Risk"))</f>
        <v>High Risk</v>
      </c>
      <c r="S1581" s="12" t="str">
        <f>IF(Patient_Data[[#This Row],[Age]]&lt;=18,"Pediatric",IF(Patient_Data[[#This Row],[Age]]&lt;=64,"Adult","Geriatric"))</f>
        <v>Adult</v>
      </c>
    </row>
    <row r="1582" spans="1:19" ht="15.75" customHeight="1" x14ac:dyDescent="0.3">
      <c r="A1582" s="4" t="s">
        <v>3179</v>
      </c>
      <c r="B1582" s="5" t="str">
        <f>TEXT(Patient_Data!$E1582,"mmmm")</f>
        <v>April</v>
      </c>
      <c r="C1582" s="6" t="str">
        <f t="shared" si="12"/>
        <v>Apr</v>
      </c>
      <c r="D1582" s="6">
        <f>MONTH(Patient_Data!$E1582)</f>
        <v>4</v>
      </c>
      <c r="E1582" s="7">
        <v>45411</v>
      </c>
      <c r="F1582" s="55" t="str">
        <f>TEXT(Patient_Data[[#This Row],[Admission_Date]],"YYYY")</f>
        <v>2024</v>
      </c>
      <c r="G1582" s="8" t="s">
        <v>3180</v>
      </c>
      <c r="H1582" s="8" t="s">
        <v>34</v>
      </c>
      <c r="I1582" s="4" t="s">
        <v>35</v>
      </c>
      <c r="J1582" s="4">
        <v>85</v>
      </c>
      <c r="K1582" s="4" t="s">
        <v>30</v>
      </c>
      <c r="L1582" s="8">
        <v>2</v>
      </c>
      <c r="M1582" s="9" t="s">
        <v>36</v>
      </c>
      <c r="N1582" s="9" t="str">
        <f t="shared" si="13"/>
        <v>Cardio</v>
      </c>
      <c r="O1582" s="10">
        <v>11343.18</v>
      </c>
      <c r="P1582" s="10">
        <v>6630.24</v>
      </c>
      <c r="Q1582" s="11">
        <v>6.4</v>
      </c>
      <c r="R1582" s="13" t="str">
        <f>IF(Patient_Data!$L1582&lt;2,"Low Risk",IF(Patient_Data!$L1582&lt;4,"Moderate Risk","High Risk"))</f>
        <v>Moderate Risk</v>
      </c>
      <c r="S1582" s="12" t="str">
        <f>IF(Patient_Data[[#This Row],[Age]]&lt;=18,"Pediatric",IF(Patient_Data[[#This Row],[Age]]&lt;=64,"Adult","Geriatric"))</f>
        <v>Geriatric</v>
      </c>
    </row>
    <row r="1583" spans="1:19" ht="15.75" customHeight="1" x14ac:dyDescent="0.3">
      <c r="A1583" s="4" t="s">
        <v>3181</v>
      </c>
      <c r="B1583" s="5" t="str">
        <f>TEXT(Patient_Data!$E1583,"mmmm")</f>
        <v>September</v>
      </c>
      <c r="C1583" s="6" t="str">
        <f t="shared" si="12"/>
        <v>Sep</v>
      </c>
      <c r="D1583" s="6">
        <f>MONTH(Patient_Data!$E1583)</f>
        <v>9</v>
      </c>
      <c r="E1583" s="7">
        <v>45190</v>
      </c>
      <c r="F1583" s="55" t="str">
        <f>TEXT(Patient_Data[[#This Row],[Admission_Date]],"YYYY")</f>
        <v>2023</v>
      </c>
      <c r="G1583" s="8" t="s">
        <v>3182</v>
      </c>
      <c r="H1583" s="8" t="s">
        <v>82</v>
      </c>
      <c r="I1583" s="4" t="s">
        <v>35</v>
      </c>
      <c r="J1583" s="4">
        <v>23</v>
      </c>
      <c r="K1583" s="4" t="s">
        <v>54</v>
      </c>
      <c r="L1583" s="8">
        <v>2</v>
      </c>
      <c r="M1583" s="9" t="s">
        <v>36</v>
      </c>
      <c r="N1583" s="9" t="str">
        <f t="shared" si="13"/>
        <v>Cardio</v>
      </c>
      <c r="O1583" s="10">
        <v>6568.74</v>
      </c>
      <c r="P1583" s="10">
        <v>4030.13</v>
      </c>
      <c r="Q1583" s="11">
        <v>2.9</v>
      </c>
      <c r="R1583" s="13" t="str">
        <f>IF(Patient_Data!$L1583&lt;2,"Low Risk",IF(Patient_Data!$L1583&lt;4,"Moderate Risk","High Risk"))</f>
        <v>Moderate Risk</v>
      </c>
      <c r="S1583" s="12" t="str">
        <f>IF(Patient_Data[[#This Row],[Age]]&lt;=18,"Pediatric",IF(Patient_Data[[#This Row],[Age]]&lt;=64,"Adult","Geriatric"))</f>
        <v>Adult</v>
      </c>
    </row>
    <row r="1584" spans="1:19" ht="15.75" customHeight="1" x14ac:dyDescent="0.3">
      <c r="A1584" s="4" t="s">
        <v>3183</v>
      </c>
      <c r="B1584" s="5" t="str">
        <f>TEXT(Patient_Data!$E1584,"mmmm")</f>
        <v>July</v>
      </c>
      <c r="C1584" s="6" t="str">
        <f t="shared" si="12"/>
        <v>Jul</v>
      </c>
      <c r="D1584" s="6">
        <f>MONTH(Patient_Data!$E1584)</f>
        <v>7</v>
      </c>
      <c r="E1584" s="7">
        <v>45502</v>
      </c>
      <c r="F1584" s="55" t="str">
        <f>TEXT(Patient_Data[[#This Row],[Admission_Date]],"YYYY")</f>
        <v>2024</v>
      </c>
      <c r="G1584" s="8" t="s">
        <v>3184</v>
      </c>
      <c r="H1584" s="8" t="s">
        <v>98</v>
      </c>
      <c r="I1584" s="4" t="s">
        <v>35</v>
      </c>
      <c r="J1584" s="4">
        <v>76</v>
      </c>
      <c r="K1584" s="4" t="s">
        <v>30</v>
      </c>
      <c r="L1584" s="8">
        <v>3</v>
      </c>
      <c r="M1584" s="9" t="s">
        <v>46</v>
      </c>
      <c r="N1584" s="9" t="str">
        <f t="shared" si="13"/>
        <v>Ortho</v>
      </c>
      <c r="O1584" s="10">
        <v>4934.03</v>
      </c>
      <c r="P1584" s="10">
        <v>3194.58</v>
      </c>
      <c r="Q1584" s="11">
        <v>4.5999999999999996</v>
      </c>
      <c r="R1584" s="13" t="str">
        <f>IF(Patient_Data!$L1584&lt;2,"Low Risk",IF(Patient_Data!$L1584&lt;4,"Moderate Risk","High Risk"))</f>
        <v>Moderate Risk</v>
      </c>
      <c r="S1584" s="12" t="str">
        <f>IF(Patient_Data[[#This Row],[Age]]&lt;=18,"Pediatric",IF(Patient_Data[[#This Row],[Age]]&lt;=64,"Adult","Geriatric"))</f>
        <v>Geriatric</v>
      </c>
    </row>
    <row r="1585" spans="1:19" ht="15.75" customHeight="1" x14ac:dyDescent="0.3">
      <c r="A1585" s="4" t="s">
        <v>3185</v>
      </c>
      <c r="B1585" s="5" t="str">
        <f>TEXT(Patient_Data!$E1585,"mmmm")</f>
        <v>June</v>
      </c>
      <c r="C1585" s="6" t="str">
        <f t="shared" si="12"/>
        <v>Jun</v>
      </c>
      <c r="D1585" s="6">
        <f>MONTH(Patient_Data!$E1585)</f>
        <v>6</v>
      </c>
      <c r="E1585" s="7">
        <v>46183</v>
      </c>
      <c r="F1585" s="55" t="str">
        <f>TEXT(Patient_Data[[#This Row],[Admission_Date]],"YYYY")</f>
        <v>2026</v>
      </c>
      <c r="G1585" s="8" t="s">
        <v>3186</v>
      </c>
      <c r="H1585" s="8" t="s">
        <v>82</v>
      </c>
      <c r="I1585" s="4" t="s">
        <v>35</v>
      </c>
      <c r="J1585" s="4">
        <v>87</v>
      </c>
      <c r="K1585" s="4" t="s">
        <v>54</v>
      </c>
      <c r="L1585" s="8">
        <v>4</v>
      </c>
      <c r="M1585" s="9" t="s">
        <v>46</v>
      </c>
      <c r="N1585" s="9" t="str">
        <f t="shared" si="13"/>
        <v>Ortho</v>
      </c>
      <c r="O1585" s="10">
        <v>13458.84</v>
      </c>
      <c r="P1585" s="10">
        <v>9081.42</v>
      </c>
      <c r="Q1585" s="11">
        <v>8</v>
      </c>
      <c r="R1585" s="13" t="str">
        <f>IF(Patient_Data!$L1585&lt;2,"Low Risk",IF(Patient_Data!$L1585&lt;4,"Moderate Risk","High Risk"))</f>
        <v>High Risk</v>
      </c>
      <c r="S1585" s="12" t="str">
        <f>IF(Patient_Data[[#This Row],[Age]]&lt;=18,"Pediatric",IF(Patient_Data[[#This Row],[Age]]&lt;=64,"Adult","Geriatric"))</f>
        <v>Geriatric</v>
      </c>
    </row>
    <row r="1586" spans="1:19" ht="15.75" customHeight="1" x14ac:dyDescent="0.3">
      <c r="A1586" s="4" t="s">
        <v>3187</v>
      </c>
      <c r="B1586" s="5" t="str">
        <f>TEXT(Patient_Data!$E1586,"mmmm")</f>
        <v>August</v>
      </c>
      <c r="C1586" s="6" t="str">
        <f t="shared" si="12"/>
        <v>Aug</v>
      </c>
      <c r="D1586" s="6">
        <f>MONTH(Patient_Data!$E1586)</f>
        <v>8</v>
      </c>
      <c r="E1586" s="7">
        <v>45877</v>
      </c>
      <c r="F1586" s="55" t="str">
        <f>TEXT(Patient_Data[[#This Row],[Admission_Date]],"YYYY")</f>
        <v>2025</v>
      </c>
      <c r="G1586" s="8" t="s">
        <v>3188</v>
      </c>
      <c r="H1586" s="8" t="s">
        <v>49</v>
      </c>
      <c r="I1586" s="4" t="s">
        <v>29</v>
      </c>
      <c r="J1586" s="4">
        <v>32</v>
      </c>
      <c r="K1586" s="4" t="s">
        <v>45</v>
      </c>
      <c r="L1586" s="8">
        <v>3</v>
      </c>
      <c r="M1586" s="9" t="s">
        <v>36</v>
      </c>
      <c r="N1586" s="9" t="str">
        <f t="shared" si="13"/>
        <v>Cardio</v>
      </c>
      <c r="O1586" s="10">
        <v>12584.29</v>
      </c>
      <c r="P1586" s="10">
        <v>8834.6</v>
      </c>
      <c r="Q1586" s="11">
        <v>3.2</v>
      </c>
      <c r="R1586" s="13" t="str">
        <f>IF(Patient_Data!$L1586&lt;2,"Low Risk",IF(Patient_Data!$L1586&lt;4,"Moderate Risk","High Risk"))</f>
        <v>Moderate Risk</v>
      </c>
      <c r="S1586" s="12" t="str">
        <f>IF(Patient_Data[[#This Row],[Age]]&lt;=18,"Pediatric",IF(Patient_Data[[#This Row],[Age]]&lt;=64,"Adult","Geriatric"))</f>
        <v>Adult</v>
      </c>
    </row>
    <row r="1587" spans="1:19" ht="15.75" customHeight="1" x14ac:dyDescent="0.3">
      <c r="A1587" s="4" t="s">
        <v>3189</v>
      </c>
      <c r="B1587" s="5" t="str">
        <f>TEXT(Patient_Data!$E1587,"mmmm")</f>
        <v>May</v>
      </c>
      <c r="C1587" s="6" t="str">
        <f t="shared" si="12"/>
        <v>May</v>
      </c>
      <c r="D1587" s="6">
        <f>MONTH(Patient_Data!$E1587)</f>
        <v>5</v>
      </c>
      <c r="E1587" s="7">
        <v>45426</v>
      </c>
      <c r="F1587" s="55" t="str">
        <f>TEXT(Patient_Data[[#This Row],[Admission_Date]],"YYYY")</f>
        <v>2024</v>
      </c>
      <c r="G1587" s="8" t="s">
        <v>3190</v>
      </c>
      <c r="H1587" s="8" t="s">
        <v>42</v>
      </c>
      <c r="I1587" s="4" t="s">
        <v>29</v>
      </c>
      <c r="J1587" s="4">
        <v>48</v>
      </c>
      <c r="K1587" s="4" t="s">
        <v>30</v>
      </c>
      <c r="L1587" s="8">
        <v>1</v>
      </c>
      <c r="M1587" s="9" t="s">
        <v>46</v>
      </c>
      <c r="N1587" s="9" t="str">
        <f t="shared" si="13"/>
        <v>Ortho</v>
      </c>
      <c r="O1587" s="10">
        <v>4579.93</v>
      </c>
      <c r="P1587" s="10">
        <v>3384.15</v>
      </c>
      <c r="Q1587" s="11">
        <v>5.0999999999999996</v>
      </c>
      <c r="R1587" s="13" t="str">
        <f>IF(Patient_Data!$L1587&lt;2,"Low Risk",IF(Patient_Data!$L1587&lt;4,"Moderate Risk","High Risk"))</f>
        <v>Low Risk</v>
      </c>
      <c r="S1587" s="12" t="str">
        <f>IF(Patient_Data[[#This Row],[Age]]&lt;=18,"Pediatric",IF(Patient_Data[[#This Row],[Age]]&lt;=64,"Adult","Geriatric"))</f>
        <v>Adult</v>
      </c>
    </row>
    <row r="1588" spans="1:19" ht="15.75" customHeight="1" x14ac:dyDescent="0.3">
      <c r="A1588" s="4" t="s">
        <v>3191</v>
      </c>
      <c r="B1588" s="5" t="str">
        <f>TEXT(Patient_Data!$E1588,"mmmm")</f>
        <v>April</v>
      </c>
      <c r="C1588" s="6" t="str">
        <f t="shared" si="12"/>
        <v>Apr</v>
      </c>
      <c r="D1588" s="6">
        <f>MONTH(Patient_Data!$E1588)</f>
        <v>4</v>
      </c>
      <c r="E1588" s="7">
        <v>45408</v>
      </c>
      <c r="F1588" s="55" t="str">
        <f>TEXT(Patient_Data[[#This Row],[Admission_Date]],"YYYY")</f>
        <v>2024</v>
      </c>
      <c r="G1588" s="8" t="s">
        <v>3192</v>
      </c>
      <c r="H1588" s="8" t="s">
        <v>28</v>
      </c>
      <c r="I1588" s="4" t="s">
        <v>35</v>
      </c>
      <c r="J1588" s="4">
        <v>13</v>
      </c>
      <c r="K1588" s="4" t="s">
        <v>30</v>
      </c>
      <c r="L1588" s="8">
        <v>2</v>
      </c>
      <c r="M1588" s="9" t="s">
        <v>79</v>
      </c>
      <c r="N1588" s="9" t="str">
        <f t="shared" si="13"/>
        <v>PD</v>
      </c>
      <c r="O1588" s="10">
        <v>869.07</v>
      </c>
      <c r="P1588" s="10">
        <v>682.89</v>
      </c>
      <c r="Q1588" s="11">
        <v>2.8</v>
      </c>
      <c r="R1588" s="13" t="str">
        <f>IF(Patient_Data!$L1588&lt;2,"Low Risk",IF(Patient_Data!$L1588&lt;4,"Moderate Risk","High Risk"))</f>
        <v>Moderate Risk</v>
      </c>
      <c r="S1588" s="12" t="str">
        <f>IF(Patient_Data[[#This Row],[Age]]&lt;=18,"Pediatric",IF(Patient_Data[[#This Row],[Age]]&lt;=64,"Adult","Geriatric"))</f>
        <v>Pediatric</v>
      </c>
    </row>
    <row r="1589" spans="1:19" ht="15.75" customHeight="1" x14ac:dyDescent="0.3">
      <c r="A1589" s="4" t="s">
        <v>3193</v>
      </c>
      <c r="B1589" s="5" t="str">
        <f>TEXT(Patient_Data!$E1589,"mmmm")</f>
        <v>February</v>
      </c>
      <c r="C1589" s="6" t="str">
        <f t="shared" si="12"/>
        <v>Feb</v>
      </c>
      <c r="D1589" s="6">
        <f>MONTH(Patient_Data!$E1589)</f>
        <v>2</v>
      </c>
      <c r="E1589" s="7">
        <v>45324</v>
      </c>
      <c r="F1589" s="55" t="str">
        <f>TEXT(Patient_Data[[#This Row],[Admission_Date]],"YYYY")</f>
        <v>2024</v>
      </c>
      <c r="G1589" s="8" t="s">
        <v>3194</v>
      </c>
      <c r="H1589" s="8" t="s">
        <v>132</v>
      </c>
      <c r="I1589" s="4" t="s">
        <v>35</v>
      </c>
      <c r="J1589" s="4">
        <v>48</v>
      </c>
      <c r="K1589" s="4" t="s">
        <v>30</v>
      </c>
      <c r="L1589" s="8">
        <v>2</v>
      </c>
      <c r="M1589" s="9" t="s">
        <v>31</v>
      </c>
      <c r="N1589" s="9" t="str">
        <f t="shared" si="13"/>
        <v>Neuro</v>
      </c>
      <c r="O1589" s="10">
        <v>11263.21</v>
      </c>
      <c r="P1589" s="10">
        <v>6555.86</v>
      </c>
      <c r="Q1589" s="11">
        <v>2.9</v>
      </c>
      <c r="R1589" s="13" t="str">
        <f>IF(Patient_Data!$L1589&lt;2,"Low Risk",IF(Patient_Data!$L1589&lt;4,"Moderate Risk","High Risk"))</f>
        <v>Moderate Risk</v>
      </c>
      <c r="S1589" s="12" t="str">
        <f>IF(Patient_Data[[#This Row],[Age]]&lt;=18,"Pediatric",IF(Patient_Data[[#This Row],[Age]]&lt;=64,"Adult","Geriatric"))</f>
        <v>Adult</v>
      </c>
    </row>
    <row r="1590" spans="1:19" ht="15.75" customHeight="1" x14ac:dyDescent="0.3">
      <c r="A1590" s="4" t="s">
        <v>3195</v>
      </c>
      <c r="B1590" s="5" t="str">
        <f>TEXT(Patient_Data!$E1590,"mmmm")</f>
        <v>June</v>
      </c>
      <c r="C1590" s="6" t="str">
        <f t="shared" si="12"/>
        <v>Jun</v>
      </c>
      <c r="D1590" s="6">
        <f>MONTH(Patient_Data!$E1590)</f>
        <v>6</v>
      </c>
      <c r="E1590" s="7">
        <v>46183</v>
      </c>
      <c r="F1590" s="55" t="str">
        <f>TEXT(Patient_Data[[#This Row],[Admission_Date]],"YYYY")</f>
        <v>2026</v>
      </c>
      <c r="G1590" s="8" t="s">
        <v>3196</v>
      </c>
      <c r="H1590" s="8" t="s">
        <v>28</v>
      </c>
      <c r="I1590" s="4" t="s">
        <v>35</v>
      </c>
      <c r="J1590" s="4">
        <v>43</v>
      </c>
      <c r="K1590" s="4" t="s">
        <v>30</v>
      </c>
      <c r="L1590" s="8">
        <v>1</v>
      </c>
      <c r="M1590" s="9" t="s">
        <v>36</v>
      </c>
      <c r="N1590" s="9" t="str">
        <f t="shared" si="13"/>
        <v>Cardio</v>
      </c>
      <c r="O1590" s="10">
        <v>9604.7800000000007</v>
      </c>
      <c r="P1590" s="10">
        <v>5924.52</v>
      </c>
      <c r="Q1590" s="11">
        <v>8.1999999999999993</v>
      </c>
      <c r="R1590" s="13" t="str">
        <f>IF(Patient_Data!$L1590&lt;2,"Low Risk",IF(Patient_Data!$L1590&lt;4,"Moderate Risk","High Risk"))</f>
        <v>Low Risk</v>
      </c>
      <c r="S1590" s="12" t="str">
        <f>IF(Patient_Data[[#This Row],[Age]]&lt;=18,"Pediatric",IF(Patient_Data[[#This Row],[Age]]&lt;=64,"Adult","Geriatric"))</f>
        <v>Adult</v>
      </c>
    </row>
    <row r="1591" spans="1:19" ht="15.75" customHeight="1" x14ac:dyDescent="0.3">
      <c r="A1591" s="4" t="s">
        <v>3197</v>
      </c>
      <c r="B1591" s="5" t="str">
        <f>TEXT(Patient_Data!$E1591,"mmmm")</f>
        <v>March</v>
      </c>
      <c r="C1591" s="6" t="str">
        <f t="shared" si="12"/>
        <v>Mar</v>
      </c>
      <c r="D1591" s="6">
        <f>MONTH(Patient_Data!$E1591)</f>
        <v>3</v>
      </c>
      <c r="E1591" s="7">
        <v>46099</v>
      </c>
      <c r="F1591" s="55" t="str">
        <f>TEXT(Patient_Data[[#This Row],[Admission_Date]],"YYYY")</f>
        <v>2026</v>
      </c>
      <c r="G1591" s="8" t="s">
        <v>3198</v>
      </c>
      <c r="H1591" s="8" t="s">
        <v>82</v>
      </c>
      <c r="I1591" s="4" t="s">
        <v>29</v>
      </c>
      <c r="J1591" s="4">
        <v>76</v>
      </c>
      <c r="K1591" s="4" t="s">
        <v>30</v>
      </c>
      <c r="L1591" s="8">
        <v>2</v>
      </c>
      <c r="M1591" s="9" t="s">
        <v>36</v>
      </c>
      <c r="N1591" s="9" t="str">
        <f t="shared" si="13"/>
        <v>Cardio</v>
      </c>
      <c r="O1591" s="10">
        <v>5936.21</v>
      </c>
      <c r="P1591" s="10">
        <v>3836.77</v>
      </c>
      <c r="Q1591" s="11">
        <v>4.7</v>
      </c>
      <c r="R1591" s="13" t="str">
        <f>IF(Patient_Data!$L1591&lt;2,"Low Risk",IF(Patient_Data!$L1591&lt;4,"Moderate Risk","High Risk"))</f>
        <v>Moderate Risk</v>
      </c>
      <c r="S1591" s="12" t="str">
        <f>IF(Patient_Data[[#This Row],[Age]]&lt;=18,"Pediatric",IF(Patient_Data[[#This Row],[Age]]&lt;=64,"Adult","Geriatric"))</f>
        <v>Geriatric</v>
      </c>
    </row>
    <row r="1592" spans="1:19" ht="15.75" customHeight="1" x14ac:dyDescent="0.3">
      <c r="A1592" s="4" t="s">
        <v>3199</v>
      </c>
      <c r="B1592" s="5" t="str">
        <f>TEXT(Patient_Data!$E1592,"mmmm")</f>
        <v>July</v>
      </c>
      <c r="C1592" s="6" t="str">
        <f t="shared" si="12"/>
        <v>Jul</v>
      </c>
      <c r="D1592" s="6">
        <f>MONTH(Patient_Data!$E1592)</f>
        <v>7</v>
      </c>
      <c r="E1592" s="7">
        <v>46213</v>
      </c>
      <c r="F1592" s="55" t="str">
        <f>TEXT(Patient_Data[[#This Row],[Admission_Date]],"YYYY")</f>
        <v>2026</v>
      </c>
      <c r="G1592" s="8" t="s">
        <v>3200</v>
      </c>
      <c r="H1592" s="8" t="s">
        <v>28</v>
      </c>
      <c r="I1592" s="4" t="s">
        <v>29</v>
      </c>
      <c r="J1592" s="4">
        <v>36</v>
      </c>
      <c r="K1592" s="4" t="s">
        <v>54</v>
      </c>
      <c r="L1592" s="8">
        <v>2</v>
      </c>
      <c r="M1592" s="9" t="s">
        <v>83</v>
      </c>
      <c r="N1592" s="9" t="str">
        <f t="shared" si="13"/>
        <v>ER</v>
      </c>
      <c r="O1592" s="10">
        <v>5843.39</v>
      </c>
      <c r="P1592" s="10">
        <v>4061.47</v>
      </c>
      <c r="Q1592" s="11">
        <v>18.3</v>
      </c>
      <c r="R1592" s="13" t="str">
        <f>IF(Patient_Data!$L1592&lt;2,"Low Risk",IF(Patient_Data!$L1592&lt;4,"Moderate Risk","High Risk"))</f>
        <v>Moderate Risk</v>
      </c>
      <c r="S1592" s="12" t="str">
        <f>IF(Patient_Data[[#This Row],[Age]]&lt;=18,"Pediatric",IF(Patient_Data[[#This Row],[Age]]&lt;=64,"Adult","Geriatric"))</f>
        <v>Adult</v>
      </c>
    </row>
    <row r="1593" spans="1:19" ht="15.75" customHeight="1" x14ac:dyDescent="0.3">
      <c r="A1593" s="4" t="s">
        <v>3201</v>
      </c>
      <c r="B1593" s="5" t="str">
        <f>TEXT(Patient_Data!$E1593,"mmmm")</f>
        <v>September</v>
      </c>
      <c r="C1593" s="6" t="str">
        <f t="shared" si="12"/>
        <v>Sep</v>
      </c>
      <c r="D1593" s="6">
        <f>MONTH(Patient_Data!$E1593)</f>
        <v>9</v>
      </c>
      <c r="E1593" s="7">
        <v>45904</v>
      </c>
      <c r="F1593" s="55" t="str">
        <f>TEXT(Patient_Data[[#This Row],[Admission_Date]],"YYYY")</f>
        <v>2025</v>
      </c>
      <c r="G1593" s="8" t="s">
        <v>3202</v>
      </c>
      <c r="H1593" s="8" t="s">
        <v>132</v>
      </c>
      <c r="I1593" s="4" t="s">
        <v>29</v>
      </c>
      <c r="J1593" s="4">
        <v>36</v>
      </c>
      <c r="K1593" s="4" t="s">
        <v>30</v>
      </c>
      <c r="L1593" s="8">
        <v>1</v>
      </c>
      <c r="M1593" s="9" t="s">
        <v>39</v>
      </c>
      <c r="N1593" s="9" t="str">
        <f t="shared" si="13"/>
        <v>GM</v>
      </c>
      <c r="O1593" s="10">
        <v>3707.3</v>
      </c>
      <c r="P1593" s="10">
        <v>2637.51</v>
      </c>
      <c r="Q1593" s="11">
        <v>5.3</v>
      </c>
      <c r="R1593" s="13" t="str">
        <f>IF(Patient_Data!$L1593&lt;2,"Low Risk",IF(Patient_Data!$L1593&lt;4,"Moderate Risk","High Risk"))</f>
        <v>Low Risk</v>
      </c>
      <c r="S1593" s="12" t="str">
        <f>IF(Patient_Data[[#This Row],[Age]]&lt;=18,"Pediatric",IF(Patient_Data[[#This Row],[Age]]&lt;=64,"Adult","Geriatric"))</f>
        <v>Adult</v>
      </c>
    </row>
    <row r="1594" spans="1:19" ht="15.75" customHeight="1" x14ac:dyDescent="0.3">
      <c r="A1594" s="4" t="s">
        <v>3203</v>
      </c>
      <c r="B1594" s="5" t="str">
        <f>TEXT(Patient_Data!$E1594,"mmmm")</f>
        <v>December</v>
      </c>
      <c r="C1594" s="6" t="str">
        <f t="shared" si="12"/>
        <v>Dec</v>
      </c>
      <c r="D1594" s="6">
        <f>MONTH(Patient_Data!$E1594)</f>
        <v>12</v>
      </c>
      <c r="E1594" s="7">
        <v>45280</v>
      </c>
      <c r="F1594" s="55" t="str">
        <f>TEXT(Patient_Data[[#This Row],[Admission_Date]],"YYYY")</f>
        <v>2023</v>
      </c>
      <c r="G1594" s="8" t="s">
        <v>3204</v>
      </c>
      <c r="H1594" s="8" t="s">
        <v>132</v>
      </c>
      <c r="I1594" s="4" t="s">
        <v>29</v>
      </c>
      <c r="J1594" s="4">
        <v>63</v>
      </c>
      <c r="K1594" s="4" t="s">
        <v>54</v>
      </c>
      <c r="L1594" s="8">
        <v>3</v>
      </c>
      <c r="M1594" s="9" t="s">
        <v>83</v>
      </c>
      <c r="N1594" s="9" t="str">
        <f t="shared" si="13"/>
        <v>ER</v>
      </c>
      <c r="O1594" s="10">
        <v>6111.01</v>
      </c>
      <c r="P1594" s="10">
        <v>4461.04</v>
      </c>
      <c r="Q1594" s="11"/>
      <c r="R1594" s="13" t="str">
        <f>IF(Patient_Data!$L1594&lt;2,"Low Risk",IF(Patient_Data!$L1594&lt;4,"Moderate Risk","High Risk"))</f>
        <v>Moderate Risk</v>
      </c>
      <c r="S1594" s="12" t="str">
        <f>IF(Patient_Data[[#This Row],[Age]]&lt;=18,"Pediatric",IF(Patient_Data[[#This Row],[Age]]&lt;=64,"Adult","Geriatric"))</f>
        <v>Adult</v>
      </c>
    </row>
    <row r="1595" spans="1:19" ht="15.75" customHeight="1" x14ac:dyDescent="0.3">
      <c r="A1595" s="4" t="s">
        <v>3205</v>
      </c>
      <c r="B1595" s="5" t="str">
        <f>TEXT(Patient_Data!$E1595,"mmmm")</f>
        <v>June</v>
      </c>
      <c r="C1595" s="6" t="str">
        <f t="shared" si="12"/>
        <v>Jun</v>
      </c>
      <c r="D1595" s="6">
        <f>MONTH(Patient_Data!$E1595)</f>
        <v>6</v>
      </c>
      <c r="E1595" s="7">
        <v>46190</v>
      </c>
      <c r="F1595" s="55" t="str">
        <f>TEXT(Patient_Data[[#This Row],[Admission_Date]],"YYYY")</f>
        <v>2026</v>
      </c>
      <c r="G1595" s="8" t="s">
        <v>3206</v>
      </c>
      <c r="H1595" s="8" t="s">
        <v>82</v>
      </c>
      <c r="I1595" s="4" t="s">
        <v>29</v>
      </c>
      <c r="J1595" s="4">
        <v>24</v>
      </c>
      <c r="K1595" s="4" t="s">
        <v>30</v>
      </c>
      <c r="L1595" s="8">
        <v>1</v>
      </c>
      <c r="M1595" s="9" t="s">
        <v>39</v>
      </c>
      <c r="N1595" s="9" t="str">
        <f t="shared" si="13"/>
        <v>GM</v>
      </c>
      <c r="O1595" s="10">
        <v>4546.16</v>
      </c>
      <c r="P1595" s="10">
        <v>3508.68</v>
      </c>
      <c r="Q1595" s="11">
        <v>6.7</v>
      </c>
      <c r="R1595" s="13" t="str">
        <f>IF(Patient_Data!$L1595&lt;2,"Low Risk",IF(Patient_Data!$L1595&lt;4,"Moderate Risk","High Risk"))</f>
        <v>Low Risk</v>
      </c>
      <c r="S1595" s="12" t="str">
        <f>IF(Patient_Data[[#This Row],[Age]]&lt;=18,"Pediatric",IF(Patient_Data[[#This Row],[Age]]&lt;=64,"Adult","Geriatric"))</f>
        <v>Adult</v>
      </c>
    </row>
    <row r="1596" spans="1:19" ht="15.75" customHeight="1" x14ac:dyDescent="0.3">
      <c r="A1596" s="4" t="s">
        <v>3207</v>
      </c>
      <c r="B1596" s="5" t="str">
        <f>TEXT(Patient_Data!$E1596,"mmmm")</f>
        <v>July</v>
      </c>
      <c r="C1596" s="6" t="str">
        <f t="shared" si="12"/>
        <v>Jul</v>
      </c>
      <c r="D1596" s="6">
        <f>MONTH(Patient_Data!$E1596)</f>
        <v>7</v>
      </c>
      <c r="E1596" s="7">
        <v>46209</v>
      </c>
      <c r="F1596" s="55" t="str">
        <f>TEXT(Patient_Data[[#This Row],[Admission_Date]],"YYYY")</f>
        <v>2026</v>
      </c>
      <c r="G1596" s="8" t="s">
        <v>796</v>
      </c>
      <c r="H1596" s="8" t="s">
        <v>34</v>
      </c>
      <c r="I1596" s="4" t="s">
        <v>35</v>
      </c>
      <c r="J1596" s="4">
        <v>66</v>
      </c>
      <c r="K1596" s="4" t="s">
        <v>30</v>
      </c>
      <c r="L1596" s="8">
        <v>1</v>
      </c>
      <c r="M1596" s="9" t="s">
        <v>46</v>
      </c>
      <c r="N1596" s="9" t="str">
        <f t="shared" si="13"/>
        <v>Ortho</v>
      </c>
      <c r="O1596" s="10">
        <v>6121.83</v>
      </c>
      <c r="P1596" s="10">
        <v>3617.06</v>
      </c>
      <c r="Q1596" s="11">
        <v>8.3000000000000007</v>
      </c>
      <c r="R1596" s="13" t="str">
        <f>IF(Patient_Data!$L1596&lt;2,"Low Risk",IF(Patient_Data!$L1596&lt;4,"Moderate Risk","High Risk"))</f>
        <v>Low Risk</v>
      </c>
      <c r="S1596" s="12" t="str">
        <f>IF(Patient_Data[[#This Row],[Age]]&lt;=18,"Pediatric",IF(Patient_Data[[#This Row],[Age]]&lt;=64,"Adult","Geriatric"))</f>
        <v>Geriatric</v>
      </c>
    </row>
    <row r="1597" spans="1:19" ht="15.75" customHeight="1" x14ac:dyDescent="0.3">
      <c r="A1597" s="4" t="s">
        <v>3208</v>
      </c>
      <c r="B1597" s="5" t="str">
        <f>TEXT(Patient_Data!$E1597,"mmmm")</f>
        <v>September</v>
      </c>
      <c r="C1597" s="6" t="str">
        <f t="shared" si="12"/>
        <v>Sep</v>
      </c>
      <c r="D1597" s="6">
        <f>MONTH(Patient_Data!$E1597)</f>
        <v>9</v>
      </c>
      <c r="E1597" s="7">
        <v>45172</v>
      </c>
      <c r="F1597" s="55" t="str">
        <f>TEXT(Patient_Data[[#This Row],[Admission_Date]],"YYYY")</f>
        <v>2023</v>
      </c>
      <c r="G1597" s="8" t="s">
        <v>3209</v>
      </c>
      <c r="H1597" s="8" t="s">
        <v>53</v>
      </c>
      <c r="I1597" s="4" t="s">
        <v>29</v>
      </c>
      <c r="J1597" s="4">
        <v>72</v>
      </c>
      <c r="K1597" s="4" t="s">
        <v>54</v>
      </c>
      <c r="L1597" s="8">
        <v>5</v>
      </c>
      <c r="M1597" s="9" t="s">
        <v>72</v>
      </c>
      <c r="N1597" s="9" t="str">
        <f t="shared" si="13"/>
        <v>Surgery</v>
      </c>
      <c r="O1597" s="10">
        <v>20479.009999999998</v>
      </c>
      <c r="P1597" s="10">
        <v>12509</v>
      </c>
      <c r="Q1597" s="11">
        <v>2.1</v>
      </c>
      <c r="R1597" s="13" t="str">
        <f>IF(Patient_Data!$L1597&lt;2,"Low Risk",IF(Patient_Data!$L1597&lt;4,"Moderate Risk","High Risk"))</f>
        <v>High Risk</v>
      </c>
      <c r="S1597" s="12" t="str">
        <f>IF(Patient_Data[[#This Row],[Age]]&lt;=18,"Pediatric",IF(Patient_Data[[#This Row],[Age]]&lt;=64,"Adult","Geriatric"))</f>
        <v>Geriatric</v>
      </c>
    </row>
    <row r="1598" spans="1:19" ht="15.75" customHeight="1" x14ac:dyDescent="0.3">
      <c r="A1598" s="4" t="s">
        <v>3210</v>
      </c>
      <c r="B1598" s="5" t="str">
        <f>TEXT(Patient_Data!$E1598,"mmmm")</f>
        <v>April</v>
      </c>
      <c r="C1598" s="6" t="str">
        <f t="shared" si="12"/>
        <v>Apr</v>
      </c>
      <c r="D1598" s="6">
        <f>MONTH(Patient_Data!$E1598)</f>
        <v>4</v>
      </c>
      <c r="E1598" s="7">
        <v>46133</v>
      </c>
      <c r="F1598" s="55" t="str">
        <f>TEXT(Patient_Data[[#This Row],[Admission_Date]],"YYYY")</f>
        <v>2026</v>
      </c>
      <c r="G1598" s="8" t="s">
        <v>3211</v>
      </c>
      <c r="H1598" s="8" t="s">
        <v>28</v>
      </c>
      <c r="I1598" s="4" t="s">
        <v>35</v>
      </c>
      <c r="J1598" s="4">
        <v>74</v>
      </c>
      <c r="K1598" s="4" t="s">
        <v>30</v>
      </c>
      <c r="L1598" s="8">
        <v>2</v>
      </c>
      <c r="M1598" s="9" t="s">
        <v>39</v>
      </c>
      <c r="N1598" s="9" t="str">
        <f t="shared" si="13"/>
        <v>GM</v>
      </c>
      <c r="O1598" s="10">
        <v>2717.37</v>
      </c>
      <c r="P1598" s="10">
        <v>1771.92</v>
      </c>
      <c r="Q1598" s="11">
        <v>4.0999999999999996</v>
      </c>
      <c r="R1598" s="13" t="str">
        <f>IF(Patient_Data!$L1598&lt;2,"Low Risk",IF(Patient_Data!$L1598&lt;4,"Moderate Risk","High Risk"))</f>
        <v>Moderate Risk</v>
      </c>
      <c r="S1598" s="12" t="str">
        <f>IF(Patient_Data[[#This Row],[Age]]&lt;=18,"Pediatric",IF(Patient_Data[[#This Row],[Age]]&lt;=64,"Adult","Geriatric"))</f>
        <v>Geriatric</v>
      </c>
    </row>
    <row r="1599" spans="1:19" ht="15.75" customHeight="1" x14ac:dyDescent="0.3">
      <c r="A1599" s="4" t="s">
        <v>3212</v>
      </c>
      <c r="B1599" s="5" t="str">
        <f>TEXT(Patient_Data!$E1599,"mmmm")</f>
        <v>September</v>
      </c>
      <c r="C1599" s="6" t="str">
        <f t="shared" si="12"/>
        <v>Sep</v>
      </c>
      <c r="D1599" s="6">
        <f>MONTH(Patient_Data!$E1599)</f>
        <v>9</v>
      </c>
      <c r="E1599" s="7">
        <v>45912</v>
      </c>
      <c r="F1599" s="55" t="str">
        <f>TEXT(Patient_Data[[#This Row],[Admission_Date]],"YYYY")</f>
        <v>2025</v>
      </c>
      <c r="G1599" s="8" t="s">
        <v>3213</v>
      </c>
      <c r="H1599" s="8" t="s">
        <v>98</v>
      </c>
      <c r="I1599" s="4" t="s">
        <v>35</v>
      </c>
      <c r="J1599" s="4">
        <v>55</v>
      </c>
      <c r="K1599" s="4" t="s">
        <v>54</v>
      </c>
      <c r="L1599" s="8">
        <v>2</v>
      </c>
      <c r="M1599" s="9" t="s">
        <v>31</v>
      </c>
      <c r="N1599" s="9" t="str">
        <f t="shared" si="13"/>
        <v>Neuro</v>
      </c>
      <c r="O1599" s="10">
        <v>6696.81</v>
      </c>
      <c r="P1599" s="10">
        <v>4552.46</v>
      </c>
      <c r="Q1599" s="11">
        <v>8.1999999999999993</v>
      </c>
      <c r="R1599" s="13" t="str">
        <f>IF(Patient_Data!$L1599&lt;2,"Low Risk",IF(Patient_Data!$L1599&lt;4,"Moderate Risk","High Risk"))</f>
        <v>Moderate Risk</v>
      </c>
      <c r="S1599" s="12" t="str">
        <f>IF(Patient_Data[[#This Row],[Age]]&lt;=18,"Pediatric",IF(Patient_Data[[#This Row],[Age]]&lt;=64,"Adult","Geriatric"))</f>
        <v>Adult</v>
      </c>
    </row>
    <row r="1600" spans="1:19" ht="15.75" customHeight="1" x14ac:dyDescent="0.3">
      <c r="A1600" s="4" t="s">
        <v>3214</v>
      </c>
      <c r="B1600" s="5" t="str">
        <f>TEXT(Patient_Data!$E1600,"mmmm")</f>
        <v>October</v>
      </c>
      <c r="C1600" s="6" t="str">
        <f t="shared" si="12"/>
        <v>Oct</v>
      </c>
      <c r="D1600" s="6">
        <f>MONTH(Patient_Data!$E1600)</f>
        <v>10</v>
      </c>
      <c r="E1600" s="7">
        <v>45951</v>
      </c>
      <c r="F1600" s="55" t="str">
        <f>TEXT(Patient_Data[[#This Row],[Admission_Date]],"YYYY")</f>
        <v>2025</v>
      </c>
      <c r="G1600" s="8" t="s">
        <v>3215</v>
      </c>
      <c r="H1600" s="8" t="s">
        <v>132</v>
      </c>
      <c r="I1600" s="4" t="s">
        <v>35</v>
      </c>
      <c r="J1600" s="4">
        <v>24</v>
      </c>
      <c r="K1600" s="4" t="s">
        <v>30</v>
      </c>
      <c r="L1600" s="8">
        <v>1</v>
      </c>
      <c r="M1600" s="9" t="s">
        <v>39</v>
      </c>
      <c r="N1600" s="9" t="str">
        <f t="shared" si="13"/>
        <v>GM</v>
      </c>
      <c r="O1600" s="10">
        <v>2213.0300000000002</v>
      </c>
      <c r="P1600" s="10">
        <v>1593.92</v>
      </c>
      <c r="Q1600" s="11">
        <v>5.6</v>
      </c>
      <c r="R1600" s="13" t="str">
        <f>IF(Patient_Data!$L1600&lt;2,"Low Risk",IF(Patient_Data!$L1600&lt;4,"Moderate Risk","High Risk"))</f>
        <v>Low Risk</v>
      </c>
      <c r="S1600" s="12" t="str">
        <f>IF(Patient_Data[[#This Row],[Age]]&lt;=18,"Pediatric",IF(Patient_Data[[#This Row],[Age]]&lt;=64,"Adult","Geriatric"))</f>
        <v>Adult</v>
      </c>
    </row>
    <row r="1601" spans="1:19" ht="15.75" customHeight="1" x14ac:dyDescent="0.3">
      <c r="A1601" s="4" t="s">
        <v>3216</v>
      </c>
      <c r="B1601" s="5" t="str">
        <f>TEXT(Patient_Data!$E1601,"mmmm")</f>
        <v>July</v>
      </c>
      <c r="C1601" s="6" t="str">
        <f t="shared" si="12"/>
        <v>Jul</v>
      </c>
      <c r="D1601" s="6">
        <f>MONTH(Patient_Data!$E1601)</f>
        <v>7</v>
      </c>
      <c r="E1601" s="7">
        <v>45474</v>
      </c>
      <c r="F1601" s="55" t="str">
        <f>TEXT(Patient_Data[[#This Row],[Admission_Date]],"YYYY")</f>
        <v>2024</v>
      </c>
      <c r="G1601" s="8" t="s">
        <v>3217</v>
      </c>
      <c r="H1601" s="8" t="s">
        <v>28</v>
      </c>
      <c r="I1601" s="4" t="s">
        <v>29</v>
      </c>
      <c r="J1601" s="4">
        <v>51</v>
      </c>
      <c r="K1601" s="4" t="s">
        <v>30</v>
      </c>
      <c r="L1601" s="8">
        <v>2</v>
      </c>
      <c r="M1601" s="9" t="s">
        <v>46</v>
      </c>
      <c r="N1601" s="9" t="str">
        <f t="shared" si="13"/>
        <v>Ortho</v>
      </c>
      <c r="O1601" s="10">
        <v>5277.37</v>
      </c>
      <c r="P1601" s="10">
        <v>3898.88</v>
      </c>
      <c r="Q1601" s="11">
        <v>5.8</v>
      </c>
      <c r="R1601" s="13" t="str">
        <f>IF(Patient_Data!$L1601&lt;2,"Low Risk",IF(Patient_Data!$L1601&lt;4,"Moderate Risk","High Risk"))</f>
        <v>Moderate Risk</v>
      </c>
      <c r="S1601" s="12" t="str">
        <f>IF(Patient_Data[[#This Row],[Age]]&lt;=18,"Pediatric",IF(Patient_Data[[#This Row],[Age]]&lt;=64,"Adult","Geriatric"))</f>
        <v>Adult</v>
      </c>
    </row>
    <row r="1602" spans="1:19" ht="15.75" customHeight="1" x14ac:dyDescent="0.3">
      <c r="A1602" s="4" t="s">
        <v>3218</v>
      </c>
      <c r="B1602" s="5" t="str">
        <f>TEXT(Patient_Data!$E1602,"mmmm")</f>
        <v>August</v>
      </c>
      <c r="C1602" s="6" t="str">
        <f t="shared" si="12"/>
        <v>Aug</v>
      </c>
      <c r="D1602" s="6">
        <f>MONTH(Patient_Data!$E1602)</f>
        <v>8</v>
      </c>
      <c r="E1602" s="7">
        <v>45533</v>
      </c>
      <c r="F1602" s="55" t="str">
        <f>TEXT(Patient_Data[[#This Row],[Admission_Date]],"YYYY")</f>
        <v>2024</v>
      </c>
      <c r="G1602" s="8" t="s">
        <v>3219</v>
      </c>
      <c r="H1602" s="8" t="s">
        <v>132</v>
      </c>
      <c r="I1602" s="4" t="s">
        <v>29</v>
      </c>
      <c r="J1602" s="4">
        <v>81</v>
      </c>
      <c r="K1602" s="4" t="s">
        <v>54</v>
      </c>
      <c r="L1602" s="8">
        <v>4</v>
      </c>
      <c r="M1602" s="9" t="s">
        <v>46</v>
      </c>
      <c r="N1602" s="9" t="str">
        <f t="shared" si="13"/>
        <v>Ortho</v>
      </c>
      <c r="O1602" s="10">
        <v>7705.5</v>
      </c>
      <c r="P1602" s="10">
        <v>5877.78</v>
      </c>
      <c r="Q1602" s="11">
        <v>2.7</v>
      </c>
      <c r="R1602" s="13" t="str">
        <f>IF(Patient_Data!$L1602&lt;2,"Low Risk",IF(Patient_Data!$L1602&lt;4,"Moderate Risk","High Risk"))</f>
        <v>High Risk</v>
      </c>
      <c r="S1602" s="12" t="str">
        <f>IF(Patient_Data[[#This Row],[Age]]&lt;=18,"Pediatric",IF(Patient_Data[[#This Row],[Age]]&lt;=64,"Adult","Geriatric"))</f>
        <v>Geriatric</v>
      </c>
    </row>
    <row r="1603" spans="1:19" ht="15.75" customHeight="1" x14ac:dyDescent="0.3">
      <c r="A1603" s="4" t="s">
        <v>3220</v>
      </c>
      <c r="B1603" s="5" t="str">
        <f>TEXT(Patient_Data!$E1603,"mmmm")</f>
        <v>November</v>
      </c>
      <c r="C1603" s="6" t="str">
        <f t="shared" si="12"/>
        <v>Nov</v>
      </c>
      <c r="D1603" s="6">
        <f>MONTH(Patient_Data!$E1603)</f>
        <v>11</v>
      </c>
      <c r="E1603" s="7">
        <v>45239</v>
      </c>
      <c r="F1603" s="55" t="str">
        <f>TEXT(Patient_Data[[#This Row],[Admission_Date]],"YYYY")</f>
        <v>2023</v>
      </c>
      <c r="G1603" s="8" t="s">
        <v>3221</v>
      </c>
      <c r="H1603" s="8" t="s">
        <v>28</v>
      </c>
      <c r="I1603" s="4" t="s">
        <v>29</v>
      </c>
      <c r="J1603" s="4">
        <v>61</v>
      </c>
      <c r="K1603" s="4" t="s">
        <v>54</v>
      </c>
      <c r="L1603" s="8">
        <v>4</v>
      </c>
      <c r="M1603" s="9" t="s">
        <v>50</v>
      </c>
      <c r="N1603" s="9" t="str">
        <f t="shared" si="13"/>
        <v>ICU</v>
      </c>
      <c r="O1603" s="10">
        <v>13454.35</v>
      </c>
      <c r="P1603" s="10">
        <v>7885.92</v>
      </c>
      <c r="Q1603" s="11">
        <v>10.3</v>
      </c>
      <c r="R1603" s="13" t="str">
        <f>IF(Patient_Data!$L1603&lt;2,"Low Risk",IF(Patient_Data!$L1603&lt;4,"Moderate Risk","High Risk"))</f>
        <v>High Risk</v>
      </c>
      <c r="S1603" s="12" t="str">
        <f>IF(Patient_Data[[#This Row],[Age]]&lt;=18,"Pediatric",IF(Patient_Data[[#This Row],[Age]]&lt;=64,"Adult","Geriatric"))</f>
        <v>Adult</v>
      </c>
    </row>
    <row r="1604" spans="1:19" ht="15.75" customHeight="1" x14ac:dyDescent="0.3">
      <c r="A1604" s="4" t="s">
        <v>3222</v>
      </c>
      <c r="B1604" s="5" t="str">
        <f>TEXT(Patient_Data!$E1604,"mmmm")</f>
        <v>April</v>
      </c>
      <c r="C1604" s="6" t="str">
        <f t="shared" si="12"/>
        <v>Apr</v>
      </c>
      <c r="D1604" s="6">
        <f>MONTH(Patient_Data!$E1604)</f>
        <v>4</v>
      </c>
      <c r="E1604" s="7">
        <v>45411</v>
      </c>
      <c r="F1604" s="55" t="str">
        <f>TEXT(Patient_Data[[#This Row],[Admission_Date]],"YYYY")</f>
        <v>2024</v>
      </c>
      <c r="G1604" s="8" t="s">
        <v>3223</v>
      </c>
      <c r="H1604" s="8" t="s">
        <v>82</v>
      </c>
      <c r="I1604" s="4" t="s">
        <v>35</v>
      </c>
      <c r="J1604" s="4">
        <v>0</v>
      </c>
      <c r="K1604" s="4" t="s">
        <v>30</v>
      </c>
      <c r="L1604" s="8">
        <v>2</v>
      </c>
      <c r="M1604" s="9" t="s">
        <v>79</v>
      </c>
      <c r="N1604" s="9" t="str">
        <f t="shared" si="13"/>
        <v>PD</v>
      </c>
      <c r="O1604" s="10">
        <v>846.99</v>
      </c>
      <c r="P1604" s="10">
        <v>544.66</v>
      </c>
      <c r="Q1604" s="11">
        <v>3.5</v>
      </c>
      <c r="R1604" s="13" t="str">
        <f>IF(Patient_Data!$L1604&lt;2,"Low Risk",IF(Patient_Data!$L1604&lt;4,"Moderate Risk","High Risk"))</f>
        <v>Moderate Risk</v>
      </c>
      <c r="S1604" s="12" t="str">
        <f>IF(Patient_Data[[#This Row],[Age]]&lt;=18,"Pediatric",IF(Patient_Data[[#This Row],[Age]]&lt;=64,"Adult","Geriatric"))</f>
        <v>Pediatric</v>
      </c>
    </row>
    <row r="1605" spans="1:19" ht="15.75" customHeight="1" x14ac:dyDescent="0.3">
      <c r="A1605" s="4" t="s">
        <v>3224</v>
      </c>
      <c r="B1605" s="5" t="str">
        <f>TEXT(Patient_Data!$E1605,"mmmm")</f>
        <v>June</v>
      </c>
      <c r="C1605" s="6" t="str">
        <f t="shared" si="12"/>
        <v>Jun</v>
      </c>
      <c r="D1605" s="6">
        <f>MONTH(Patient_Data!$E1605)</f>
        <v>6</v>
      </c>
      <c r="E1605" s="7">
        <v>46195</v>
      </c>
      <c r="F1605" s="55" t="str">
        <f>TEXT(Patient_Data[[#This Row],[Admission_Date]],"YYYY")</f>
        <v>2026</v>
      </c>
      <c r="G1605" s="8" t="s">
        <v>3225</v>
      </c>
      <c r="H1605" s="8" t="s">
        <v>53</v>
      </c>
      <c r="I1605" s="4" t="s">
        <v>29</v>
      </c>
      <c r="J1605" s="4">
        <v>39</v>
      </c>
      <c r="K1605" s="4" t="s">
        <v>30</v>
      </c>
      <c r="L1605" s="8">
        <v>1</v>
      </c>
      <c r="M1605" s="9" t="s">
        <v>31</v>
      </c>
      <c r="N1605" s="9" t="str">
        <f t="shared" si="13"/>
        <v>Neuro</v>
      </c>
      <c r="O1605" s="10">
        <v>5287.63</v>
      </c>
      <c r="P1605" s="10">
        <v>3464.08</v>
      </c>
      <c r="Q1605" s="11">
        <v>10</v>
      </c>
      <c r="R1605" s="13" t="str">
        <f>IF(Patient_Data!$L1605&lt;2,"Low Risk",IF(Patient_Data!$L1605&lt;4,"Moderate Risk","High Risk"))</f>
        <v>Low Risk</v>
      </c>
      <c r="S1605" s="12" t="str">
        <f>IF(Patient_Data[[#This Row],[Age]]&lt;=18,"Pediatric",IF(Patient_Data[[#This Row],[Age]]&lt;=64,"Adult","Geriatric"))</f>
        <v>Adult</v>
      </c>
    </row>
    <row r="1606" spans="1:19" ht="15.75" customHeight="1" x14ac:dyDescent="0.3">
      <c r="A1606" s="4" t="s">
        <v>3226</v>
      </c>
      <c r="B1606" s="5" t="str">
        <f>TEXT(Patient_Data!$E1606,"mmmm")</f>
        <v>December</v>
      </c>
      <c r="C1606" s="6" t="str">
        <f t="shared" si="12"/>
        <v>Dec</v>
      </c>
      <c r="D1606" s="6">
        <f>MONTH(Patient_Data!$E1606)</f>
        <v>12</v>
      </c>
      <c r="E1606" s="7">
        <v>45274</v>
      </c>
      <c r="F1606" s="55" t="str">
        <f>TEXT(Patient_Data[[#This Row],[Admission_Date]],"YYYY")</f>
        <v>2023</v>
      </c>
      <c r="G1606" s="8" t="s">
        <v>3227</v>
      </c>
      <c r="H1606" s="8" t="s">
        <v>82</v>
      </c>
      <c r="I1606" s="4" t="s">
        <v>29</v>
      </c>
      <c r="J1606" s="4">
        <v>4</v>
      </c>
      <c r="K1606" s="4" t="s">
        <v>54</v>
      </c>
      <c r="L1606" s="8">
        <v>2</v>
      </c>
      <c r="M1606" s="9" t="s">
        <v>79</v>
      </c>
      <c r="N1606" s="9" t="str">
        <f t="shared" si="13"/>
        <v>PD</v>
      </c>
      <c r="O1606" s="10">
        <v>1327.37</v>
      </c>
      <c r="P1606" s="10">
        <v>924.54</v>
      </c>
      <c r="Q1606" s="11">
        <v>4.4000000000000004</v>
      </c>
      <c r="R1606" s="13" t="str">
        <f>IF(Patient_Data!$L1606&lt;2,"Low Risk",IF(Patient_Data!$L1606&lt;4,"Moderate Risk","High Risk"))</f>
        <v>Moderate Risk</v>
      </c>
      <c r="S1606" s="12" t="str">
        <f>IF(Patient_Data[[#This Row],[Age]]&lt;=18,"Pediatric",IF(Patient_Data[[#This Row],[Age]]&lt;=64,"Adult","Geriatric"))</f>
        <v>Pediatric</v>
      </c>
    </row>
    <row r="1607" spans="1:19" ht="15.75" customHeight="1" x14ac:dyDescent="0.3">
      <c r="A1607" s="4" t="s">
        <v>3228</v>
      </c>
      <c r="B1607" s="5" t="str">
        <f>TEXT(Patient_Data!$E1607,"mmmm")</f>
        <v>August</v>
      </c>
      <c r="C1607" s="6" t="str">
        <f t="shared" si="12"/>
        <v>Aug</v>
      </c>
      <c r="D1607" s="6">
        <f>MONTH(Patient_Data!$E1607)</f>
        <v>8</v>
      </c>
      <c r="E1607" s="7">
        <v>45534</v>
      </c>
      <c r="F1607" s="55" t="str">
        <f>TEXT(Patient_Data[[#This Row],[Admission_Date]],"YYYY")</f>
        <v>2024</v>
      </c>
      <c r="G1607" s="8" t="s">
        <v>3229</v>
      </c>
      <c r="H1607" s="8" t="s">
        <v>34</v>
      </c>
      <c r="I1607" s="4" t="s">
        <v>35</v>
      </c>
      <c r="J1607" s="4">
        <v>4</v>
      </c>
      <c r="K1607" s="4" t="s">
        <v>54</v>
      </c>
      <c r="L1607" s="8">
        <v>3</v>
      </c>
      <c r="M1607" s="9" t="s">
        <v>79</v>
      </c>
      <c r="N1607" s="9" t="str">
        <f t="shared" si="13"/>
        <v>PD</v>
      </c>
      <c r="O1607" s="10">
        <v>3398.7</v>
      </c>
      <c r="P1607" s="10">
        <v>2420.69</v>
      </c>
      <c r="Q1607" s="11">
        <v>5.2</v>
      </c>
      <c r="R1607" s="13" t="str">
        <f>IF(Patient_Data!$L1607&lt;2,"Low Risk",IF(Patient_Data!$L1607&lt;4,"Moderate Risk","High Risk"))</f>
        <v>Moderate Risk</v>
      </c>
      <c r="S1607" s="12" t="str">
        <f>IF(Patient_Data[[#This Row],[Age]]&lt;=18,"Pediatric",IF(Patient_Data[[#This Row],[Age]]&lt;=64,"Adult","Geriatric"))</f>
        <v>Pediatric</v>
      </c>
    </row>
    <row r="1608" spans="1:19" ht="15.75" customHeight="1" x14ac:dyDescent="0.3">
      <c r="A1608" s="4" t="s">
        <v>3230</v>
      </c>
      <c r="B1608" s="5" t="str">
        <f>TEXT(Patient_Data!$E1608,"mmmm")</f>
        <v>November</v>
      </c>
      <c r="C1608" s="6" t="str">
        <f t="shared" si="12"/>
        <v>Nov</v>
      </c>
      <c r="D1608" s="6">
        <f>MONTH(Patient_Data!$E1608)</f>
        <v>11</v>
      </c>
      <c r="E1608" s="7">
        <v>45624</v>
      </c>
      <c r="F1608" s="55" t="str">
        <f>TEXT(Patient_Data[[#This Row],[Admission_Date]],"YYYY")</f>
        <v>2024</v>
      </c>
      <c r="G1608" s="8" t="s">
        <v>3231</v>
      </c>
      <c r="H1608" s="8" t="s">
        <v>34</v>
      </c>
      <c r="I1608" s="4" t="s">
        <v>35</v>
      </c>
      <c r="J1608" s="4">
        <v>33</v>
      </c>
      <c r="K1608" s="4" t="s">
        <v>30</v>
      </c>
      <c r="L1608" s="8">
        <v>1</v>
      </c>
      <c r="M1608" s="9" t="s">
        <v>83</v>
      </c>
      <c r="N1608" s="9" t="str">
        <f t="shared" si="13"/>
        <v>ER</v>
      </c>
      <c r="O1608" s="10">
        <v>4473.47</v>
      </c>
      <c r="P1608" s="10">
        <v>3374.43</v>
      </c>
      <c r="Q1608" s="11">
        <v>13.6</v>
      </c>
      <c r="R1608" s="13" t="str">
        <f>IF(Patient_Data!$L1608&lt;2,"Low Risk",IF(Patient_Data!$L1608&lt;4,"Moderate Risk","High Risk"))</f>
        <v>Low Risk</v>
      </c>
      <c r="S1608" s="12" t="str">
        <f>IF(Patient_Data[[#This Row],[Age]]&lt;=18,"Pediatric",IF(Patient_Data[[#This Row],[Age]]&lt;=64,"Adult","Geriatric"))</f>
        <v>Adult</v>
      </c>
    </row>
    <row r="1609" spans="1:19" ht="15.75" customHeight="1" x14ac:dyDescent="0.3">
      <c r="A1609" s="4" t="s">
        <v>3232</v>
      </c>
      <c r="B1609" s="5" t="str">
        <f>TEXT(Patient_Data!$E1609,"mmmm")</f>
        <v>July</v>
      </c>
      <c r="C1609" s="6" t="str">
        <f t="shared" si="12"/>
        <v>Jul</v>
      </c>
      <c r="D1609" s="6">
        <f>MONTH(Patient_Data!$E1609)</f>
        <v>7</v>
      </c>
      <c r="E1609" s="7">
        <v>46223</v>
      </c>
      <c r="F1609" s="55" t="str">
        <f>TEXT(Patient_Data[[#This Row],[Admission_Date]],"YYYY")</f>
        <v>2026</v>
      </c>
      <c r="G1609" s="8" t="s">
        <v>3176</v>
      </c>
      <c r="H1609" s="8" t="s">
        <v>53</v>
      </c>
      <c r="I1609" s="4" t="s">
        <v>35</v>
      </c>
      <c r="J1609" s="4">
        <v>56</v>
      </c>
      <c r="K1609" s="4" t="s">
        <v>54</v>
      </c>
      <c r="L1609" s="8">
        <v>4</v>
      </c>
      <c r="M1609" s="9" t="s">
        <v>50</v>
      </c>
      <c r="N1609" s="9" t="str">
        <f t="shared" si="13"/>
        <v>ICU</v>
      </c>
      <c r="O1609" s="10">
        <v>15405</v>
      </c>
      <c r="P1609" s="10">
        <v>11805.4</v>
      </c>
      <c r="Q1609" s="11">
        <v>12.2</v>
      </c>
      <c r="R1609" s="13" t="str">
        <f>IF(Patient_Data!$L1609&lt;2,"Low Risk",IF(Patient_Data!$L1609&lt;4,"Moderate Risk","High Risk"))</f>
        <v>High Risk</v>
      </c>
      <c r="S1609" s="12" t="str">
        <f>IF(Patient_Data[[#This Row],[Age]]&lt;=18,"Pediatric",IF(Patient_Data[[#This Row],[Age]]&lt;=64,"Adult","Geriatric"))</f>
        <v>Adult</v>
      </c>
    </row>
    <row r="1610" spans="1:19" ht="15.75" customHeight="1" x14ac:dyDescent="0.3">
      <c r="A1610" s="4" t="s">
        <v>3233</v>
      </c>
      <c r="B1610" s="5" t="str">
        <f>TEXT(Patient_Data!$E1610,"mmmm")</f>
        <v>December</v>
      </c>
      <c r="C1610" s="6" t="str">
        <f t="shared" si="12"/>
        <v>Dec</v>
      </c>
      <c r="D1610" s="6">
        <f>MONTH(Patient_Data!$E1610)</f>
        <v>12</v>
      </c>
      <c r="E1610" s="7">
        <v>45261</v>
      </c>
      <c r="F1610" s="55" t="str">
        <f>TEXT(Patient_Data[[#This Row],[Admission_Date]],"YYYY")</f>
        <v>2023</v>
      </c>
      <c r="G1610" s="8" t="s">
        <v>3234</v>
      </c>
      <c r="H1610" s="8" t="s">
        <v>28</v>
      </c>
      <c r="I1610" s="4" t="s">
        <v>29</v>
      </c>
      <c r="J1610" s="4">
        <v>3</v>
      </c>
      <c r="K1610" s="4" t="s">
        <v>30</v>
      </c>
      <c r="L1610" s="8">
        <v>3</v>
      </c>
      <c r="M1610" s="9" t="s">
        <v>79</v>
      </c>
      <c r="N1610" s="9" t="str">
        <f t="shared" si="13"/>
        <v>PD</v>
      </c>
      <c r="O1610" s="10">
        <v>1514.14</v>
      </c>
      <c r="P1610" s="10">
        <v>919.8</v>
      </c>
      <c r="Q1610" s="11">
        <v>5.2</v>
      </c>
      <c r="R1610" s="13" t="str">
        <f>IF(Patient_Data!$L1610&lt;2,"Low Risk",IF(Patient_Data!$L1610&lt;4,"Moderate Risk","High Risk"))</f>
        <v>Moderate Risk</v>
      </c>
      <c r="S1610" s="12" t="str">
        <f>IF(Patient_Data[[#This Row],[Age]]&lt;=18,"Pediatric",IF(Patient_Data[[#This Row],[Age]]&lt;=64,"Adult","Geriatric"))</f>
        <v>Pediatric</v>
      </c>
    </row>
    <row r="1611" spans="1:19" ht="15.75" customHeight="1" x14ac:dyDescent="0.3">
      <c r="A1611" s="4" t="s">
        <v>3235</v>
      </c>
      <c r="B1611" s="5" t="str">
        <f>TEXT(Patient_Data!$E1611,"mmmm")</f>
        <v>November</v>
      </c>
      <c r="C1611" s="6" t="str">
        <f t="shared" si="12"/>
        <v>Nov</v>
      </c>
      <c r="D1611" s="6">
        <f>MONTH(Patient_Data!$E1611)</f>
        <v>11</v>
      </c>
      <c r="E1611" s="7">
        <v>45988</v>
      </c>
      <c r="F1611" s="55" t="str">
        <f>TEXT(Patient_Data[[#This Row],[Admission_Date]],"YYYY")</f>
        <v>2025</v>
      </c>
      <c r="G1611" s="8" t="s">
        <v>3236</v>
      </c>
      <c r="H1611" s="8" t="s">
        <v>98</v>
      </c>
      <c r="I1611" s="4" t="s">
        <v>35</v>
      </c>
      <c r="J1611" s="4">
        <v>62</v>
      </c>
      <c r="K1611" s="4" t="s">
        <v>54</v>
      </c>
      <c r="L1611" s="8">
        <v>4</v>
      </c>
      <c r="M1611" s="9" t="s">
        <v>39</v>
      </c>
      <c r="N1611" s="9" t="str">
        <f t="shared" si="13"/>
        <v>GM</v>
      </c>
      <c r="O1611" s="10">
        <v>6811.49</v>
      </c>
      <c r="P1611" s="10">
        <v>4189.41</v>
      </c>
      <c r="Q1611" s="11">
        <v>4.3</v>
      </c>
      <c r="R1611" s="13" t="str">
        <f>IF(Patient_Data!$L1611&lt;2,"Low Risk",IF(Patient_Data!$L1611&lt;4,"Moderate Risk","High Risk"))</f>
        <v>High Risk</v>
      </c>
      <c r="S1611" s="12" t="str">
        <f>IF(Patient_Data[[#This Row],[Age]]&lt;=18,"Pediatric",IF(Patient_Data[[#This Row],[Age]]&lt;=64,"Adult","Geriatric"))</f>
        <v>Adult</v>
      </c>
    </row>
    <row r="1612" spans="1:19" ht="15.75" customHeight="1" x14ac:dyDescent="0.3">
      <c r="A1612" s="4" t="s">
        <v>3237</v>
      </c>
      <c r="B1612" s="5" t="str">
        <f>TEXT(Patient_Data!$E1612,"mmmm")</f>
        <v>January</v>
      </c>
      <c r="C1612" s="6" t="str">
        <f t="shared" si="12"/>
        <v>Jan</v>
      </c>
      <c r="D1612" s="6">
        <f>MONTH(Patient_Data!$E1612)</f>
        <v>1</v>
      </c>
      <c r="E1612" s="7">
        <v>45308</v>
      </c>
      <c r="F1612" s="55" t="str">
        <f>TEXT(Patient_Data[[#This Row],[Admission_Date]],"YYYY")</f>
        <v>2024</v>
      </c>
      <c r="G1612" s="8" t="s">
        <v>3238</v>
      </c>
      <c r="H1612" s="8" t="s">
        <v>49</v>
      </c>
      <c r="I1612" s="4" t="s">
        <v>29</v>
      </c>
      <c r="J1612" s="4">
        <v>74</v>
      </c>
      <c r="K1612" s="4" t="s">
        <v>30</v>
      </c>
      <c r="L1612" s="8">
        <v>2</v>
      </c>
      <c r="M1612" s="9" t="s">
        <v>31</v>
      </c>
      <c r="N1612" s="9" t="str">
        <f t="shared" si="13"/>
        <v>Neuro</v>
      </c>
      <c r="O1612" s="10">
        <v>12214.34</v>
      </c>
      <c r="P1612" s="10">
        <v>7893.98</v>
      </c>
      <c r="Q1612" s="11">
        <v>9.6</v>
      </c>
      <c r="R1612" s="13" t="str">
        <f>IF(Patient_Data!$L1612&lt;2,"Low Risk",IF(Patient_Data!$L1612&lt;4,"Moderate Risk","High Risk"))</f>
        <v>Moderate Risk</v>
      </c>
      <c r="S1612" s="12" t="str">
        <f>IF(Patient_Data[[#This Row],[Age]]&lt;=18,"Pediatric",IF(Patient_Data[[#This Row],[Age]]&lt;=64,"Adult","Geriatric"))</f>
        <v>Geriatric</v>
      </c>
    </row>
    <row r="1613" spans="1:19" ht="15.75" customHeight="1" x14ac:dyDescent="0.3">
      <c r="A1613" s="4" t="s">
        <v>3239</v>
      </c>
      <c r="B1613" s="5" t="str">
        <f>TEXT(Patient_Data!$E1613,"mmmm")</f>
        <v>April</v>
      </c>
      <c r="C1613" s="6" t="str">
        <f t="shared" si="12"/>
        <v>Apr</v>
      </c>
      <c r="D1613" s="6">
        <f>MONTH(Patient_Data!$E1613)</f>
        <v>4</v>
      </c>
      <c r="E1613" s="7">
        <v>46119</v>
      </c>
      <c r="F1613" s="55" t="str">
        <f>TEXT(Patient_Data[[#This Row],[Admission_Date]],"YYYY")</f>
        <v>2026</v>
      </c>
      <c r="G1613" s="8" t="s">
        <v>3240</v>
      </c>
      <c r="H1613" s="8" t="s">
        <v>98</v>
      </c>
      <c r="I1613" s="4" t="s">
        <v>35</v>
      </c>
      <c r="J1613" s="4">
        <v>62</v>
      </c>
      <c r="K1613" s="4" t="s">
        <v>45</v>
      </c>
      <c r="L1613" s="8">
        <v>4</v>
      </c>
      <c r="M1613" s="9" t="s">
        <v>36</v>
      </c>
      <c r="N1613" s="9" t="str">
        <f t="shared" si="13"/>
        <v>Cardio</v>
      </c>
      <c r="O1613" s="10">
        <v>10570.98</v>
      </c>
      <c r="P1613" s="10">
        <v>7142.56</v>
      </c>
      <c r="Q1613" s="11">
        <v>7.5</v>
      </c>
      <c r="R1613" s="13" t="str">
        <f>IF(Patient_Data!$L1613&lt;2,"Low Risk",IF(Patient_Data!$L1613&lt;4,"Moderate Risk","High Risk"))</f>
        <v>High Risk</v>
      </c>
      <c r="S1613" s="12" t="str">
        <f>IF(Patient_Data[[#This Row],[Age]]&lt;=18,"Pediatric",IF(Patient_Data[[#This Row],[Age]]&lt;=64,"Adult","Geriatric"))</f>
        <v>Adult</v>
      </c>
    </row>
    <row r="1614" spans="1:19" ht="15.75" customHeight="1" x14ac:dyDescent="0.3">
      <c r="A1614" s="4" t="s">
        <v>3241</v>
      </c>
      <c r="B1614" s="5" t="str">
        <f>TEXT(Patient_Data!$E1614,"mmmm")</f>
        <v>May</v>
      </c>
      <c r="C1614" s="6" t="str">
        <f t="shared" si="12"/>
        <v>May</v>
      </c>
      <c r="D1614" s="6">
        <f>MONTH(Patient_Data!$E1614)</f>
        <v>5</v>
      </c>
      <c r="E1614" s="7">
        <v>45803</v>
      </c>
      <c r="F1614" s="55" t="str">
        <f>TEXT(Patient_Data[[#This Row],[Admission_Date]],"YYYY")</f>
        <v>2025</v>
      </c>
      <c r="G1614" s="8" t="s">
        <v>3242</v>
      </c>
      <c r="H1614" s="8" t="s">
        <v>75</v>
      </c>
      <c r="I1614" s="4" t="s">
        <v>35</v>
      </c>
      <c r="J1614" s="4">
        <v>15</v>
      </c>
      <c r="K1614" s="4" t="s">
        <v>30</v>
      </c>
      <c r="L1614" s="8">
        <v>2</v>
      </c>
      <c r="M1614" s="9" t="s">
        <v>79</v>
      </c>
      <c r="N1614" s="9" t="str">
        <f t="shared" si="13"/>
        <v>PD</v>
      </c>
      <c r="O1614" s="10">
        <v>2544.04</v>
      </c>
      <c r="P1614" s="10">
        <v>1810.43</v>
      </c>
      <c r="Q1614" s="11">
        <v>3.7</v>
      </c>
      <c r="R1614" s="13" t="str">
        <f>IF(Patient_Data!$L1614&lt;2,"Low Risk",IF(Patient_Data!$L1614&lt;4,"Moderate Risk","High Risk"))</f>
        <v>Moderate Risk</v>
      </c>
      <c r="S1614" s="12" t="str">
        <f>IF(Patient_Data[[#This Row],[Age]]&lt;=18,"Pediatric",IF(Patient_Data[[#This Row],[Age]]&lt;=64,"Adult","Geriatric"))</f>
        <v>Pediatric</v>
      </c>
    </row>
    <row r="1615" spans="1:19" ht="15.75" customHeight="1" x14ac:dyDescent="0.3">
      <c r="A1615" s="4" t="s">
        <v>3243</v>
      </c>
      <c r="B1615" s="5" t="str">
        <f>TEXT(Patient_Data!$E1615,"mmmm")</f>
        <v>June</v>
      </c>
      <c r="C1615" s="6" t="str">
        <f t="shared" si="12"/>
        <v>Jun</v>
      </c>
      <c r="D1615" s="6">
        <f>MONTH(Patient_Data!$E1615)</f>
        <v>6</v>
      </c>
      <c r="E1615" s="7">
        <v>45837</v>
      </c>
      <c r="F1615" s="55" t="str">
        <f>TEXT(Patient_Data[[#This Row],[Admission_Date]],"YYYY")</f>
        <v>2025</v>
      </c>
      <c r="G1615" s="8" t="s">
        <v>3244</v>
      </c>
      <c r="H1615" s="8" t="s">
        <v>34</v>
      </c>
      <c r="I1615" s="4" t="s">
        <v>29</v>
      </c>
      <c r="J1615" s="4">
        <v>72</v>
      </c>
      <c r="K1615" s="4" t="s">
        <v>30</v>
      </c>
      <c r="L1615" s="8">
        <v>1</v>
      </c>
      <c r="M1615" s="9" t="s">
        <v>31</v>
      </c>
      <c r="N1615" s="9" t="str">
        <f t="shared" si="13"/>
        <v>Neuro</v>
      </c>
      <c r="O1615" s="10">
        <v>5096.08</v>
      </c>
      <c r="P1615" s="10">
        <v>3759.34</v>
      </c>
      <c r="Q1615" s="11">
        <v>4.9000000000000004</v>
      </c>
      <c r="R1615" s="13" t="str">
        <f>IF(Patient_Data!$L1615&lt;2,"Low Risk",IF(Patient_Data!$L1615&lt;4,"Moderate Risk","High Risk"))</f>
        <v>Low Risk</v>
      </c>
      <c r="S1615" s="12" t="str">
        <f>IF(Patient_Data[[#This Row],[Age]]&lt;=18,"Pediatric",IF(Patient_Data[[#This Row],[Age]]&lt;=64,"Adult","Geriatric"))</f>
        <v>Geriatric</v>
      </c>
    </row>
    <row r="1616" spans="1:19" ht="15.75" customHeight="1" x14ac:dyDescent="0.3">
      <c r="A1616" s="4" t="s">
        <v>3245</v>
      </c>
      <c r="B1616" s="5" t="str">
        <f>TEXT(Patient_Data!$E1616,"mmmm")</f>
        <v>March</v>
      </c>
      <c r="C1616" s="6" t="str">
        <f t="shared" si="12"/>
        <v>Mar</v>
      </c>
      <c r="D1616" s="6">
        <f>MONTH(Patient_Data!$E1616)</f>
        <v>3</v>
      </c>
      <c r="E1616" s="7">
        <v>46102</v>
      </c>
      <c r="F1616" s="55" t="str">
        <f>TEXT(Patient_Data[[#This Row],[Admission_Date]],"YYYY")</f>
        <v>2026</v>
      </c>
      <c r="G1616" s="8" t="s">
        <v>3246</v>
      </c>
      <c r="H1616" s="8" t="s">
        <v>28</v>
      </c>
      <c r="I1616" s="4" t="s">
        <v>29</v>
      </c>
      <c r="J1616" s="4">
        <v>24</v>
      </c>
      <c r="K1616" s="4" t="s">
        <v>45</v>
      </c>
      <c r="L1616" s="8">
        <v>3</v>
      </c>
      <c r="M1616" s="9" t="s">
        <v>31</v>
      </c>
      <c r="N1616" s="9" t="str">
        <f t="shared" si="13"/>
        <v>Neuro</v>
      </c>
      <c r="O1616" s="10">
        <v>5940.93</v>
      </c>
      <c r="P1616" s="10">
        <v>4596.71</v>
      </c>
      <c r="Q1616" s="11">
        <v>10.199999999999999</v>
      </c>
      <c r="R1616" s="13" t="str">
        <f>IF(Patient_Data!$L1616&lt;2,"Low Risk",IF(Patient_Data!$L1616&lt;4,"Moderate Risk","High Risk"))</f>
        <v>Moderate Risk</v>
      </c>
      <c r="S1616" s="12" t="str">
        <f>IF(Patient_Data[[#This Row],[Age]]&lt;=18,"Pediatric",IF(Patient_Data[[#This Row],[Age]]&lt;=64,"Adult","Geriatric"))</f>
        <v>Adult</v>
      </c>
    </row>
    <row r="1617" spans="1:19" ht="15.75" customHeight="1" x14ac:dyDescent="0.3">
      <c r="A1617" s="4" t="s">
        <v>3247</v>
      </c>
      <c r="B1617" s="5" t="str">
        <f>TEXT(Patient_Data!$E1617,"mmmm")</f>
        <v>May</v>
      </c>
      <c r="C1617" s="6" t="str">
        <f t="shared" si="12"/>
        <v>May</v>
      </c>
      <c r="D1617" s="6">
        <f>MONTH(Patient_Data!$E1617)</f>
        <v>5</v>
      </c>
      <c r="E1617" s="7">
        <v>45789</v>
      </c>
      <c r="F1617" s="55" t="str">
        <f>TEXT(Patient_Data[[#This Row],[Admission_Date]],"YYYY")</f>
        <v>2025</v>
      </c>
      <c r="G1617" s="8" t="s">
        <v>3248</v>
      </c>
      <c r="H1617" s="8" t="s">
        <v>75</v>
      </c>
      <c r="I1617" s="4" t="s">
        <v>35</v>
      </c>
      <c r="J1617" s="4">
        <v>81</v>
      </c>
      <c r="K1617" s="4" t="s">
        <v>54</v>
      </c>
      <c r="L1617" s="8">
        <v>4</v>
      </c>
      <c r="M1617" s="9" t="s">
        <v>39</v>
      </c>
      <c r="N1617" s="9" t="str">
        <f t="shared" si="13"/>
        <v>GM</v>
      </c>
      <c r="O1617" s="10">
        <v>2518.1799999999998</v>
      </c>
      <c r="P1617" s="10">
        <v>1530.94</v>
      </c>
      <c r="Q1617" s="11">
        <v>8.8000000000000007</v>
      </c>
      <c r="R1617" s="13" t="str">
        <f>IF(Patient_Data!$L1617&lt;2,"Low Risk",IF(Patient_Data!$L1617&lt;4,"Moderate Risk","High Risk"))</f>
        <v>High Risk</v>
      </c>
      <c r="S1617" s="12" t="str">
        <f>IF(Patient_Data[[#This Row],[Age]]&lt;=18,"Pediatric",IF(Patient_Data[[#This Row],[Age]]&lt;=64,"Adult","Geriatric"))</f>
        <v>Geriatric</v>
      </c>
    </row>
    <row r="1618" spans="1:19" ht="15.75" customHeight="1" x14ac:dyDescent="0.3">
      <c r="A1618" s="4" t="s">
        <v>3249</v>
      </c>
      <c r="B1618" s="5" t="str">
        <f>TEXT(Patient_Data!$E1618,"mmmm")</f>
        <v>January</v>
      </c>
      <c r="C1618" s="6" t="str">
        <f t="shared" si="12"/>
        <v>Jan</v>
      </c>
      <c r="D1618" s="6">
        <f>MONTH(Patient_Data!$E1618)</f>
        <v>1</v>
      </c>
      <c r="E1618" s="7">
        <v>45663</v>
      </c>
      <c r="F1618" s="55" t="str">
        <f>TEXT(Patient_Data[[#This Row],[Admission_Date]],"YYYY")</f>
        <v>2025</v>
      </c>
      <c r="G1618" s="8" t="s">
        <v>3250</v>
      </c>
      <c r="H1618" s="8" t="s">
        <v>82</v>
      </c>
      <c r="I1618" s="4" t="s">
        <v>35</v>
      </c>
      <c r="J1618" s="4">
        <v>44</v>
      </c>
      <c r="K1618" s="4" t="s">
        <v>30</v>
      </c>
      <c r="L1618" s="8">
        <v>1</v>
      </c>
      <c r="M1618" s="9" t="s">
        <v>31</v>
      </c>
      <c r="N1618" s="9" t="str">
        <f t="shared" si="13"/>
        <v>Neuro</v>
      </c>
      <c r="O1618" s="10">
        <v>7065.83</v>
      </c>
      <c r="P1618" s="10">
        <v>4327.76</v>
      </c>
      <c r="Q1618" s="11">
        <v>2.2000000000000002</v>
      </c>
      <c r="R1618" s="13" t="str">
        <f>IF(Patient_Data!$L1618&lt;2,"Low Risk",IF(Patient_Data!$L1618&lt;4,"Moderate Risk","High Risk"))</f>
        <v>Low Risk</v>
      </c>
      <c r="S1618" s="12" t="str">
        <f>IF(Patient_Data[[#This Row],[Age]]&lt;=18,"Pediatric",IF(Patient_Data[[#This Row],[Age]]&lt;=64,"Adult","Geriatric"))</f>
        <v>Adult</v>
      </c>
    </row>
    <row r="1619" spans="1:19" ht="15.75" customHeight="1" x14ac:dyDescent="0.3">
      <c r="A1619" s="4" t="s">
        <v>3251</v>
      </c>
      <c r="B1619" s="5" t="str">
        <f>TEXT(Patient_Data!$E1619,"mmmm")</f>
        <v>June</v>
      </c>
      <c r="C1619" s="6" t="str">
        <f t="shared" si="12"/>
        <v>Jun</v>
      </c>
      <c r="D1619" s="6">
        <f>MONTH(Patient_Data!$E1619)</f>
        <v>6</v>
      </c>
      <c r="E1619" s="7">
        <v>46177</v>
      </c>
      <c r="F1619" s="55" t="str">
        <f>TEXT(Patient_Data[[#This Row],[Admission_Date]],"YYYY")</f>
        <v>2026</v>
      </c>
      <c r="G1619" s="8" t="s">
        <v>3252</v>
      </c>
      <c r="H1619" s="8" t="s">
        <v>82</v>
      </c>
      <c r="I1619" s="4" t="s">
        <v>29</v>
      </c>
      <c r="J1619" s="4">
        <v>36</v>
      </c>
      <c r="K1619" s="4" t="s">
        <v>30</v>
      </c>
      <c r="L1619" s="8">
        <v>3</v>
      </c>
      <c r="M1619" s="9" t="s">
        <v>72</v>
      </c>
      <c r="N1619" s="9" t="str">
        <f t="shared" si="13"/>
        <v>Surgery</v>
      </c>
      <c r="O1619" s="10">
        <v>19001.099999999999</v>
      </c>
      <c r="P1619" s="10">
        <v>12234.3</v>
      </c>
      <c r="Q1619" s="11">
        <v>9.1999999999999993</v>
      </c>
      <c r="R1619" s="13" t="str">
        <f>IF(Patient_Data!$L1619&lt;2,"Low Risk",IF(Patient_Data!$L1619&lt;4,"Moderate Risk","High Risk"))</f>
        <v>Moderate Risk</v>
      </c>
      <c r="S1619" s="12" t="str">
        <f>IF(Patient_Data[[#This Row],[Age]]&lt;=18,"Pediatric",IF(Patient_Data[[#This Row],[Age]]&lt;=64,"Adult","Geriatric"))</f>
        <v>Adult</v>
      </c>
    </row>
    <row r="1620" spans="1:19" ht="15.75" customHeight="1" x14ac:dyDescent="0.3">
      <c r="A1620" s="4" t="s">
        <v>3253</v>
      </c>
      <c r="B1620" s="5" t="str">
        <f>TEXT(Patient_Data!$E1620,"mmmm")</f>
        <v>October</v>
      </c>
      <c r="C1620" s="6" t="str">
        <f t="shared" si="12"/>
        <v>Oct</v>
      </c>
      <c r="D1620" s="6">
        <f>MONTH(Patient_Data!$E1620)</f>
        <v>10</v>
      </c>
      <c r="E1620" s="7">
        <v>45567</v>
      </c>
      <c r="F1620" s="55" t="str">
        <f>TEXT(Patient_Data[[#This Row],[Admission_Date]],"YYYY")</f>
        <v>2024</v>
      </c>
      <c r="G1620" s="8" t="s">
        <v>3254</v>
      </c>
      <c r="H1620" s="8" t="s">
        <v>132</v>
      </c>
      <c r="I1620" s="4" t="s">
        <v>35</v>
      </c>
      <c r="J1620" s="4">
        <v>84</v>
      </c>
      <c r="K1620" s="4" t="s">
        <v>54</v>
      </c>
      <c r="L1620" s="8">
        <v>4</v>
      </c>
      <c r="M1620" s="9" t="s">
        <v>31</v>
      </c>
      <c r="N1620" s="9" t="str">
        <f t="shared" si="13"/>
        <v>Neuro</v>
      </c>
      <c r="O1620" s="10">
        <v>13546</v>
      </c>
      <c r="P1620" s="10">
        <v>9148.6200000000008</v>
      </c>
      <c r="Q1620" s="11">
        <v>9.1</v>
      </c>
      <c r="R1620" s="13" t="str">
        <f>IF(Patient_Data!$L1620&lt;2,"Low Risk",IF(Patient_Data!$L1620&lt;4,"Moderate Risk","High Risk"))</f>
        <v>High Risk</v>
      </c>
      <c r="S1620" s="12" t="str">
        <f>IF(Patient_Data[[#This Row],[Age]]&lt;=18,"Pediatric",IF(Patient_Data[[#This Row],[Age]]&lt;=64,"Adult","Geriatric"))</f>
        <v>Geriatric</v>
      </c>
    </row>
    <row r="1621" spans="1:19" ht="15.75" customHeight="1" x14ac:dyDescent="0.3">
      <c r="A1621" s="4" t="s">
        <v>3255</v>
      </c>
      <c r="B1621" s="5" t="str">
        <f>TEXT(Patient_Data!$E1621,"mmmm")</f>
        <v>December</v>
      </c>
      <c r="C1621" s="6" t="str">
        <f t="shared" si="12"/>
        <v>Dec</v>
      </c>
      <c r="D1621" s="6">
        <f>MONTH(Patient_Data!$E1621)</f>
        <v>12</v>
      </c>
      <c r="E1621" s="7">
        <v>46006</v>
      </c>
      <c r="F1621" s="55" t="str">
        <f>TEXT(Patient_Data[[#This Row],[Admission_Date]],"YYYY")</f>
        <v>2025</v>
      </c>
      <c r="G1621" s="8" t="s">
        <v>3256</v>
      </c>
      <c r="H1621" s="8" t="s">
        <v>82</v>
      </c>
      <c r="I1621" s="4" t="s">
        <v>29</v>
      </c>
      <c r="J1621" s="4">
        <v>54</v>
      </c>
      <c r="K1621" s="4" t="s">
        <v>30</v>
      </c>
      <c r="L1621" s="8">
        <v>2</v>
      </c>
      <c r="M1621" s="9" t="s">
        <v>83</v>
      </c>
      <c r="N1621" s="9" t="str">
        <f t="shared" si="13"/>
        <v>ER</v>
      </c>
      <c r="O1621" s="10">
        <v>6115.86</v>
      </c>
      <c r="P1621" s="10">
        <v>4408.3</v>
      </c>
      <c r="Q1621" s="11">
        <v>15.9</v>
      </c>
      <c r="R1621" s="13" t="str">
        <f>IF(Patient_Data!$L1621&lt;2,"Low Risk",IF(Patient_Data!$L1621&lt;4,"Moderate Risk","High Risk"))</f>
        <v>Moderate Risk</v>
      </c>
      <c r="S1621" s="12" t="str">
        <f>IF(Patient_Data[[#This Row],[Age]]&lt;=18,"Pediatric",IF(Patient_Data[[#This Row],[Age]]&lt;=64,"Adult","Geriatric"))</f>
        <v>Adult</v>
      </c>
    </row>
    <row r="1622" spans="1:19" ht="15.75" customHeight="1" x14ac:dyDescent="0.3">
      <c r="A1622" s="4" t="s">
        <v>3257</v>
      </c>
      <c r="B1622" s="5" t="str">
        <f>TEXT(Patient_Data!$E1622,"mmmm")</f>
        <v>October</v>
      </c>
      <c r="C1622" s="6" t="str">
        <f t="shared" si="12"/>
        <v>Oct</v>
      </c>
      <c r="D1622" s="6">
        <f>MONTH(Patient_Data!$E1622)</f>
        <v>10</v>
      </c>
      <c r="E1622" s="7">
        <v>45215</v>
      </c>
      <c r="F1622" s="55" t="str">
        <f>TEXT(Patient_Data[[#This Row],[Admission_Date]],"YYYY")</f>
        <v>2023</v>
      </c>
      <c r="G1622" s="8" t="s">
        <v>3258</v>
      </c>
      <c r="H1622" s="8" t="s">
        <v>34</v>
      </c>
      <c r="I1622" s="4" t="s">
        <v>35</v>
      </c>
      <c r="J1622" s="4">
        <v>31</v>
      </c>
      <c r="K1622" s="4" t="s">
        <v>54</v>
      </c>
      <c r="L1622" s="8">
        <v>3</v>
      </c>
      <c r="M1622" s="9" t="s">
        <v>39</v>
      </c>
      <c r="N1622" s="9" t="str">
        <f t="shared" si="13"/>
        <v>GM</v>
      </c>
      <c r="O1622" s="10">
        <v>2319.34</v>
      </c>
      <c r="P1622" s="10">
        <v>1748.32</v>
      </c>
      <c r="Q1622" s="11">
        <v>6.9</v>
      </c>
      <c r="R1622" s="13" t="str">
        <f>IF(Patient_Data!$L1622&lt;2,"Low Risk",IF(Patient_Data!$L1622&lt;4,"Moderate Risk","High Risk"))</f>
        <v>Moderate Risk</v>
      </c>
      <c r="S1622" s="12" t="str">
        <f>IF(Patient_Data[[#This Row],[Age]]&lt;=18,"Pediatric",IF(Patient_Data[[#This Row],[Age]]&lt;=64,"Adult","Geriatric"))</f>
        <v>Adult</v>
      </c>
    </row>
    <row r="1623" spans="1:19" ht="15.75" customHeight="1" x14ac:dyDescent="0.3">
      <c r="A1623" s="4" t="s">
        <v>3259</v>
      </c>
      <c r="B1623" s="5" t="str">
        <f>TEXT(Patient_Data!$E1623,"mmmm")</f>
        <v>December</v>
      </c>
      <c r="C1623" s="6" t="str">
        <f t="shared" si="12"/>
        <v>Dec</v>
      </c>
      <c r="D1623" s="6">
        <f>MONTH(Patient_Data!$E1623)</f>
        <v>12</v>
      </c>
      <c r="E1623" s="7">
        <v>45644</v>
      </c>
      <c r="F1623" s="55" t="str">
        <f>TEXT(Patient_Data[[#This Row],[Admission_Date]],"YYYY")</f>
        <v>2024</v>
      </c>
      <c r="G1623" s="8" t="s">
        <v>3260</v>
      </c>
      <c r="H1623" s="8" t="s">
        <v>28</v>
      </c>
      <c r="I1623" s="4" t="s">
        <v>29</v>
      </c>
      <c r="J1623" s="4">
        <v>25</v>
      </c>
      <c r="K1623" s="4" t="s">
        <v>30</v>
      </c>
      <c r="L1623" s="8">
        <v>1</v>
      </c>
      <c r="M1623" s="9" t="s">
        <v>36</v>
      </c>
      <c r="N1623" s="9" t="str">
        <f t="shared" si="13"/>
        <v>Cardio</v>
      </c>
      <c r="O1623" s="10">
        <v>9690.6</v>
      </c>
      <c r="P1623" s="10">
        <v>7443.26</v>
      </c>
      <c r="Q1623" s="11">
        <v>9.8000000000000007</v>
      </c>
      <c r="R1623" s="13" t="str">
        <f>IF(Patient_Data!$L1623&lt;2,"Low Risk",IF(Patient_Data!$L1623&lt;4,"Moderate Risk","High Risk"))</f>
        <v>Low Risk</v>
      </c>
      <c r="S1623" s="12" t="str">
        <f>IF(Patient_Data[[#This Row],[Age]]&lt;=18,"Pediatric",IF(Patient_Data[[#This Row],[Age]]&lt;=64,"Adult","Geriatric"))</f>
        <v>Adult</v>
      </c>
    </row>
    <row r="1624" spans="1:19" ht="15.75" customHeight="1" x14ac:dyDescent="0.3">
      <c r="A1624" s="4" t="s">
        <v>3261</v>
      </c>
      <c r="B1624" s="5" t="str">
        <f>TEXT(Patient_Data!$E1624,"mmmm")</f>
        <v>August</v>
      </c>
      <c r="C1624" s="6" t="str">
        <f t="shared" si="12"/>
        <v>Aug</v>
      </c>
      <c r="D1624" s="6">
        <f>MONTH(Patient_Data!$E1624)</f>
        <v>8</v>
      </c>
      <c r="E1624" s="7">
        <v>45876</v>
      </c>
      <c r="F1624" s="55" t="str">
        <f>TEXT(Patient_Data[[#This Row],[Admission_Date]],"YYYY")</f>
        <v>2025</v>
      </c>
      <c r="G1624" s="8" t="s">
        <v>3262</v>
      </c>
      <c r="H1624" s="8" t="s">
        <v>28</v>
      </c>
      <c r="I1624" s="4" t="s">
        <v>29</v>
      </c>
      <c r="J1624" s="4">
        <v>63</v>
      </c>
      <c r="K1624" s="4" t="s">
        <v>30</v>
      </c>
      <c r="L1624" s="8">
        <v>1</v>
      </c>
      <c r="M1624" s="9" t="s">
        <v>46</v>
      </c>
      <c r="N1624" s="9" t="str">
        <f t="shared" si="13"/>
        <v>Ortho</v>
      </c>
      <c r="O1624" s="10">
        <v>5054.47</v>
      </c>
      <c r="P1624" s="10">
        <v>2971.59</v>
      </c>
      <c r="Q1624" s="11">
        <v>5</v>
      </c>
      <c r="R1624" s="13" t="str">
        <f>IF(Patient_Data!$L1624&lt;2,"Low Risk",IF(Patient_Data!$L1624&lt;4,"Moderate Risk","High Risk"))</f>
        <v>Low Risk</v>
      </c>
      <c r="S1624" s="12" t="str">
        <f>IF(Patient_Data[[#This Row],[Age]]&lt;=18,"Pediatric",IF(Patient_Data[[#This Row],[Age]]&lt;=64,"Adult","Geriatric"))</f>
        <v>Adult</v>
      </c>
    </row>
    <row r="1625" spans="1:19" ht="15.75" customHeight="1" x14ac:dyDescent="0.3">
      <c r="A1625" s="4" t="s">
        <v>3263</v>
      </c>
      <c r="B1625" s="5" t="str">
        <f>TEXT(Patient_Data!$E1625,"mmmm")</f>
        <v>August</v>
      </c>
      <c r="C1625" s="6" t="str">
        <f t="shared" si="12"/>
        <v>Aug</v>
      </c>
      <c r="D1625" s="6">
        <f>MONTH(Patient_Data!$E1625)</f>
        <v>8</v>
      </c>
      <c r="E1625" s="7">
        <v>45169</v>
      </c>
      <c r="F1625" s="55" t="str">
        <f>TEXT(Patient_Data[[#This Row],[Admission_Date]],"YYYY")</f>
        <v>2023</v>
      </c>
      <c r="G1625" s="8" t="s">
        <v>3264</v>
      </c>
      <c r="H1625" s="8" t="s">
        <v>53</v>
      </c>
      <c r="I1625" s="4" t="s">
        <v>29</v>
      </c>
      <c r="J1625" s="4">
        <v>50</v>
      </c>
      <c r="K1625" s="4" t="s">
        <v>30</v>
      </c>
      <c r="L1625" s="8">
        <v>1</v>
      </c>
      <c r="M1625" s="9" t="s">
        <v>83</v>
      </c>
      <c r="N1625" s="9" t="str">
        <f t="shared" si="13"/>
        <v>ER</v>
      </c>
      <c r="O1625" s="10">
        <v>6507</v>
      </c>
      <c r="P1625" s="10">
        <v>4076.47</v>
      </c>
      <c r="Q1625" s="11">
        <v>13.4</v>
      </c>
      <c r="R1625" s="13" t="str">
        <f>IF(Patient_Data!$L1625&lt;2,"Low Risk",IF(Patient_Data!$L1625&lt;4,"Moderate Risk","High Risk"))</f>
        <v>Low Risk</v>
      </c>
      <c r="S1625" s="12" t="str">
        <f>IF(Patient_Data[[#This Row],[Age]]&lt;=18,"Pediatric",IF(Patient_Data[[#This Row],[Age]]&lt;=64,"Adult","Geriatric"))</f>
        <v>Adult</v>
      </c>
    </row>
    <row r="1626" spans="1:19" ht="15.75" customHeight="1" x14ac:dyDescent="0.3">
      <c r="A1626" s="4" t="s">
        <v>3265</v>
      </c>
      <c r="B1626" s="5" t="str">
        <f>TEXT(Patient_Data!$E1626,"mmmm")</f>
        <v>October</v>
      </c>
      <c r="C1626" s="6" t="str">
        <f t="shared" si="12"/>
        <v>Oct</v>
      </c>
      <c r="D1626" s="6">
        <f>MONTH(Patient_Data!$E1626)</f>
        <v>10</v>
      </c>
      <c r="E1626" s="7">
        <v>45937</v>
      </c>
      <c r="F1626" s="55" t="str">
        <f>TEXT(Patient_Data[[#This Row],[Admission_Date]],"YYYY")</f>
        <v>2025</v>
      </c>
      <c r="G1626" s="8" t="s">
        <v>3266</v>
      </c>
      <c r="H1626" s="8" t="s">
        <v>34</v>
      </c>
      <c r="I1626" s="4" t="s">
        <v>29</v>
      </c>
      <c r="J1626" s="4">
        <v>45</v>
      </c>
      <c r="K1626" s="4" t="s">
        <v>30</v>
      </c>
      <c r="L1626" s="8">
        <v>1</v>
      </c>
      <c r="M1626" s="9" t="s">
        <v>36</v>
      </c>
      <c r="N1626" s="9" t="str">
        <f t="shared" si="13"/>
        <v>Cardio</v>
      </c>
      <c r="O1626" s="10">
        <v>5371.82</v>
      </c>
      <c r="P1626" s="10">
        <v>3489.96</v>
      </c>
      <c r="Q1626" s="11">
        <v>6.5</v>
      </c>
      <c r="R1626" s="13" t="str">
        <f>IF(Patient_Data!$L1626&lt;2,"Low Risk",IF(Patient_Data!$L1626&lt;4,"Moderate Risk","High Risk"))</f>
        <v>Low Risk</v>
      </c>
      <c r="S1626" s="12" t="str">
        <f>IF(Patient_Data[[#This Row],[Age]]&lt;=18,"Pediatric",IF(Patient_Data[[#This Row],[Age]]&lt;=64,"Adult","Geriatric"))</f>
        <v>Adult</v>
      </c>
    </row>
    <row r="1627" spans="1:19" ht="15.75" customHeight="1" x14ac:dyDescent="0.3">
      <c r="A1627" s="4" t="s">
        <v>3267</v>
      </c>
      <c r="B1627" s="5" t="str">
        <f>TEXT(Patient_Data!$E1627,"mmmm")</f>
        <v>May</v>
      </c>
      <c r="C1627" s="6" t="str">
        <f t="shared" si="12"/>
        <v>May</v>
      </c>
      <c r="D1627" s="6">
        <f>MONTH(Patient_Data!$E1627)</f>
        <v>5</v>
      </c>
      <c r="E1627" s="7">
        <v>45796</v>
      </c>
      <c r="F1627" s="55" t="str">
        <f>TEXT(Patient_Data[[#This Row],[Admission_Date]],"YYYY")</f>
        <v>2025</v>
      </c>
      <c r="G1627" s="8" t="s">
        <v>3268</v>
      </c>
      <c r="H1627" s="8" t="s">
        <v>28</v>
      </c>
      <c r="I1627" s="4" t="s">
        <v>29</v>
      </c>
      <c r="J1627" s="4">
        <v>81</v>
      </c>
      <c r="K1627" s="4" t="s">
        <v>45</v>
      </c>
      <c r="L1627" s="8">
        <v>3</v>
      </c>
      <c r="M1627" s="9" t="s">
        <v>50</v>
      </c>
      <c r="N1627" s="9" t="str">
        <f t="shared" si="13"/>
        <v>ICU</v>
      </c>
      <c r="O1627" s="10">
        <v>19218.5</v>
      </c>
      <c r="P1627" s="10">
        <v>12961.19</v>
      </c>
      <c r="Q1627" s="11">
        <v>10.6</v>
      </c>
      <c r="R1627" s="13" t="str">
        <f>IF(Patient_Data!$L1627&lt;2,"Low Risk",IF(Patient_Data!$L1627&lt;4,"Moderate Risk","High Risk"))</f>
        <v>Moderate Risk</v>
      </c>
      <c r="S1627" s="12" t="str">
        <f>IF(Patient_Data[[#This Row],[Age]]&lt;=18,"Pediatric",IF(Patient_Data[[#This Row],[Age]]&lt;=64,"Adult","Geriatric"))</f>
        <v>Geriatric</v>
      </c>
    </row>
    <row r="1628" spans="1:19" ht="15.75" customHeight="1" x14ac:dyDescent="0.3">
      <c r="A1628" s="4" t="s">
        <v>3269</v>
      </c>
      <c r="B1628" s="5" t="str">
        <f>TEXT(Patient_Data!$E1628,"mmmm")</f>
        <v>March</v>
      </c>
      <c r="C1628" s="6" t="str">
        <f t="shared" si="12"/>
        <v>Mar</v>
      </c>
      <c r="D1628" s="6">
        <f>MONTH(Patient_Data!$E1628)</f>
        <v>3</v>
      </c>
      <c r="E1628" s="7">
        <v>45379</v>
      </c>
      <c r="F1628" s="55" t="str">
        <f>TEXT(Patient_Data[[#This Row],[Admission_Date]],"YYYY")</f>
        <v>2024</v>
      </c>
      <c r="G1628" s="8" t="s">
        <v>3270</v>
      </c>
      <c r="H1628" s="8" t="s">
        <v>34</v>
      </c>
      <c r="I1628" s="4" t="s">
        <v>29</v>
      </c>
      <c r="J1628" s="4">
        <v>26</v>
      </c>
      <c r="K1628" s="4" t="s">
        <v>54</v>
      </c>
      <c r="L1628" s="8">
        <v>4</v>
      </c>
      <c r="M1628" s="9" t="s">
        <v>31</v>
      </c>
      <c r="N1628" s="9" t="str">
        <f t="shared" si="13"/>
        <v>Neuro</v>
      </c>
      <c r="O1628" s="10">
        <v>7727.24</v>
      </c>
      <c r="P1628" s="10">
        <v>5442.67</v>
      </c>
      <c r="Q1628" s="11">
        <v>4.2</v>
      </c>
      <c r="R1628" s="13" t="str">
        <f>IF(Patient_Data!$L1628&lt;2,"Low Risk",IF(Patient_Data!$L1628&lt;4,"Moderate Risk","High Risk"))</f>
        <v>High Risk</v>
      </c>
      <c r="S1628" s="12" t="str">
        <f>IF(Patient_Data[[#This Row],[Age]]&lt;=18,"Pediatric",IF(Patient_Data[[#This Row],[Age]]&lt;=64,"Adult","Geriatric"))</f>
        <v>Adult</v>
      </c>
    </row>
    <row r="1629" spans="1:19" ht="15.75" customHeight="1" x14ac:dyDescent="0.3">
      <c r="A1629" s="4" t="s">
        <v>3271</v>
      </c>
      <c r="B1629" s="5" t="str">
        <f>TEXT(Patient_Data!$E1629,"mmmm")</f>
        <v>October</v>
      </c>
      <c r="C1629" s="6" t="str">
        <f t="shared" si="12"/>
        <v>Oct</v>
      </c>
      <c r="D1629" s="6">
        <f>MONTH(Patient_Data!$E1629)</f>
        <v>10</v>
      </c>
      <c r="E1629" s="7">
        <v>45587</v>
      </c>
      <c r="F1629" s="55" t="str">
        <f>TEXT(Patient_Data[[#This Row],[Admission_Date]],"YYYY")</f>
        <v>2024</v>
      </c>
      <c r="G1629" s="8" t="s">
        <v>3272</v>
      </c>
      <c r="H1629" s="8" t="s">
        <v>75</v>
      </c>
      <c r="I1629" s="4" t="s">
        <v>35</v>
      </c>
      <c r="J1629" s="4">
        <v>78</v>
      </c>
      <c r="K1629" s="4" t="s">
        <v>45</v>
      </c>
      <c r="L1629" s="8">
        <v>3</v>
      </c>
      <c r="M1629" s="9" t="s">
        <v>50</v>
      </c>
      <c r="N1629" s="9" t="str">
        <f t="shared" si="13"/>
        <v>ICU</v>
      </c>
      <c r="O1629" s="10">
        <v>10066.36</v>
      </c>
      <c r="P1629" s="10">
        <v>7434.84</v>
      </c>
      <c r="Q1629" s="11">
        <v>10.8</v>
      </c>
      <c r="R1629" s="13" t="str">
        <f>IF(Patient_Data!$L1629&lt;2,"Low Risk",IF(Patient_Data!$L1629&lt;4,"Moderate Risk","High Risk"))</f>
        <v>Moderate Risk</v>
      </c>
      <c r="S1629" s="12" t="str">
        <f>IF(Patient_Data[[#This Row],[Age]]&lt;=18,"Pediatric",IF(Patient_Data[[#This Row],[Age]]&lt;=64,"Adult","Geriatric"))</f>
        <v>Geriatric</v>
      </c>
    </row>
    <row r="1630" spans="1:19" ht="15.75" customHeight="1" x14ac:dyDescent="0.3">
      <c r="A1630" s="4" t="s">
        <v>3273</v>
      </c>
      <c r="B1630" s="5" t="str">
        <f>TEXT(Patient_Data!$E1630,"mmmm")</f>
        <v>December</v>
      </c>
      <c r="C1630" s="6" t="str">
        <f t="shared" si="12"/>
        <v>Dec</v>
      </c>
      <c r="D1630" s="6">
        <f>MONTH(Patient_Data!$E1630)</f>
        <v>12</v>
      </c>
      <c r="E1630" s="7">
        <v>45289</v>
      </c>
      <c r="F1630" s="55" t="str">
        <f>TEXT(Patient_Data[[#This Row],[Admission_Date]],"YYYY")</f>
        <v>2023</v>
      </c>
      <c r="G1630" s="8" t="s">
        <v>3274</v>
      </c>
      <c r="H1630" s="8" t="s">
        <v>28</v>
      </c>
      <c r="I1630" s="4" t="s">
        <v>35</v>
      </c>
      <c r="J1630" s="4">
        <v>48</v>
      </c>
      <c r="K1630" s="4" t="s">
        <v>54</v>
      </c>
      <c r="L1630" s="8">
        <v>4</v>
      </c>
      <c r="M1630" s="9" t="s">
        <v>83</v>
      </c>
      <c r="N1630" s="9" t="str">
        <f t="shared" si="13"/>
        <v>ER</v>
      </c>
      <c r="O1630" s="10">
        <v>10562.95</v>
      </c>
      <c r="P1630" s="10">
        <v>8129.44</v>
      </c>
      <c r="Q1630" s="11">
        <v>12.7</v>
      </c>
      <c r="R1630" s="13" t="str">
        <f>IF(Patient_Data!$L1630&lt;2,"Low Risk",IF(Patient_Data!$L1630&lt;4,"Moderate Risk","High Risk"))</f>
        <v>High Risk</v>
      </c>
      <c r="S1630" s="12" t="str">
        <f>IF(Patient_Data[[#This Row],[Age]]&lt;=18,"Pediatric",IF(Patient_Data[[#This Row],[Age]]&lt;=64,"Adult","Geriatric"))</f>
        <v>Adult</v>
      </c>
    </row>
    <row r="1631" spans="1:19" ht="15.75" customHeight="1" x14ac:dyDescent="0.3">
      <c r="A1631" s="4" t="s">
        <v>3275</v>
      </c>
      <c r="B1631" s="5" t="str">
        <f>TEXT(Patient_Data!$E1631,"mmmm")</f>
        <v>March</v>
      </c>
      <c r="C1631" s="6" t="str">
        <f t="shared" si="12"/>
        <v>Mar</v>
      </c>
      <c r="D1631" s="6">
        <f>MONTH(Patient_Data!$E1631)</f>
        <v>3</v>
      </c>
      <c r="E1631" s="7">
        <v>45357</v>
      </c>
      <c r="F1631" s="55" t="str">
        <f>TEXT(Patient_Data[[#This Row],[Admission_Date]],"YYYY")</f>
        <v>2024</v>
      </c>
      <c r="G1631" s="8" t="s">
        <v>3276</v>
      </c>
      <c r="H1631" s="8" t="s">
        <v>42</v>
      </c>
      <c r="I1631" s="4" t="s">
        <v>29</v>
      </c>
      <c r="J1631" s="4">
        <v>48</v>
      </c>
      <c r="K1631" s="4" t="s">
        <v>54</v>
      </c>
      <c r="L1631" s="8">
        <v>3</v>
      </c>
      <c r="M1631" s="9" t="s">
        <v>46</v>
      </c>
      <c r="N1631" s="9" t="str">
        <f t="shared" si="13"/>
        <v>Ortho</v>
      </c>
      <c r="O1631" s="10">
        <v>8414.6299999999992</v>
      </c>
      <c r="P1631" s="10">
        <v>4918.09</v>
      </c>
      <c r="Q1631" s="11">
        <v>4.7</v>
      </c>
      <c r="R1631" s="13" t="str">
        <f>IF(Patient_Data!$L1631&lt;2,"Low Risk",IF(Patient_Data!$L1631&lt;4,"Moderate Risk","High Risk"))</f>
        <v>Moderate Risk</v>
      </c>
      <c r="S1631" s="12" t="str">
        <f>IF(Patient_Data[[#This Row],[Age]]&lt;=18,"Pediatric",IF(Patient_Data[[#This Row],[Age]]&lt;=64,"Adult","Geriatric"))</f>
        <v>Adult</v>
      </c>
    </row>
    <row r="1632" spans="1:19" ht="15.75" customHeight="1" x14ac:dyDescent="0.3">
      <c r="A1632" s="4" t="s">
        <v>3277</v>
      </c>
      <c r="B1632" s="5" t="str">
        <f>TEXT(Patient_Data!$E1632,"mmmm")</f>
        <v>September</v>
      </c>
      <c r="C1632" s="6" t="str">
        <f t="shared" si="12"/>
        <v>Sep</v>
      </c>
      <c r="D1632" s="6">
        <f>MONTH(Patient_Data!$E1632)</f>
        <v>9</v>
      </c>
      <c r="E1632" s="7">
        <v>45929</v>
      </c>
      <c r="F1632" s="55" t="str">
        <f>TEXT(Patient_Data[[#This Row],[Admission_Date]],"YYYY")</f>
        <v>2025</v>
      </c>
      <c r="G1632" s="8" t="s">
        <v>3278</v>
      </c>
      <c r="H1632" s="8" t="s">
        <v>28</v>
      </c>
      <c r="I1632" s="4" t="s">
        <v>35</v>
      </c>
      <c r="J1632" s="4">
        <v>83</v>
      </c>
      <c r="K1632" s="4" t="s">
        <v>54</v>
      </c>
      <c r="L1632" s="8">
        <v>5</v>
      </c>
      <c r="M1632" s="9" t="s">
        <v>72</v>
      </c>
      <c r="N1632" s="9" t="str">
        <f t="shared" si="13"/>
        <v>Surgery</v>
      </c>
      <c r="O1632" s="10">
        <v>13794.1</v>
      </c>
      <c r="P1632" s="10">
        <v>8437.6</v>
      </c>
      <c r="Q1632" s="11">
        <v>2.9</v>
      </c>
      <c r="R1632" s="13" t="str">
        <f>IF(Patient_Data!$L1632&lt;2,"Low Risk",IF(Patient_Data!$L1632&lt;4,"Moderate Risk","High Risk"))</f>
        <v>High Risk</v>
      </c>
      <c r="S1632" s="12" t="str">
        <f>IF(Patient_Data[[#This Row],[Age]]&lt;=18,"Pediatric",IF(Patient_Data[[#This Row],[Age]]&lt;=64,"Adult","Geriatric"))</f>
        <v>Geriatric</v>
      </c>
    </row>
    <row r="1633" spans="1:19" ht="15.75" customHeight="1" x14ac:dyDescent="0.3">
      <c r="A1633" s="4" t="s">
        <v>3279</v>
      </c>
      <c r="B1633" s="5" t="str">
        <f>TEXT(Patient_Data!$E1633,"mmmm")</f>
        <v>March</v>
      </c>
      <c r="C1633" s="6" t="str">
        <f t="shared" si="12"/>
        <v>Mar</v>
      </c>
      <c r="D1633" s="6">
        <f>MONTH(Patient_Data!$E1633)</f>
        <v>3</v>
      </c>
      <c r="E1633" s="7">
        <v>46105</v>
      </c>
      <c r="F1633" s="55" t="str">
        <f>TEXT(Patient_Data[[#This Row],[Admission_Date]],"YYYY")</f>
        <v>2026</v>
      </c>
      <c r="G1633" s="8" t="s">
        <v>2768</v>
      </c>
      <c r="H1633" s="8" t="s">
        <v>49</v>
      </c>
      <c r="I1633" s="4" t="s">
        <v>29</v>
      </c>
      <c r="J1633" s="4">
        <v>31</v>
      </c>
      <c r="K1633" s="4" t="s">
        <v>30</v>
      </c>
      <c r="L1633" s="8">
        <v>1</v>
      </c>
      <c r="M1633" s="9" t="s">
        <v>39</v>
      </c>
      <c r="N1633" s="9" t="str">
        <f t="shared" si="13"/>
        <v>GM</v>
      </c>
      <c r="O1633" s="10">
        <v>2038.67</v>
      </c>
      <c r="P1633" s="10">
        <v>1374.35</v>
      </c>
      <c r="Q1633" s="11">
        <v>8.6999999999999993</v>
      </c>
      <c r="R1633" s="13" t="str">
        <f>IF(Patient_Data!$L1633&lt;2,"Low Risk",IF(Patient_Data!$L1633&lt;4,"Moderate Risk","High Risk"))</f>
        <v>Low Risk</v>
      </c>
      <c r="S1633" s="12" t="str">
        <f>IF(Patient_Data[[#This Row],[Age]]&lt;=18,"Pediatric",IF(Patient_Data[[#This Row],[Age]]&lt;=64,"Adult","Geriatric"))</f>
        <v>Adult</v>
      </c>
    </row>
    <row r="1634" spans="1:19" ht="15.75" customHeight="1" x14ac:dyDescent="0.3">
      <c r="A1634" s="4" t="s">
        <v>3280</v>
      </c>
      <c r="B1634" s="5" t="str">
        <f>TEXT(Patient_Data!$E1634,"mmmm")</f>
        <v>June</v>
      </c>
      <c r="C1634" s="6" t="str">
        <f t="shared" si="12"/>
        <v>Jun</v>
      </c>
      <c r="D1634" s="6">
        <f>MONTH(Patient_Data!$E1634)</f>
        <v>6</v>
      </c>
      <c r="E1634" s="7">
        <v>46202</v>
      </c>
      <c r="F1634" s="55" t="str">
        <f>TEXT(Patient_Data[[#This Row],[Admission_Date]],"YYYY")</f>
        <v>2026</v>
      </c>
      <c r="G1634" s="8" t="s">
        <v>3281</v>
      </c>
      <c r="H1634" s="8" t="s">
        <v>82</v>
      </c>
      <c r="I1634" s="4" t="s">
        <v>35</v>
      </c>
      <c r="J1634" s="4">
        <v>82</v>
      </c>
      <c r="K1634" s="4" t="s">
        <v>45</v>
      </c>
      <c r="L1634" s="8">
        <v>5</v>
      </c>
      <c r="M1634" s="9" t="s">
        <v>50</v>
      </c>
      <c r="N1634" s="9" t="str">
        <f t="shared" si="13"/>
        <v>ICU</v>
      </c>
      <c r="O1634" s="10">
        <v>20770.560000000001</v>
      </c>
      <c r="P1634" s="10">
        <v>14027.48</v>
      </c>
      <c r="Q1634" s="11">
        <v>13.9</v>
      </c>
      <c r="R1634" s="13" t="str">
        <f>IF(Patient_Data!$L1634&lt;2,"Low Risk",IF(Patient_Data!$L1634&lt;4,"Moderate Risk","High Risk"))</f>
        <v>High Risk</v>
      </c>
      <c r="S1634" s="12" t="str">
        <f>IF(Patient_Data[[#This Row],[Age]]&lt;=18,"Pediatric",IF(Patient_Data[[#This Row],[Age]]&lt;=64,"Adult","Geriatric"))</f>
        <v>Geriatric</v>
      </c>
    </row>
    <row r="1635" spans="1:19" ht="15.75" customHeight="1" x14ac:dyDescent="0.3">
      <c r="A1635" s="4" t="s">
        <v>3282</v>
      </c>
      <c r="B1635" s="5" t="str">
        <f>TEXT(Patient_Data!$E1635,"mmmm")</f>
        <v>May</v>
      </c>
      <c r="C1635" s="6" t="str">
        <f t="shared" si="12"/>
        <v>May</v>
      </c>
      <c r="D1635" s="6">
        <f>MONTH(Patient_Data!$E1635)</f>
        <v>5</v>
      </c>
      <c r="E1635" s="7">
        <v>45440</v>
      </c>
      <c r="F1635" s="55" t="str">
        <f>TEXT(Patient_Data[[#This Row],[Admission_Date]],"YYYY")</f>
        <v>2024</v>
      </c>
      <c r="G1635" s="8" t="s">
        <v>3283</v>
      </c>
      <c r="H1635" s="8" t="s">
        <v>53</v>
      </c>
      <c r="I1635" s="4" t="s">
        <v>29</v>
      </c>
      <c r="J1635" s="4">
        <v>83</v>
      </c>
      <c r="K1635" s="4" t="s">
        <v>45</v>
      </c>
      <c r="L1635" s="8">
        <v>4</v>
      </c>
      <c r="M1635" s="9" t="s">
        <v>50</v>
      </c>
      <c r="N1635" s="9" t="str">
        <f t="shared" si="13"/>
        <v>ICU</v>
      </c>
      <c r="O1635" s="10">
        <v>11194.77</v>
      </c>
      <c r="P1635" s="10">
        <v>7908.34</v>
      </c>
      <c r="Q1635" s="11">
        <v>9</v>
      </c>
      <c r="R1635" s="13" t="str">
        <f>IF(Patient_Data!$L1635&lt;2,"Low Risk",IF(Patient_Data!$L1635&lt;4,"Moderate Risk","High Risk"))</f>
        <v>High Risk</v>
      </c>
      <c r="S1635" s="12" t="str">
        <f>IF(Patient_Data[[#This Row],[Age]]&lt;=18,"Pediatric",IF(Patient_Data[[#This Row],[Age]]&lt;=64,"Adult","Geriatric"))</f>
        <v>Geriatric</v>
      </c>
    </row>
    <row r="1636" spans="1:19" ht="15.75" customHeight="1" x14ac:dyDescent="0.3">
      <c r="A1636" s="4" t="s">
        <v>3284</v>
      </c>
      <c r="B1636" s="5" t="str">
        <f>TEXT(Patient_Data!$E1636,"mmmm")</f>
        <v>November</v>
      </c>
      <c r="C1636" s="6" t="str">
        <f t="shared" si="12"/>
        <v>Nov</v>
      </c>
      <c r="D1636" s="6">
        <f>MONTH(Patient_Data!$E1636)</f>
        <v>11</v>
      </c>
      <c r="E1636" s="7">
        <v>45974</v>
      </c>
      <c r="F1636" s="55" t="str">
        <f>TEXT(Patient_Data[[#This Row],[Admission_Date]],"YYYY")</f>
        <v>2025</v>
      </c>
      <c r="G1636" s="8" t="s">
        <v>3285</v>
      </c>
      <c r="H1636" s="8" t="s">
        <v>34</v>
      </c>
      <c r="I1636" s="4" t="s">
        <v>35</v>
      </c>
      <c r="J1636" s="4">
        <v>83</v>
      </c>
      <c r="K1636" s="4" t="s">
        <v>30</v>
      </c>
      <c r="L1636" s="8">
        <v>5</v>
      </c>
      <c r="M1636" s="9" t="s">
        <v>39</v>
      </c>
      <c r="N1636" s="9" t="str">
        <f t="shared" si="13"/>
        <v>GM</v>
      </c>
      <c r="O1636" s="10">
        <v>5050.25</v>
      </c>
      <c r="P1636" s="10">
        <v>3740.28</v>
      </c>
      <c r="Q1636" s="11">
        <v>6.7</v>
      </c>
      <c r="R1636" s="13" t="str">
        <f>IF(Patient_Data!$L1636&lt;2,"Low Risk",IF(Patient_Data!$L1636&lt;4,"Moderate Risk","High Risk"))</f>
        <v>High Risk</v>
      </c>
      <c r="S1636" s="12" t="str">
        <f>IF(Patient_Data[[#This Row],[Age]]&lt;=18,"Pediatric",IF(Patient_Data[[#This Row],[Age]]&lt;=64,"Adult","Geriatric"))</f>
        <v>Geriatric</v>
      </c>
    </row>
    <row r="1637" spans="1:19" ht="15.75" customHeight="1" x14ac:dyDescent="0.3">
      <c r="A1637" s="4" t="s">
        <v>3286</v>
      </c>
      <c r="B1637" s="5" t="str">
        <f>TEXT(Patient_Data!$E1637,"mmmm")</f>
        <v>January</v>
      </c>
      <c r="C1637" s="6" t="str">
        <f t="shared" si="12"/>
        <v>Jan</v>
      </c>
      <c r="D1637" s="6">
        <f>MONTH(Patient_Data!$E1637)</f>
        <v>1</v>
      </c>
      <c r="E1637" s="7">
        <v>45320</v>
      </c>
      <c r="F1637" s="55" t="str">
        <f>TEXT(Patient_Data[[#This Row],[Admission_Date]],"YYYY")</f>
        <v>2024</v>
      </c>
      <c r="G1637" s="8" t="s">
        <v>3287</v>
      </c>
      <c r="H1637" s="8" t="s">
        <v>53</v>
      </c>
      <c r="I1637" s="4" t="s">
        <v>35</v>
      </c>
      <c r="J1637" s="4">
        <v>62</v>
      </c>
      <c r="K1637" s="4" t="s">
        <v>45</v>
      </c>
      <c r="L1637" s="8">
        <v>5</v>
      </c>
      <c r="M1637" s="9" t="s">
        <v>39</v>
      </c>
      <c r="N1637" s="9" t="str">
        <f t="shared" si="13"/>
        <v>GM</v>
      </c>
      <c r="O1637" s="10">
        <v>2400.7199999999998</v>
      </c>
      <c r="P1637" s="10">
        <v>1879.75</v>
      </c>
      <c r="Q1637" s="11">
        <v>6.9</v>
      </c>
      <c r="R1637" s="13" t="str">
        <f>IF(Patient_Data!$L1637&lt;2,"Low Risk",IF(Patient_Data!$L1637&lt;4,"Moderate Risk","High Risk"))</f>
        <v>High Risk</v>
      </c>
      <c r="S1637" s="12" t="str">
        <f>IF(Patient_Data[[#This Row],[Age]]&lt;=18,"Pediatric",IF(Patient_Data[[#This Row],[Age]]&lt;=64,"Adult","Geriatric"))</f>
        <v>Adult</v>
      </c>
    </row>
    <row r="1638" spans="1:19" ht="15.75" customHeight="1" x14ac:dyDescent="0.3">
      <c r="A1638" s="4" t="s">
        <v>3288</v>
      </c>
      <c r="B1638" s="5" t="str">
        <f>TEXT(Patient_Data!$E1638,"mmmm")</f>
        <v>January</v>
      </c>
      <c r="C1638" s="6" t="str">
        <f t="shared" si="12"/>
        <v>Jan</v>
      </c>
      <c r="D1638" s="6">
        <f>MONTH(Patient_Data!$E1638)</f>
        <v>1</v>
      </c>
      <c r="E1638" s="7">
        <v>45294</v>
      </c>
      <c r="F1638" s="55" t="str">
        <f>TEXT(Patient_Data[[#This Row],[Admission_Date]],"YYYY")</f>
        <v>2024</v>
      </c>
      <c r="G1638" s="8" t="s">
        <v>3289</v>
      </c>
      <c r="H1638" s="8" t="s">
        <v>28</v>
      </c>
      <c r="I1638" s="4" t="s">
        <v>29</v>
      </c>
      <c r="J1638" s="4">
        <v>57</v>
      </c>
      <c r="K1638" s="4" t="s">
        <v>54</v>
      </c>
      <c r="L1638" s="8">
        <v>1</v>
      </c>
      <c r="M1638" s="9" t="s">
        <v>31</v>
      </c>
      <c r="N1638" s="9" t="str">
        <f t="shared" si="13"/>
        <v>Neuro</v>
      </c>
      <c r="O1638" s="10">
        <v>5631.52</v>
      </c>
      <c r="P1638" s="10">
        <v>3328.68</v>
      </c>
      <c r="Q1638" s="11">
        <v>7.8</v>
      </c>
      <c r="R1638" s="13" t="str">
        <f>IF(Patient_Data!$L1638&lt;2,"Low Risk",IF(Patient_Data!$L1638&lt;4,"Moderate Risk","High Risk"))</f>
        <v>Low Risk</v>
      </c>
      <c r="S1638" s="12" t="str">
        <f>IF(Patient_Data[[#This Row],[Age]]&lt;=18,"Pediatric",IF(Patient_Data[[#This Row],[Age]]&lt;=64,"Adult","Geriatric"))</f>
        <v>Adult</v>
      </c>
    </row>
    <row r="1639" spans="1:19" ht="15.75" customHeight="1" x14ac:dyDescent="0.3">
      <c r="A1639" s="4" t="s">
        <v>3290</v>
      </c>
      <c r="B1639" s="5" t="str">
        <f>TEXT(Patient_Data!$E1639,"mmmm")</f>
        <v>February</v>
      </c>
      <c r="C1639" s="6" t="str">
        <f t="shared" si="12"/>
        <v>Feb</v>
      </c>
      <c r="D1639" s="6">
        <f>MONTH(Patient_Data!$E1639)</f>
        <v>2</v>
      </c>
      <c r="E1639" s="7">
        <v>46057</v>
      </c>
      <c r="F1639" s="55" t="str">
        <f>TEXT(Patient_Data[[#This Row],[Admission_Date]],"YYYY")</f>
        <v>2026</v>
      </c>
      <c r="G1639" s="8" t="s">
        <v>3291</v>
      </c>
      <c r="H1639" s="8" t="s">
        <v>34</v>
      </c>
      <c r="I1639" s="4" t="s">
        <v>29</v>
      </c>
      <c r="J1639" s="4">
        <v>44</v>
      </c>
      <c r="K1639" s="4" t="s">
        <v>30</v>
      </c>
      <c r="L1639" s="8">
        <v>2</v>
      </c>
      <c r="M1639" s="9" t="s">
        <v>31</v>
      </c>
      <c r="N1639" s="9" t="str">
        <f t="shared" si="13"/>
        <v>Neuro</v>
      </c>
      <c r="O1639" s="10">
        <v>8207</v>
      </c>
      <c r="P1639" s="10">
        <v>5087.87</v>
      </c>
      <c r="Q1639" s="11">
        <v>10.199999999999999</v>
      </c>
      <c r="R1639" s="13" t="str">
        <f>IF(Patient_Data!$L1639&lt;2,"Low Risk",IF(Patient_Data!$L1639&lt;4,"Moderate Risk","High Risk"))</f>
        <v>Moderate Risk</v>
      </c>
      <c r="S1639" s="12" t="str">
        <f>IF(Patient_Data[[#This Row],[Age]]&lt;=18,"Pediatric",IF(Patient_Data[[#This Row],[Age]]&lt;=64,"Adult","Geriatric"))</f>
        <v>Adult</v>
      </c>
    </row>
    <row r="1640" spans="1:19" ht="15.75" customHeight="1" x14ac:dyDescent="0.3">
      <c r="A1640" s="4" t="s">
        <v>3292</v>
      </c>
      <c r="B1640" s="5" t="str">
        <f>TEXT(Patient_Data!$E1640,"mmmm")</f>
        <v>May</v>
      </c>
      <c r="C1640" s="6" t="str">
        <f t="shared" si="12"/>
        <v>May</v>
      </c>
      <c r="D1640" s="6">
        <f>MONTH(Patient_Data!$E1640)</f>
        <v>5</v>
      </c>
      <c r="E1640" s="7">
        <v>45434</v>
      </c>
      <c r="F1640" s="55" t="str">
        <f>TEXT(Patient_Data[[#This Row],[Admission_Date]],"YYYY")</f>
        <v>2024</v>
      </c>
      <c r="G1640" s="8" t="s">
        <v>3293</v>
      </c>
      <c r="H1640" s="8" t="s">
        <v>53</v>
      </c>
      <c r="I1640" s="4" t="s">
        <v>35</v>
      </c>
      <c r="J1640" s="4">
        <v>48</v>
      </c>
      <c r="K1640" s="4" t="s">
        <v>30</v>
      </c>
      <c r="L1640" s="8">
        <v>2</v>
      </c>
      <c r="M1640" s="9" t="s">
        <v>83</v>
      </c>
      <c r="N1640" s="9" t="str">
        <f t="shared" si="13"/>
        <v>ER</v>
      </c>
      <c r="O1640" s="10">
        <v>7568.54</v>
      </c>
      <c r="P1640" s="10">
        <v>4983.07</v>
      </c>
      <c r="Q1640" s="11">
        <v>17.399999999999999</v>
      </c>
      <c r="R1640" s="13" t="str">
        <f>IF(Patient_Data!$L1640&lt;2,"Low Risk",IF(Patient_Data!$L1640&lt;4,"Moderate Risk","High Risk"))</f>
        <v>Moderate Risk</v>
      </c>
      <c r="S1640" s="12" t="str">
        <f>IF(Patient_Data[[#This Row],[Age]]&lt;=18,"Pediatric",IF(Patient_Data[[#This Row],[Age]]&lt;=64,"Adult","Geriatric"))</f>
        <v>Adult</v>
      </c>
    </row>
    <row r="1641" spans="1:19" ht="15.75" customHeight="1" x14ac:dyDescent="0.3">
      <c r="A1641" s="4" t="s">
        <v>3294</v>
      </c>
      <c r="B1641" s="5" t="str">
        <f>TEXT(Patient_Data!$E1641,"mmmm")</f>
        <v>December</v>
      </c>
      <c r="C1641" s="6" t="str">
        <f t="shared" si="12"/>
        <v>Dec</v>
      </c>
      <c r="D1641" s="6">
        <f>MONTH(Patient_Data!$E1641)</f>
        <v>12</v>
      </c>
      <c r="E1641" s="7">
        <v>45651</v>
      </c>
      <c r="F1641" s="55" t="str">
        <f>TEXT(Patient_Data[[#This Row],[Admission_Date]],"YYYY")</f>
        <v>2024</v>
      </c>
      <c r="G1641" s="8" t="s">
        <v>3295</v>
      </c>
      <c r="H1641" s="8" t="s">
        <v>98</v>
      </c>
      <c r="I1641" s="4" t="s">
        <v>29</v>
      </c>
      <c r="J1641" s="4">
        <v>77</v>
      </c>
      <c r="K1641" s="4" t="s">
        <v>30</v>
      </c>
      <c r="L1641" s="8">
        <v>3</v>
      </c>
      <c r="M1641" s="9" t="s">
        <v>83</v>
      </c>
      <c r="N1641" s="9" t="str">
        <f t="shared" si="13"/>
        <v>ER</v>
      </c>
      <c r="O1641" s="10">
        <v>4313.18</v>
      </c>
      <c r="P1641" s="10">
        <v>3001.03</v>
      </c>
      <c r="Q1641" s="11">
        <v>13.9</v>
      </c>
      <c r="R1641" s="13" t="str">
        <f>IF(Patient_Data!$L1641&lt;2,"Low Risk",IF(Patient_Data!$L1641&lt;4,"Moderate Risk","High Risk"))</f>
        <v>Moderate Risk</v>
      </c>
      <c r="S1641" s="12" t="str">
        <f>IF(Patient_Data[[#This Row],[Age]]&lt;=18,"Pediatric",IF(Patient_Data[[#This Row],[Age]]&lt;=64,"Adult","Geriatric"))</f>
        <v>Geriatric</v>
      </c>
    </row>
    <row r="1642" spans="1:19" ht="15.75" customHeight="1" x14ac:dyDescent="0.3">
      <c r="A1642" s="4" t="s">
        <v>3296</v>
      </c>
      <c r="B1642" s="5" t="str">
        <f>TEXT(Patient_Data!$E1642,"mmmm")</f>
        <v>April</v>
      </c>
      <c r="C1642" s="6" t="str">
        <f t="shared" si="12"/>
        <v>Apr</v>
      </c>
      <c r="D1642" s="6">
        <f>MONTH(Patient_Data!$E1642)</f>
        <v>4</v>
      </c>
      <c r="E1642" s="7">
        <v>45764</v>
      </c>
      <c r="F1642" s="55" t="str">
        <f>TEXT(Patient_Data[[#This Row],[Admission_Date]],"YYYY")</f>
        <v>2025</v>
      </c>
      <c r="G1642" s="8" t="s">
        <v>3297</v>
      </c>
      <c r="H1642" s="8" t="s">
        <v>28</v>
      </c>
      <c r="I1642" s="4" t="s">
        <v>35</v>
      </c>
      <c r="J1642" s="4">
        <v>83</v>
      </c>
      <c r="K1642" s="4" t="s">
        <v>54</v>
      </c>
      <c r="L1642" s="8">
        <v>4</v>
      </c>
      <c r="M1642" s="9" t="s">
        <v>50</v>
      </c>
      <c r="N1642" s="9" t="str">
        <f t="shared" si="13"/>
        <v>ICU</v>
      </c>
      <c r="O1642" s="10">
        <v>15081.67</v>
      </c>
      <c r="P1642" s="10">
        <v>10651.57</v>
      </c>
      <c r="Q1642" s="11">
        <v>11.8</v>
      </c>
      <c r="R1642" s="13" t="str">
        <f>IF(Patient_Data!$L1642&lt;2,"Low Risk",IF(Patient_Data!$L1642&lt;4,"Moderate Risk","High Risk"))</f>
        <v>High Risk</v>
      </c>
      <c r="S1642" s="12" t="str">
        <f>IF(Patient_Data[[#This Row],[Age]]&lt;=18,"Pediatric",IF(Patient_Data[[#This Row],[Age]]&lt;=64,"Adult","Geriatric"))</f>
        <v>Geriatric</v>
      </c>
    </row>
    <row r="1643" spans="1:19" ht="15.75" customHeight="1" x14ac:dyDescent="0.3">
      <c r="A1643" s="4" t="s">
        <v>3298</v>
      </c>
      <c r="B1643" s="5" t="str">
        <f>TEXT(Patient_Data!$E1643,"mmmm")</f>
        <v>February</v>
      </c>
      <c r="C1643" s="6" t="str">
        <f t="shared" si="12"/>
        <v>Feb</v>
      </c>
      <c r="D1643" s="6">
        <f>MONTH(Patient_Data!$E1643)</f>
        <v>2</v>
      </c>
      <c r="E1643" s="7">
        <v>45701</v>
      </c>
      <c r="F1643" s="55" t="str">
        <f>TEXT(Patient_Data[[#This Row],[Admission_Date]],"YYYY")</f>
        <v>2025</v>
      </c>
      <c r="G1643" s="8" t="s">
        <v>3299</v>
      </c>
      <c r="H1643" s="8" t="s">
        <v>49</v>
      </c>
      <c r="I1643" s="4" t="s">
        <v>29</v>
      </c>
      <c r="J1643" s="4">
        <v>35</v>
      </c>
      <c r="K1643" s="4" t="s">
        <v>54</v>
      </c>
      <c r="L1643" s="8">
        <v>5</v>
      </c>
      <c r="M1643" s="9" t="s">
        <v>36</v>
      </c>
      <c r="N1643" s="9" t="str">
        <f t="shared" si="13"/>
        <v>Cardio</v>
      </c>
      <c r="O1643" s="10">
        <v>10013.31</v>
      </c>
      <c r="P1643" s="10">
        <v>7403.32</v>
      </c>
      <c r="Q1643" s="11">
        <v>11.7</v>
      </c>
      <c r="R1643" s="13" t="str">
        <f>IF(Patient_Data!$L1643&lt;2,"Low Risk",IF(Patient_Data!$L1643&lt;4,"Moderate Risk","High Risk"))</f>
        <v>High Risk</v>
      </c>
      <c r="S1643" s="12" t="str">
        <f>IF(Patient_Data[[#This Row],[Age]]&lt;=18,"Pediatric",IF(Patient_Data[[#This Row],[Age]]&lt;=64,"Adult","Geriatric"))</f>
        <v>Adult</v>
      </c>
    </row>
    <row r="1644" spans="1:19" ht="15.75" customHeight="1" x14ac:dyDescent="0.3">
      <c r="A1644" s="4" t="s">
        <v>3300</v>
      </c>
      <c r="B1644" s="5" t="str">
        <f>TEXT(Patient_Data!$E1644,"mmmm")</f>
        <v>June</v>
      </c>
      <c r="C1644" s="6" t="str">
        <f t="shared" si="12"/>
        <v>Jun</v>
      </c>
      <c r="D1644" s="6">
        <f>MONTH(Patient_Data!$E1644)</f>
        <v>6</v>
      </c>
      <c r="E1644" s="7">
        <v>45812</v>
      </c>
      <c r="F1644" s="55" t="str">
        <f>TEXT(Patient_Data[[#This Row],[Admission_Date]],"YYYY")</f>
        <v>2025</v>
      </c>
      <c r="G1644" s="8" t="s">
        <v>3301</v>
      </c>
      <c r="H1644" s="8" t="s">
        <v>28</v>
      </c>
      <c r="I1644" s="4" t="s">
        <v>29</v>
      </c>
      <c r="J1644" s="4">
        <v>60</v>
      </c>
      <c r="K1644" s="4" t="s">
        <v>45</v>
      </c>
      <c r="L1644" s="8">
        <v>4</v>
      </c>
      <c r="M1644" s="9" t="s">
        <v>72</v>
      </c>
      <c r="N1644" s="9" t="str">
        <f t="shared" si="13"/>
        <v>Surgery</v>
      </c>
      <c r="O1644" s="10">
        <v>16056.92</v>
      </c>
      <c r="P1644" s="10">
        <v>12261.66</v>
      </c>
      <c r="Q1644" s="11">
        <v>7.3</v>
      </c>
      <c r="R1644" s="13" t="str">
        <f>IF(Patient_Data!$L1644&lt;2,"Low Risk",IF(Patient_Data!$L1644&lt;4,"Moderate Risk","High Risk"))</f>
        <v>High Risk</v>
      </c>
      <c r="S1644" s="12" t="str">
        <f>IF(Patient_Data[[#This Row],[Age]]&lt;=18,"Pediatric",IF(Patient_Data[[#This Row],[Age]]&lt;=64,"Adult","Geriatric"))</f>
        <v>Adult</v>
      </c>
    </row>
    <row r="1645" spans="1:19" ht="15.75" customHeight="1" x14ac:dyDescent="0.3">
      <c r="A1645" s="4" t="s">
        <v>3302</v>
      </c>
      <c r="B1645" s="5" t="str">
        <f>TEXT(Patient_Data!$E1645,"mmmm")</f>
        <v>November</v>
      </c>
      <c r="C1645" s="6" t="str">
        <f t="shared" si="12"/>
        <v>Nov</v>
      </c>
      <c r="D1645" s="6">
        <f>MONTH(Patient_Data!$E1645)</f>
        <v>11</v>
      </c>
      <c r="E1645" s="7">
        <v>45971</v>
      </c>
      <c r="F1645" s="55" t="str">
        <f>TEXT(Patient_Data[[#This Row],[Admission_Date]],"YYYY")</f>
        <v>2025</v>
      </c>
      <c r="G1645" s="8" t="s">
        <v>3303</v>
      </c>
      <c r="H1645" s="8" t="s">
        <v>28</v>
      </c>
      <c r="I1645" s="4" t="s">
        <v>29</v>
      </c>
      <c r="J1645" s="4">
        <v>48</v>
      </c>
      <c r="K1645" s="4" t="s">
        <v>30</v>
      </c>
      <c r="L1645" s="8">
        <v>1</v>
      </c>
      <c r="M1645" s="9" t="s">
        <v>31</v>
      </c>
      <c r="N1645" s="9" t="str">
        <f t="shared" si="13"/>
        <v>Neuro</v>
      </c>
      <c r="O1645" s="10">
        <v>4569.53</v>
      </c>
      <c r="P1645" s="10">
        <v>2720.73</v>
      </c>
      <c r="Q1645" s="11">
        <v>8.8000000000000007</v>
      </c>
      <c r="R1645" s="13" t="str">
        <f>IF(Patient_Data!$L1645&lt;2,"Low Risk",IF(Patient_Data!$L1645&lt;4,"Moderate Risk","High Risk"))</f>
        <v>Low Risk</v>
      </c>
      <c r="S1645" s="12" t="str">
        <f>IF(Patient_Data[[#This Row],[Age]]&lt;=18,"Pediatric",IF(Patient_Data[[#This Row],[Age]]&lt;=64,"Adult","Geriatric"))</f>
        <v>Adult</v>
      </c>
    </row>
    <row r="1646" spans="1:19" ht="15.75" customHeight="1" x14ac:dyDescent="0.3">
      <c r="A1646" s="4" t="s">
        <v>3304</v>
      </c>
      <c r="B1646" s="5" t="str">
        <f>TEXT(Patient_Data!$E1646,"mmmm")</f>
        <v>June</v>
      </c>
      <c r="C1646" s="6" t="str">
        <f t="shared" si="12"/>
        <v>Jun</v>
      </c>
      <c r="D1646" s="6">
        <f>MONTH(Patient_Data!$E1646)</f>
        <v>6</v>
      </c>
      <c r="E1646" s="7">
        <v>45835</v>
      </c>
      <c r="F1646" s="55" t="str">
        <f>TEXT(Patient_Data[[#This Row],[Admission_Date]],"YYYY")</f>
        <v>2025</v>
      </c>
      <c r="G1646" s="8" t="s">
        <v>3305</v>
      </c>
      <c r="H1646" s="8" t="s">
        <v>28</v>
      </c>
      <c r="I1646" s="4" t="s">
        <v>35</v>
      </c>
      <c r="J1646" s="4">
        <v>45</v>
      </c>
      <c r="K1646" s="4" t="s">
        <v>30</v>
      </c>
      <c r="L1646" s="8">
        <v>2</v>
      </c>
      <c r="M1646" s="9" t="s">
        <v>31</v>
      </c>
      <c r="N1646" s="9" t="str">
        <f t="shared" si="13"/>
        <v>Neuro</v>
      </c>
      <c r="O1646" s="10">
        <v>8757.68</v>
      </c>
      <c r="P1646" s="10">
        <v>5437.38</v>
      </c>
      <c r="Q1646" s="11">
        <v>11.9</v>
      </c>
      <c r="R1646" s="13" t="str">
        <f>IF(Patient_Data!$L1646&lt;2,"Low Risk",IF(Patient_Data!$L1646&lt;4,"Moderate Risk","High Risk"))</f>
        <v>Moderate Risk</v>
      </c>
      <c r="S1646" s="12" t="str">
        <f>IF(Patient_Data[[#This Row],[Age]]&lt;=18,"Pediatric",IF(Patient_Data[[#This Row],[Age]]&lt;=64,"Adult","Geriatric"))</f>
        <v>Adult</v>
      </c>
    </row>
    <row r="1647" spans="1:19" ht="15.75" customHeight="1" x14ac:dyDescent="0.3">
      <c r="A1647" s="4" t="s">
        <v>3306</v>
      </c>
      <c r="B1647" s="5" t="str">
        <f>TEXT(Patient_Data!$E1647,"mmmm")</f>
        <v>June</v>
      </c>
      <c r="C1647" s="6" t="str">
        <f t="shared" si="12"/>
        <v>Jun</v>
      </c>
      <c r="D1647" s="6">
        <f>MONTH(Patient_Data!$E1647)</f>
        <v>6</v>
      </c>
      <c r="E1647" s="7">
        <v>45818</v>
      </c>
      <c r="F1647" s="55" t="str">
        <f>TEXT(Patient_Data[[#This Row],[Admission_Date]],"YYYY")</f>
        <v>2025</v>
      </c>
      <c r="G1647" s="8" t="s">
        <v>3307</v>
      </c>
      <c r="H1647" s="8" t="s">
        <v>53</v>
      </c>
      <c r="I1647" s="4" t="s">
        <v>29</v>
      </c>
      <c r="J1647" s="4">
        <v>61</v>
      </c>
      <c r="K1647" s="4" t="s">
        <v>30</v>
      </c>
      <c r="L1647" s="8">
        <v>2</v>
      </c>
      <c r="M1647" s="9" t="s">
        <v>31</v>
      </c>
      <c r="N1647" s="9" t="str">
        <f t="shared" si="13"/>
        <v>Neuro</v>
      </c>
      <c r="O1647" s="10">
        <v>11318.75</v>
      </c>
      <c r="P1647" s="10">
        <v>7264</v>
      </c>
      <c r="Q1647" s="11">
        <v>2.5</v>
      </c>
      <c r="R1647" s="13" t="str">
        <f>IF(Patient_Data!$L1647&lt;2,"Low Risk",IF(Patient_Data!$L1647&lt;4,"Moderate Risk","High Risk"))</f>
        <v>Moderate Risk</v>
      </c>
      <c r="S1647" s="12" t="str">
        <f>IF(Patient_Data[[#This Row],[Age]]&lt;=18,"Pediatric",IF(Patient_Data[[#This Row],[Age]]&lt;=64,"Adult","Geriatric"))</f>
        <v>Adult</v>
      </c>
    </row>
    <row r="1648" spans="1:19" ht="15.75" customHeight="1" x14ac:dyDescent="0.3">
      <c r="A1648" s="4" t="s">
        <v>3308</v>
      </c>
      <c r="B1648" s="5" t="str">
        <f>TEXT(Patient_Data!$E1648,"mmmm")</f>
        <v>March</v>
      </c>
      <c r="C1648" s="6" t="str">
        <f t="shared" si="12"/>
        <v>Mar</v>
      </c>
      <c r="D1648" s="6">
        <f>MONTH(Patient_Data!$E1648)</f>
        <v>3</v>
      </c>
      <c r="E1648" s="7">
        <v>46094</v>
      </c>
      <c r="F1648" s="55" t="str">
        <f>TEXT(Patient_Data[[#This Row],[Admission_Date]],"YYYY")</f>
        <v>2026</v>
      </c>
      <c r="G1648" s="8" t="s">
        <v>3309</v>
      </c>
      <c r="H1648" s="8" t="s">
        <v>82</v>
      </c>
      <c r="I1648" s="4" t="s">
        <v>29</v>
      </c>
      <c r="J1648" s="4">
        <v>8</v>
      </c>
      <c r="K1648" s="4" t="s">
        <v>54</v>
      </c>
      <c r="L1648" s="8">
        <v>1</v>
      </c>
      <c r="M1648" s="9" t="s">
        <v>79</v>
      </c>
      <c r="N1648" s="9" t="str">
        <f t="shared" si="13"/>
        <v>PD</v>
      </c>
      <c r="O1648" s="10">
        <v>1765.09</v>
      </c>
      <c r="P1648" s="10">
        <v>1209.81</v>
      </c>
      <c r="Q1648" s="11">
        <v>3.4</v>
      </c>
      <c r="R1648" s="13" t="str">
        <f>IF(Patient_Data!$L1648&lt;2,"Low Risk",IF(Patient_Data!$L1648&lt;4,"Moderate Risk","High Risk"))</f>
        <v>Low Risk</v>
      </c>
      <c r="S1648" s="12" t="str">
        <f>IF(Patient_Data[[#This Row],[Age]]&lt;=18,"Pediatric",IF(Patient_Data[[#This Row],[Age]]&lt;=64,"Adult","Geriatric"))</f>
        <v>Pediatric</v>
      </c>
    </row>
    <row r="1649" spans="1:19" ht="15.75" customHeight="1" x14ac:dyDescent="0.3">
      <c r="A1649" s="4" t="s">
        <v>3310</v>
      </c>
      <c r="B1649" s="5" t="str">
        <f>TEXT(Patient_Data!$E1649,"mmmm")</f>
        <v>March</v>
      </c>
      <c r="C1649" s="6" t="str">
        <f t="shared" si="12"/>
        <v>Mar</v>
      </c>
      <c r="D1649" s="6">
        <f>MONTH(Patient_Data!$E1649)</f>
        <v>3</v>
      </c>
      <c r="E1649" s="7">
        <v>45723</v>
      </c>
      <c r="F1649" s="55" t="str">
        <f>TEXT(Patient_Data[[#This Row],[Admission_Date]],"YYYY")</f>
        <v>2025</v>
      </c>
      <c r="G1649" s="8" t="s">
        <v>3311</v>
      </c>
      <c r="H1649" s="8" t="s">
        <v>132</v>
      </c>
      <c r="I1649" s="4" t="s">
        <v>29</v>
      </c>
      <c r="J1649" s="4">
        <v>66</v>
      </c>
      <c r="K1649" s="4" t="s">
        <v>45</v>
      </c>
      <c r="L1649" s="8">
        <v>5</v>
      </c>
      <c r="M1649" s="9" t="s">
        <v>72</v>
      </c>
      <c r="N1649" s="9" t="str">
        <f t="shared" si="13"/>
        <v>Surgery</v>
      </c>
      <c r="O1649" s="10">
        <v>16554.400000000001</v>
      </c>
      <c r="P1649" s="10">
        <v>11653.68</v>
      </c>
      <c r="Q1649" s="11">
        <v>8.1999999999999993</v>
      </c>
      <c r="R1649" s="13" t="str">
        <f>IF(Patient_Data!$L1649&lt;2,"Low Risk",IF(Patient_Data!$L1649&lt;4,"Moderate Risk","High Risk"))</f>
        <v>High Risk</v>
      </c>
      <c r="S1649" s="12" t="str">
        <f>IF(Patient_Data[[#This Row],[Age]]&lt;=18,"Pediatric",IF(Patient_Data[[#This Row],[Age]]&lt;=64,"Adult","Geriatric"))</f>
        <v>Geriatric</v>
      </c>
    </row>
    <row r="1650" spans="1:19" ht="15.75" customHeight="1" x14ac:dyDescent="0.3">
      <c r="A1650" s="4" t="s">
        <v>3312</v>
      </c>
      <c r="B1650" s="5" t="str">
        <f>TEXT(Patient_Data!$E1650,"mmmm")</f>
        <v>December</v>
      </c>
      <c r="C1650" s="6" t="str">
        <f t="shared" si="12"/>
        <v>Dec</v>
      </c>
      <c r="D1650" s="6">
        <f>MONTH(Patient_Data!$E1650)</f>
        <v>12</v>
      </c>
      <c r="E1650" s="7">
        <v>45645</v>
      </c>
      <c r="F1650" s="55" t="str">
        <f>TEXT(Patient_Data[[#This Row],[Admission_Date]],"YYYY")</f>
        <v>2024</v>
      </c>
      <c r="G1650" s="8" t="s">
        <v>3313</v>
      </c>
      <c r="H1650" s="8" t="s">
        <v>49</v>
      </c>
      <c r="I1650" s="4" t="s">
        <v>29</v>
      </c>
      <c r="J1650" s="4">
        <v>84</v>
      </c>
      <c r="K1650" s="4" t="s">
        <v>30</v>
      </c>
      <c r="L1650" s="8">
        <v>2</v>
      </c>
      <c r="M1650" s="9" t="s">
        <v>36</v>
      </c>
      <c r="N1650" s="9" t="str">
        <f t="shared" si="13"/>
        <v>Cardio</v>
      </c>
      <c r="O1650" s="10">
        <v>8511.64</v>
      </c>
      <c r="P1650" s="10">
        <v>6234.3</v>
      </c>
      <c r="Q1650" s="11">
        <v>2.6</v>
      </c>
      <c r="R1650" s="13" t="str">
        <f>IF(Patient_Data!$L1650&lt;2,"Low Risk",IF(Patient_Data!$L1650&lt;4,"Moderate Risk","High Risk"))</f>
        <v>Moderate Risk</v>
      </c>
      <c r="S1650" s="12" t="str">
        <f>IF(Patient_Data[[#This Row],[Age]]&lt;=18,"Pediatric",IF(Patient_Data[[#This Row],[Age]]&lt;=64,"Adult","Geriatric"))</f>
        <v>Geriatric</v>
      </c>
    </row>
    <row r="1651" spans="1:19" ht="15.75" customHeight="1" x14ac:dyDescent="0.3">
      <c r="A1651" s="4" t="s">
        <v>3314</v>
      </c>
      <c r="B1651" s="5" t="str">
        <f>TEXT(Patient_Data!$E1651,"mmmm")</f>
        <v>April</v>
      </c>
      <c r="C1651" s="6" t="str">
        <f t="shared" si="12"/>
        <v>Apr</v>
      </c>
      <c r="D1651" s="6">
        <f>MONTH(Patient_Data!$E1651)</f>
        <v>4</v>
      </c>
      <c r="E1651" s="7">
        <v>45390</v>
      </c>
      <c r="F1651" s="55" t="str">
        <f>TEXT(Patient_Data[[#This Row],[Admission_Date]],"YYYY")</f>
        <v>2024</v>
      </c>
      <c r="G1651" s="8" t="s">
        <v>3315</v>
      </c>
      <c r="H1651" s="8" t="s">
        <v>49</v>
      </c>
      <c r="I1651" s="4" t="s">
        <v>29</v>
      </c>
      <c r="J1651" s="4">
        <v>0</v>
      </c>
      <c r="K1651" s="4" t="s">
        <v>54</v>
      </c>
      <c r="L1651" s="8">
        <v>3</v>
      </c>
      <c r="M1651" s="9" t="s">
        <v>79</v>
      </c>
      <c r="N1651" s="9" t="str">
        <f t="shared" si="13"/>
        <v>PD</v>
      </c>
      <c r="O1651" s="10">
        <v>1563.19</v>
      </c>
      <c r="P1651" s="10">
        <v>1191.22</v>
      </c>
      <c r="Q1651" s="11">
        <v>0.4</v>
      </c>
      <c r="R1651" s="13" t="str">
        <f>IF(Patient_Data!$L1651&lt;2,"Low Risk",IF(Patient_Data!$L1651&lt;4,"Moderate Risk","High Risk"))</f>
        <v>Moderate Risk</v>
      </c>
      <c r="S1651" s="12" t="str">
        <f>IF(Patient_Data[[#This Row],[Age]]&lt;=18,"Pediatric",IF(Patient_Data[[#This Row],[Age]]&lt;=64,"Adult","Geriatric"))</f>
        <v>Pediatric</v>
      </c>
    </row>
    <row r="1652" spans="1:19" ht="15.75" customHeight="1" x14ac:dyDescent="0.3">
      <c r="A1652" s="4" t="s">
        <v>3316</v>
      </c>
      <c r="B1652" s="5" t="str">
        <f>TEXT(Patient_Data!$E1652,"mmmm")</f>
        <v>July</v>
      </c>
      <c r="C1652" s="6" t="str">
        <f t="shared" si="12"/>
        <v>Jul</v>
      </c>
      <c r="D1652" s="6">
        <f>MONTH(Patient_Data!$E1652)</f>
        <v>7</v>
      </c>
      <c r="E1652" s="7">
        <v>45485</v>
      </c>
      <c r="F1652" s="55" t="str">
        <f>TEXT(Patient_Data[[#This Row],[Admission_Date]],"YYYY")</f>
        <v>2024</v>
      </c>
      <c r="G1652" s="8" t="s">
        <v>3317</v>
      </c>
      <c r="H1652" s="8" t="s">
        <v>132</v>
      </c>
      <c r="I1652" s="4" t="s">
        <v>35</v>
      </c>
      <c r="J1652" s="4">
        <v>86</v>
      </c>
      <c r="K1652" s="4" t="s">
        <v>30</v>
      </c>
      <c r="L1652" s="8">
        <v>2</v>
      </c>
      <c r="M1652" s="9" t="s">
        <v>46</v>
      </c>
      <c r="N1652" s="9" t="str">
        <f t="shared" si="13"/>
        <v>Ortho</v>
      </c>
      <c r="O1652" s="10">
        <v>9268.2199999999993</v>
      </c>
      <c r="P1652" s="10">
        <v>5415.57</v>
      </c>
      <c r="Q1652" s="11">
        <v>5</v>
      </c>
      <c r="R1652" s="13" t="str">
        <f>IF(Patient_Data!$L1652&lt;2,"Low Risk",IF(Patient_Data!$L1652&lt;4,"Moderate Risk","High Risk"))</f>
        <v>Moderate Risk</v>
      </c>
      <c r="S1652" s="12" t="str">
        <f>IF(Patient_Data[[#This Row],[Age]]&lt;=18,"Pediatric",IF(Patient_Data[[#This Row],[Age]]&lt;=64,"Adult","Geriatric"))</f>
        <v>Geriatric</v>
      </c>
    </row>
    <row r="1653" spans="1:19" ht="15.75" customHeight="1" x14ac:dyDescent="0.3">
      <c r="A1653" s="4" t="s">
        <v>3318</v>
      </c>
      <c r="B1653" s="5" t="str">
        <f>TEXT(Patient_Data!$E1653,"mmmm")</f>
        <v>April</v>
      </c>
      <c r="C1653" s="6" t="str">
        <f t="shared" si="12"/>
        <v>Apr</v>
      </c>
      <c r="D1653" s="6">
        <f>MONTH(Patient_Data!$E1653)</f>
        <v>4</v>
      </c>
      <c r="E1653" s="7">
        <v>45383</v>
      </c>
      <c r="F1653" s="55" t="str">
        <f>TEXT(Patient_Data[[#This Row],[Admission_Date]],"YYYY")</f>
        <v>2024</v>
      </c>
      <c r="G1653" s="8" t="s">
        <v>3319</v>
      </c>
      <c r="H1653" s="8" t="s">
        <v>49</v>
      </c>
      <c r="I1653" s="4" t="s">
        <v>35</v>
      </c>
      <c r="J1653" s="4">
        <v>68</v>
      </c>
      <c r="K1653" s="4" t="s">
        <v>30</v>
      </c>
      <c r="L1653" s="8">
        <v>4</v>
      </c>
      <c r="M1653" s="9" t="s">
        <v>50</v>
      </c>
      <c r="N1653" s="9" t="str">
        <f t="shared" si="13"/>
        <v>ICU</v>
      </c>
      <c r="O1653" s="10">
        <v>21240.53</v>
      </c>
      <c r="P1653" s="10">
        <v>13053.52</v>
      </c>
      <c r="Q1653" s="11">
        <v>12.1</v>
      </c>
      <c r="R1653" s="13" t="str">
        <f>IF(Patient_Data!$L1653&lt;2,"Low Risk",IF(Patient_Data!$L1653&lt;4,"Moderate Risk","High Risk"))</f>
        <v>High Risk</v>
      </c>
      <c r="S1653" s="12" t="str">
        <f>IF(Patient_Data[[#This Row],[Age]]&lt;=18,"Pediatric",IF(Patient_Data[[#This Row],[Age]]&lt;=64,"Adult","Geriatric"))</f>
        <v>Geriatric</v>
      </c>
    </row>
    <row r="1654" spans="1:19" ht="15.75" customHeight="1" x14ac:dyDescent="0.3">
      <c r="A1654" s="4" t="s">
        <v>3320</v>
      </c>
      <c r="B1654" s="5" t="str">
        <f>TEXT(Patient_Data!$E1654,"mmmm")</f>
        <v>July</v>
      </c>
      <c r="C1654" s="6" t="str">
        <f t="shared" si="12"/>
        <v>Jul</v>
      </c>
      <c r="D1654" s="6">
        <f>MONTH(Patient_Data!$E1654)</f>
        <v>7</v>
      </c>
      <c r="E1654" s="7">
        <v>45503</v>
      </c>
      <c r="F1654" s="55" t="str">
        <f>TEXT(Patient_Data[[#This Row],[Admission_Date]],"YYYY")</f>
        <v>2024</v>
      </c>
      <c r="G1654" s="8" t="s">
        <v>3321</v>
      </c>
      <c r="H1654" s="8" t="s">
        <v>28</v>
      </c>
      <c r="I1654" s="4" t="s">
        <v>35</v>
      </c>
      <c r="J1654" s="4">
        <v>58</v>
      </c>
      <c r="K1654" s="4" t="s">
        <v>30</v>
      </c>
      <c r="L1654" s="8">
        <v>4</v>
      </c>
      <c r="M1654" s="9" t="s">
        <v>46</v>
      </c>
      <c r="N1654" s="9" t="str">
        <f t="shared" si="13"/>
        <v>Ortho</v>
      </c>
      <c r="O1654" s="10">
        <v>7465.2</v>
      </c>
      <c r="P1654" s="10">
        <v>4841.7299999999996</v>
      </c>
      <c r="Q1654" s="11">
        <v>8</v>
      </c>
      <c r="R1654" s="13" t="str">
        <f>IF(Patient_Data!$L1654&lt;2,"Low Risk",IF(Patient_Data!$L1654&lt;4,"Moderate Risk","High Risk"))</f>
        <v>High Risk</v>
      </c>
      <c r="S1654" s="12" t="str">
        <f>IF(Patient_Data[[#This Row],[Age]]&lt;=18,"Pediatric",IF(Patient_Data[[#This Row],[Age]]&lt;=64,"Adult","Geriatric"))</f>
        <v>Adult</v>
      </c>
    </row>
    <row r="1655" spans="1:19" ht="15.75" customHeight="1" x14ac:dyDescent="0.3">
      <c r="A1655" s="4" t="s">
        <v>3322</v>
      </c>
      <c r="B1655" s="5" t="str">
        <f>TEXT(Patient_Data!$E1655,"mmmm")</f>
        <v>March</v>
      </c>
      <c r="C1655" s="6" t="str">
        <f t="shared" si="12"/>
        <v>Mar</v>
      </c>
      <c r="D1655" s="6">
        <f>MONTH(Patient_Data!$E1655)</f>
        <v>3</v>
      </c>
      <c r="E1655" s="7">
        <v>46087</v>
      </c>
      <c r="F1655" s="55" t="str">
        <f>TEXT(Patient_Data[[#This Row],[Admission_Date]],"YYYY")</f>
        <v>2026</v>
      </c>
      <c r="G1655" s="8" t="s">
        <v>3323</v>
      </c>
      <c r="H1655" s="8" t="s">
        <v>28</v>
      </c>
      <c r="I1655" s="4" t="s">
        <v>29</v>
      </c>
      <c r="J1655" s="4">
        <v>69</v>
      </c>
      <c r="K1655" s="4" t="s">
        <v>30</v>
      </c>
      <c r="L1655" s="8">
        <v>3</v>
      </c>
      <c r="M1655" s="9" t="s">
        <v>39</v>
      </c>
      <c r="N1655" s="9" t="str">
        <f t="shared" si="13"/>
        <v>GM</v>
      </c>
      <c r="O1655" s="10">
        <v>4173.54</v>
      </c>
      <c r="P1655" s="10">
        <v>2875.47</v>
      </c>
      <c r="Q1655" s="11">
        <v>9.9</v>
      </c>
      <c r="R1655" s="13" t="str">
        <f>IF(Patient_Data!$L1655&lt;2,"Low Risk",IF(Patient_Data!$L1655&lt;4,"Moderate Risk","High Risk"))</f>
        <v>Moderate Risk</v>
      </c>
      <c r="S1655" s="12" t="str">
        <f>IF(Patient_Data[[#This Row],[Age]]&lt;=18,"Pediatric",IF(Patient_Data[[#This Row],[Age]]&lt;=64,"Adult","Geriatric"))</f>
        <v>Geriatric</v>
      </c>
    </row>
    <row r="1656" spans="1:19" ht="15.75" customHeight="1" x14ac:dyDescent="0.3">
      <c r="A1656" s="4" t="s">
        <v>3324</v>
      </c>
      <c r="B1656" s="5" t="str">
        <f>TEXT(Patient_Data!$E1656,"mmmm")</f>
        <v>April</v>
      </c>
      <c r="C1656" s="6" t="str">
        <f t="shared" si="12"/>
        <v>Apr</v>
      </c>
      <c r="D1656" s="6">
        <f>MONTH(Patient_Data!$E1656)</f>
        <v>4</v>
      </c>
      <c r="E1656" s="7">
        <v>46121</v>
      </c>
      <c r="F1656" s="55" t="str">
        <f>TEXT(Patient_Data[[#This Row],[Admission_Date]],"YYYY")</f>
        <v>2026</v>
      </c>
      <c r="G1656" s="8" t="s">
        <v>3325</v>
      </c>
      <c r="H1656" s="8" t="s">
        <v>49</v>
      </c>
      <c r="I1656" s="4" t="s">
        <v>29</v>
      </c>
      <c r="J1656" s="4">
        <v>3</v>
      </c>
      <c r="K1656" s="4" t="s">
        <v>30</v>
      </c>
      <c r="L1656" s="8">
        <v>2</v>
      </c>
      <c r="M1656" s="9" t="s">
        <v>79</v>
      </c>
      <c r="N1656" s="9" t="str">
        <f t="shared" si="13"/>
        <v>PD</v>
      </c>
      <c r="O1656" s="10">
        <v>1120.58</v>
      </c>
      <c r="P1656" s="10">
        <v>814.81</v>
      </c>
      <c r="Q1656" s="11">
        <v>3.8</v>
      </c>
      <c r="R1656" s="13" t="str">
        <f>IF(Patient_Data!$L1656&lt;2,"Low Risk",IF(Patient_Data!$L1656&lt;4,"Moderate Risk","High Risk"))</f>
        <v>Moderate Risk</v>
      </c>
      <c r="S1656" s="12" t="str">
        <f>IF(Patient_Data[[#This Row],[Age]]&lt;=18,"Pediatric",IF(Patient_Data[[#This Row],[Age]]&lt;=64,"Adult","Geriatric"))</f>
        <v>Pediatric</v>
      </c>
    </row>
    <row r="1657" spans="1:19" ht="15.75" customHeight="1" x14ac:dyDescent="0.3">
      <c r="A1657" s="4" t="s">
        <v>3326</v>
      </c>
      <c r="B1657" s="5" t="str">
        <f>TEXT(Patient_Data!$E1657,"mmmm")</f>
        <v>June</v>
      </c>
      <c r="C1657" s="6" t="str">
        <f t="shared" si="12"/>
        <v>Jun</v>
      </c>
      <c r="D1657" s="6">
        <f>MONTH(Patient_Data!$E1657)</f>
        <v>6</v>
      </c>
      <c r="E1657" s="7">
        <v>45810</v>
      </c>
      <c r="F1657" s="55" t="str">
        <f>TEXT(Patient_Data[[#This Row],[Admission_Date]],"YYYY")</f>
        <v>2025</v>
      </c>
      <c r="G1657" s="8" t="s">
        <v>3327</v>
      </c>
      <c r="H1657" s="8" t="s">
        <v>98</v>
      </c>
      <c r="I1657" s="4" t="s">
        <v>29</v>
      </c>
      <c r="J1657" s="4">
        <v>53</v>
      </c>
      <c r="K1657" s="4" t="s">
        <v>30</v>
      </c>
      <c r="L1657" s="8">
        <v>2</v>
      </c>
      <c r="M1657" s="9" t="s">
        <v>39</v>
      </c>
      <c r="N1657" s="9" t="str">
        <f t="shared" si="13"/>
        <v>GM</v>
      </c>
      <c r="O1657" s="10">
        <v>2972.08</v>
      </c>
      <c r="P1657" s="10">
        <v>2241.62</v>
      </c>
      <c r="Q1657" s="11">
        <v>9</v>
      </c>
      <c r="R1657" s="13" t="str">
        <f>IF(Patient_Data!$L1657&lt;2,"Low Risk",IF(Patient_Data!$L1657&lt;4,"Moderate Risk","High Risk"))</f>
        <v>Moderate Risk</v>
      </c>
      <c r="S1657" s="12" t="str">
        <f>IF(Patient_Data[[#This Row],[Age]]&lt;=18,"Pediatric",IF(Patient_Data[[#This Row],[Age]]&lt;=64,"Adult","Geriatric"))</f>
        <v>Adult</v>
      </c>
    </row>
    <row r="1658" spans="1:19" ht="15.75" customHeight="1" x14ac:dyDescent="0.3">
      <c r="A1658" s="4" t="s">
        <v>3328</v>
      </c>
      <c r="B1658" s="5" t="str">
        <f>TEXT(Patient_Data!$E1658,"mmmm")</f>
        <v>December</v>
      </c>
      <c r="C1658" s="6" t="str">
        <f t="shared" si="12"/>
        <v>Dec</v>
      </c>
      <c r="D1658" s="6">
        <f>MONTH(Patient_Data!$E1658)</f>
        <v>12</v>
      </c>
      <c r="E1658" s="7">
        <v>45999</v>
      </c>
      <c r="F1658" s="55" t="str">
        <f>TEXT(Patient_Data[[#This Row],[Admission_Date]],"YYYY")</f>
        <v>2025</v>
      </c>
      <c r="G1658" s="8" t="s">
        <v>3329</v>
      </c>
      <c r="H1658" s="8" t="s">
        <v>82</v>
      </c>
      <c r="I1658" s="4" t="s">
        <v>29</v>
      </c>
      <c r="J1658" s="4">
        <v>73</v>
      </c>
      <c r="K1658" s="4" t="s">
        <v>54</v>
      </c>
      <c r="L1658" s="8">
        <v>5</v>
      </c>
      <c r="M1658" s="9" t="s">
        <v>50</v>
      </c>
      <c r="N1658" s="9" t="str">
        <f t="shared" si="13"/>
        <v>ICU</v>
      </c>
      <c r="O1658" s="10">
        <v>14056.33</v>
      </c>
      <c r="P1658" s="10">
        <v>10790.01</v>
      </c>
      <c r="Q1658" s="11">
        <v>13.4</v>
      </c>
      <c r="R1658" s="13" t="str">
        <f>IF(Patient_Data!$L1658&lt;2,"Low Risk",IF(Patient_Data!$L1658&lt;4,"Moderate Risk","High Risk"))</f>
        <v>High Risk</v>
      </c>
      <c r="S1658" s="12" t="str">
        <f>IF(Patient_Data[[#This Row],[Age]]&lt;=18,"Pediatric",IF(Patient_Data[[#This Row],[Age]]&lt;=64,"Adult","Geriatric"))</f>
        <v>Geriatric</v>
      </c>
    </row>
    <row r="1659" spans="1:19" ht="15.75" customHeight="1" x14ac:dyDescent="0.3">
      <c r="A1659" s="4" t="s">
        <v>3330</v>
      </c>
      <c r="B1659" s="5" t="str">
        <f>TEXT(Patient_Data!$E1659,"mmmm")</f>
        <v>May</v>
      </c>
      <c r="C1659" s="6" t="str">
        <f t="shared" si="12"/>
        <v>May</v>
      </c>
      <c r="D1659" s="6">
        <f>MONTH(Patient_Data!$E1659)</f>
        <v>5</v>
      </c>
      <c r="E1659" s="7">
        <v>45414</v>
      </c>
      <c r="F1659" s="55" t="str">
        <f>TEXT(Patient_Data[[#This Row],[Admission_Date]],"YYYY")</f>
        <v>2024</v>
      </c>
      <c r="G1659" s="8" t="s">
        <v>3331</v>
      </c>
      <c r="H1659" s="8" t="s">
        <v>28</v>
      </c>
      <c r="I1659" s="4" t="s">
        <v>35</v>
      </c>
      <c r="J1659" s="4">
        <v>48</v>
      </c>
      <c r="K1659" s="4" t="s">
        <v>30</v>
      </c>
      <c r="L1659" s="8">
        <v>2</v>
      </c>
      <c r="M1659" s="9" t="s">
        <v>31</v>
      </c>
      <c r="N1659" s="9" t="str">
        <f t="shared" si="13"/>
        <v>Neuro</v>
      </c>
      <c r="O1659" s="10">
        <v>8406.8799999999992</v>
      </c>
      <c r="P1659" s="10">
        <v>4909.59</v>
      </c>
      <c r="Q1659" s="11">
        <v>4.2</v>
      </c>
      <c r="R1659" s="13" t="str">
        <f>IF(Patient_Data!$L1659&lt;2,"Low Risk",IF(Patient_Data!$L1659&lt;4,"Moderate Risk","High Risk"))</f>
        <v>Moderate Risk</v>
      </c>
      <c r="S1659" s="12" t="str">
        <f>IF(Patient_Data[[#This Row],[Age]]&lt;=18,"Pediatric",IF(Patient_Data[[#This Row],[Age]]&lt;=64,"Adult","Geriatric"))</f>
        <v>Adult</v>
      </c>
    </row>
    <row r="1660" spans="1:19" ht="15.75" customHeight="1" x14ac:dyDescent="0.3">
      <c r="A1660" s="4" t="s">
        <v>3332</v>
      </c>
      <c r="B1660" s="5" t="str">
        <f>TEXT(Patient_Data!$E1660,"mmmm")</f>
        <v>April</v>
      </c>
      <c r="C1660" s="6" t="str">
        <f t="shared" si="12"/>
        <v>Apr</v>
      </c>
      <c r="D1660" s="6">
        <f>MONTH(Patient_Data!$E1660)</f>
        <v>4</v>
      </c>
      <c r="E1660" s="7">
        <v>46115</v>
      </c>
      <c r="F1660" s="55" t="str">
        <f>TEXT(Patient_Data[[#This Row],[Admission_Date]],"YYYY")</f>
        <v>2026</v>
      </c>
      <c r="G1660" s="8" t="s">
        <v>3333</v>
      </c>
      <c r="H1660" s="8" t="s">
        <v>82</v>
      </c>
      <c r="I1660" s="4" t="s">
        <v>29</v>
      </c>
      <c r="J1660" s="4">
        <v>69</v>
      </c>
      <c r="K1660" s="4" t="s">
        <v>45</v>
      </c>
      <c r="L1660" s="8">
        <v>5</v>
      </c>
      <c r="M1660" s="9" t="s">
        <v>31</v>
      </c>
      <c r="N1660" s="9" t="str">
        <f t="shared" si="13"/>
        <v>Neuro</v>
      </c>
      <c r="O1660" s="10">
        <v>8485.1200000000008</v>
      </c>
      <c r="P1660" s="10">
        <v>5228.72</v>
      </c>
      <c r="Q1660" s="11">
        <v>6.6</v>
      </c>
      <c r="R1660" s="13" t="str">
        <f>IF(Patient_Data!$L1660&lt;2,"Low Risk",IF(Patient_Data!$L1660&lt;4,"Moderate Risk","High Risk"))</f>
        <v>High Risk</v>
      </c>
      <c r="S1660" s="12" t="str">
        <f>IF(Patient_Data[[#This Row],[Age]]&lt;=18,"Pediatric",IF(Patient_Data[[#This Row],[Age]]&lt;=64,"Adult","Geriatric"))</f>
        <v>Geriatric</v>
      </c>
    </row>
    <row r="1661" spans="1:19" ht="15.75" customHeight="1" x14ac:dyDescent="0.3">
      <c r="A1661" s="4" t="s">
        <v>3334</v>
      </c>
      <c r="B1661" s="5" t="str">
        <f>TEXT(Patient_Data!$E1661,"mmmm")</f>
        <v>February</v>
      </c>
      <c r="C1661" s="6" t="str">
        <f t="shared" si="12"/>
        <v>Feb</v>
      </c>
      <c r="D1661" s="6">
        <f>MONTH(Patient_Data!$E1661)</f>
        <v>2</v>
      </c>
      <c r="E1661" s="7">
        <v>45709</v>
      </c>
      <c r="F1661" s="55" t="str">
        <f>TEXT(Patient_Data[[#This Row],[Admission_Date]],"YYYY")</f>
        <v>2025</v>
      </c>
      <c r="G1661" s="8" t="s">
        <v>3335</v>
      </c>
      <c r="H1661" s="8" t="s">
        <v>98</v>
      </c>
      <c r="I1661" s="4" t="s">
        <v>35</v>
      </c>
      <c r="J1661" s="4">
        <v>19</v>
      </c>
      <c r="K1661" s="4" t="s">
        <v>30</v>
      </c>
      <c r="L1661" s="8">
        <v>1</v>
      </c>
      <c r="M1661" s="9" t="s">
        <v>39</v>
      </c>
      <c r="N1661" s="9" t="str">
        <f t="shared" si="13"/>
        <v>GM</v>
      </c>
      <c r="O1661" s="10">
        <v>3023.37</v>
      </c>
      <c r="P1661" s="10">
        <v>2003.76</v>
      </c>
      <c r="Q1661" s="11">
        <v>8.6</v>
      </c>
      <c r="R1661" s="13" t="str">
        <f>IF(Patient_Data!$L1661&lt;2,"Low Risk",IF(Patient_Data!$L1661&lt;4,"Moderate Risk","High Risk"))</f>
        <v>Low Risk</v>
      </c>
      <c r="S1661" s="12" t="str">
        <f>IF(Patient_Data[[#This Row],[Age]]&lt;=18,"Pediatric",IF(Patient_Data[[#This Row],[Age]]&lt;=64,"Adult","Geriatric"))</f>
        <v>Adult</v>
      </c>
    </row>
    <row r="1662" spans="1:19" ht="15.75" customHeight="1" x14ac:dyDescent="0.3">
      <c r="A1662" s="4" t="s">
        <v>3336</v>
      </c>
      <c r="B1662" s="5" t="str">
        <f>TEXT(Patient_Data!$E1662,"mmmm")</f>
        <v>April</v>
      </c>
      <c r="C1662" s="6" t="str">
        <f t="shared" si="12"/>
        <v>Apr</v>
      </c>
      <c r="D1662" s="6">
        <f>MONTH(Patient_Data!$E1662)</f>
        <v>4</v>
      </c>
      <c r="E1662" s="7">
        <v>45412</v>
      </c>
      <c r="F1662" s="55" t="str">
        <f>TEXT(Patient_Data[[#This Row],[Admission_Date]],"YYYY")</f>
        <v>2024</v>
      </c>
      <c r="G1662" s="8" t="s">
        <v>3337</v>
      </c>
      <c r="H1662" s="8" t="s">
        <v>28</v>
      </c>
      <c r="I1662" s="4" t="s">
        <v>29</v>
      </c>
      <c r="J1662" s="4">
        <v>71</v>
      </c>
      <c r="K1662" s="4" t="s">
        <v>54</v>
      </c>
      <c r="L1662" s="8">
        <v>4</v>
      </c>
      <c r="M1662" s="9" t="s">
        <v>83</v>
      </c>
      <c r="N1662" s="9" t="str">
        <f t="shared" si="13"/>
        <v>ER</v>
      </c>
      <c r="O1662" s="10">
        <v>5898.59</v>
      </c>
      <c r="P1662" s="10">
        <v>4062.46</v>
      </c>
      <c r="Q1662" s="11">
        <v>13.8</v>
      </c>
      <c r="R1662" s="13" t="str">
        <f>IF(Patient_Data!$L1662&lt;2,"Low Risk",IF(Patient_Data!$L1662&lt;4,"Moderate Risk","High Risk"))</f>
        <v>High Risk</v>
      </c>
      <c r="S1662" s="12" t="str">
        <f>IF(Patient_Data[[#This Row],[Age]]&lt;=18,"Pediatric",IF(Patient_Data[[#This Row],[Age]]&lt;=64,"Adult","Geriatric"))</f>
        <v>Geriatric</v>
      </c>
    </row>
    <row r="1663" spans="1:19" ht="15.75" customHeight="1" x14ac:dyDescent="0.3">
      <c r="A1663" s="4" t="s">
        <v>3338</v>
      </c>
      <c r="B1663" s="5" t="str">
        <f>TEXT(Patient_Data!$E1663,"mmmm")</f>
        <v>March</v>
      </c>
      <c r="C1663" s="6" t="str">
        <f t="shared" si="12"/>
        <v>Mar</v>
      </c>
      <c r="D1663" s="6">
        <f>MONTH(Patient_Data!$E1663)</f>
        <v>3</v>
      </c>
      <c r="E1663" s="7">
        <v>45352</v>
      </c>
      <c r="F1663" s="55" t="str">
        <f>TEXT(Patient_Data[[#This Row],[Admission_Date]],"YYYY")</f>
        <v>2024</v>
      </c>
      <c r="G1663" s="8" t="s">
        <v>3339</v>
      </c>
      <c r="H1663" s="8" t="s">
        <v>53</v>
      </c>
      <c r="I1663" s="4" t="s">
        <v>35</v>
      </c>
      <c r="J1663" s="4">
        <v>89</v>
      </c>
      <c r="K1663" s="4" t="s">
        <v>45</v>
      </c>
      <c r="L1663" s="8">
        <v>3</v>
      </c>
      <c r="M1663" s="9" t="s">
        <v>46</v>
      </c>
      <c r="N1663" s="9" t="str">
        <f t="shared" si="13"/>
        <v>Ortho</v>
      </c>
      <c r="O1663" s="10">
        <v>7896.42</v>
      </c>
      <c r="P1663" s="10">
        <v>5553.09</v>
      </c>
      <c r="Q1663" s="11">
        <v>3.2</v>
      </c>
      <c r="R1663" s="13" t="str">
        <f>IF(Patient_Data!$L1663&lt;2,"Low Risk",IF(Patient_Data!$L1663&lt;4,"Moderate Risk","High Risk"))</f>
        <v>Moderate Risk</v>
      </c>
      <c r="S1663" s="12" t="str">
        <f>IF(Patient_Data[[#This Row],[Age]]&lt;=18,"Pediatric",IF(Patient_Data[[#This Row],[Age]]&lt;=64,"Adult","Geriatric"))</f>
        <v>Geriatric</v>
      </c>
    </row>
    <row r="1664" spans="1:19" ht="15.75" customHeight="1" x14ac:dyDescent="0.3">
      <c r="A1664" s="4" t="s">
        <v>3340</v>
      </c>
      <c r="B1664" s="5" t="str">
        <f>TEXT(Patient_Data!$E1664,"mmmm")</f>
        <v>July</v>
      </c>
      <c r="C1664" s="6" t="str">
        <f t="shared" si="12"/>
        <v>Jul</v>
      </c>
      <c r="D1664" s="6">
        <f>MONTH(Patient_Data!$E1664)</f>
        <v>7</v>
      </c>
      <c r="E1664" s="7">
        <v>45489</v>
      </c>
      <c r="F1664" s="55" t="str">
        <f>TEXT(Patient_Data[[#This Row],[Admission_Date]],"YYYY")</f>
        <v>2024</v>
      </c>
      <c r="G1664" s="8" t="s">
        <v>3341</v>
      </c>
      <c r="H1664" s="8" t="s">
        <v>132</v>
      </c>
      <c r="I1664" s="4" t="s">
        <v>29</v>
      </c>
      <c r="J1664" s="4">
        <v>26</v>
      </c>
      <c r="K1664" s="4" t="s">
        <v>30</v>
      </c>
      <c r="L1664" s="8">
        <v>1</v>
      </c>
      <c r="M1664" s="9" t="s">
        <v>36</v>
      </c>
      <c r="N1664" s="9" t="str">
        <f t="shared" si="13"/>
        <v>Cardio</v>
      </c>
      <c r="O1664" s="10">
        <v>9329.67</v>
      </c>
      <c r="P1664" s="10">
        <v>6890.66</v>
      </c>
      <c r="Q1664" s="11">
        <v>10</v>
      </c>
      <c r="R1664" s="13" t="str">
        <f>IF(Patient_Data!$L1664&lt;2,"Low Risk",IF(Patient_Data!$L1664&lt;4,"Moderate Risk","High Risk"))</f>
        <v>Low Risk</v>
      </c>
      <c r="S1664" s="12" t="str">
        <f>IF(Patient_Data[[#This Row],[Age]]&lt;=18,"Pediatric",IF(Patient_Data[[#This Row],[Age]]&lt;=64,"Adult","Geriatric"))</f>
        <v>Adult</v>
      </c>
    </row>
    <row r="1665" spans="1:19" ht="15.75" customHeight="1" x14ac:dyDescent="0.3">
      <c r="A1665" s="4" t="s">
        <v>3342</v>
      </c>
      <c r="B1665" s="5" t="str">
        <f>TEXT(Patient_Data!$E1665,"mmmm")</f>
        <v>May</v>
      </c>
      <c r="C1665" s="6" t="str">
        <f t="shared" si="12"/>
        <v>May</v>
      </c>
      <c r="D1665" s="6">
        <f>MONTH(Patient_Data!$E1665)</f>
        <v>5</v>
      </c>
      <c r="E1665" s="7">
        <v>45790</v>
      </c>
      <c r="F1665" s="55" t="str">
        <f>TEXT(Patient_Data[[#This Row],[Admission_Date]],"YYYY")</f>
        <v>2025</v>
      </c>
      <c r="G1665" s="8" t="s">
        <v>229</v>
      </c>
      <c r="H1665" s="8" t="s">
        <v>49</v>
      </c>
      <c r="I1665" s="4" t="s">
        <v>29</v>
      </c>
      <c r="J1665" s="4">
        <v>71</v>
      </c>
      <c r="K1665" s="4" t="s">
        <v>30</v>
      </c>
      <c r="L1665" s="8">
        <v>4</v>
      </c>
      <c r="M1665" s="9" t="s">
        <v>50</v>
      </c>
      <c r="N1665" s="9" t="str">
        <f t="shared" si="13"/>
        <v>ICU</v>
      </c>
      <c r="O1665" s="10">
        <v>15457.72</v>
      </c>
      <c r="P1665" s="10">
        <v>11860.67</v>
      </c>
      <c r="Q1665" s="11">
        <v>14.1</v>
      </c>
      <c r="R1665" s="13" t="str">
        <f>IF(Patient_Data!$L1665&lt;2,"Low Risk",IF(Patient_Data!$L1665&lt;4,"Moderate Risk","High Risk"))</f>
        <v>High Risk</v>
      </c>
      <c r="S1665" s="12" t="str">
        <f>IF(Patient_Data[[#This Row],[Age]]&lt;=18,"Pediatric",IF(Patient_Data[[#This Row],[Age]]&lt;=64,"Adult","Geriatric"))</f>
        <v>Geriatric</v>
      </c>
    </row>
    <row r="1666" spans="1:19" ht="15.75" customHeight="1" x14ac:dyDescent="0.3">
      <c r="A1666" s="4" t="s">
        <v>3343</v>
      </c>
      <c r="B1666" s="5" t="str">
        <f>TEXT(Patient_Data!$E1666,"mmmm")</f>
        <v>June</v>
      </c>
      <c r="C1666" s="6" t="str">
        <f t="shared" si="12"/>
        <v>Jun</v>
      </c>
      <c r="D1666" s="6">
        <f>MONTH(Patient_Data!$E1666)</f>
        <v>6</v>
      </c>
      <c r="E1666" s="7">
        <v>45838</v>
      </c>
      <c r="F1666" s="55" t="str">
        <f>TEXT(Patient_Data[[#This Row],[Admission_Date]],"YYYY")</f>
        <v>2025</v>
      </c>
      <c r="G1666" s="8" t="s">
        <v>3344</v>
      </c>
      <c r="H1666" s="8" t="s">
        <v>98</v>
      </c>
      <c r="I1666" s="4" t="s">
        <v>29</v>
      </c>
      <c r="J1666" s="4">
        <v>32</v>
      </c>
      <c r="K1666" s="4" t="s">
        <v>54</v>
      </c>
      <c r="L1666" s="8">
        <v>1</v>
      </c>
      <c r="M1666" s="9" t="s">
        <v>83</v>
      </c>
      <c r="N1666" s="9" t="str">
        <f t="shared" si="13"/>
        <v>ER</v>
      </c>
      <c r="O1666" s="10">
        <v>7102.91</v>
      </c>
      <c r="P1666" s="10">
        <v>4255.6899999999996</v>
      </c>
      <c r="Q1666" s="11">
        <v>17</v>
      </c>
      <c r="R1666" s="13" t="str">
        <f>IF(Patient_Data!$L1666&lt;2,"Low Risk",IF(Patient_Data!$L1666&lt;4,"Moderate Risk","High Risk"))</f>
        <v>Low Risk</v>
      </c>
      <c r="S1666" s="12" t="str">
        <f>IF(Patient_Data[[#This Row],[Age]]&lt;=18,"Pediatric",IF(Patient_Data[[#This Row],[Age]]&lt;=64,"Adult","Geriatric"))</f>
        <v>Adult</v>
      </c>
    </row>
    <row r="1667" spans="1:19" ht="15.75" customHeight="1" x14ac:dyDescent="0.3">
      <c r="A1667" s="4" t="s">
        <v>3345</v>
      </c>
      <c r="B1667" s="5" t="str">
        <f>TEXT(Patient_Data!$E1667,"mmmm")</f>
        <v>June</v>
      </c>
      <c r="C1667" s="6" t="str">
        <f t="shared" si="12"/>
        <v>Jun</v>
      </c>
      <c r="D1667" s="6">
        <f>MONTH(Patient_Data!$E1667)</f>
        <v>6</v>
      </c>
      <c r="E1667" s="7">
        <v>45470</v>
      </c>
      <c r="F1667" s="55" t="str">
        <f>TEXT(Patient_Data[[#This Row],[Admission_Date]],"YYYY")</f>
        <v>2024</v>
      </c>
      <c r="G1667" s="8" t="s">
        <v>3346</v>
      </c>
      <c r="H1667" s="8" t="s">
        <v>28</v>
      </c>
      <c r="I1667" s="4" t="s">
        <v>29</v>
      </c>
      <c r="J1667" s="4">
        <v>47</v>
      </c>
      <c r="K1667" s="4" t="s">
        <v>45</v>
      </c>
      <c r="L1667" s="8">
        <v>1</v>
      </c>
      <c r="M1667" s="9" t="s">
        <v>83</v>
      </c>
      <c r="N1667" s="9" t="str">
        <f t="shared" si="13"/>
        <v>ER</v>
      </c>
      <c r="O1667" s="10">
        <v>3004.93</v>
      </c>
      <c r="P1667" s="10">
        <v>1973.81</v>
      </c>
      <c r="Q1667" s="11">
        <v>17.600000000000001</v>
      </c>
      <c r="R1667" s="13" t="str">
        <f>IF(Patient_Data!$L1667&lt;2,"Low Risk",IF(Patient_Data!$L1667&lt;4,"Moderate Risk","High Risk"))</f>
        <v>Low Risk</v>
      </c>
      <c r="S1667" s="12" t="str">
        <f>IF(Patient_Data[[#This Row],[Age]]&lt;=18,"Pediatric",IF(Patient_Data[[#This Row],[Age]]&lt;=64,"Adult","Geriatric"))</f>
        <v>Adult</v>
      </c>
    </row>
    <row r="1668" spans="1:19" ht="15.75" customHeight="1" x14ac:dyDescent="0.3">
      <c r="A1668" s="4" t="s">
        <v>3347</v>
      </c>
      <c r="B1668" s="5" t="str">
        <f>TEXT(Patient_Data!$E1668,"mmmm")</f>
        <v>August</v>
      </c>
      <c r="C1668" s="6" t="str">
        <f t="shared" si="12"/>
        <v>Aug</v>
      </c>
      <c r="D1668" s="6">
        <f>MONTH(Patient_Data!$E1668)</f>
        <v>8</v>
      </c>
      <c r="E1668" s="7">
        <v>45895</v>
      </c>
      <c r="F1668" s="55" t="str">
        <f>TEXT(Patient_Data[[#This Row],[Admission_Date]],"YYYY")</f>
        <v>2025</v>
      </c>
      <c r="G1668" s="8" t="s">
        <v>3348</v>
      </c>
      <c r="H1668" s="8" t="s">
        <v>42</v>
      </c>
      <c r="I1668" s="4" t="s">
        <v>29</v>
      </c>
      <c r="J1668" s="4">
        <v>54</v>
      </c>
      <c r="K1668" s="4" t="s">
        <v>30</v>
      </c>
      <c r="L1668" s="8">
        <v>1</v>
      </c>
      <c r="M1668" s="9" t="s">
        <v>46</v>
      </c>
      <c r="N1668" s="9" t="str">
        <f t="shared" si="13"/>
        <v>Ortho</v>
      </c>
      <c r="O1668" s="10">
        <v>6742.28</v>
      </c>
      <c r="P1668" s="10">
        <v>4350.26</v>
      </c>
      <c r="Q1668" s="11">
        <v>4.4000000000000004</v>
      </c>
      <c r="R1668" s="13" t="str">
        <f>IF(Patient_Data!$L1668&lt;2,"Low Risk",IF(Patient_Data!$L1668&lt;4,"Moderate Risk","High Risk"))</f>
        <v>Low Risk</v>
      </c>
      <c r="S1668" s="12" t="str">
        <f>IF(Patient_Data[[#This Row],[Age]]&lt;=18,"Pediatric",IF(Patient_Data[[#This Row],[Age]]&lt;=64,"Adult","Geriatric"))</f>
        <v>Adult</v>
      </c>
    </row>
    <row r="1669" spans="1:19" ht="15.75" customHeight="1" x14ac:dyDescent="0.3">
      <c r="A1669" s="4" t="s">
        <v>3349</v>
      </c>
      <c r="B1669" s="5" t="str">
        <f>TEXT(Patient_Data!$E1669,"mmmm")</f>
        <v>November</v>
      </c>
      <c r="C1669" s="6" t="str">
        <f t="shared" si="12"/>
        <v>Nov</v>
      </c>
      <c r="D1669" s="6">
        <f>MONTH(Patient_Data!$E1669)</f>
        <v>11</v>
      </c>
      <c r="E1669" s="7">
        <v>45978</v>
      </c>
      <c r="F1669" s="55" t="str">
        <f>TEXT(Patient_Data[[#This Row],[Admission_Date]],"YYYY")</f>
        <v>2025</v>
      </c>
      <c r="G1669" s="8" t="s">
        <v>3350</v>
      </c>
      <c r="H1669" s="8" t="s">
        <v>75</v>
      </c>
      <c r="I1669" s="4" t="s">
        <v>29</v>
      </c>
      <c r="J1669" s="4">
        <v>38</v>
      </c>
      <c r="K1669" s="4" t="s">
        <v>54</v>
      </c>
      <c r="L1669" s="8">
        <v>4</v>
      </c>
      <c r="M1669" s="9" t="s">
        <v>36</v>
      </c>
      <c r="N1669" s="9" t="str">
        <f t="shared" si="13"/>
        <v>Cardio</v>
      </c>
      <c r="O1669" s="10">
        <v>8507.9</v>
      </c>
      <c r="P1669" s="10">
        <v>5759.49</v>
      </c>
      <c r="Q1669" s="11">
        <v>7.4</v>
      </c>
      <c r="R1669" s="13" t="str">
        <f>IF(Patient_Data!$L1669&lt;2,"Low Risk",IF(Patient_Data!$L1669&lt;4,"Moderate Risk","High Risk"))</f>
        <v>High Risk</v>
      </c>
      <c r="S1669" s="12" t="str">
        <f>IF(Patient_Data[[#This Row],[Age]]&lt;=18,"Pediatric",IF(Patient_Data[[#This Row],[Age]]&lt;=64,"Adult","Geriatric"))</f>
        <v>Adult</v>
      </c>
    </row>
    <row r="1670" spans="1:19" ht="15.75" customHeight="1" x14ac:dyDescent="0.3">
      <c r="A1670" s="4" t="s">
        <v>3351</v>
      </c>
      <c r="B1670" s="5" t="str">
        <f>TEXT(Patient_Data!$E1670,"mmmm")</f>
        <v>July</v>
      </c>
      <c r="C1670" s="6" t="str">
        <f t="shared" si="12"/>
        <v>Jul</v>
      </c>
      <c r="D1670" s="6">
        <f>MONTH(Patient_Data!$E1670)</f>
        <v>7</v>
      </c>
      <c r="E1670" s="7">
        <v>46218</v>
      </c>
      <c r="F1670" s="55" t="str">
        <f>TEXT(Patient_Data[[#This Row],[Admission_Date]],"YYYY")</f>
        <v>2026</v>
      </c>
      <c r="G1670" s="8" t="s">
        <v>3352</v>
      </c>
      <c r="H1670" s="8" t="s">
        <v>98</v>
      </c>
      <c r="I1670" s="4" t="s">
        <v>29</v>
      </c>
      <c r="J1670" s="4">
        <v>21</v>
      </c>
      <c r="K1670" s="4" t="s">
        <v>30</v>
      </c>
      <c r="L1670" s="8">
        <v>1</v>
      </c>
      <c r="M1670" s="9" t="s">
        <v>36</v>
      </c>
      <c r="N1670" s="9" t="str">
        <f t="shared" si="13"/>
        <v>Cardio</v>
      </c>
      <c r="O1670" s="10">
        <v>6617.64</v>
      </c>
      <c r="P1670" s="10">
        <v>4701.95</v>
      </c>
      <c r="Q1670" s="11">
        <v>8.6999999999999993</v>
      </c>
      <c r="R1670" s="13" t="str">
        <f>IF(Patient_Data!$L1670&lt;2,"Low Risk",IF(Patient_Data!$L1670&lt;4,"Moderate Risk","High Risk"))</f>
        <v>Low Risk</v>
      </c>
      <c r="S1670" s="12" t="str">
        <f>IF(Patient_Data[[#This Row],[Age]]&lt;=18,"Pediatric",IF(Patient_Data[[#This Row],[Age]]&lt;=64,"Adult","Geriatric"))</f>
        <v>Adult</v>
      </c>
    </row>
    <row r="1671" spans="1:19" ht="15.75" customHeight="1" x14ac:dyDescent="0.3">
      <c r="A1671" s="4" t="s">
        <v>3353</v>
      </c>
      <c r="B1671" s="5" t="str">
        <f>TEXT(Patient_Data!$E1671,"mmmm")</f>
        <v>December</v>
      </c>
      <c r="C1671" s="6" t="str">
        <f t="shared" si="12"/>
        <v>Dec</v>
      </c>
      <c r="D1671" s="6">
        <f>MONTH(Patient_Data!$E1671)</f>
        <v>12</v>
      </c>
      <c r="E1671" s="7">
        <v>45267</v>
      </c>
      <c r="F1671" s="55" t="str">
        <f>TEXT(Patient_Data[[#This Row],[Admission_Date]],"YYYY")</f>
        <v>2023</v>
      </c>
      <c r="G1671" s="8" t="s">
        <v>3354</v>
      </c>
      <c r="H1671" s="8" t="s">
        <v>82</v>
      </c>
      <c r="I1671" s="4" t="s">
        <v>29</v>
      </c>
      <c r="J1671" s="4">
        <v>34</v>
      </c>
      <c r="K1671" s="4" t="s">
        <v>30</v>
      </c>
      <c r="L1671" s="8">
        <v>1</v>
      </c>
      <c r="M1671" s="9" t="s">
        <v>39</v>
      </c>
      <c r="N1671" s="9" t="str">
        <f t="shared" si="13"/>
        <v>GM</v>
      </c>
      <c r="O1671" s="10">
        <v>2994.13</v>
      </c>
      <c r="P1671" s="10">
        <v>2245.71</v>
      </c>
      <c r="Q1671" s="11">
        <v>7.5</v>
      </c>
      <c r="R1671" s="13" t="str">
        <f>IF(Patient_Data!$L1671&lt;2,"Low Risk",IF(Patient_Data!$L1671&lt;4,"Moderate Risk","High Risk"))</f>
        <v>Low Risk</v>
      </c>
      <c r="S1671" s="12" t="str">
        <f>IF(Patient_Data[[#This Row],[Age]]&lt;=18,"Pediatric",IF(Patient_Data[[#This Row],[Age]]&lt;=64,"Adult","Geriatric"))</f>
        <v>Adult</v>
      </c>
    </row>
    <row r="1672" spans="1:19" ht="15.75" customHeight="1" x14ac:dyDescent="0.3">
      <c r="A1672" s="4" t="s">
        <v>3355</v>
      </c>
      <c r="B1672" s="5" t="str">
        <f>TEXT(Patient_Data!$E1672,"mmmm")</f>
        <v>May</v>
      </c>
      <c r="C1672" s="6" t="str">
        <f t="shared" si="12"/>
        <v>May</v>
      </c>
      <c r="D1672" s="6">
        <f>MONTH(Patient_Data!$E1672)</f>
        <v>5</v>
      </c>
      <c r="E1672" s="7">
        <v>45779</v>
      </c>
      <c r="F1672" s="55" t="str">
        <f>TEXT(Patient_Data[[#This Row],[Admission_Date]],"YYYY")</f>
        <v>2025</v>
      </c>
      <c r="G1672" s="8" t="s">
        <v>3356</v>
      </c>
      <c r="H1672" s="8" t="s">
        <v>82</v>
      </c>
      <c r="I1672" s="4" t="s">
        <v>29</v>
      </c>
      <c r="J1672" s="4">
        <v>71</v>
      </c>
      <c r="K1672" s="4" t="s">
        <v>45</v>
      </c>
      <c r="L1672" s="8">
        <v>4</v>
      </c>
      <c r="M1672" s="9" t="s">
        <v>72</v>
      </c>
      <c r="N1672" s="9" t="str">
        <f t="shared" si="13"/>
        <v>Surgery</v>
      </c>
      <c r="O1672" s="10">
        <v>16135.88</v>
      </c>
      <c r="P1672" s="10">
        <v>12348.07</v>
      </c>
      <c r="Q1672" s="11">
        <v>10.6</v>
      </c>
      <c r="R1672" s="13" t="str">
        <f>IF(Patient_Data!$L1672&lt;2,"Low Risk",IF(Patient_Data!$L1672&lt;4,"Moderate Risk","High Risk"))</f>
        <v>High Risk</v>
      </c>
      <c r="S1672" s="12" t="str">
        <f>IF(Patient_Data[[#This Row],[Age]]&lt;=18,"Pediatric",IF(Patient_Data[[#This Row],[Age]]&lt;=64,"Adult","Geriatric"))</f>
        <v>Geriatric</v>
      </c>
    </row>
    <row r="1673" spans="1:19" ht="15.75" customHeight="1" x14ac:dyDescent="0.3">
      <c r="A1673" s="4" t="s">
        <v>3357</v>
      </c>
      <c r="B1673" s="5" t="str">
        <f>TEXT(Patient_Data!$E1673,"mmmm")</f>
        <v>February</v>
      </c>
      <c r="C1673" s="6" t="str">
        <f t="shared" si="12"/>
        <v>Feb</v>
      </c>
      <c r="D1673" s="6">
        <f>MONTH(Patient_Data!$E1673)</f>
        <v>2</v>
      </c>
      <c r="E1673" s="7">
        <v>45699</v>
      </c>
      <c r="F1673" s="55" t="str">
        <f>TEXT(Patient_Data[[#This Row],[Admission_Date]],"YYYY")</f>
        <v>2025</v>
      </c>
      <c r="G1673" s="8" t="s">
        <v>3358</v>
      </c>
      <c r="H1673" s="8" t="s">
        <v>53</v>
      </c>
      <c r="I1673" s="4" t="s">
        <v>35</v>
      </c>
      <c r="J1673" s="4">
        <v>29</v>
      </c>
      <c r="K1673" s="4" t="s">
        <v>30</v>
      </c>
      <c r="L1673" s="8">
        <v>1</v>
      </c>
      <c r="M1673" s="9" t="s">
        <v>39</v>
      </c>
      <c r="N1673" s="9" t="str">
        <f t="shared" si="13"/>
        <v>GM</v>
      </c>
      <c r="O1673" s="10">
        <v>1576.52</v>
      </c>
      <c r="P1673" s="10">
        <v>993.58</v>
      </c>
      <c r="Q1673" s="11">
        <v>9.9</v>
      </c>
      <c r="R1673" s="13" t="str">
        <f>IF(Patient_Data!$L1673&lt;2,"Low Risk",IF(Patient_Data!$L1673&lt;4,"Moderate Risk","High Risk"))</f>
        <v>Low Risk</v>
      </c>
      <c r="S1673" s="12" t="str">
        <f>IF(Patient_Data[[#This Row],[Age]]&lt;=18,"Pediatric",IF(Patient_Data[[#This Row],[Age]]&lt;=64,"Adult","Geriatric"))</f>
        <v>Adult</v>
      </c>
    </row>
    <row r="1674" spans="1:19" ht="15.75" customHeight="1" x14ac:dyDescent="0.3">
      <c r="A1674" s="4" t="s">
        <v>3359</v>
      </c>
      <c r="B1674" s="5" t="str">
        <f>TEXT(Patient_Data!$E1674,"mmmm")</f>
        <v>August</v>
      </c>
      <c r="C1674" s="6" t="str">
        <f t="shared" si="12"/>
        <v>Aug</v>
      </c>
      <c r="D1674" s="6">
        <f>MONTH(Patient_Data!$E1674)</f>
        <v>8</v>
      </c>
      <c r="E1674" s="7">
        <v>45523</v>
      </c>
      <c r="F1674" s="55" t="str">
        <f>TEXT(Patient_Data[[#This Row],[Admission_Date]],"YYYY")</f>
        <v>2024</v>
      </c>
      <c r="G1674" s="8" t="s">
        <v>3360</v>
      </c>
      <c r="H1674" s="8" t="s">
        <v>42</v>
      </c>
      <c r="I1674" s="4" t="s">
        <v>35</v>
      </c>
      <c r="J1674" s="4">
        <v>68</v>
      </c>
      <c r="K1674" s="4" t="s">
        <v>54</v>
      </c>
      <c r="L1674" s="8">
        <v>4</v>
      </c>
      <c r="M1674" s="9" t="s">
        <v>50</v>
      </c>
      <c r="N1674" s="9" t="str">
        <f t="shared" si="13"/>
        <v>ICU</v>
      </c>
      <c r="O1674" s="10">
        <v>19264.580000000002</v>
      </c>
      <c r="P1674" s="10">
        <v>11876.99</v>
      </c>
      <c r="Q1674" s="11">
        <v>15.7</v>
      </c>
      <c r="R1674" s="13" t="str">
        <f>IF(Patient_Data!$L1674&lt;2,"Low Risk",IF(Patient_Data!$L1674&lt;4,"Moderate Risk","High Risk"))</f>
        <v>High Risk</v>
      </c>
      <c r="S1674" s="12" t="str">
        <f>IF(Patient_Data[[#This Row],[Age]]&lt;=18,"Pediatric",IF(Patient_Data[[#This Row],[Age]]&lt;=64,"Adult","Geriatric"))</f>
        <v>Geriatric</v>
      </c>
    </row>
    <row r="1675" spans="1:19" ht="15.75" customHeight="1" x14ac:dyDescent="0.3">
      <c r="A1675" s="4" t="s">
        <v>3361</v>
      </c>
      <c r="B1675" s="5" t="str">
        <f>TEXT(Patient_Data!$E1675,"mmmm")</f>
        <v>October</v>
      </c>
      <c r="C1675" s="6" t="str">
        <f t="shared" si="12"/>
        <v>Oct</v>
      </c>
      <c r="D1675" s="6">
        <f>MONTH(Patient_Data!$E1675)</f>
        <v>10</v>
      </c>
      <c r="E1675" s="7">
        <v>45230</v>
      </c>
      <c r="F1675" s="55" t="str">
        <f>TEXT(Patient_Data[[#This Row],[Admission_Date]],"YYYY")</f>
        <v>2023</v>
      </c>
      <c r="G1675" s="8" t="s">
        <v>3362</v>
      </c>
      <c r="H1675" s="8" t="s">
        <v>53</v>
      </c>
      <c r="I1675" s="4" t="s">
        <v>29</v>
      </c>
      <c r="J1675" s="4">
        <v>68</v>
      </c>
      <c r="K1675" s="4" t="s">
        <v>45</v>
      </c>
      <c r="L1675" s="8">
        <v>4</v>
      </c>
      <c r="M1675" s="9" t="s">
        <v>83</v>
      </c>
      <c r="N1675" s="9" t="str">
        <f t="shared" si="13"/>
        <v>ER</v>
      </c>
      <c r="O1675" s="10">
        <v>6205.14</v>
      </c>
      <c r="P1675" s="10">
        <v>4112.09</v>
      </c>
      <c r="Q1675" s="11">
        <v>17.600000000000001</v>
      </c>
      <c r="R1675" s="13" t="str">
        <f>IF(Patient_Data!$L1675&lt;2,"Low Risk",IF(Patient_Data!$L1675&lt;4,"Moderate Risk","High Risk"))</f>
        <v>High Risk</v>
      </c>
      <c r="S1675" s="12" t="str">
        <f>IF(Patient_Data[[#This Row],[Age]]&lt;=18,"Pediatric",IF(Patient_Data[[#This Row],[Age]]&lt;=64,"Adult","Geriatric"))</f>
        <v>Geriatric</v>
      </c>
    </row>
    <row r="1676" spans="1:19" ht="15.75" customHeight="1" x14ac:dyDescent="0.3">
      <c r="A1676" s="4" t="s">
        <v>3363</v>
      </c>
      <c r="B1676" s="5" t="str">
        <f>TEXT(Patient_Data!$E1676,"mmmm")</f>
        <v>December</v>
      </c>
      <c r="C1676" s="6" t="str">
        <f t="shared" si="12"/>
        <v>Dec</v>
      </c>
      <c r="D1676" s="6">
        <f>MONTH(Patient_Data!$E1676)</f>
        <v>12</v>
      </c>
      <c r="E1676" s="7">
        <v>45995</v>
      </c>
      <c r="F1676" s="55" t="str">
        <f>TEXT(Patient_Data[[#This Row],[Admission_Date]],"YYYY")</f>
        <v>2025</v>
      </c>
      <c r="G1676" s="8" t="s">
        <v>3364</v>
      </c>
      <c r="H1676" s="8" t="s">
        <v>82</v>
      </c>
      <c r="I1676" s="4" t="s">
        <v>35</v>
      </c>
      <c r="J1676" s="4">
        <v>55</v>
      </c>
      <c r="K1676" s="4" t="s">
        <v>30</v>
      </c>
      <c r="L1676" s="8">
        <v>1</v>
      </c>
      <c r="M1676" s="9" t="s">
        <v>83</v>
      </c>
      <c r="N1676" s="9" t="str">
        <f t="shared" si="13"/>
        <v>ER</v>
      </c>
      <c r="O1676" s="10">
        <v>8667.77</v>
      </c>
      <c r="P1676" s="10">
        <v>5986.61</v>
      </c>
      <c r="Q1676" s="11">
        <v>22.4</v>
      </c>
      <c r="R1676" s="13" t="str">
        <f>IF(Patient_Data!$L1676&lt;2,"Low Risk",IF(Patient_Data!$L1676&lt;4,"Moderate Risk","High Risk"))</f>
        <v>Low Risk</v>
      </c>
      <c r="S1676" s="12" t="str">
        <f>IF(Patient_Data[[#This Row],[Age]]&lt;=18,"Pediatric",IF(Patient_Data[[#This Row],[Age]]&lt;=64,"Adult","Geriatric"))</f>
        <v>Adult</v>
      </c>
    </row>
    <row r="1677" spans="1:19" ht="15.75" customHeight="1" x14ac:dyDescent="0.3">
      <c r="A1677" s="4" t="s">
        <v>3365</v>
      </c>
      <c r="B1677" s="5" t="str">
        <f>TEXT(Patient_Data!$E1677,"mmmm")</f>
        <v>March</v>
      </c>
      <c r="C1677" s="6" t="str">
        <f t="shared" si="12"/>
        <v>Mar</v>
      </c>
      <c r="D1677" s="6">
        <f>MONTH(Patient_Data!$E1677)</f>
        <v>3</v>
      </c>
      <c r="E1677" s="7">
        <v>46093</v>
      </c>
      <c r="F1677" s="55" t="str">
        <f>TEXT(Patient_Data[[#This Row],[Admission_Date]],"YYYY")</f>
        <v>2026</v>
      </c>
      <c r="G1677" s="8" t="s">
        <v>3366</v>
      </c>
      <c r="H1677" s="8" t="s">
        <v>132</v>
      </c>
      <c r="I1677" s="4" t="s">
        <v>29</v>
      </c>
      <c r="J1677" s="4">
        <v>71</v>
      </c>
      <c r="K1677" s="4" t="s">
        <v>45</v>
      </c>
      <c r="L1677" s="8">
        <v>5</v>
      </c>
      <c r="M1677" s="9" t="s">
        <v>72</v>
      </c>
      <c r="N1677" s="9" t="str">
        <f t="shared" si="13"/>
        <v>Surgery</v>
      </c>
      <c r="O1677" s="10">
        <v>20874.87</v>
      </c>
      <c r="P1677" s="10">
        <v>14640.41</v>
      </c>
      <c r="Q1677" s="11">
        <v>3.5</v>
      </c>
      <c r="R1677" s="13" t="str">
        <f>IF(Patient_Data!$L1677&lt;2,"Low Risk",IF(Patient_Data!$L1677&lt;4,"Moderate Risk","High Risk"))</f>
        <v>High Risk</v>
      </c>
      <c r="S1677" s="12" t="str">
        <f>IF(Patient_Data[[#This Row],[Age]]&lt;=18,"Pediatric",IF(Patient_Data[[#This Row],[Age]]&lt;=64,"Adult","Geriatric"))</f>
        <v>Geriatric</v>
      </c>
    </row>
    <row r="1678" spans="1:19" ht="15.75" customHeight="1" x14ac:dyDescent="0.3">
      <c r="A1678" s="4" t="s">
        <v>3367</v>
      </c>
      <c r="B1678" s="5" t="str">
        <f>TEXT(Patient_Data!$E1678,"mmmm")</f>
        <v>January</v>
      </c>
      <c r="C1678" s="6" t="str">
        <f t="shared" si="12"/>
        <v>Jan</v>
      </c>
      <c r="D1678" s="6">
        <f>MONTH(Patient_Data!$E1678)</f>
        <v>1</v>
      </c>
      <c r="E1678" s="7">
        <v>45678</v>
      </c>
      <c r="F1678" s="55" t="str">
        <f>TEXT(Patient_Data[[#This Row],[Admission_Date]],"YYYY")</f>
        <v>2025</v>
      </c>
      <c r="G1678" s="8" t="s">
        <v>3368</v>
      </c>
      <c r="H1678" s="8" t="s">
        <v>82</v>
      </c>
      <c r="I1678" s="4" t="s">
        <v>35</v>
      </c>
      <c r="J1678" s="4">
        <v>18</v>
      </c>
      <c r="K1678" s="4" t="s">
        <v>54</v>
      </c>
      <c r="L1678" s="8">
        <v>4</v>
      </c>
      <c r="M1678" s="9" t="s">
        <v>83</v>
      </c>
      <c r="N1678" s="9" t="str">
        <f t="shared" si="13"/>
        <v>ER</v>
      </c>
      <c r="O1678" s="10">
        <v>12681.03</v>
      </c>
      <c r="P1678" s="10">
        <v>9345.15</v>
      </c>
      <c r="Q1678" s="11">
        <v>11</v>
      </c>
      <c r="R1678" s="13" t="str">
        <f>IF(Patient_Data!$L1678&lt;2,"Low Risk",IF(Patient_Data!$L1678&lt;4,"Moderate Risk","High Risk"))</f>
        <v>High Risk</v>
      </c>
      <c r="S1678" s="12" t="str">
        <f>IF(Patient_Data[[#This Row],[Age]]&lt;=18,"Pediatric",IF(Patient_Data[[#This Row],[Age]]&lt;=64,"Adult","Geriatric"))</f>
        <v>Pediatric</v>
      </c>
    </row>
    <row r="1679" spans="1:19" ht="15.75" customHeight="1" x14ac:dyDescent="0.3">
      <c r="A1679" s="4" t="s">
        <v>3369</v>
      </c>
      <c r="B1679" s="5" t="str">
        <f>TEXT(Patient_Data!$E1679,"mmmm")</f>
        <v>June</v>
      </c>
      <c r="C1679" s="6" t="str">
        <f t="shared" si="12"/>
        <v>Jun</v>
      </c>
      <c r="D1679" s="6">
        <f>MONTH(Patient_Data!$E1679)</f>
        <v>6</v>
      </c>
      <c r="E1679" s="7">
        <v>45453</v>
      </c>
      <c r="F1679" s="55" t="str">
        <f>TEXT(Patient_Data[[#This Row],[Admission_Date]],"YYYY")</f>
        <v>2024</v>
      </c>
      <c r="G1679" s="8" t="s">
        <v>3370</v>
      </c>
      <c r="H1679" s="8" t="s">
        <v>82</v>
      </c>
      <c r="I1679" s="4" t="s">
        <v>35</v>
      </c>
      <c r="J1679" s="4">
        <v>40</v>
      </c>
      <c r="K1679" s="4" t="s">
        <v>30</v>
      </c>
      <c r="L1679" s="8">
        <v>1</v>
      </c>
      <c r="M1679" s="9" t="s">
        <v>39</v>
      </c>
      <c r="N1679" s="9" t="str">
        <f t="shared" si="13"/>
        <v>GM</v>
      </c>
      <c r="O1679" s="10">
        <v>3000.2</v>
      </c>
      <c r="P1679" s="10">
        <v>2344.15</v>
      </c>
      <c r="Q1679" s="11">
        <v>8</v>
      </c>
      <c r="R1679" s="13" t="str">
        <f>IF(Patient_Data!$L1679&lt;2,"Low Risk",IF(Patient_Data!$L1679&lt;4,"Moderate Risk","High Risk"))</f>
        <v>Low Risk</v>
      </c>
      <c r="S1679" s="12" t="str">
        <f>IF(Patient_Data[[#This Row],[Age]]&lt;=18,"Pediatric",IF(Patient_Data[[#This Row],[Age]]&lt;=64,"Adult","Geriatric"))</f>
        <v>Adult</v>
      </c>
    </row>
    <row r="1680" spans="1:19" ht="15.75" customHeight="1" x14ac:dyDescent="0.3">
      <c r="A1680" s="4" t="s">
        <v>3371</v>
      </c>
      <c r="B1680" s="5" t="str">
        <f>TEXT(Patient_Data!$E1680,"mmmm")</f>
        <v>May</v>
      </c>
      <c r="C1680" s="6" t="str">
        <f t="shared" si="12"/>
        <v>May</v>
      </c>
      <c r="D1680" s="6">
        <f>MONTH(Patient_Data!$E1680)</f>
        <v>5</v>
      </c>
      <c r="E1680" s="7">
        <v>45415</v>
      </c>
      <c r="F1680" s="55" t="str">
        <f>TEXT(Patient_Data[[#This Row],[Admission_Date]],"YYYY")</f>
        <v>2024</v>
      </c>
      <c r="G1680" s="8" t="s">
        <v>3372</v>
      </c>
      <c r="H1680" s="8" t="s">
        <v>28</v>
      </c>
      <c r="I1680" s="4" t="s">
        <v>29</v>
      </c>
      <c r="J1680" s="4">
        <v>62</v>
      </c>
      <c r="K1680" s="4" t="s">
        <v>30</v>
      </c>
      <c r="L1680" s="8">
        <v>1</v>
      </c>
      <c r="M1680" s="9" t="s">
        <v>46</v>
      </c>
      <c r="N1680" s="9" t="str">
        <f t="shared" si="13"/>
        <v>Ortho</v>
      </c>
      <c r="O1680" s="10">
        <v>7787.47</v>
      </c>
      <c r="P1680" s="10">
        <v>4581.53</v>
      </c>
      <c r="Q1680" s="11">
        <v>8.1</v>
      </c>
      <c r="R1680" s="13" t="str">
        <f>IF(Patient_Data!$L1680&lt;2,"Low Risk",IF(Patient_Data!$L1680&lt;4,"Moderate Risk","High Risk"))</f>
        <v>Low Risk</v>
      </c>
      <c r="S1680" s="12" t="str">
        <f>IF(Patient_Data[[#This Row],[Age]]&lt;=18,"Pediatric",IF(Patient_Data[[#This Row],[Age]]&lt;=64,"Adult","Geriatric"))</f>
        <v>Adult</v>
      </c>
    </row>
    <row r="1681" spans="1:19" ht="15.75" customHeight="1" x14ac:dyDescent="0.3">
      <c r="A1681" s="4" t="s">
        <v>3373</v>
      </c>
      <c r="B1681" s="5" t="str">
        <f>TEXT(Patient_Data!$E1681,"mmmm")</f>
        <v>September</v>
      </c>
      <c r="C1681" s="6" t="str">
        <f t="shared" si="12"/>
        <v>Sep</v>
      </c>
      <c r="D1681" s="6">
        <f>MONTH(Patient_Data!$E1681)</f>
        <v>9</v>
      </c>
      <c r="E1681" s="7">
        <v>45191</v>
      </c>
      <c r="F1681" s="55" t="str">
        <f>TEXT(Patient_Data[[#This Row],[Admission_Date]],"YYYY")</f>
        <v>2023</v>
      </c>
      <c r="G1681" s="8" t="s">
        <v>3374</v>
      </c>
      <c r="H1681" s="8" t="s">
        <v>34</v>
      </c>
      <c r="I1681" s="4" t="s">
        <v>29</v>
      </c>
      <c r="J1681" s="4">
        <v>59</v>
      </c>
      <c r="K1681" s="4" t="s">
        <v>30</v>
      </c>
      <c r="L1681" s="8">
        <v>3</v>
      </c>
      <c r="M1681" s="9" t="s">
        <v>72</v>
      </c>
      <c r="N1681" s="9" t="str">
        <f t="shared" si="13"/>
        <v>Surgery</v>
      </c>
      <c r="O1681" s="10">
        <v>10773.74</v>
      </c>
      <c r="P1681" s="10">
        <v>6659.18</v>
      </c>
      <c r="Q1681" s="11">
        <v>10.9</v>
      </c>
      <c r="R1681" s="13" t="str">
        <f>IF(Patient_Data!$L1681&lt;2,"Low Risk",IF(Patient_Data!$L1681&lt;4,"Moderate Risk","High Risk"))</f>
        <v>Moderate Risk</v>
      </c>
      <c r="S1681" s="12" t="str">
        <f>IF(Patient_Data[[#This Row],[Age]]&lt;=18,"Pediatric",IF(Patient_Data[[#This Row],[Age]]&lt;=64,"Adult","Geriatric"))</f>
        <v>Adult</v>
      </c>
    </row>
    <row r="1682" spans="1:19" ht="15.75" customHeight="1" x14ac:dyDescent="0.3">
      <c r="A1682" s="4" t="s">
        <v>3375</v>
      </c>
      <c r="B1682" s="5" t="str">
        <f>TEXT(Patient_Data!$E1682,"mmmm")</f>
        <v>January</v>
      </c>
      <c r="C1682" s="6" t="str">
        <f t="shared" si="12"/>
        <v>Jan</v>
      </c>
      <c r="D1682" s="6">
        <f>MONTH(Patient_Data!$E1682)</f>
        <v>1</v>
      </c>
      <c r="E1682" s="7">
        <v>45293</v>
      </c>
      <c r="F1682" s="55" t="str">
        <f>TEXT(Patient_Data[[#This Row],[Admission_Date]],"YYYY")</f>
        <v>2024</v>
      </c>
      <c r="G1682" s="8" t="s">
        <v>3376</v>
      </c>
      <c r="H1682" s="8" t="s">
        <v>28</v>
      </c>
      <c r="I1682" s="4" t="s">
        <v>35</v>
      </c>
      <c r="J1682" s="4">
        <v>68</v>
      </c>
      <c r="K1682" s="4" t="s">
        <v>54</v>
      </c>
      <c r="L1682" s="8">
        <v>1</v>
      </c>
      <c r="M1682" s="9" t="s">
        <v>31</v>
      </c>
      <c r="N1682" s="9" t="str">
        <f t="shared" si="13"/>
        <v>Neuro</v>
      </c>
      <c r="O1682" s="10">
        <v>7114.29</v>
      </c>
      <c r="P1682" s="10">
        <v>4585.1499999999996</v>
      </c>
      <c r="Q1682" s="11">
        <v>4</v>
      </c>
      <c r="R1682" s="13" t="str">
        <f>IF(Patient_Data!$L1682&lt;2,"Low Risk",IF(Patient_Data!$L1682&lt;4,"Moderate Risk","High Risk"))</f>
        <v>Low Risk</v>
      </c>
      <c r="S1682" s="12" t="str">
        <f>IF(Patient_Data[[#This Row],[Age]]&lt;=18,"Pediatric",IF(Patient_Data[[#This Row],[Age]]&lt;=64,"Adult","Geriatric"))</f>
        <v>Geriatric</v>
      </c>
    </row>
    <row r="1683" spans="1:19" ht="15.75" customHeight="1" x14ac:dyDescent="0.3">
      <c r="A1683" s="4" t="s">
        <v>3377</v>
      </c>
      <c r="B1683" s="5" t="str">
        <f>TEXT(Patient_Data!$E1683,"mmmm")</f>
        <v>November</v>
      </c>
      <c r="C1683" s="6" t="str">
        <f t="shared" si="12"/>
        <v>Nov</v>
      </c>
      <c r="D1683" s="6">
        <f>MONTH(Patient_Data!$E1683)</f>
        <v>11</v>
      </c>
      <c r="E1683" s="7">
        <v>45622</v>
      </c>
      <c r="F1683" s="55" t="str">
        <f>TEXT(Patient_Data[[#This Row],[Admission_Date]],"YYYY")</f>
        <v>2024</v>
      </c>
      <c r="G1683" s="8" t="s">
        <v>3378</v>
      </c>
      <c r="H1683" s="8" t="s">
        <v>34</v>
      </c>
      <c r="I1683" s="4" t="s">
        <v>35</v>
      </c>
      <c r="J1683" s="4">
        <v>21</v>
      </c>
      <c r="K1683" s="4" t="s">
        <v>45</v>
      </c>
      <c r="L1683" s="8">
        <v>3</v>
      </c>
      <c r="M1683" s="9" t="s">
        <v>36</v>
      </c>
      <c r="N1683" s="9" t="str">
        <f t="shared" si="13"/>
        <v>Cardio</v>
      </c>
      <c r="O1683" s="10">
        <v>8753.34</v>
      </c>
      <c r="P1683" s="10">
        <v>5931.14</v>
      </c>
      <c r="Q1683" s="11">
        <v>8.3000000000000007</v>
      </c>
      <c r="R1683" s="13" t="str">
        <f>IF(Patient_Data!$L1683&lt;2,"Low Risk",IF(Patient_Data!$L1683&lt;4,"Moderate Risk","High Risk"))</f>
        <v>Moderate Risk</v>
      </c>
      <c r="S1683" s="12" t="str">
        <f>IF(Patient_Data[[#This Row],[Age]]&lt;=18,"Pediatric",IF(Patient_Data[[#This Row],[Age]]&lt;=64,"Adult","Geriatric"))</f>
        <v>Adult</v>
      </c>
    </row>
    <row r="1684" spans="1:19" ht="15.75" customHeight="1" x14ac:dyDescent="0.3">
      <c r="A1684" s="4" t="s">
        <v>3379</v>
      </c>
      <c r="B1684" s="5" t="str">
        <f>TEXT(Patient_Data!$E1684,"mmmm")</f>
        <v>May</v>
      </c>
      <c r="C1684" s="6" t="str">
        <f t="shared" si="12"/>
        <v>May</v>
      </c>
      <c r="D1684" s="6">
        <f>MONTH(Patient_Data!$E1684)</f>
        <v>5</v>
      </c>
      <c r="E1684" s="7">
        <v>45434</v>
      </c>
      <c r="F1684" s="55" t="str">
        <f>TEXT(Patient_Data[[#This Row],[Admission_Date]],"YYYY")</f>
        <v>2024</v>
      </c>
      <c r="G1684" s="8" t="s">
        <v>3380</v>
      </c>
      <c r="H1684" s="8" t="s">
        <v>82</v>
      </c>
      <c r="I1684" s="4" t="s">
        <v>29</v>
      </c>
      <c r="J1684" s="4">
        <v>36</v>
      </c>
      <c r="K1684" s="4" t="s">
        <v>30</v>
      </c>
      <c r="L1684" s="8">
        <v>2</v>
      </c>
      <c r="M1684" s="9" t="s">
        <v>83</v>
      </c>
      <c r="N1684" s="9" t="str">
        <f t="shared" si="13"/>
        <v>ER</v>
      </c>
      <c r="O1684" s="10">
        <v>7063.02</v>
      </c>
      <c r="P1684" s="10">
        <v>5112.91</v>
      </c>
      <c r="Q1684" s="11">
        <v>21.1</v>
      </c>
      <c r="R1684" s="13" t="str">
        <f>IF(Patient_Data!$L1684&lt;2,"Low Risk",IF(Patient_Data!$L1684&lt;4,"Moderate Risk","High Risk"))</f>
        <v>Moderate Risk</v>
      </c>
      <c r="S1684" s="12" t="str">
        <f>IF(Patient_Data[[#This Row],[Age]]&lt;=18,"Pediatric",IF(Patient_Data[[#This Row],[Age]]&lt;=64,"Adult","Geriatric"))</f>
        <v>Adult</v>
      </c>
    </row>
    <row r="1685" spans="1:19" ht="15.75" customHeight="1" x14ac:dyDescent="0.3">
      <c r="A1685" s="4" t="s">
        <v>3381</v>
      </c>
      <c r="B1685" s="5" t="str">
        <f>TEXT(Patient_Data!$E1685,"mmmm")</f>
        <v>October</v>
      </c>
      <c r="C1685" s="6" t="str">
        <f t="shared" si="12"/>
        <v>Oct</v>
      </c>
      <c r="D1685" s="6">
        <f>MONTH(Patient_Data!$E1685)</f>
        <v>10</v>
      </c>
      <c r="E1685" s="7">
        <v>45572</v>
      </c>
      <c r="F1685" s="55" t="str">
        <f>TEXT(Patient_Data[[#This Row],[Admission_Date]],"YYYY")</f>
        <v>2024</v>
      </c>
      <c r="G1685" s="8" t="s">
        <v>2916</v>
      </c>
      <c r="H1685" s="8" t="s">
        <v>42</v>
      </c>
      <c r="I1685" s="4" t="s">
        <v>35</v>
      </c>
      <c r="J1685" s="4">
        <v>93</v>
      </c>
      <c r="K1685" s="4" t="s">
        <v>54</v>
      </c>
      <c r="L1685" s="8">
        <v>4</v>
      </c>
      <c r="M1685" s="9" t="s">
        <v>50</v>
      </c>
      <c r="N1685" s="9" t="str">
        <f t="shared" si="13"/>
        <v>ICU</v>
      </c>
      <c r="O1685" s="10">
        <v>14992.21</v>
      </c>
      <c r="P1685" s="10">
        <v>11071.51</v>
      </c>
      <c r="Q1685" s="11">
        <v>15.9</v>
      </c>
      <c r="R1685" s="13" t="str">
        <f>IF(Patient_Data!$L1685&lt;2,"Low Risk",IF(Patient_Data!$L1685&lt;4,"Moderate Risk","High Risk"))</f>
        <v>High Risk</v>
      </c>
      <c r="S1685" s="12" t="str">
        <f>IF(Patient_Data[[#This Row],[Age]]&lt;=18,"Pediatric",IF(Patient_Data[[#This Row],[Age]]&lt;=64,"Adult","Geriatric"))</f>
        <v>Geriatric</v>
      </c>
    </row>
    <row r="1686" spans="1:19" ht="15.75" customHeight="1" x14ac:dyDescent="0.3">
      <c r="A1686" s="4" t="s">
        <v>3382</v>
      </c>
      <c r="B1686" s="5" t="str">
        <f>TEXT(Patient_Data!$E1686,"mmmm")</f>
        <v>November</v>
      </c>
      <c r="C1686" s="6" t="str">
        <f t="shared" si="12"/>
        <v>Nov</v>
      </c>
      <c r="D1686" s="6">
        <f>MONTH(Patient_Data!$E1686)</f>
        <v>11</v>
      </c>
      <c r="E1686" s="7">
        <v>45987</v>
      </c>
      <c r="F1686" s="55" t="str">
        <f>TEXT(Patient_Data[[#This Row],[Admission_Date]],"YYYY")</f>
        <v>2025</v>
      </c>
      <c r="G1686" s="8" t="s">
        <v>3383</v>
      </c>
      <c r="H1686" s="8" t="s">
        <v>132</v>
      </c>
      <c r="I1686" s="4" t="s">
        <v>35</v>
      </c>
      <c r="J1686" s="4">
        <v>57</v>
      </c>
      <c r="K1686" s="4" t="s">
        <v>54</v>
      </c>
      <c r="L1686" s="8">
        <v>5</v>
      </c>
      <c r="M1686" s="9" t="s">
        <v>50</v>
      </c>
      <c r="N1686" s="9" t="str">
        <f t="shared" si="13"/>
        <v>ICU</v>
      </c>
      <c r="O1686" s="10">
        <v>24863.77</v>
      </c>
      <c r="P1686" s="10">
        <v>19032.47</v>
      </c>
      <c r="Q1686" s="11">
        <v>17</v>
      </c>
      <c r="R1686" s="13" t="str">
        <f>IF(Patient_Data!$L1686&lt;2,"Low Risk",IF(Patient_Data!$L1686&lt;4,"Moderate Risk","High Risk"))</f>
        <v>High Risk</v>
      </c>
      <c r="S1686" s="12" t="str">
        <f>IF(Patient_Data[[#This Row],[Age]]&lt;=18,"Pediatric",IF(Patient_Data[[#This Row],[Age]]&lt;=64,"Adult","Geriatric"))</f>
        <v>Adult</v>
      </c>
    </row>
    <row r="1687" spans="1:19" ht="15.75" customHeight="1" x14ac:dyDescent="0.3">
      <c r="A1687" s="4" t="s">
        <v>3384</v>
      </c>
      <c r="B1687" s="5" t="str">
        <f>TEXT(Patient_Data!$E1687,"mmmm")</f>
        <v>September</v>
      </c>
      <c r="C1687" s="6" t="str">
        <f t="shared" si="12"/>
        <v>Sep</v>
      </c>
      <c r="D1687" s="6">
        <f>MONTH(Patient_Data!$E1687)</f>
        <v>9</v>
      </c>
      <c r="E1687" s="7">
        <v>45929</v>
      </c>
      <c r="F1687" s="55" t="str">
        <f>TEXT(Patient_Data[[#This Row],[Admission_Date]],"YYYY")</f>
        <v>2025</v>
      </c>
      <c r="G1687" s="8" t="s">
        <v>3385</v>
      </c>
      <c r="H1687" s="8" t="s">
        <v>49</v>
      </c>
      <c r="I1687" s="4" t="s">
        <v>29</v>
      </c>
      <c r="J1687" s="4">
        <v>75</v>
      </c>
      <c r="K1687" s="4" t="s">
        <v>30</v>
      </c>
      <c r="L1687" s="8">
        <v>3</v>
      </c>
      <c r="M1687" s="9" t="s">
        <v>31</v>
      </c>
      <c r="N1687" s="9" t="str">
        <f t="shared" si="13"/>
        <v>Neuro</v>
      </c>
      <c r="O1687" s="10">
        <v>13068.95</v>
      </c>
      <c r="P1687" s="10">
        <v>7607.19</v>
      </c>
      <c r="Q1687" s="11">
        <v>3.4</v>
      </c>
      <c r="R1687" s="13" t="str">
        <f>IF(Patient_Data!$L1687&lt;2,"Low Risk",IF(Patient_Data!$L1687&lt;4,"Moderate Risk","High Risk"))</f>
        <v>Moderate Risk</v>
      </c>
      <c r="S1687" s="12" t="str">
        <f>IF(Patient_Data[[#This Row],[Age]]&lt;=18,"Pediatric",IF(Patient_Data[[#This Row],[Age]]&lt;=64,"Adult","Geriatric"))</f>
        <v>Geriatric</v>
      </c>
    </row>
    <row r="1688" spans="1:19" ht="15.75" customHeight="1" x14ac:dyDescent="0.3">
      <c r="A1688" s="4" t="s">
        <v>3386</v>
      </c>
      <c r="B1688" s="5" t="str">
        <f>TEXT(Patient_Data!$E1688,"mmmm")</f>
        <v>January</v>
      </c>
      <c r="C1688" s="6" t="str">
        <f t="shared" si="12"/>
        <v>Jan</v>
      </c>
      <c r="D1688" s="6">
        <f>MONTH(Patient_Data!$E1688)</f>
        <v>1</v>
      </c>
      <c r="E1688" s="7">
        <v>45320</v>
      </c>
      <c r="F1688" s="55" t="str">
        <f>TEXT(Patient_Data[[#This Row],[Admission_Date]],"YYYY")</f>
        <v>2024</v>
      </c>
      <c r="G1688" s="8" t="s">
        <v>3387</v>
      </c>
      <c r="H1688" s="8" t="s">
        <v>49</v>
      </c>
      <c r="I1688" s="4" t="s">
        <v>35</v>
      </c>
      <c r="J1688" s="4">
        <v>66</v>
      </c>
      <c r="K1688" s="4" t="s">
        <v>45</v>
      </c>
      <c r="L1688" s="8">
        <v>4</v>
      </c>
      <c r="M1688" s="9" t="s">
        <v>46</v>
      </c>
      <c r="N1688" s="9" t="str">
        <f t="shared" si="13"/>
        <v>Ortho</v>
      </c>
      <c r="O1688" s="10">
        <v>7600.5</v>
      </c>
      <c r="P1688" s="10">
        <v>4678.7</v>
      </c>
      <c r="Q1688" s="11">
        <v>5.3</v>
      </c>
      <c r="R1688" s="13" t="str">
        <f>IF(Patient_Data!$L1688&lt;2,"Low Risk",IF(Patient_Data!$L1688&lt;4,"Moderate Risk","High Risk"))</f>
        <v>High Risk</v>
      </c>
      <c r="S1688" s="12" t="str">
        <f>IF(Patient_Data[[#This Row],[Age]]&lt;=18,"Pediatric",IF(Patient_Data[[#This Row],[Age]]&lt;=64,"Adult","Geriatric"))</f>
        <v>Geriatric</v>
      </c>
    </row>
    <row r="1689" spans="1:19" ht="15.75" customHeight="1" x14ac:dyDescent="0.3">
      <c r="A1689" s="4" t="s">
        <v>3388</v>
      </c>
      <c r="B1689" s="5" t="str">
        <f>TEXT(Patient_Data!$E1689,"mmmm")</f>
        <v>October</v>
      </c>
      <c r="C1689" s="6" t="str">
        <f t="shared" si="12"/>
        <v>Oct</v>
      </c>
      <c r="D1689" s="6">
        <f>MONTH(Patient_Data!$E1689)</f>
        <v>10</v>
      </c>
      <c r="E1689" s="7">
        <v>45211</v>
      </c>
      <c r="F1689" s="55" t="str">
        <f>TEXT(Patient_Data[[#This Row],[Admission_Date]],"YYYY")</f>
        <v>2023</v>
      </c>
      <c r="G1689" s="8" t="s">
        <v>3389</v>
      </c>
      <c r="H1689" s="8" t="s">
        <v>34</v>
      </c>
      <c r="I1689" s="4" t="s">
        <v>29</v>
      </c>
      <c r="J1689" s="4">
        <v>37</v>
      </c>
      <c r="K1689" s="4" t="s">
        <v>30</v>
      </c>
      <c r="L1689" s="8">
        <v>2</v>
      </c>
      <c r="M1689" s="9" t="s">
        <v>36</v>
      </c>
      <c r="N1689" s="9" t="str">
        <f t="shared" si="13"/>
        <v>Cardio</v>
      </c>
      <c r="O1689" s="10">
        <v>7567.44</v>
      </c>
      <c r="P1689" s="10">
        <v>4890.3599999999997</v>
      </c>
      <c r="Q1689" s="11">
        <v>5.9</v>
      </c>
      <c r="R1689" s="13" t="str">
        <f>IF(Patient_Data!$L1689&lt;2,"Low Risk",IF(Patient_Data!$L1689&lt;4,"Moderate Risk","High Risk"))</f>
        <v>Moderate Risk</v>
      </c>
      <c r="S1689" s="12" t="str">
        <f>IF(Patient_Data[[#This Row],[Age]]&lt;=18,"Pediatric",IF(Patient_Data[[#This Row],[Age]]&lt;=64,"Adult","Geriatric"))</f>
        <v>Adult</v>
      </c>
    </row>
    <row r="1690" spans="1:19" ht="15.75" customHeight="1" x14ac:dyDescent="0.3">
      <c r="A1690" s="4" t="s">
        <v>3390</v>
      </c>
      <c r="B1690" s="5" t="str">
        <f>TEXT(Patient_Data!$E1690,"mmmm")</f>
        <v>January</v>
      </c>
      <c r="C1690" s="6" t="str">
        <f t="shared" si="12"/>
        <v>Jan</v>
      </c>
      <c r="D1690" s="6">
        <f>MONTH(Patient_Data!$E1690)</f>
        <v>1</v>
      </c>
      <c r="E1690" s="7">
        <v>45299</v>
      </c>
      <c r="F1690" s="55" t="str">
        <f>TEXT(Patient_Data[[#This Row],[Admission_Date]],"YYYY")</f>
        <v>2024</v>
      </c>
      <c r="G1690" s="8" t="s">
        <v>3391</v>
      </c>
      <c r="H1690" s="8" t="s">
        <v>53</v>
      </c>
      <c r="I1690" s="4" t="s">
        <v>35</v>
      </c>
      <c r="J1690" s="4">
        <v>52</v>
      </c>
      <c r="K1690" s="4" t="s">
        <v>30</v>
      </c>
      <c r="L1690" s="8">
        <v>1</v>
      </c>
      <c r="M1690" s="9" t="s">
        <v>36</v>
      </c>
      <c r="N1690" s="9" t="str">
        <f t="shared" si="13"/>
        <v>Cardio</v>
      </c>
      <c r="O1690" s="10">
        <v>10650.82</v>
      </c>
      <c r="P1690" s="10">
        <v>7152.05</v>
      </c>
      <c r="Q1690" s="11">
        <v>2</v>
      </c>
      <c r="R1690" s="13" t="str">
        <f>IF(Patient_Data!$L1690&lt;2,"Low Risk",IF(Patient_Data!$L1690&lt;4,"Moderate Risk","High Risk"))</f>
        <v>Low Risk</v>
      </c>
      <c r="S1690" s="12" t="str">
        <f>IF(Patient_Data[[#This Row],[Age]]&lt;=18,"Pediatric",IF(Patient_Data[[#This Row],[Age]]&lt;=64,"Adult","Geriatric"))</f>
        <v>Adult</v>
      </c>
    </row>
    <row r="1691" spans="1:19" ht="15.75" customHeight="1" x14ac:dyDescent="0.3">
      <c r="A1691" s="4" t="s">
        <v>3392</v>
      </c>
      <c r="B1691" s="5" t="str">
        <f>TEXT(Patient_Data!$E1691,"mmmm")</f>
        <v>March</v>
      </c>
      <c r="C1691" s="6" t="str">
        <f t="shared" si="12"/>
        <v>Mar</v>
      </c>
      <c r="D1691" s="6">
        <f>MONTH(Patient_Data!$E1691)</f>
        <v>3</v>
      </c>
      <c r="E1691" s="7">
        <v>45355</v>
      </c>
      <c r="F1691" s="55" t="str">
        <f>TEXT(Patient_Data[[#This Row],[Admission_Date]],"YYYY")</f>
        <v>2024</v>
      </c>
      <c r="G1691" s="8" t="s">
        <v>3393</v>
      </c>
      <c r="H1691" s="8" t="s">
        <v>82</v>
      </c>
      <c r="I1691" s="4" t="s">
        <v>29</v>
      </c>
      <c r="J1691" s="4">
        <v>81</v>
      </c>
      <c r="K1691" s="4" t="s">
        <v>30</v>
      </c>
      <c r="L1691" s="8">
        <v>5</v>
      </c>
      <c r="M1691" s="9" t="s">
        <v>39</v>
      </c>
      <c r="N1691" s="9" t="str">
        <f t="shared" si="13"/>
        <v>GM</v>
      </c>
      <c r="O1691" s="10">
        <v>5880.29</v>
      </c>
      <c r="P1691" s="10">
        <v>4188.2</v>
      </c>
      <c r="Q1691" s="11">
        <v>9</v>
      </c>
      <c r="R1691" s="13" t="str">
        <f>IF(Patient_Data!$L1691&lt;2,"Low Risk",IF(Patient_Data!$L1691&lt;4,"Moderate Risk","High Risk"))</f>
        <v>High Risk</v>
      </c>
      <c r="S1691" s="12" t="str">
        <f>IF(Patient_Data[[#This Row],[Age]]&lt;=18,"Pediatric",IF(Patient_Data[[#This Row],[Age]]&lt;=64,"Adult","Geriatric"))</f>
        <v>Geriatric</v>
      </c>
    </row>
    <row r="1692" spans="1:19" ht="15.75" customHeight="1" x14ac:dyDescent="0.3">
      <c r="A1692" s="4" t="s">
        <v>3394</v>
      </c>
      <c r="B1692" s="5" t="str">
        <f>TEXT(Patient_Data!$E1692,"mmmm")</f>
        <v>July</v>
      </c>
      <c r="C1692" s="6" t="str">
        <f t="shared" si="12"/>
        <v>Jul</v>
      </c>
      <c r="D1692" s="6">
        <f>MONTH(Patient_Data!$E1692)</f>
        <v>7</v>
      </c>
      <c r="E1692" s="7">
        <v>45846</v>
      </c>
      <c r="F1692" s="55" t="str">
        <f>TEXT(Patient_Data[[#This Row],[Admission_Date]],"YYYY")</f>
        <v>2025</v>
      </c>
      <c r="G1692" s="8" t="s">
        <v>3395</v>
      </c>
      <c r="H1692" s="8" t="s">
        <v>98</v>
      </c>
      <c r="I1692" s="4" t="s">
        <v>29</v>
      </c>
      <c r="J1692" s="4">
        <v>45</v>
      </c>
      <c r="K1692" s="4" t="s">
        <v>45</v>
      </c>
      <c r="L1692" s="8">
        <v>1</v>
      </c>
      <c r="M1692" s="9" t="s">
        <v>36</v>
      </c>
      <c r="N1692" s="9" t="str">
        <f t="shared" si="13"/>
        <v>Cardio</v>
      </c>
      <c r="O1692" s="10">
        <v>7524.73</v>
      </c>
      <c r="P1692" s="10">
        <v>5542.65</v>
      </c>
      <c r="Q1692" s="11">
        <v>6.2</v>
      </c>
      <c r="R1692" s="13" t="str">
        <f>IF(Patient_Data!$L1692&lt;2,"Low Risk",IF(Patient_Data!$L1692&lt;4,"Moderate Risk","High Risk"))</f>
        <v>Low Risk</v>
      </c>
      <c r="S1692" s="12" t="str">
        <f>IF(Patient_Data[[#This Row],[Age]]&lt;=18,"Pediatric",IF(Patient_Data[[#This Row],[Age]]&lt;=64,"Adult","Geriatric"))</f>
        <v>Adult</v>
      </c>
    </row>
    <row r="1693" spans="1:19" ht="15.75" customHeight="1" x14ac:dyDescent="0.3">
      <c r="A1693" s="4" t="s">
        <v>3396</v>
      </c>
      <c r="B1693" s="5" t="str">
        <f>TEXT(Patient_Data!$E1693,"mmmm")</f>
        <v>May</v>
      </c>
      <c r="C1693" s="6" t="str">
        <f t="shared" si="12"/>
        <v>May</v>
      </c>
      <c r="D1693" s="6">
        <f>MONTH(Patient_Data!$E1693)</f>
        <v>5</v>
      </c>
      <c r="E1693" s="7">
        <v>45417</v>
      </c>
      <c r="F1693" s="55" t="str">
        <f>TEXT(Patient_Data[[#This Row],[Admission_Date]],"YYYY")</f>
        <v>2024</v>
      </c>
      <c r="G1693" s="8" t="s">
        <v>3397</v>
      </c>
      <c r="H1693" s="8" t="s">
        <v>49</v>
      </c>
      <c r="I1693" s="4" t="s">
        <v>29</v>
      </c>
      <c r="J1693" s="4">
        <v>69</v>
      </c>
      <c r="K1693" s="4" t="s">
        <v>45</v>
      </c>
      <c r="L1693" s="8">
        <v>5</v>
      </c>
      <c r="M1693" s="9" t="s">
        <v>50</v>
      </c>
      <c r="N1693" s="9" t="str">
        <f t="shared" si="13"/>
        <v>ICU</v>
      </c>
      <c r="O1693" s="10">
        <v>15201.59</v>
      </c>
      <c r="P1693" s="10">
        <v>11667.61</v>
      </c>
      <c r="Q1693" s="11">
        <v>14.3</v>
      </c>
      <c r="R1693" s="13" t="str">
        <f>IF(Patient_Data!$L1693&lt;2,"Low Risk",IF(Patient_Data!$L1693&lt;4,"Moderate Risk","High Risk"))</f>
        <v>High Risk</v>
      </c>
      <c r="S1693" s="12" t="str">
        <f>IF(Patient_Data[[#This Row],[Age]]&lt;=18,"Pediatric",IF(Patient_Data[[#This Row],[Age]]&lt;=64,"Adult","Geriatric"))</f>
        <v>Geriatric</v>
      </c>
    </row>
    <row r="1694" spans="1:19" ht="15.75" customHeight="1" x14ac:dyDescent="0.3">
      <c r="A1694" s="4" t="s">
        <v>3398</v>
      </c>
      <c r="B1694" s="5" t="str">
        <f>TEXT(Patient_Data!$E1694,"mmmm")</f>
        <v>March</v>
      </c>
      <c r="C1694" s="6" t="str">
        <f t="shared" si="12"/>
        <v>Mar</v>
      </c>
      <c r="D1694" s="6">
        <f>MONTH(Patient_Data!$E1694)</f>
        <v>3</v>
      </c>
      <c r="E1694" s="7">
        <v>46111</v>
      </c>
      <c r="F1694" s="55" t="str">
        <f>TEXT(Patient_Data[[#This Row],[Admission_Date]],"YYYY")</f>
        <v>2026</v>
      </c>
      <c r="G1694" s="8" t="s">
        <v>3399</v>
      </c>
      <c r="H1694" s="8" t="s">
        <v>82</v>
      </c>
      <c r="I1694" s="4" t="s">
        <v>29</v>
      </c>
      <c r="J1694" s="4">
        <v>27</v>
      </c>
      <c r="K1694" s="4" t="s">
        <v>30</v>
      </c>
      <c r="L1694" s="8">
        <v>3</v>
      </c>
      <c r="M1694" s="9" t="s">
        <v>39</v>
      </c>
      <c r="N1694" s="9" t="str">
        <f t="shared" si="13"/>
        <v>GM</v>
      </c>
      <c r="O1694" s="10">
        <v>2463.9899999999998</v>
      </c>
      <c r="P1694" s="10">
        <v>1499.51</v>
      </c>
      <c r="Q1694" s="11">
        <v>8.8000000000000007</v>
      </c>
      <c r="R1694" s="13" t="str">
        <f>IF(Patient_Data!$L1694&lt;2,"Low Risk",IF(Patient_Data!$L1694&lt;4,"Moderate Risk","High Risk"))</f>
        <v>Moderate Risk</v>
      </c>
      <c r="S1694" s="12" t="str">
        <f>IF(Patient_Data[[#This Row],[Age]]&lt;=18,"Pediatric",IF(Patient_Data[[#This Row],[Age]]&lt;=64,"Adult","Geriatric"))</f>
        <v>Adult</v>
      </c>
    </row>
    <row r="1695" spans="1:19" ht="15.75" customHeight="1" x14ac:dyDescent="0.3">
      <c r="A1695" s="4" t="s">
        <v>3400</v>
      </c>
      <c r="B1695" s="5" t="str">
        <f>TEXT(Patient_Data!$E1695,"mmmm")</f>
        <v>November</v>
      </c>
      <c r="C1695" s="6" t="str">
        <f t="shared" si="12"/>
        <v>Nov</v>
      </c>
      <c r="D1695" s="6">
        <f>MONTH(Patient_Data!$E1695)</f>
        <v>11</v>
      </c>
      <c r="E1695" s="7">
        <v>45975</v>
      </c>
      <c r="F1695" s="55" t="str">
        <f>TEXT(Patient_Data[[#This Row],[Admission_Date]],"YYYY")</f>
        <v>2025</v>
      </c>
      <c r="G1695" s="8" t="s">
        <v>3401</v>
      </c>
      <c r="H1695" s="8" t="s">
        <v>75</v>
      </c>
      <c r="I1695" s="4" t="s">
        <v>29</v>
      </c>
      <c r="J1695" s="4">
        <v>9</v>
      </c>
      <c r="K1695" s="4" t="s">
        <v>45</v>
      </c>
      <c r="L1695" s="8">
        <v>4</v>
      </c>
      <c r="M1695" s="9" t="s">
        <v>79</v>
      </c>
      <c r="N1695" s="9" t="str">
        <f t="shared" si="13"/>
        <v>PD</v>
      </c>
      <c r="O1695" s="10">
        <v>2916.37</v>
      </c>
      <c r="P1695" s="10">
        <v>1811.79</v>
      </c>
      <c r="Q1695" s="11">
        <v>4.0999999999999996</v>
      </c>
      <c r="R1695" s="13" t="str">
        <f>IF(Patient_Data!$L1695&lt;2,"Low Risk",IF(Patient_Data!$L1695&lt;4,"Moderate Risk","High Risk"))</f>
        <v>High Risk</v>
      </c>
      <c r="S1695" s="12" t="str">
        <f>IF(Patient_Data[[#This Row],[Age]]&lt;=18,"Pediatric",IF(Patient_Data[[#This Row],[Age]]&lt;=64,"Adult","Geriatric"))</f>
        <v>Pediatric</v>
      </c>
    </row>
    <row r="1696" spans="1:19" ht="15.75" customHeight="1" x14ac:dyDescent="0.3">
      <c r="A1696" s="4" t="s">
        <v>3402</v>
      </c>
      <c r="B1696" s="5" t="str">
        <f>TEXT(Patient_Data!$E1696,"mmmm")</f>
        <v>June</v>
      </c>
      <c r="C1696" s="6" t="str">
        <f t="shared" si="12"/>
        <v>Jun</v>
      </c>
      <c r="D1696" s="6">
        <f>MONTH(Patient_Data!$E1696)</f>
        <v>6</v>
      </c>
      <c r="E1696" s="7">
        <v>46183</v>
      </c>
      <c r="F1696" s="55" t="str">
        <f>TEXT(Patient_Data[[#This Row],[Admission_Date]],"YYYY")</f>
        <v>2026</v>
      </c>
      <c r="G1696" s="8" t="s">
        <v>3403</v>
      </c>
      <c r="H1696" s="8" t="s">
        <v>82</v>
      </c>
      <c r="I1696" s="4" t="s">
        <v>35</v>
      </c>
      <c r="J1696" s="4">
        <v>28</v>
      </c>
      <c r="K1696" s="4" t="s">
        <v>30</v>
      </c>
      <c r="L1696" s="8">
        <v>1</v>
      </c>
      <c r="M1696" s="9" t="s">
        <v>39</v>
      </c>
      <c r="N1696" s="9" t="str">
        <f t="shared" si="13"/>
        <v>GM</v>
      </c>
      <c r="O1696" s="10">
        <v>1468.27</v>
      </c>
      <c r="P1696" s="10">
        <v>994.89</v>
      </c>
      <c r="Q1696" s="11">
        <v>6.9</v>
      </c>
      <c r="R1696" s="13" t="str">
        <f>IF(Patient_Data!$L1696&lt;2,"Low Risk",IF(Patient_Data!$L1696&lt;4,"Moderate Risk","High Risk"))</f>
        <v>Low Risk</v>
      </c>
      <c r="S1696" s="12" t="str">
        <f>IF(Patient_Data[[#This Row],[Age]]&lt;=18,"Pediatric",IF(Patient_Data[[#This Row],[Age]]&lt;=64,"Adult","Geriatric"))</f>
        <v>Adult</v>
      </c>
    </row>
    <row r="1697" spans="1:19" ht="15.75" customHeight="1" x14ac:dyDescent="0.3">
      <c r="A1697" s="4" t="s">
        <v>3404</v>
      </c>
      <c r="B1697" s="5" t="str">
        <f>TEXT(Patient_Data!$E1697,"mmmm")</f>
        <v>March</v>
      </c>
      <c r="C1697" s="6" t="str">
        <f t="shared" si="12"/>
        <v>Mar</v>
      </c>
      <c r="D1697" s="6">
        <f>MONTH(Patient_Data!$E1697)</f>
        <v>3</v>
      </c>
      <c r="E1697" s="7">
        <v>45730</v>
      </c>
      <c r="F1697" s="55" t="str">
        <f>TEXT(Patient_Data[[#This Row],[Admission_Date]],"YYYY")</f>
        <v>2025</v>
      </c>
      <c r="G1697" s="8" t="s">
        <v>3405</v>
      </c>
      <c r="H1697" s="8" t="s">
        <v>82</v>
      </c>
      <c r="I1697" s="4" t="s">
        <v>35</v>
      </c>
      <c r="J1697" s="4">
        <v>22</v>
      </c>
      <c r="K1697" s="4" t="s">
        <v>54</v>
      </c>
      <c r="L1697" s="8">
        <v>5</v>
      </c>
      <c r="M1697" s="9" t="s">
        <v>36</v>
      </c>
      <c r="N1697" s="9" t="str">
        <f t="shared" si="13"/>
        <v>Cardio</v>
      </c>
      <c r="O1697" s="10">
        <v>17257.509999999998</v>
      </c>
      <c r="P1697" s="10">
        <v>11590.53</v>
      </c>
      <c r="Q1697" s="11">
        <v>3.5</v>
      </c>
      <c r="R1697" s="13" t="str">
        <f>IF(Patient_Data!$L1697&lt;2,"Low Risk",IF(Patient_Data!$L1697&lt;4,"Moderate Risk","High Risk"))</f>
        <v>High Risk</v>
      </c>
      <c r="S1697" s="12" t="str">
        <f>IF(Patient_Data[[#This Row],[Age]]&lt;=18,"Pediatric",IF(Patient_Data[[#This Row],[Age]]&lt;=64,"Adult","Geriatric"))</f>
        <v>Adult</v>
      </c>
    </row>
    <row r="1698" spans="1:19" ht="15.75" customHeight="1" x14ac:dyDescent="0.3">
      <c r="A1698" s="4" t="s">
        <v>3406</v>
      </c>
      <c r="B1698" s="5" t="str">
        <f>TEXT(Patient_Data!$E1698,"mmmm")</f>
        <v>March</v>
      </c>
      <c r="C1698" s="6" t="str">
        <f t="shared" si="12"/>
        <v>Mar</v>
      </c>
      <c r="D1698" s="6">
        <f>MONTH(Patient_Data!$E1698)</f>
        <v>3</v>
      </c>
      <c r="E1698" s="7">
        <v>45740</v>
      </c>
      <c r="F1698" s="55" t="str">
        <f>TEXT(Patient_Data[[#This Row],[Admission_Date]],"YYYY")</f>
        <v>2025</v>
      </c>
      <c r="G1698" s="8" t="s">
        <v>3407</v>
      </c>
      <c r="H1698" s="8" t="s">
        <v>98</v>
      </c>
      <c r="I1698" s="4" t="s">
        <v>29</v>
      </c>
      <c r="J1698" s="4">
        <v>84</v>
      </c>
      <c r="K1698" s="4" t="s">
        <v>45</v>
      </c>
      <c r="L1698" s="8">
        <v>4</v>
      </c>
      <c r="M1698" s="9" t="s">
        <v>72</v>
      </c>
      <c r="N1698" s="9" t="str">
        <f t="shared" si="13"/>
        <v>Surgery</v>
      </c>
      <c r="O1698" s="10">
        <v>18150.259999999998</v>
      </c>
      <c r="P1698" s="10">
        <v>12785.18</v>
      </c>
      <c r="Q1698" s="11">
        <v>10</v>
      </c>
      <c r="R1698" s="13" t="str">
        <f>IF(Patient_Data!$L1698&lt;2,"Low Risk",IF(Patient_Data!$L1698&lt;4,"Moderate Risk","High Risk"))</f>
        <v>High Risk</v>
      </c>
      <c r="S1698" s="12" t="str">
        <f>IF(Patient_Data[[#This Row],[Age]]&lt;=18,"Pediatric",IF(Patient_Data[[#This Row],[Age]]&lt;=64,"Adult","Geriatric"))</f>
        <v>Geriatric</v>
      </c>
    </row>
    <row r="1699" spans="1:19" ht="15.75" customHeight="1" x14ac:dyDescent="0.3">
      <c r="A1699" s="4" t="s">
        <v>3408</v>
      </c>
      <c r="B1699" s="5" t="str">
        <f>TEXT(Patient_Data!$E1699,"mmmm")</f>
        <v>February</v>
      </c>
      <c r="C1699" s="6" t="str">
        <f t="shared" si="12"/>
        <v>Feb</v>
      </c>
      <c r="D1699" s="6">
        <f>MONTH(Patient_Data!$E1699)</f>
        <v>2</v>
      </c>
      <c r="E1699" s="7">
        <v>46080</v>
      </c>
      <c r="F1699" s="55" t="str">
        <f>TEXT(Patient_Data[[#This Row],[Admission_Date]],"YYYY")</f>
        <v>2026</v>
      </c>
      <c r="G1699" s="8" t="s">
        <v>3409</v>
      </c>
      <c r="H1699" s="8" t="s">
        <v>132</v>
      </c>
      <c r="I1699" s="4" t="s">
        <v>35</v>
      </c>
      <c r="J1699" s="4">
        <v>48</v>
      </c>
      <c r="K1699" s="4" t="s">
        <v>30</v>
      </c>
      <c r="L1699" s="8">
        <v>3</v>
      </c>
      <c r="M1699" s="9" t="s">
        <v>72</v>
      </c>
      <c r="N1699" s="9" t="str">
        <f t="shared" si="13"/>
        <v>Surgery</v>
      </c>
      <c r="O1699" s="10">
        <v>13774.45</v>
      </c>
      <c r="P1699" s="10">
        <v>10101.75</v>
      </c>
      <c r="Q1699" s="11">
        <v>5.8</v>
      </c>
      <c r="R1699" s="13" t="str">
        <f>IF(Patient_Data!$L1699&lt;2,"Low Risk",IF(Patient_Data!$L1699&lt;4,"Moderate Risk","High Risk"))</f>
        <v>Moderate Risk</v>
      </c>
      <c r="S1699" s="12" t="str">
        <f>IF(Patient_Data[[#This Row],[Age]]&lt;=18,"Pediatric",IF(Patient_Data[[#This Row],[Age]]&lt;=64,"Adult","Geriatric"))</f>
        <v>Adult</v>
      </c>
    </row>
    <row r="1700" spans="1:19" ht="15.75" customHeight="1" x14ac:dyDescent="0.3">
      <c r="A1700" s="4" t="s">
        <v>3410</v>
      </c>
      <c r="B1700" s="5" t="str">
        <f>TEXT(Patient_Data!$E1700,"mmmm")</f>
        <v>June</v>
      </c>
      <c r="C1700" s="6" t="str">
        <f t="shared" si="12"/>
        <v>Jun</v>
      </c>
      <c r="D1700" s="6">
        <f>MONTH(Patient_Data!$E1700)</f>
        <v>6</v>
      </c>
      <c r="E1700" s="7">
        <v>45471</v>
      </c>
      <c r="F1700" s="55" t="str">
        <f>TEXT(Patient_Data[[#This Row],[Admission_Date]],"YYYY")</f>
        <v>2024</v>
      </c>
      <c r="G1700" s="8" t="s">
        <v>3411</v>
      </c>
      <c r="H1700" s="8" t="s">
        <v>28</v>
      </c>
      <c r="I1700" s="4" t="s">
        <v>35</v>
      </c>
      <c r="J1700" s="4">
        <v>47</v>
      </c>
      <c r="K1700" s="4" t="s">
        <v>30</v>
      </c>
      <c r="L1700" s="8">
        <v>3</v>
      </c>
      <c r="M1700" s="9" t="s">
        <v>46</v>
      </c>
      <c r="N1700" s="9" t="str">
        <f t="shared" si="13"/>
        <v>Ortho</v>
      </c>
      <c r="O1700" s="10">
        <v>11671.78</v>
      </c>
      <c r="P1700" s="10">
        <v>8928.9500000000007</v>
      </c>
      <c r="Q1700" s="11">
        <v>7.3</v>
      </c>
      <c r="R1700" s="13" t="str">
        <f>IF(Patient_Data!$L1700&lt;2,"Low Risk",IF(Patient_Data!$L1700&lt;4,"Moderate Risk","High Risk"))</f>
        <v>Moderate Risk</v>
      </c>
      <c r="S1700" s="12" t="str">
        <f>IF(Patient_Data[[#This Row],[Age]]&lt;=18,"Pediatric",IF(Patient_Data[[#This Row],[Age]]&lt;=64,"Adult","Geriatric"))</f>
        <v>Adult</v>
      </c>
    </row>
    <row r="1701" spans="1:19" ht="15.75" customHeight="1" x14ac:dyDescent="0.3">
      <c r="A1701" s="4" t="s">
        <v>3412</v>
      </c>
      <c r="B1701" s="5" t="str">
        <f>TEXT(Patient_Data!$E1701,"mmmm")</f>
        <v>November</v>
      </c>
      <c r="C1701" s="6" t="str">
        <f t="shared" si="12"/>
        <v>Nov</v>
      </c>
      <c r="D1701" s="6">
        <f>MONTH(Patient_Data!$E1701)</f>
        <v>11</v>
      </c>
      <c r="E1701" s="7">
        <v>45237</v>
      </c>
      <c r="F1701" s="55" t="str">
        <f>TEXT(Patient_Data[[#This Row],[Admission_Date]],"YYYY")</f>
        <v>2023</v>
      </c>
      <c r="G1701" s="8" t="s">
        <v>3413</v>
      </c>
      <c r="H1701" s="8" t="s">
        <v>28</v>
      </c>
      <c r="I1701" s="4" t="s">
        <v>35</v>
      </c>
      <c r="J1701" s="4">
        <v>37</v>
      </c>
      <c r="K1701" s="4" t="s">
        <v>30</v>
      </c>
      <c r="L1701" s="8">
        <v>1</v>
      </c>
      <c r="M1701" s="9" t="s">
        <v>31</v>
      </c>
      <c r="N1701" s="9" t="str">
        <f t="shared" si="13"/>
        <v>Neuro</v>
      </c>
      <c r="O1701" s="10">
        <v>8392.14</v>
      </c>
      <c r="P1701" s="10">
        <v>4921.84</v>
      </c>
      <c r="Q1701" s="11">
        <v>6.8</v>
      </c>
      <c r="R1701" s="13" t="str">
        <f>IF(Patient_Data!$L1701&lt;2,"Low Risk",IF(Patient_Data!$L1701&lt;4,"Moderate Risk","High Risk"))</f>
        <v>Low Risk</v>
      </c>
      <c r="S1701" s="12" t="str">
        <f>IF(Patient_Data[[#This Row],[Age]]&lt;=18,"Pediatric",IF(Patient_Data[[#This Row],[Age]]&lt;=64,"Adult","Geriatric"))</f>
        <v>Adult</v>
      </c>
    </row>
    <row r="1702" spans="1:19" ht="15.75" customHeight="1" x14ac:dyDescent="0.3">
      <c r="A1702" s="4" t="s">
        <v>3414</v>
      </c>
      <c r="B1702" s="5" t="str">
        <f>TEXT(Patient_Data!$E1702,"mmmm")</f>
        <v>January</v>
      </c>
      <c r="C1702" s="6" t="str">
        <f t="shared" si="12"/>
        <v>Jan</v>
      </c>
      <c r="D1702" s="6">
        <f>MONTH(Patient_Data!$E1702)</f>
        <v>1</v>
      </c>
      <c r="E1702" s="7">
        <v>45670</v>
      </c>
      <c r="F1702" s="55" t="str">
        <f>TEXT(Patient_Data[[#This Row],[Admission_Date]],"YYYY")</f>
        <v>2025</v>
      </c>
      <c r="G1702" s="8" t="s">
        <v>3415</v>
      </c>
      <c r="H1702" s="8" t="s">
        <v>53</v>
      </c>
      <c r="I1702" s="4" t="s">
        <v>29</v>
      </c>
      <c r="J1702" s="4">
        <v>56</v>
      </c>
      <c r="K1702" s="4" t="s">
        <v>45</v>
      </c>
      <c r="L1702" s="8">
        <v>4</v>
      </c>
      <c r="M1702" s="9" t="s">
        <v>50</v>
      </c>
      <c r="N1702" s="9" t="str">
        <f t="shared" si="13"/>
        <v>ICU</v>
      </c>
      <c r="O1702" s="10">
        <v>14551.02</v>
      </c>
      <c r="P1702" s="10">
        <v>8952.92</v>
      </c>
      <c r="Q1702" s="11">
        <v>9.6</v>
      </c>
      <c r="R1702" s="13" t="str">
        <f>IF(Patient_Data!$L1702&lt;2,"Low Risk",IF(Patient_Data!$L1702&lt;4,"Moderate Risk","High Risk"))</f>
        <v>High Risk</v>
      </c>
      <c r="S1702" s="12" t="str">
        <f>IF(Patient_Data[[#This Row],[Age]]&lt;=18,"Pediatric",IF(Patient_Data[[#This Row],[Age]]&lt;=64,"Adult","Geriatric"))</f>
        <v>Adult</v>
      </c>
    </row>
    <row r="1703" spans="1:19" ht="15.75" customHeight="1" x14ac:dyDescent="0.3">
      <c r="A1703" s="4" t="s">
        <v>3416</v>
      </c>
      <c r="B1703" s="5" t="str">
        <f>TEXT(Patient_Data!$E1703,"mmmm")</f>
        <v>April</v>
      </c>
      <c r="C1703" s="6" t="str">
        <f t="shared" si="12"/>
        <v>Apr</v>
      </c>
      <c r="D1703" s="6">
        <f>MONTH(Patient_Data!$E1703)</f>
        <v>4</v>
      </c>
      <c r="E1703" s="7">
        <v>45771</v>
      </c>
      <c r="F1703" s="55" t="str">
        <f>TEXT(Patient_Data[[#This Row],[Admission_Date]],"YYYY")</f>
        <v>2025</v>
      </c>
      <c r="G1703" s="8" t="s">
        <v>3417</v>
      </c>
      <c r="H1703" s="8" t="s">
        <v>49</v>
      </c>
      <c r="I1703" s="4" t="s">
        <v>29</v>
      </c>
      <c r="J1703" s="4">
        <v>18</v>
      </c>
      <c r="K1703" s="4" t="s">
        <v>45</v>
      </c>
      <c r="L1703" s="8">
        <v>3</v>
      </c>
      <c r="M1703" s="9" t="s">
        <v>83</v>
      </c>
      <c r="N1703" s="9" t="str">
        <f t="shared" si="13"/>
        <v>ER</v>
      </c>
      <c r="O1703" s="10">
        <v>7824.11</v>
      </c>
      <c r="P1703" s="10">
        <v>5187.43</v>
      </c>
      <c r="Q1703" s="11">
        <v>22.5</v>
      </c>
      <c r="R1703" s="13" t="str">
        <f>IF(Patient_Data!$L1703&lt;2,"Low Risk",IF(Patient_Data!$L1703&lt;4,"Moderate Risk","High Risk"))</f>
        <v>Moderate Risk</v>
      </c>
      <c r="S1703" s="12" t="str">
        <f>IF(Patient_Data[[#This Row],[Age]]&lt;=18,"Pediatric",IF(Patient_Data[[#This Row],[Age]]&lt;=64,"Adult","Geriatric"))</f>
        <v>Pediatric</v>
      </c>
    </row>
    <row r="1704" spans="1:19" ht="15.75" customHeight="1" x14ac:dyDescent="0.3">
      <c r="A1704" s="4" t="s">
        <v>3418</v>
      </c>
      <c r="B1704" s="5" t="str">
        <f>TEXT(Patient_Data!$E1704,"mmmm")</f>
        <v>June</v>
      </c>
      <c r="C1704" s="6" t="str">
        <f t="shared" si="12"/>
        <v>Jun</v>
      </c>
      <c r="D1704" s="6">
        <f>MONTH(Patient_Data!$E1704)</f>
        <v>6</v>
      </c>
      <c r="E1704" s="7">
        <v>46188</v>
      </c>
      <c r="F1704" s="55" t="str">
        <f>TEXT(Patient_Data[[#This Row],[Admission_Date]],"YYYY")</f>
        <v>2026</v>
      </c>
      <c r="G1704" s="8" t="s">
        <v>3419</v>
      </c>
      <c r="H1704" s="8" t="s">
        <v>49</v>
      </c>
      <c r="I1704" s="4" t="s">
        <v>29</v>
      </c>
      <c r="J1704" s="4">
        <v>69</v>
      </c>
      <c r="K1704" s="4" t="s">
        <v>30</v>
      </c>
      <c r="L1704" s="8">
        <v>3</v>
      </c>
      <c r="M1704" s="9" t="s">
        <v>72</v>
      </c>
      <c r="N1704" s="9" t="str">
        <f t="shared" si="13"/>
        <v>Surgery</v>
      </c>
      <c r="O1704" s="10">
        <v>20210.810000000001</v>
      </c>
      <c r="P1704" s="10">
        <v>13590.04</v>
      </c>
      <c r="Q1704" s="11">
        <v>6.1</v>
      </c>
      <c r="R1704" s="13" t="str">
        <f>IF(Patient_Data!$L1704&lt;2,"Low Risk",IF(Patient_Data!$L1704&lt;4,"Moderate Risk","High Risk"))</f>
        <v>Moderate Risk</v>
      </c>
      <c r="S1704" s="12" t="str">
        <f>IF(Patient_Data[[#This Row],[Age]]&lt;=18,"Pediatric",IF(Patient_Data[[#This Row],[Age]]&lt;=64,"Adult","Geriatric"))</f>
        <v>Geriatric</v>
      </c>
    </row>
    <row r="1705" spans="1:19" ht="15.75" customHeight="1" x14ac:dyDescent="0.3">
      <c r="A1705" s="4" t="s">
        <v>3420</v>
      </c>
      <c r="B1705" s="5" t="str">
        <f>TEXT(Patient_Data!$E1705,"mmmm")</f>
        <v>December</v>
      </c>
      <c r="C1705" s="6" t="str">
        <f t="shared" si="12"/>
        <v>Dec</v>
      </c>
      <c r="D1705" s="6">
        <f>MONTH(Patient_Data!$E1705)</f>
        <v>12</v>
      </c>
      <c r="E1705" s="7">
        <v>46010</v>
      </c>
      <c r="F1705" s="55" t="str">
        <f>TEXT(Patient_Data[[#This Row],[Admission_Date]],"YYYY")</f>
        <v>2025</v>
      </c>
      <c r="G1705" s="8" t="s">
        <v>3421</v>
      </c>
      <c r="H1705" s="8" t="s">
        <v>82</v>
      </c>
      <c r="I1705" s="4" t="s">
        <v>29</v>
      </c>
      <c r="J1705" s="4">
        <v>51</v>
      </c>
      <c r="K1705" s="4" t="s">
        <v>30</v>
      </c>
      <c r="L1705" s="8">
        <v>1</v>
      </c>
      <c r="M1705" s="9" t="s">
        <v>46</v>
      </c>
      <c r="N1705" s="9" t="str">
        <f t="shared" si="13"/>
        <v>Ortho</v>
      </c>
      <c r="O1705" s="10">
        <v>7095.74</v>
      </c>
      <c r="P1705" s="10">
        <v>5043.82</v>
      </c>
      <c r="Q1705" s="11">
        <v>9.6</v>
      </c>
      <c r="R1705" s="13" t="str">
        <f>IF(Patient_Data!$L1705&lt;2,"Low Risk",IF(Patient_Data!$L1705&lt;4,"Moderate Risk","High Risk"))</f>
        <v>Low Risk</v>
      </c>
      <c r="S1705" s="12" t="str">
        <f>IF(Patient_Data[[#This Row],[Age]]&lt;=18,"Pediatric",IF(Patient_Data[[#This Row],[Age]]&lt;=64,"Adult","Geriatric"))</f>
        <v>Adult</v>
      </c>
    </row>
    <row r="1706" spans="1:19" ht="15.75" customHeight="1" x14ac:dyDescent="0.3">
      <c r="A1706" s="4" t="s">
        <v>3422</v>
      </c>
      <c r="B1706" s="5" t="str">
        <f>TEXT(Patient_Data!$E1706,"mmmm")</f>
        <v>May</v>
      </c>
      <c r="C1706" s="6" t="str">
        <f t="shared" si="12"/>
        <v>May</v>
      </c>
      <c r="D1706" s="6">
        <f>MONTH(Patient_Data!$E1706)</f>
        <v>5</v>
      </c>
      <c r="E1706" s="7">
        <v>46148</v>
      </c>
      <c r="F1706" s="55" t="str">
        <f>TEXT(Patient_Data[[#This Row],[Admission_Date]],"YYYY")</f>
        <v>2026</v>
      </c>
      <c r="G1706" s="8" t="s">
        <v>3423</v>
      </c>
      <c r="H1706" s="8" t="s">
        <v>53</v>
      </c>
      <c r="I1706" s="4" t="s">
        <v>35</v>
      </c>
      <c r="J1706" s="4">
        <v>72</v>
      </c>
      <c r="K1706" s="4" t="s">
        <v>45</v>
      </c>
      <c r="L1706" s="8">
        <v>4</v>
      </c>
      <c r="M1706" s="9" t="s">
        <v>72</v>
      </c>
      <c r="N1706" s="9" t="str">
        <f t="shared" si="13"/>
        <v>Surgery</v>
      </c>
      <c r="O1706" s="10">
        <v>22181.24</v>
      </c>
      <c r="P1706" s="10">
        <v>16258.71</v>
      </c>
      <c r="Q1706" s="11">
        <v>8.3000000000000007</v>
      </c>
      <c r="R1706" s="13" t="str">
        <f>IF(Patient_Data!$L1706&lt;2,"Low Risk",IF(Patient_Data!$L1706&lt;4,"Moderate Risk","High Risk"))</f>
        <v>High Risk</v>
      </c>
      <c r="S1706" s="12" t="str">
        <f>IF(Patient_Data[[#This Row],[Age]]&lt;=18,"Pediatric",IF(Patient_Data[[#This Row],[Age]]&lt;=64,"Adult","Geriatric"))</f>
        <v>Geriatric</v>
      </c>
    </row>
    <row r="1707" spans="1:19" ht="15.75" customHeight="1" x14ac:dyDescent="0.3">
      <c r="A1707" s="4" t="s">
        <v>3424</v>
      </c>
      <c r="B1707" s="5" t="str">
        <f>TEXT(Patient_Data!$E1707,"mmmm")</f>
        <v>December</v>
      </c>
      <c r="C1707" s="6" t="str">
        <f t="shared" si="12"/>
        <v>Dec</v>
      </c>
      <c r="D1707" s="6">
        <f>MONTH(Patient_Data!$E1707)</f>
        <v>12</v>
      </c>
      <c r="E1707" s="7">
        <v>45291</v>
      </c>
      <c r="F1707" s="55" t="str">
        <f>TEXT(Patient_Data[[#This Row],[Admission_Date]],"YYYY")</f>
        <v>2023</v>
      </c>
      <c r="G1707" s="8" t="s">
        <v>3425</v>
      </c>
      <c r="H1707" s="8" t="s">
        <v>53</v>
      </c>
      <c r="I1707" s="4" t="s">
        <v>29</v>
      </c>
      <c r="J1707" s="4">
        <v>55</v>
      </c>
      <c r="K1707" s="4" t="s">
        <v>45</v>
      </c>
      <c r="L1707" s="8">
        <v>4</v>
      </c>
      <c r="M1707" s="9" t="s">
        <v>50</v>
      </c>
      <c r="N1707" s="9" t="str">
        <f t="shared" si="13"/>
        <v>ICU</v>
      </c>
      <c r="O1707" s="10">
        <v>20099.04</v>
      </c>
      <c r="P1707" s="10">
        <v>15367.27</v>
      </c>
      <c r="Q1707" s="11">
        <v>11.5</v>
      </c>
      <c r="R1707" s="13" t="str">
        <f>IF(Patient_Data!$L1707&lt;2,"Low Risk",IF(Patient_Data!$L1707&lt;4,"Moderate Risk","High Risk"))</f>
        <v>High Risk</v>
      </c>
      <c r="S1707" s="12" t="str">
        <f>IF(Patient_Data[[#This Row],[Age]]&lt;=18,"Pediatric",IF(Patient_Data[[#This Row],[Age]]&lt;=64,"Adult","Geriatric"))</f>
        <v>Adult</v>
      </c>
    </row>
    <row r="1708" spans="1:19" ht="15.75" customHeight="1" x14ac:dyDescent="0.3">
      <c r="A1708" s="4" t="s">
        <v>3426</v>
      </c>
      <c r="B1708" s="5" t="str">
        <f>TEXT(Patient_Data!$E1708,"mmmm")</f>
        <v>October</v>
      </c>
      <c r="C1708" s="6" t="str">
        <f t="shared" si="12"/>
        <v>Oct</v>
      </c>
      <c r="D1708" s="6">
        <f>MONTH(Patient_Data!$E1708)</f>
        <v>10</v>
      </c>
      <c r="E1708" s="7">
        <v>45951</v>
      </c>
      <c r="F1708" s="55" t="str">
        <f>TEXT(Patient_Data[[#This Row],[Admission_Date]],"YYYY")</f>
        <v>2025</v>
      </c>
      <c r="G1708" s="8" t="s">
        <v>3427</v>
      </c>
      <c r="H1708" s="8" t="s">
        <v>53</v>
      </c>
      <c r="I1708" s="4" t="s">
        <v>29</v>
      </c>
      <c r="J1708" s="4">
        <v>21</v>
      </c>
      <c r="K1708" s="4" t="s">
        <v>30</v>
      </c>
      <c r="L1708" s="8">
        <v>1</v>
      </c>
      <c r="M1708" s="9" t="s">
        <v>31</v>
      </c>
      <c r="N1708" s="9" t="str">
        <f t="shared" si="13"/>
        <v>Neuro</v>
      </c>
      <c r="O1708" s="10">
        <v>9581.43</v>
      </c>
      <c r="P1708" s="10">
        <v>5616.43</v>
      </c>
      <c r="Q1708" s="11">
        <v>7.4</v>
      </c>
      <c r="R1708" s="13" t="str">
        <f>IF(Patient_Data!$L1708&lt;2,"Low Risk",IF(Patient_Data!$L1708&lt;4,"Moderate Risk","High Risk"))</f>
        <v>Low Risk</v>
      </c>
      <c r="S1708" s="12" t="str">
        <f>IF(Patient_Data[[#This Row],[Age]]&lt;=18,"Pediatric",IF(Patient_Data[[#This Row],[Age]]&lt;=64,"Adult","Geriatric"))</f>
        <v>Adult</v>
      </c>
    </row>
    <row r="1709" spans="1:19" ht="15.75" customHeight="1" x14ac:dyDescent="0.3">
      <c r="A1709" s="4" t="s">
        <v>3428</v>
      </c>
      <c r="B1709" s="5" t="str">
        <f>TEXT(Patient_Data!$E1709,"mmmm")</f>
        <v>June</v>
      </c>
      <c r="C1709" s="6" t="str">
        <f t="shared" si="12"/>
        <v>Jun</v>
      </c>
      <c r="D1709" s="6">
        <f>MONTH(Patient_Data!$E1709)</f>
        <v>6</v>
      </c>
      <c r="E1709" s="7">
        <v>45448</v>
      </c>
      <c r="F1709" s="55" t="str">
        <f>TEXT(Patient_Data[[#This Row],[Admission_Date]],"YYYY")</f>
        <v>2024</v>
      </c>
      <c r="G1709" s="8" t="s">
        <v>3429</v>
      </c>
      <c r="H1709" s="8" t="s">
        <v>28</v>
      </c>
      <c r="I1709" s="4" t="s">
        <v>35</v>
      </c>
      <c r="J1709" s="4">
        <v>61</v>
      </c>
      <c r="K1709" s="4" t="s">
        <v>30</v>
      </c>
      <c r="L1709" s="8">
        <v>1</v>
      </c>
      <c r="M1709" s="9" t="s">
        <v>31</v>
      </c>
      <c r="N1709" s="9" t="str">
        <f t="shared" si="13"/>
        <v>Neuro</v>
      </c>
      <c r="O1709" s="10">
        <v>5274.29</v>
      </c>
      <c r="P1709" s="10">
        <v>3272.52</v>
      </c>
      <c r="Q1709" s="11">
        <v>6.9</v>
      </c>
      <c r="R1709" s="13" t="str">
        <f>IF(Patient_Data!$L1709&lt;2,"Low Risk",IF(Patient_Data!$L1709&lt;4,"Moderate Risk","High Risk"))</f>
        <v>Low Risk</v>
      </c>
      <c r="S1709" s="12" t="str">
        <f>IF(Patient_Data[[#This Row],[Age]]&lt;=18,"Pediatric",IF(Patient_Data[[#This Row],[Age]]&lt;=64,"Adult","Geriatric"))</f>
        <v>Adult</v>
      </c>
    </row>
    <row r="1710" spans="1:19" ht="15.75" customHeight="1" x14ac:dyDescent="0.3">
      <c r="A1710" s="4" t="s">
        <v>3430</v>
      </c>
      <c r="B1710" s="5" t="str">
        <f>TEXT(Patient_Data!$E1710,"mmmm")</f>
        <v>January</v>
      </c>
      <c r="C1710" s="6" t="str">
        <f t="shared" si="12"/>
        <v>Jan</v>
      </c>
      <c r="D1710" s="6">
        <f>MONTH(Patient_Data!$E1710)</f>
        <v>1</v>
      </c>
      <c r="E1710" s="7">
        <v>45677</v>
      </c>
      <c r="F1710" s="55" t="str">
        <f>TEXT(Patient_Data[[#This Row],[Admission_Date]],"YYYY")</f>
        <v>2025</v>
      </c>
      <c r="G1710" s="8" t="s">
        <v>3431</v>
      </c>
      <c r="H1710" s="8" t="s">
        <v>82</v>
      </c>
      <c r="I1710" s="4" t="s">
        <v>35</v>
      </c>
      <c r="J1710" s="4">
        <v>17</v>
      </c>
      <c r="K1710" s="4" t="s">
        <v>30</v>
      </c>
      <c r="L1710" s="8">
        <v>3</v>
      </c>
      <c r="M1710" s="9" t="s">
        <v>79</v>
      </c>
      <c r="N1710" s="9" t="str">
        <f t="shared" si="13"/>
        <v>PD</v>
      </c>
      <c r="O1710" s="10">
        <v>2365.81</v>
      </c>
      <c r="P1710" s="10">
        <v>1557.32</v>
      </c>
      <c r="Q1710" s="11">
        <v>5.4</v>
      </c>
      <c r="R1710" s="13" t="str">
        <f>IF(Patient_Data!$L1710&lt;2,"Low Risk",IF(Patient_Data!$L1710&lt;4,"Moderate Risk","High Risk"))</f>
        <v>Moderate Risk</v>
      </c>
      <c r="S1710" s="12" t="str">
        <f>IF(Patient_Data[[#This Row],[Age]]&lt;=18,"Pediatric",IF(Patient_Data[[#This Row],[Age]]&lt;=64,"Adult","Geriatric"))</f>
        <v>Pediatric</v>
      </c>
    </row>
    <row r="1711" spans="1:19" ht="15.75" customHeight="1" x14ac:dyDescent="0.3">
      <c r="A1711" s="4" t="s">
        <v>3432</v>
      </c>
      <c r="B1711" s="5" t="str">
        <f>TEXT(Patient_Data!$E1711,"mmmm")</f>
        <v>September</v>
      </c>
      <c r="C1711" s="6" t="str">
        <f t="shared" si="12"/>
        <v>Sep</v>
      </c>
      <c r="D1711" s="6">
        <f>MONTH(Patient_Data!$E1711)</f>
        <v>9</v>
      </c>
      <c r="E1711" s="7">
        <v>45902</v>
      </c>
      <c r="F1711" s="55" t="str">
        <f>TEXT(Patient_Data[[#This Row],[Admission_Date]],"YYYY")</f>
        <v>2025</v>
      </c>
      <c r="G1711" s="8" t="s">
        <v>3433</v>
      </c>
      <c r="H1711" s="8" t="s">
        <v>28</v>
      </c>
      <c r="I1711" s="4" t="s">
        <v>35</v>
      </c>
      <c r="J1711" s="4">
        <v>67</v>
      </c>
      <c r="K1711" s="4" t="s">
        <v>45</v>
      </c>
      <c r="L1711" s="8">
        <v>3</v>
      </c>
      <c r="M1711" s="9" t="s">
        <v>31</v>
      </c>
      <c r="N1711" s="9" t="str">
        <f t="shared" si="13"/>
        <v>Neuro</v>
      </c>
      <c r="O1711" s="10">
        <v>10929.14</v>
      </c>
      <c r="P1711" s="10">
        <v>7345.72</v>
      </c>
      <c r="Q1711" s="11">
        <v>2.9</v>
      </c>
      <c r="R1711" s="13" t="str">
        <f>IF(Patient_Data!$L1711&lt;2,"Low Risk",IF(Patient_Data!$L1711&lt;4,"Moderate Risk","High Risk"))</f>
        <v>Moderate Risk</v>
      </c>
      <c r="S1711" s="12" t="str">
        <f>IF(Patient_Data[[#This Row],[Age]]&lt;=18,"Pediatric",IF(Patient_Data[[#This Row],[Age]]&lt;=64,"Adult","Geriatric"))</f>
        <v>Geriatric</v>
      </c>
    </row>
    <row r="1712" spans="1:19" ht="15.75" customHeight="1" x14ac:dyDescent="0.3">
      <c r="A1712" s="4" t="s">
        <v>3434</v>
      </c>
      <c r="B1712" s="5" t="str">
        <f>TEXT(Patient_Data!$E1712,"mmmm")</f>
        <v>May</v>
      </c>
      <c r="C1712" s="6" t="str">
        <f t="shared" si="12"/>
        <v>May</v>
      </c>
      <c r="D1712" s="6">
        <f>MONTH(Patient_Data!$E1712)</f>
        <v>5</v>
      </c>
      <c r="E1712" s="7">
        <v>46149</v>
      </c>
      <c r="F1712" s="55" t="str">
        <f>TEXT(Patient_Data[[#This Row],[Admission_Date]],"YYYY")</f>
        <v>2026</v>
      </c>
      <c r="G1712" s="8" t="s">
        <v>3435</v>
      </c>
      <c r="H1712" s="8" t="s">
        <v>28</v>
      </c>
      <c r="I1712" s="4" t="s">
        <v>35</v>
      </c>
      <c r="J1712" s="4">
        <v>55</v>
      </c>
      <c r="K1712" s="4" t="s">
        <v>30</v>
      </c>
      <c r="L1712" s="8">
        <v>2</v>
      </c>
      <c r="M1712" s="9" t="s">
        <v>46</v>
      </c>
      <c r="N1712" s="9" t="str">
        <f t="shared" si="13"/>
        <v>Ortho</v>
      </c>
      <c r="O1712" s="10">
        <v>4841.3100000000004</v>
      </c>
      <c r="P1712" s="10">
        <v>3457.72</v>
      </c>
      <c r="Q1712" s="11">
        <v>8.6</v>
      </c>
      <c r="R1712" s="13" t="str">
        <f>IF(Patient_Data!$L1712&lt;2,"Low Risk",IF(Patient_Data!$L1712&lt;4,"Moderate Risk","High Risk"))</f>
        <v>Moderate Risk</v>
      </c>
      <c r="S1712" s="12" t="str">
        <f>IF(Patient_Data[[#This Row],[Age]]&lt;=18,"Pediatric",IF(Patient_Data[[#This Row],[Age]]&lt;=64,"Adult","Geriatric"))</f>
        <v>Adult</v>
      </c>
    </row>
    <row r="1713" spans="1:19" ht="15.75" customHeight="1" x14ac:dyDescent="0.3">
      <c r="A1713" s="4" t="s">
        <v>3436</v>
      </c>
      <c r="B1713" s="5" t="str">
        <f>TEXT(Patient_Data!$E1713,"mmmm")</f>
        <v>June</v>
      </c>
      <c r="C1713" s="6" t="str">
        <f t="shared" si="12"/>
        <v>Jun</v>
      </c>
      <c r="D1713" s="6">
        <f>MONTH(Patient_Data!$E1713)</f>
        <v>6</v>
      </c>
      <c r="E1713" s="7">
        <v>46195</v>
      </c>
      <c r="F1713" s="55" t="str">
        <f>TEXT(Patient_Data[[#This Row],[Admission_Date]],"YYYY")</f>
        <v>2026</v>
      </c>
      <c r="G1713" s="8" t="s">
        <v>3437</v>
      </c>
      <c r="H1713" s="8" t="s">
        <v>82</v>
      </c>
      <c r="I1713" s="4" t="s">
        <v>29</v>
      </c>
      <c r="J1713" s="4">
        <v>43</v>
      </c>
      <c r="K1713" s="4" t="s">
        <v>30</v>
      </c>
      <c r="L1713" s="8">
        <v>5</v>
      </c>
      <c r="M1713" s="9" t="s">
        <v>72</v>
      </c>
      <c r="N1713" s="9" t="str">
        <f t="shared" si="13"/>
        <v>Surgery</v>
      </c>
      <c r="O1713" s="10">
        <v>23317.79</v>
      </c>
      <c r="P1713" s="10">
        <v>17113.189999999999</v>
      </c>
      <c r="Q1713" s="11">
        <v>11.4</v>
      </c>
      <c r="R1713" s="13" t="str">
        <f>IF(Patient_Data!$L1713&lt;2,"Low Risk",IF(Patient_Data!$L1713&lt;4,"Moderate Risk","High Risk"))</f>
        <v>High Risk</v>
      </c>
      <c r="S1713" s="12" t="str">
        <f>IF(Patient_Data[[#This Row],[Age]]&lt;=18,"Pediatric",IF(Patient_Data[[#This Row],[Age]]&lt;=64,"Adult","Geriatric"))</f>
        <v>Adult</v>
      </c>
    </row>
    <row r="1714" spans="1:19" ht="15.75" customHeight="1" x14ac:dyDescent="0.3">
      <c r="A1714" s="4" t="s">
        <v>3438</v>
      </c>
      <c r="B1714" s="5" t="str">
        <f>TEXT(Patient_Data!$E1714,"mmmm")</f>
        <v>June</v>
      </c>
      <c r="C1714" s="6" t="str">
        <f t="shared" si="12"/>
        <v>Jun</v>
      </c>
      <c r="D1714" s="6">
        <f>MONTH(Patient_Data!$E1714)</f>
        <v>6</v>
      </c>
      <c r="E1714" s="7">
        <v>45825</v>
      </c>
      <c r="F1714" s="55" t="str">
        <f>TEXT(Patient_Data[[#This Row],[Admission_Date]],"YYYY")</f>
        <v>2025</v>
      </c>
      <c r="G1714" s="8" t="s">
        <v>3439</v>
      </c>
      <c r="H1714" s="8" t="s">
        <v>82</v>
      </c>
      <c r="I1714" s="4" t="s">
        <v>35</v>
      </c>
      <c r="J1714" s="4">
        <v>82</v>
      </c>
      <c r="K1714" s="4" t="s">
        <v>54</v>
      </c>
      <c r="L1714" s="8">
        <v>4</v>
      </c>
      <c r="M1714" s="9" t="s">
        <v>50</v>
      </c>
      <c r="N1714" s="9" t="str">
        <f t="shared" si="13"/>
        <v>ICU</v>
      </c>
      <c r="O1714" s="10">
        <v>13021.86</v>
      </c>
      <c r="P1714" s="10">
        <v>10023.01</v>
      </c>
      <c r="Q1714" s="11">
        <v>15.8</v>
      </c>
      <c r="R1714" s="13" t="str">
        <f>IF(Patient_Data!$L1714&lt;2,"Low Risk",IF(Patient_Data!$L1714&lt;4,"Moderate Risk","High Risk"))</f>
        <v>High Risk</v>
      </c>
      <c r="S1714" s="12" t="str">
        <f>IF(Patient_Data[[#This Row],[Age]]&lt;=18,"Pediatric",IF(Patient_Data[[#This Row],[Age]]&lt;=64,"Adult","Geriatric"))</f>
        <v>Geriatric</v>
      </c>
    </row>
    <row r="1715" spans="1:19" ht="15.75" customHeight="1" x14ac:dyDescent="0.3">
      <c r="A1715" s="4" t="s">
        <v>3440</v>
      </c>
      <c r="B1715" s="5" t="str">
        <f>TEXT(Patient_Data!$E1715,"mmmm")</f>
        <v>November</v>
      </c>
      <c r="C1715" s="6" t="str">
        <f t="shared" si="12"/>
        <v>Nov</v>
      </c>
      <c r="D1715" s="6">
        <f>MONTH(Patient_Data!$E1715)</f>
        <v>11</v>
      </c>
      <c r="E1715" s="7">
        <v>45615</v>
      </c>
      <c r="F1715" s="55" t="str">
        <f>TEXT(Patient_Data[[#This Row],[Admission_Date]],"YYYY")</f>
        <v>2024</v>
      </c>
      <c r="G1715" s="8" t="s">
        <v>3441</v>
      </c>
      <c r="H1715" s="8" t="s">
        <v>82</v>
      </c>
      <c r="I1715" s="4" t="s">
        <v>35</v>
      </c>
      <c r="J1715" s="4">
        <v>63</v>
      </c>
      <c r="K1715" s="4" t="s">
        <v>45</v>
      </c>
      <c r="L1715" s="8">
        <v>5</v>
      </c>
      <c r="M1715" s="9" t="s">
        <v>50</v>
      </c>
      <c r="N1715" s="9" t="str">
        <f t="shared" si="13"/>
        <v>ICU</v>
      </c>
      <c r="O1715" s="10">
        <v>15775.41</v>
      </c>
      <c r="P1715" s="10">
        <v>9273.74</v>
      </c>
      <c r="Q1715" s="11">
        <v>15.5</v>
      </c>
      <c r="R1715" s="13" t="str">
        <f>IF(Patient_Data!$L1715&lt;2,"Low Risk",IF(Patient_Data!$L1715&lt;4,"Moderate Risk","High Risk"))</f>
        <v>High Risk</v>
      </c>
      <c r="S1715" s="12" t="str">
        <f>IF(Patient_Data[[#This Row],[Age]]&lt;=18,"Pediatric",IF(Patient_Data[[#This Row],[Age]]&lt;=64,"Adult","Geriatric"))</f>
        <v>Adult</v>
      </c>
    </row>
    <row r="1716" spans="1:19" ht="15.75" customHeight="1" x14ac:dyDescent="0.3">
      <c r="A1716" s="4" t="s">
        <v>3442</v>
      </c>
      <c r="B1716" s="5" t="str">
        <f>TEXT(Patient_Data!$E1716,"mmmm")</f>
        <v>March</v>
      </c>
      <c r="C1716" s="6" t="str">
        <f t="shared" si="12"/>
        <v>Mar</v>
      </c>
      <c r="D1716" s="6">
        <f>MONTH(Patient_Data!$E1716)</f>
        <v>3</v>
      </c>
      <c r="E1716" s="7">
        <v>45742</v>
      </c>
      <c r="F1716" s="55" t="str">
        <f>TEXT(Patient_Data[[#This Row],[Admission_Date]],"YYYY")</f>
        <v>2025</v>
      </c>
      <c r="G1716" s="8" t="s">
        <v>3443</v>
      </c>
      <c r="H1716" s="8" t="s">
        <v>53</v>
      </c>
      <c r="I1716" s="4" t="s">
        <v>35</v>
      </c>
      <c r="J1716" s="4">
        <v>61</v>
      </c>
      <c r="K1716" s="4" t="s">
        <v>54</v>
      </c>
      <c r="L1716" s="8">
        <v>4</v>
      </c>
      <c r="M1716" s="9" t="s">
        <v>50</v>
      </c>
      <c r="N1716" s="9" t="str">
        <f t="shared" si="13"/>
        <v>ICU</v>
      </c>
      <c r="O1716" s="10">
        <v>15646.34</v>
      </c>
      <c r="P1716" s="10">
        <v>9654.67</v>
      </c>
      <c r="Q1716" s="11">
        <v>13.8</v>
      </c>
      <c r="R1716" s="13" t="str">
        <f>IF(Patient_Data!$L1716&lt;2,"Low Risk",IF(Patient_Data!$L1716&lt;4,"Moderate Risk","High Risk"))</f>
        <v>High Risk</v>
      </c>
      <c r="S1716" s="12" t="str">
        <f>IF(Patient_Data[[#This Row],[Age]]&lt;=18,"Pediatric",IF(Patient_Data[[#This Row],[Age]]&lt;=64,"Adult","Geriatric"))</f>
        <v>Adult</v>
      </c>
    </row>
    <row r="1717" spans="1:19" ht="15.75" customHeight="1" x14ac:dyDescent="0.3">
      <c r="A1717" s="4" t="s">
        <v>3444</v>
      </c>
      <c r="B1717" s="5" t="str">
        <f>TEXT(Patient_Data!$E1717,"mmmm")</f>
        <v>December</v>
      </c>
      <c r="C1717" s="6" t="str">
        <f t="shared" si="12"/>
        <v>Dec</v>
      </c>
      <c r="D1717" s="6">
        <f>MONTH(Patient_Data!$E1717)</f>
        <v>12</v>
      </c>
      <c r="E1717" s="7">
        <v>45286</v>
      </c>
      <c r="F1717" s="55" t="str">
        <f>TEXT(Patient_Data[[#This Row],[Admission_Date]],"YYYY")</f>
        <v>2023</v>
      </c>
      <c r="G1717" s="8" t="s">
        <v>3445</v>
      </c>
      <c r="H1717" s="8" t="s">
        <v>34</v>
      </c>
      <c r="I1717" s="4" t="s">
        <v>35</v>
      </c>
      <c r="J1717" s="4">
        <v>47</v>
      </c>
      <c r="K1717" s="4" t="s">
        <v>30</v>
      </c>
      <c r="L1717" s="8">
        <v>1</v>
      </c>
      <c r="M1717" s="9" t="s">
        <v>83</v>
      </c>
      <c r="N1717" s="9" t="str">
        <f t="shared" si="13"/>
        <v>ER</v>
      </c>
      <c r="O1717" s="10">
        <v>2763.24</v>
      </c>
      <c r="P1717" s="10">
        <v>1854.87</v>
      </c>
      <c r="Q1717" s="11">
        <v>10.8</v>
      </c>
      <c r="R1717" s="13" t="str">
        <f>IF(Patient_Data!$L1717&lt;2,"Low Risk",IF(Patient_Data!$L1717&lt;4,"Moderate Risk","High Risk"))</f>
        <v>Low Risk</v>
      </c>
      <c r="S1717" s="12" t="str">
        <f>IF(Patient_Data[[#This Row],[Age]]&lt;=18,"Pediatric",IF(Patient_Data[[#This Row],[Age]]&lt;=64,"Adult","Geriatric"))</f>
        <v>Adult</v>
      </c>
    </row>
    <row r="1718" spans="1:19" ht="15.75" customHeight="1" x14ac:dyDescent="0.3">
      <c r="A1718" s="4" t="s">
        <v>3446</v>
      </c>
      <c r="B1718" s="5" t="str">
        <f>TEXT(Patient_Data!$E1718,"mmmm")</f>
        <v>April</v>
      </c>
      <c r="C1718" s="6" t="str">
        <f t="shared" si="12"/>
        <v>Apr</v>
      </c>
      <c r="D1718" s="6">
        <f>MONTH(Patient_Data!$E1718)</f>
        <v>4</v>
      </c>
      <c r="E1718" s="7">
        <v>46133</v>
      </c>
      <c r="F1718" s="55" t="str">
        <f>TEXT(Patient_Data[[#This Row],[Admission_Date]],"YYYY")</f>
        <v>2026</v>
      </c>
      <c r="G1718" s="8" t="s">
        <v>3447</v>
      </c>
      <c r="H1718" s="8" t="s">
        <v>82</v>
      </c>
      <c r="I1718" s="4" t="s">
        <v>29</v>
      </c>
      <c r="J1718" s="4">
        <v>81</v>
      </c>
      <c r="K1718" s="4" t="s">
        <v>30</v>
      </c>
      <c r="L1718" s="8">
        <v>2</v>
      </c>
      <c r="M1718" s="9" t="s">
        <v>31</v>
      </c>
      <c r="N1718" s="9" t="str">
        <f t="shared" si="13"/>
        <v>Neuro</v>
      </c>
      <c r="O1718" s="10">
        <v>10052.25</v>
      </c>
      <c r="P1718" s="10">
        <v>6830.21</v>
      </c>
      <c r="Q1718" s="11">
        <v>11.9</v>
      </c>
      <c r="R1718" s="13" t="str">
        <f>IF(Patient_Data!$L1718&lt;2,"Low Risk",IF(Patient_Data!$L1718&lt;4,"Moderate Risk","High Risk"))</f>
        <v>Moderate Risk</v>
      </c>
      <c r="S1718" s="12" t="str">
        <f>IF(Patient_Data[[#This Row],[Age]]&lt;=18,"Pediatric",IF(Patient_Data[[#This Row],[Age]]&lt;=64,"Adult","Geriatric"))</f>
        <v>Geriatric</v>
      </c>
    </row>
    <row r="1719" spans="1:19" ht="15.75" customHeight="1" x14ac:dyDescent="0.3">
      <c r="A1719" s="4" t="s">
        <v>3448</v>
      </c>
      <c r="B1719" s="5" t="str">
        <f>TEXT(Patient_Data!$E1719,"mmmm")</f>
        <v>December</v>
      </c>
      <c r="C1719" s="6" t="str">
        <f t="shared" si="12"/>
        <v>Dec</v>
      </c>
      <c r="D1719" s="6">
        <f>MONTH(Patient_Data!$E1719)</f>
        <v>12</v>
      </c>
      <c r="E1719" s="7">
        <v>45643</v>
      </c>
      <c r="F1719" s="55" t="str">
        <f>TEXT(Patient_Data[[#This Row],[Admission_Date]],"YYYY")</f>
        <v>2024</v>
      </c>
      <c r="G1719" s="8" t="s">
        <v>3449</v>
      </c>
      <c r="H1719" s="8" t="s">
        <v>34</v>
      </c>
      <c r="I1719" s="4" t="s">
        <v>35</v>
      </c>
      <c r="J1719" s="4">
        <v>15</v>
      </c>
      <c r="K1719" s="4" t="s">
        <v>30</v>
      </c>
      <c r="L1719" s="8">
        <v>1</v>
      </c>
      <c r="M1719" s="9" t="s">
        <v>79</v>
      </c>
      <c r="N1719" s="9" t="str">
        <f t="shared" si="13"/>
        <v>PD</v>
      </c>
      <c r="O1719" s="10">
        <v>1739.1</v>
      </c>
      <c r="P1719" s="10">
        <v>1257.3699999999999</v>
      </c>
      <c r="Q1719" s="11">
        <v>5</v>
      </c>
      <c r="R1719" s="13" t="str">
        <f>IF(Patient_Data!$L1719&lt;2,"Low Risk",IF(Patient_Data!$L1719&lt;4,"Moderate Risk","High Risk"))</f>
        <v>Low Risk</v>
      </c>
      <c r="S1719" s="12" t="str">
        <f>IF(Patient_Data[[#This Row],[Age]]&lt;=18,"Pediatric",IF(Patient_Data[[#This Row],[Age]]&lt;=64,"Adult","Geriatric"))</f>
        <v>Pediatric</v>
      </c>
    </row>
    <row r="1720" spans="1:19" ht="15.75" customHeight="1" x14ac:dyDescent="0.3">
      <c r="A1720" s="4" t="s">
        <v>3450</v>
      </c>
      <c r="B1720" s="5" t="str">
        <f>TEXT(Patient_Data!$E1720,"mmmm")</f>
        <v>July</v>
      </c>
      <c r="C1720" s="6" t="str">
        <f t="shared" si="12"/>
        <v>Jul</v>
      </c>
      <c r="D1720" s="6">
        <f>MONTH(Patient_Data!$E1720)</f>
        <v>7</v>
      </c>
      <c r="E1720" s="7">
        <v>45493</v>
      </c>
      <c r="F1720" s="55" t="str">
        <f>TEXT(Patient_Data[[#This Row],[Admission_Date]],"YYYY")</f>
        <v>2024</v>
      </c>
      <c r="G1720" s="8" t="s">
        <v>3451</v>
      </c>
      <c r="H1720" s="8" t="s">
        <v>75</v>
      </c>
      <c r="I1720" s="4" t="s">
        <v>35</v>
      </c>
      <c r="J1720" s="4">
        <v>34</v>
      </c>
      <c r="K1720" s="4" t="s">
        <v>30</v>
      </c>
      <c r="L1720" s="8">
        <v>1</v>
      </c>
      <c r="M1720" s="9" t="s">
        <v>36</v>
      </c>
      <c r="N1720" s="9" t="str">
        <f t="shared" si="13"/>
        <v>Cardio</v>
      </c>
      <c r="O1720" s="10">
        <v>5026.6099999999997</v>
      </c>
      <c r="P1720" s="10">
        <v>3761.43</v>
      </c>
      <c r="Q1720" s="11">
        <v>11.5</v>
      </c>
      <c r="R1720" s="13" t="str">
        <f>IF(Patient_Data!$L1720&lt;2,"Low Risk",IF(Patient_Data!$L1720&lt;4,"Moderate Risk","High Risk"))</f>
        <v>Low Risk</v>
      </c>
      <c r="S1720" s="12" t="str">
        <f>IF(Patient_Data[[#This Row],[Age]]&lt;=18,"Pediatric",IF(Patient_Data[[#This Row],[Age]]&lt;=64,"Adult","Geriatric"))</f>
        <v>Adult</v>
      </c>
    </row>
    <row r="1721" spans="1:19" ht="15.75" customHeight="1" x14ac:dyDescent="0.3">
      <c r="A1721" s="4" t="s">
        <v>3452</v>
      </c>
      <c r="B1721" s="5" t="str">
        <f>TEXT(Patient_Data!$E1721,"mmmm")</f>
        <v>January</v>
      </c>
      <c r="C1721" s="6" t="str">
        <f t="shared" si="12"/>
        <v>Jan</v>
      </c>
      <c r="D1721" s="6">
        <f>MONTH(Patient_Data!$E1721)</f>
        <v>1</v>
      </c>
      <c r="E1721" s="7">
        <v>45660</v>
      </c>
      <c r="F1721" s="55" t="str">
        <f>TEXT(Patient_Data[[#This Row],[Admission_Date]],"YYYY")</f>
        <v>2025</v>
      </c>
      <c r="G1721" s="8" t="s">
        <v>3453</v>
      </c>
      <c r="H1721" s="8" t="s">
        <v>82</v>
      </c>
      <c r="I1721" s="4" t="s">
        <v>29</v>
      </c>
      <c r="J1721" s="4">
        <v>73</v>
      </c>
      <c r="K1721" s="4" t="s">
        <v>45</v>
      </c>
      <c r="L1721" s="8">
        <v>4</v>
      </c>
      <c r="M1721" s="9" t="s">
        <v>72</v>
      </c>
      <c r="N1721" s="9" t="str">
        <f t="shared" si="13"/>
        <v>Surgery</v>
      </c>
      <c r="O1721" s="10">
        <v>14834.53</v>
      </c>
      <c r="P1721" s="10">
        <v>11307.84</v>
      </c>
      <c r="Q1721" s="11">
        <v>4.2</v>
      </c>
      <c r="R1721" s="13" t="str">
        <f>IF(Patient_Data!$L1721&lt;2,"Low Risk",IF(Patient_Data!$L1721&lt;4,"Moderate Risk","High Risk"))</f>
        <v>High Risk</v>
      </c>
      <c r="S1721" s="12" t="str">
        <f>IF(Patient_Data[[#This Row],[Age]]&lt;=18,"Pediatric",IF(Patient_Data[[#This Row],[Age]]&lt;=64,"Adult","Geriatric"))</f>
        <v>Geriatric</v>
      </c>
    </row>
    <row r="1722" spans="1:19" ht="15.75" customHeight="1" x14ac:dyDescent="0.3">
      <c r="A1722" s="4" t="s">
        <v>3454</v>
      </c>
      <c r="B1722" s="5" t="str">
        <f>TEXT(Patient_Data!$E1722,"mmmm")</f>
        <v>February</v>
      </c>
      <c r="C1722" s="6" t="str">
        <f t="shared" si="12"/>
        <v>Feb</v>
      </c>
      <c r="D1722" s="6">
        <f>MONTH(Patient_Data!$E1722)</f>
        <v>2</v>
      </c>
      <c r="E1722" s="7">
        <v>45712</v>
      </c>
      <c r="F1722" s="55" t="str">
        <f>TEXT(Patient_Data[[#This Row],[Admission_Date]],"YYYY")</f>
        <v>2025</v>
      </c>
      <c r="G1722" s="8" t="s">
        <v>3455</v>
      </c>
      <c r="H1722" s="8" t="s">
        <v>34</v>
      </c>
      <c r="I1722" s="4" t="s">
        <v>29</v>
      </c>
      <c r="J1722" s="4">
        <v>71</v>
      </c>
      <c r="K1722" s="4" t="s">
        <v>45</v>
      </c>
      <c r="L1722" s="8">
        <v>4</v>
      </c>
      <c r="M1722" s="9" t="s">
        <v>50</v>
      </c>
      <c r="N1722" s="9" t="str">
        <f t="shared" si="13"/>
        <v>ICU</v>
      </c>
      <c r="O1722" s="10">
        <v>18551.87</v>
      </c>
      <c r="P1722" s="10">
        <v>10880.88</v>
      </c>
      <c r="Q1722" s="11">
        <v>15.1</v>
      </c>
      <c r="R1722" s="13" t="str">
        <f>IF(Patient_Data!$L1722&lt;2,"Low Risk",IF(Patient_Data!$L1722&lt;4,"Moderate Risk","High Risk"))</f>
        <v>High Risk</v>
      </c>
      <c r="S1722" s="12" t="str">
        <f>IF(Patient_Data[[#This Row],[Age]]&lt;=18,"Pediatric",IF(Patient_Data[[#This Row],[Age]]&lt;=64,"Adult","Geriatric"))</f>
        <v>Geriatric</v>
      </c>
    </row>
    <row r="1723" spans="1:19" ht="15.75" customHeight="1" x14ac:dyDescent="0.3">
      <c r="A1723" s="4" t="s">
        <v>3456</v>
      </c>
      <c r="B1723" s="5" t="str">
        <f>TEXT(Patient_Data!$E1723,"mmmm")</f>
        <v>December</v>
      </c>
      <c r="C1723" s="6" t="str">
        <f t="shared" si="12"/>
        <v>Dec</v>
      </c>
      <c r="D1723" s="6">
        <f>MONTH(Patient_Data!$E1723)</f>
        <v>12</v>
      </c>
      <c r="E1723" s="7">
        <v>45281</v>
      </c>
      <c r="F1723" s="55" t="str">
        <f>TEXT(Patient_Data[[#This Row],[Admission_Date]],"YYYY")</f>
        <v>2023</v>
      </c>
      <c r="G1723" s="8" t="s">
        <v>3457</v>
      </c>
      <c r="H1723" s="8" t="s">
        <v>132</v>
      </c>
      <c r="I1723" s="4" t="s">
        <v>29</v>
      </c>
      <c r="J1723" s="4">
        <v>88</v>
      </c>
      <c r="K1723" s="4" t="s">
        <v>30</v>
      </c>
      <c r="L1723" s="8">
        <v>4</v>
      </c>
      <c r="M1723" s="9" t="s">
        <v>46</v>
      </c>
      <c r="N1723" s="9" t="str">
        <f t="shared" si="13"/>
        <v>Ortho</v>
      </c>
      <c r="O1723" s="10">
        <v>12241.6</v>
      </c>
      <c r="P1723" s="10">
        <v>7496.98</v>
      </c>
      <c r="Q1723" s="11">
        <v>3.7</v>
      </c>
      <c r="R1723" s="13" t="str">
        <f>IF(Patient_Data!$L1723&lt;2,"Low Risk",IF(Patient_Data!$L1723&lt;4,"Moderate Risk","High Risk"))</f>
        <v>High Risk</v>
      </c>
      <c r="S1723" s="12" t="str">
        <f>IF(Patient_Data[[#This Row],[Age]]&lt;=18,"Pediatric",IF(Patient_Data[[#This Row],[Age]]&lt;=64,"Adult","Geriatric"))</f>
        <v>Geriatric</v>
      </c>
    </row>
    <row r="1724" spans="1:19" ht="15.75" customHeight="1" x14ac:dyDescent="0.3">
      <c r="A1724" s="4" t="s">
        <v>3458</v>
      </c>
      <c r="B1724" s="5" t="str">
        <f>TEXT(Patient_Data!$E1724,"mmmm")</f>
        <v>November</v>
      </c>
      <c r="C1724" s="6" t="str">
        <f t="shared" si="12"/>
        <v>Nov</v>
      </c>
      <c r="D1724" s="6">
        <f>MONTH(Patient_Data!$E1724)</f>
        <v>11</v>
      </c>
      <c r="E1724" s="7">
        <v>45616</v>
      </c>
      <c r="F1724" s="55" t="str">
        <f>TEXT(Patient_Data[[#This Row],[Admission_Date]],"YYYY")</f>
        <v>2024</v>
      </c>
      <c r="G1724" s="8" t="s">
        <v>3459</v>
      </c>
      <c r="H1724" s="8" t="s">
        <v>28</v>
      </c>
      <c r="I1724" s="4" t="s">
        <v>35</v>
      </c>
      <c r="J1724" s="4">
        <v>54</v>
      </c>
      <c r="K1724" s="4" t="s">
        <v>54</v>
      </c>
      <c r="L1724" s="8">
        <v>1</v>
      </c>
      <c r="M1724" s="9" t="s">
        <v>46</v>
      </c>
      <c r="N1724" s="9" t="str">
        <f t="shared" si="13"/>
        <v>Ortho</v>
      </c>
      <c r="O1724" s="10">
        <v>5450.28</v>
      </c>
      <c r="P1724" s="10">
        <v>3521.78</v>
      </c>
      <c r="Q1724" s="11">
        <v>4.2</v>
      </c>
      <c r="R1724" s="13" t="str">
        <f>IF(Patient_Data!$L1724&lt;2,"Low Risk",IF(Patient_Data!$L1724&lt;4,"Moderate Risk","High Risk"))</f>
        <v>Low Risk</v>
      </c>
      <c r="S1724" s="12" t="str">
        <f>IF(Patient_Data[[#This Row],[Age]]&lt;=18,"Pediatric",IF(Patient_Data[[#This Row],[Age]]&lt;=64,"Adult","Geriatric"))</f>
        <v>Adult</v>
      </c>
    </row>
    <row r="1725" spans="1:19" ht="15.75" customHeight="1" x14ac:dyDescent="0.3">
      <c r="A1725" s="4" t="s">
        <v>3460</v>
      </c>
      <c r="B1725" s="5" t="str">
        <f>TEXT(Patient_Data!$E1725,"mmmm")</f>
        <v>June</v>
      </c>
      <c r="C1725" s="6" t="str">
        <f t="shared" si="12"/>
        <v>Jun</v>
      </c>
      <c r="D1725" s="6">
        <f>MONTH(Patient_Data!$E1725)</f>
        <v>6</v>
      </c>
      <c r="E1725" s="7">
        <v>45818</v>
      </c>
      <c r="F1725" s="55" t="str">
        <f>TEXT(Patient_Data[[#This Row],[Admission_Date]],"YYYY")</f>
        <v>2025</v>
      </c>
      <c r="G1725" s="8" t="s">
        <v>3461</v>
      </c>
      <c r="H1725" s="8" t="s">
        <v>34</v>
      </c>
      <c r="I1725" s="4" t="s">
        <v>35</v>
      </c>
      <c r="J1725" s="4">
        <v>50</v>
      </c>
      <c r="K1725" s="4" t="s">
        <v>30</v>
      </c>
      <c r="L1725" s="8">
        <v>2</v>
      </c>
      <c r="M1725" s="9" t="s">
        <v>36</v>
      </c>
      <c r="N1725" s="9" t="str">
        <f t="shared" si="13"/>
        <v>Cardio</v>
      </c>
      <c r="O1725" s="10">
        <v>9124.07</v>
      </c>
      <c r="P1725" s="10">
        <v>6145.13</v>
      </c>
      <c r="Q1725" s="11">
        <v>4</v>
      </c>
      <c r="R1725" s="13" t="str">
        <f>IF(Patient_Data!$L1725&lt;2,"Low Risk",IF(Patient_Data!$L1725&lt;4,"Moderate Risk","High Risk"))</f>
        <v>Moderate Risk</v>
      </c>
      <c r="S1725" s="12" t="str">
        <f>IF(Patient_Data[[#This Row],[Age]]&lt;=18,"Pediatric",IF(Patient_Data[[#This Row],[Age]]&lt;=64,"Adult","Geriatric"))</f>
        <v>Adult</v>
      </c>
    </row>
    <row r="1726" spans="1:19" ht="15.75" customHeight="1" x14ac:dyDescent="0.3">
      <c r="A1726" s="4" t="s">
        <v>3462</v>
      </c>
      <c r="B1726" s="5" t="str">
        <f>TEXT(Patient_Data!$E1726,"mmmm")</f>
        <v>September</v>
      </c>
      <c r="C1726" s="6" t="str">
        <f t="shared" si="12"/>
        <v>Sep</v>
      </c>
      <c r="D1726" s="6">
        <f>MONTH(Patient_Data!$E1726)</f>
        <v>9</v>
      </c>
      <c r="E1726" s="7">
        <v>45901</v>
      </c>
      <c r="F1726" s="55" t="str">
        <f>TEXT(Patient_Data[[#This Row],[Admission_Date]],"YYYY")</f>
        <v>2025</v>
      </c>
      <c r="G1726" s="8" t="s">
        <v>3463</v>
      </c>
      <c r="H1726" s="8" t="s">
        <v>53</v>
      </c>
      <c r="I1726" s="4" t="s">
        <v>35</v>
      </c>
      <c r="J1726" s="4">
        <v>57</v>
      </c>
      <c r="K1726" s="4" t="s">
        <v>30</v>
      </c>
      <c r="L1726" s="8">
        <v>1</v>
      </c>
      <c r="M1726" s="9" t="s">
        <v>46</v>
      </c>
      <c r="N1726" s="9" t="str">
        <f t="shared" si="13"/>
        <v>Ortho</v>
      </c>
      <c r="O1726" s="10">
        <v>3675.48</v>
      </c>
      <c r="P1726" s="10">
        <v>2636.84</v>
      </c>
      <c r="Q1726" s="11">
        <v>8</v>
      </c>
      <c r="R1726" s="13" t="str">
        <f>IF(Patient_Data!$L1726&lt;2,"Low Risk",IF(Patient_Data!$L1726&lt;4,"Moderate Risk","High Risk"))</f>
        <v>Low Risk</v>
      </c>
      <c r="S1726" s="12" t="str">
        <f>IF(Patient_Data[[#This Row],[Age]]&lt;=18,"Pediatric",IF(Patient_Data[[#This Row],[Age]]&lt;=64,"Adult","Geriatric"))</f>
        <v>Adult</v>
      </c>
    </row>
    <row r="1727" spans="1:19" ht="15.75" customHeight="1" x14ac:dyDescent="0.3">
      <c r="A1727" s="4" t="s">
        <v>3464</v>
      </c>
      <c r="B1727" s="5" t="str">
        <f>TEXT(Patient_Data!$E1727,"mmmm")</f>
        <v>October</v>
      </c>
      <c r="C1727" s="6" t="str">
        <f t="shared" si="12"/>
        <v>Oct</v>
      </c>
      <c r="D1727" s="6">
        <f>MONTH(Patient_Data!$E1727)</f>
        <v>10</v>
      </c>
      <c r="E1727" s="7">
        <v>45224</v>
      </c>
      <c r="F1727" s="55" t="str">
        <f>TEXT(Patient_Data[[#This Row],[Admission_Date]],"YYYY")</f>
        <v>2023</v>
      </c>
      <c r="G1727" s="8" t="s">
        <v>3465</v>
      </c>
      <c r="H1727" s="8" t="s">
        <v>34</v>
      </c>
      <c r="I1727" s="4" t="s">
        <v>29</v>
      </c>
      <c r="J1727" s="4">
        <v>82</v>
      </c>
      <c r="K1727" s="4" t="s">
        <v>54</v>
      </c>
      <c r="L1727" s="8">
        <v>4</v>
      </c>
      <c r="M1727" s="9" t="s">
        <v>46</v>
      </c>
      <c r="N1727" s="9" t="str">
        <f t="shared" si="13"/>
        <v>Ortho</v>
      </c>
      <c r="O1727" s="10">
        <v>10683.44</v>
      </c>
      <c r="P1727" s="10">
        <v>7858.11</v>
      </c>
      <c r="Q1727" s="11">
        <v>7.4</v>
      </c>
      <c r="R1727" s="13" t="str">
        <f>IF(Patient_Data!$L1727&lt;2,"Low Risk",IF(Patient_Data!$L1727&lt;4,"Moderate Risk","High Risk"))</f>
        <v>High Risk</v>
      </c>
      <c r="S1727" s="12" t="str">
        <f>IF(Patient_Data[[#This Row],[Age]]&lt;=18,"Pediatric",IF(Patient_Data[[#This Row],[Age]]&lt;=64,"Adult","Geriatric"))</f>
        <v>Geriatric</v>
      </c>
    </row>
    <row r="1728" spans="1:19" ht="15.75" customHeight="1" x14ac:dyDescent="0.3">
      <c r="A1728" s="4" t="s">
        <v>3466</v>
      </c>
      <c r="B1728" s="5" t="str">
        <f>TEXT(Patient_Data!$E1728,"mmmm")</f>
        <v>August</v>
      </c>
      <c r="C1728" s="6" t="str">
        <f t="shared" si="12"/>
        <v>Aug</v>
      </c>
      <c r="D1728" s="6">
        <f>MONTH(Patient_Data!$E1728)</f>
        <v>8</v>
      </c>
      <c r="E1728" s="7">
        <v>45887</v>
      </c>
      <c r="F1728" s="55" t="str">
        <f>TEXT(Patient_Data[[#This Row],[Admission_Date]],"YYYY")</f>
        <v>2025</v>
      </c>
      <c r="G1728" s="8" t="s">
        <v>3467</v>
      </c>
      <c r="H1728" s="8" t="s">
        <v>28</v>
      </c>
      <c r="I1728" s="4" t="s">
        <v>29</v>
      </c>
      <c r="J1728" s="4">
        <v>60</v>
      </c>
      <c r="K1728" s="4" t="s">
        <v>30</v>
      </c>
      <c r="L1728" s="8">
        <v>2</v>
      </c>
      <c r="M1728" s="9" t="s">
        <v>83</v>
      </c>
      <c r="N1728" s="9" t="str">
        <f t="shared" si="13"/>
        <v>ER</v>
      </c>
      <c r="O1728" s="10">
        <v>9724.06</v>
      </c>
      <c r="P1728" s="10">
        <v>7524.69</v>
      </c>
      <c r="Q1728" s="11">
        <v>16.8</v>
      </c>
      <c r="R1728" s="13" t="str">
        <f>IF(Patient_Data!$L1728&lt;2,"Low Risk",IF(Patient_Data!$L1728&lt;4,"Moderate Risk","High Risk"))</f>
        <v>Moderate Risk</v>
      </c>
      <c r="S1728" s="12" t="str">
        <f>IF(Patient_Data[[#This Row],[Age]]&lt;=18,"Pediatric",IF(Patient_Data[[#This Row],[Age]]&lt;=64,"Adult","Geriatric"))</f>
        <v>Adult</v>
      </c>
    </row>
    <row r="1729" spans="1:19" ht="15.75" customHeight="1" x14ac:dyDescent="0.3">
      <c r="A1729" s="4" t="s">
        <v>3468</v>
      </c>
      <c r="B1729" s="5" t="str">
        <f>TEXT(Patient_Data!$E1729,"mmmm")</f>
        <v>September</v>
      </c>
      <c r="C1729" s="6" t="str">
        <f t="shared" si="12"/>
        <v>Sep</v>
      </c>
      <c r="D1729" s="6">
        <f>MONTH(Patient_Data!$E1729)</f>
        <v>9</v>
      </c>
      <c r="E1729" s="7">
        <v>45552</v>
      </c>
      <c r="F1729" s="55" t="str">
        <f>TEXT(Patient_Data[[#This Row],[Admission_Date]],"YYYY")</f>
        <v>2024</v>
      </c>
      <c r="G1729" s="8" t="s">
        <v>3469</v>
      </c>
      <c r="H1729" s="8" t="s">
        <v>34</v>
      </c>
      <c r="I1729" s="4" t="s">
        <v>35</v>
      </c>
      <c r="J1729" s="4">
        <v>95</v>
      </c>
      <c r="K1729" s="4" t="s">
        <v>45</v>
      </c>
      <c r="L1729" s="8">
        <v>4</v>
      </c>
      <c r="M1729" s="9" t="s">
        <v>50</v>
      </c>
      <c r="N1729" s="9" t="str">
        <f t="shared" si="13"/>
        <v>ICU</v>
      </c>
      <c r="O1729" s="10">
        <v>20997.1</v>
      </c>
      <c r="P1729" s="10">
        <v>12256.72</v>
      </c>
      <c r="Q1729" s="11">
        <v>9.8000000000000007</v>
      </c>
      <c r="R1729" s="13" t="str">
        <f>IF(Patient_Data!$L1729&lt;2,"Low Risk",IF(Patient_Data!$L1729&lt;4,"Moderate Risk","High Risk"))</f>
        <v>High Risk</v>
      </c>
      <c r="S1729" s="12" t="str">
        <f>IF(Patient_Data[[#This Row],[Age]]&lt;=18,"Pediatric",IF(Patient_Data[[#This Row],[Age]]&lt;=64,"Adult","Geriatric"))</f>
        <v>Geriatric</v>
      </c>
    </row>
    <row r="1730" spans="1:19" ht="15.75" customHeight="1" x14ac:dyDescent="0.3">
      <c r="A1730" s="4" t="s">
        <v>3470</v>
      </c>
      <c r="B1730" s="5" t="str">
        <f>TEXT(Patient_Data!$E1730,"mmmm")</f>
        <v>June</v>
      </c>
      <c r="C1730" s="6" t="str">
        <f t="shared" si="12"/>
        <v>Jun</v>
      </c>
      <c r="D1730" s="6">
        <f>MONTH(Patient_Data!$E1730)</f>
        <v>6</v>
      </c>
      <c r="E1730" s="7">
        <v>46175</v>
      </c>
      <c r="F1730" s="55" t="str">
        <f>TEXT(Patient_Data[[#This Row],[Admission_Date]],"YYYY")</f>
        <v>2026</v>
      </c>
      <c r="G1730" s="8" t="s">
        <v>3471</v>
      </c>
      <c r="H1730" s="8" t="s">
        <v>34</v>
      </c>
      <c r="I1730" s="4" t="s">
        <v>35</v>
      </c>
      <c r="J1730" s="4">
        <v>8</v>
      </c>
      <c r="K1730" s="4" t="s">
        <v>30</v>
      </c>
      <c r="L1730" s="8">
        <v>2</v>
      </c>
      <c r="M1730" s="9" t="s">
        <v>79</v>
      </c>
      <c r="N1730" s="9" t="str">
        <f t="shared" si="13"/>
        <v>PD</v>
      </c>
      <c r="O1730" s="10">
        <v>2126.9299999999998</v>
      </c>
      <c r="P1730" s="10">
        <v>1316.63</v>
      </c>
      <c r="Q1730" s="11">
        <v>2.4</v>
      </c>
      <c r="R1730" s="13" t="str">
        <f>IF(Patient_Data!$L1730&lt;2,"Low Risk",IF(Patient_Data!$L1730&lt;4,"Moderate Risk","High Risk"))</f>
        <v>Moderate Risk</v>
      </c>
      <c r="S1730" s="12" t="str">
        <f>IF(Patient_Data[[#This Row],[Age]]&lt;=18,"Pediatric",IF(Patient_Data[[#This Row],[Age]]&lt;=64,"Adult","Geriatric"))</f>
        <v>Pediatric</v>
      </c>
    </row>
    <row r="1731" spans="1:19" ht="15.75" customHeight="1" x14ac:dyDescent="0.3">
      <c r="A1731" s="4" t="s">
        <v>3472</v>
      </c>
      <c r="B1731" s="5" t="str">
        <f>TEXT(Patient_Data!$E1731,"mmmm")</f>
        <v>May</v>
      </c>
      <c r="C1731" s="6" t="str">
        <f t="shared" si="12"/>
        <v>May</v>
      </c>
      <c r="D1731" s="6">
        <f>MONTH(Patient_Data!$E1731)</f>
        <v>5</v>
      </c>
      <c r="E1731" s="7">
        <v>45799</v>
      </c>
      <c r="F1731" s="55" t="str">
        <f>TEXT(Patient_Data[[#This Row],[Admission_Date]],"YYYY")</f>
        <v>2025</v>
      </c>
      <c r="G1731" s="8" t="s">
        <v>3473</v>
      </c>
      <c r="H1731" s="8" t="s">
        <v>49</v>
      </c>
      <c r="I1731" s="4" t="s">
        <v>35</v>
      </c>
      <c r="J1731" s="4">
        <v>79</v>
      </c>
      <c r="K1731" s="4" t="s">
        <v>54</v>
      </c>
      <c r="L1731" s="8">
        <v>4</v>
      </c>
      <c r="M1731" s="9" t="s">
        <v>72</v>
      </c>
      <c r="N1731" s="9" t="str">
        <f t="shared" si="13"/>
        <v>Surgery</v>
      </c>
      <c r="O1731" s="10">
        <v>21256.66</v>
      </c>
      <c r="P1731" s="10">
        <v>13627.46</v>
      </c>
      <c r="Q1731" s="11">
        <v>2.9</v>
      </c>
      <c r="R1731" s="13" t="str">
        <f>IF(Patient_Data!$L1731&lt;2,"Low Risk",IF(Patient_Data!$L1731&lt;4,"Moderate Risk","High Risk"))</f>
        <v>High Risk</v>
      </c>
      <c r="S1731" s="12" t="str">
        <f>IF(Patient_Data[[#This Row],[Age]]&lt;=18,"Pediatric",IF(Patient_Data[[#This Row],[Age]]&lt;=64,"Adult","Geriatric"))</f>
        <v>Geriatric</v>
      </c>
    </row>
    <row r="1732" spans="1:19" ht="15.75" customHeight="1" x14ac:dyDescent="0.3">
      <c r="A1732" s="4" t="s">
        <v>3474</v>
      </c>
      <c r="B1732" s="5" t="str">
        <f>TEXT(Patient_Data!$E1732,"mmmm")</f>
        <v>August</v>
      </c>
      <c r="C1732" s="6" t="str">
        <f t="shared" si="12"/>
        <v>Aug</v>
      </c>
      <c r="D1732" s="6">
        <f>MONTH(Patient_Data!$E1732)</f>
        <v>8</v>
      </c>
      <c r="E1732" s="7">
        <v>45526</v>
      </c>
      <c r="F1732" s="55" t="str">
        <f>TEXT(Patient_Data[[#This Row],[Admission_Date]],"YYYY")</f>
        <v>2024</v>
      </c>
      <c r="G1732" s="8" t="s">
        <v>3475</v>
      </c>
      <c r="H1732" s="8" t="s">
        <v>28</v>
      </c>
      <c r="I1732" s="4" t="s">
        <v>29</v>
      </c>
      <c r="J1732" s="4">
        <v>51</v>
      </c>
      <c r="K1732" s="4" t="s">
        <v>45</v>
      </c>
      <c r="L1732" s="8">
        <v>4</v>
      </c>
      <c r="M1732" s="9" t="s">
        <v>72</v>
      </c>
      <c r="N1732" s="9" t="str">
        <f t="shared" si="13"/>
        <v>Surgery</v>
      </c>
      <c r="O1732" s="10">
        <v>17722.669999999998</v>
      </c>
      <c r="P1732" s="10">
        <v>11918.19</v>
      </c>
      <c r="Q1732" s="11">
        <v>5.5</v>
      </c>
      <c r="R1732" s="13" t="str">
        <f>IF(Patient_Data!$L1732&lt;2,"Low Risk",IF(Patient_Data!$L1732&lt;4,"Moderate Risk","High Risk"))</f>
        <v>High Risk</v>
      </c>
      <c r="S1732" s="12" t="str">
        <f>IF(Patient_Data[[#This Row],[Age]]&lt;=18,"Pediatric",IF(Patient_Data[[#This Row],[Age]]&lt;=64,"Adult","Geriatric"))</f>
        <v>Adult</v>
      </c>
    </row>
    <row r="1733" spans="1:19" ht="15.75" customHeight="1" x14ac:dyDescent="0.3">
      <c r="A1733" s="4" t="s">
        <v>3476</v>
      </c>
      <c r="B1733" s="5" t="str">
        <f>TEXT(Patient_Data!$E1733,"mmmm")</f>
        <v>May</v>
      </c>
      <c r="C1733" s="6" t="str">
        <f t="shared" si="12"/>
        <v>May</v>
      </c>
      <c r="D1733" s="6">
        <f>MONTH(Patient_Data!$E1733)</f>
        <v>5</v>
      </c>
      <c r="E1733" s="7">
        <v>46171</v>
      </c>
      <c r="F1733" s="55" t="str">
        <f>TEXT(Patient_Data[[#This Row],[Admission_Date]],"YYYY")</f>
        <v>2026</v>
      </c>
      <c r="G1733" s="8" t="s">
        <v>3477</v>
      </c>
      <c r="H1733" s="8" t="s">
        <v>49</v>
      </c>
      <c r="I1733" s="4" t="s">
        <v>35</v>
      </c>
      <c r="J1733" s="4">
        <v>38</v>
      </c>
      <c r="K1733" s="4" t="s">
        <v>54</v>
      </c>
      <c r="L1733" s="8">
        <v>1</v>
      </c>
      <c r="M1733" s="9" t="s">
        <v>83</v>
      </c>
      <c r="N1733" s="9" t="str">
        <f t="shared" si="13"/>
        <v>ER</v>
      </c>
      <c r="O1733" s="10">
        <v>6319.97</v>
      </c>
      <c r="P1733" s="10">
        <v>4510.38</v>
      </c>
      <c r="Q1733" s="11">
        <v>10.8</v>
      </c>
      <c r="R1733" s="13" t="str">
        <f>IF(Patient_Data!$L1733&lt;2,"Low Risk",IF(Patient_Data!$L1733&lt;4,"Moderate Risk","High Risk"))</f>
        <v>Low Risk</v>
      </c>
      <c r="S1733" s="12" t="str">
        <f>IF(Patient_Data[[#This Row],[Age]]&lt;=18,"Pediatric",IF(Patient_Data[[#This Row],[Age]]&lt;=64,"Adult","Geriatric"))</f>
        <v>Adult</v>
      </c>
    </row>
    <row r="1734" spans="1:19" ht="15.75" customHeight="1" x14ac:dyDescent="0.3">
      <c r="A1734" s="4" t="s">
        <v>3478</v>
      </c>
      <c r="B1734" s="5" t="str">
        <f>TEXT(Patient_Data!$E1734,"mmmm")</f>
        <v>November</v>
      </c>
      <c r="C1734" s="6" t="str">
        <f t="shared" si="12"/>
        <v>Nov</v>
      </c>
      <c r="D1734" s="6">
        <f>MONTH(Patient_Data!$E1734)</f>
        <v>11</v>
      </c>
      <c r="E1734" s="7">
        <v>45244</v>
      </c>
      <c r="F1734" s="55" t="str">
        <f>TEXT(Patient_Data[[#This Row],[Admission_Date]],"YYYY")</f>
        <v>2023</v>
      </c>
      <c r="G1734" s="8" t="s">
        <v>3479</v>
      </c>
      <c r="H1734" s="8" t="s">
        <v>42</v>
      </c>
      <c r="I1734" s="4" t="s">
        <v>29</v>
      </c>
      <c r="J1734" s="4">
        <v>81</v>
      </c>
      <c r="K1734" s="4" t="s">
        <v>45</v>
      </c>
      <c r="L1734" s="8">
        <v>4</v>
      </c>
      <c r="M1734" s="9" t="s">
        <v>72</v>
      </c>
      <c r="N1734" s="9" t="str">
        <f t="shared" si="13"/>
        <v>Surgery</v>
      </c>
      <c r="O1734" s="10">
        <v>12208.95</v>
      </c>
      <c r="P1734" s="10">
        <v>8978.93</v>
      </c>
      <c r="Q1734" s="11">
        <v>8.3000000000000007</v>
      </c>
      <c r="R1734" s="13" t="str">
        <f>IF(Patient_Data!$L1734&lt;2,"Low Risk",IF(Patient_Data!$L1734&lt;4,"Moderate Risk","High Risk"))</f>
        <v>High Risk</v>
      </c>
      <c r="S1734" s="12" t="str">
        <f>IF(Patient_Data[[#This Row],[Age]]&lt;=18,"Pediatric",IF(Patient_Data[[#This Row],[Age]]&lt;=64,"Adult","Geriatric"))</f>
        <v>Geriatric</v>
      </c>
    </row>
    <row r="1735" spans="1:19" ht="15.75" customHeight="1" x14ac:dyDescent="0.3">
      <c r="A1735" s="4" t="s">
        <v>3480</v>
      </c>
      <c r="B1735" s="5" t="str">
        <f>TEXT(Patient_Data!$E1735,"mmmm")</f>
        <v>February</v>
      </c>
      <c r="C1735" s="6" t="str">
        <f t="shared" si="12"/>
        <v>Feb</v>
      </c>
      <c r="D1735" s="6">
        <f>MONTH(Patient_Data!$E1735)</f>
        <v>2</v>
      </c>
      <c r="E1735" s="7">
        <v>45351</v>
      </c>
      <c r="F1735" s="55" t="str">
        <f>TEXT(Patient_Data[[#This Row],[Admission_Date]],"YYYY")</f>
        <v>2024</v>
      </c>
      <c r="G1735" s="8" t="s">
        <v>3481</v>
      </c>
      <c r="H1735" s="8" t="s">
        <v>34</v>
      </c>
      <c r="I1735" s="4" t="s">
        <v>35</v>
      </c>
      <c r="J1735" s="4">
        <v>57</v>
      </c>
      <c r="K1735" s="4" t="s">
        <v>54</v>
      </c>
      <c r="L1735" s="8">
        <v>4</v>
      </c>
      <c r="M1735" s="9" t="s">
        <v>50</v>
      </c>
      <c r="N1735" s="9" t="str">
        <f t="shared" si="13"/>
        <v>ICU</v>
      </c>
      <c r="O1735" s="10">
        <v>14989.14</v>
      </c>
      <c r="P1735" s="10">
        <v>11457.35</v>
      </c>
      <c r="Q1735" s="11">
        <v>8.1999999999999993</v>
      </c>
      <c r="R1735" s="13" t="str">
        <f>IF(Patient_Data!$L1735&lt;2,"Low Risk",IF(Patient_Data!$L1735&lt;4,"Moderate Risk","High Risk"))</f>
        <v>High Risk</v>
      </c>
      <c r="S1735" s="12" t="str">
        <f>IF(Patient_Data[[#This Row],[Age]]&lt;=18,"Pediatric",IF(Patient_Data[[#This Row],[Age]]&lt;=64,"Adult","Geriatric"))</f>
        <v>Adult</v>
      </c>
    </row>
    <row r="1736" spans="1:19" ht="15.75" customHeight="1" x14ac:dyDescent="0.3">
      <c r="A1736" s="4" t="s">
        <v>3482</v>
      </c>
      <c r="B1736" s="5" t="str">
        <f>TEXT(Patient_Data!$E1736,"mmmm")</f>
        <v>December</v>
      </c>
      <c r="C1736" s="6" t="str">
        <f t="shared" si="12"/>
        <v>Dec</v>
      </c>
      <c r="D1736" s="6">
        <f>MONTH(Patient_Data!$E1736)</f>
        <v>12</v>
      </c>
      <c r="E1736" s="7">
        <v>45282</v>
      </c>
      <c r="F1736" s="55" t="str">
        <f>TEXT(Patient_Data[[#This Row],[Admission_Date]],"YYYY")</f>
        <v>2023</v>
      </c>
      <c r="G1736" s="8" t="s">
        <v>3483</v>
      </c>
      <c r="H1736" s="8" t="s">
        <v>98</v>
      </c>
      <c r="I1736" s="4" t="s">
        <v>35</v>
      </c>
      <c r="J1736" s="4">
        <v>73</v>
      </c>
      <c r="K1736" s="4" t="s">
        <v>30</v>
      </c>
      <c r="L1736" s="8">
        <v>1</v>
      </c>
      <c r="M1736" s="9" t="s">
        <v>36</v>
      </c>
      <c r="N1736" s="9" t="str">
        <f t="shared" si="13"/>
        <v>Cardio</v>
      </c>
      <c r="O1736" s="10">
        <v>6835.41</v>
      </c>
      <c r="P1736" s="10">
        <v>4036.54</v>
      </c>
      <c r="Q1736" s="11">
        <v>9</v>
      </c>
      <c r="R1736" s="13" t="str">
        <f>IF(Patient_Data!$L1736&lt;2,"Low Risk",IF(Patient_Data!$L1736&lt;4,"Moderate Risk","High Risk"))</f>
        <v>Low Risk</v>
      </c>
      <c r="S1736" s="12" t="str">
        <f>IF(Patient_Data[[#This Row],[Age]]&lt;=18,"Pediatric",IF(Patient_Data[[#This Row],[Age]]&lt;=64,"Adult","Geriatric"))</f>
        <v>Geriatric</v>
      </c>
    </row>
    <row r="1737" spans="1:19" ht="15.75" customHeight="1" x14ac:dyDescent="0.3">
      <c r="A1737" s="4" t="s">
        <v>3484</v>
      </c>
      <c r="B1737" s="5" t="str">
        <f>TEXT(Patient_Data!$E1737,"mmmm")</f>
        <v>December</v>
      </c>
      <c r="C1737" s="6" t="str">
        <f t="shared" si="12"/>
        <v>Dec</v>
      </c>
      <c r="D1737" s="6">
        <f>MONTH(Patient_Data!$E1737)</f>
        <v>12</v>
      </c>
      <c r="E1737" s="7">
        <v>45643</v>
      </c>
      <c r="F1737" s="55" t="str">
        <f>TEXT(Patient_Data[[#This Row],[Admission_Date]],"YYYY")</f>
        <v>2024</v>
      </c>
      <c r="G1737" s="8" t="s">
        <v>3485</v>
      </c>
      <c r="H1737" s="8" t="s">
        <v>49</v>
      </c>
      <c r="I1737" s="4" t="s">
        <v>35</v>
      </c>
      <c r="J1737" s="4">
        <v>78</v>
      </c>
      <c r="K1737" s="4" t="s">
        <v>30</v>
      </c>
      <c r="L1737" s="8">
        <v>1</v>
      </c>
      <c r="M1737" s="9" t="s">
        <v>39</v>
      </c>
      <c r="N1737" s="9" t="str">
        <f t="shared" si="13"/>
        <v>GM</v>
      </c>
      <c r="O1737" s="10">
        <v>2147.4</v>
      </c>
      <c r="P1737" s="10">
        <v>1360.31</v>
      </c>
      <c r="Q1737" s="11">
        <v>6.3</v>
      </c>
      <c r="R1737" s="13" t="str">
        <f>IF(Patient_Data!$L1737&lt;2,"Low Risk",IF(Patient_Data!$L1737&lt;4,"Moderate Risk","High Risk"))</f>
        <v>Low Risk</v>
      </c>
      <c r="S1737" s="12" t="str">
        <f>IF(Patient_Data[[#This Row],[Age]]&lt;=18,"Pediatric",IF(Patient_Data[[#This Row],[Age]]&lt;=64,"Adult","Geriatric"))</f>
        <v>Geriatric</v>
      </c>
    </row>
    <row r="1738" spans="1:19" ht="15.75" customHeight="1" x14ac:dyDescent="0.3">
      <c r="A1738" s="4" t="s">
        <v>3486</v>
      </c>
      <c r="B1738" s="5" t="str">
        <f>TEXT(Patient_Data!$E1738,"mmmm")</f>
        <v>November</v>
      </c>
      <c r="C1738" s="6" t="str">
        <f t="shared" si="12"/>
        <v>Nov</v>
      </c>
      <c r="D1738" s="6">
        <f>MONTH(Patient_Data!$E1738)</f>
        <v>11</v>
      </c>
      <c r="E1738" s="7">
        <v>45615</v>
      </c>
      <c r="F1738" s="55" t="str">
        <f>TEXT(Patient_Data[[#This Row],[Admission_Date]],"YYYY")</f>
        <v>2024</v>
      </c>
      <c r="G1738" s="8" t="s">
        <v>3487</v>
      </c>
      <c r="H1738" s="8" t="s">
        <v>49</v>
      </c>
      <c r="I1738" s="4" t="s">
        <v>29</v>
      </c>
      <c r="J1738" s="4">
        <v>47</v>
      </c>
      <c r="K1738" s="4" t="s">
        <v>30</v>
      </c>
      <c r="L1738" s="8">
        <v>2</v>
      </c>
      <c r="M1738" s="9" t="s">
        <v>83</v>
      </c>
      <c r="N1738" s="9" t="str">
        <f t="shared" si="13"/>
        <v>ER</v>
      </c>
      <c r="O1738" s="10">
        <v>4488.99</v>
      </c>
      <c r="P1738" s="10">
        <v>2994.55</v>
      </c>
      <c r="Q1738" s="11">
        <v>15.2</v>
      </c>
      <c r="R1738" s="13" t="str">
        <f>IF(Patient_Data!$L1738&lt;2,"Low Risk",IF(Patient_Data!$L1738&lt;4,"Moderate Risk","High Risk"))</f>
        <v>Moderate Risk</v>
      </c>
      <c r="S1738" s="12" t="str">
        <f>IF(Patient_Data[[#This Row],[Age]]&lt;=18,"Pediatric",IF(Patient_Data[[#This Row],[Age]]&lt;=64,"Adult","Geriatric"))</f>
        <v>Adult</v>
      </c>
    </row>
    <row r="1739" spans="1:19" ht="15.75" customHeight="1" x14ac:dyDescent="0.3">
      <c r="A1739" s="4" t="s">
        <v>3488</v>
      </c>
      <c r="B1739" s="5" t="str">
        <f>TEXT(Patient_Data!$E1739,"mmmm")</f>
        <v>August</v>
      </c>
      <c r="C1739" s="6" t="str">
        <f t="shared" si="12"/>
        <v>Aug</v>
      </c>
      <c r="D1739" s="6">
        <f>MONTH(Patient_Data!$E1739)</f>
        <v>8</v>
      </c>
      <c r="E1739" s="7">
        <v>45168</v>
      </c>
      <c r="F1739" s="55" t="str">
        <f>TEXT(Patient_Data[[#This Row],[Admission_Date]],"YYYY")</f>
        <v>2023</v>
      </c>
      <c r="G1739" s="8" t="s">
        <v>3489</v>
      </c>
      <c r="H1739" s="8" t="s">
        <v>98</v>
      </c>
      <c r="I1739" s="4" t="s">
        <v>29</v>
      </c>
      <c r="J1739" s="4">
        <v>91</v>
      </c>
      <c r="K1739" s="4" t="s">
        <v>54</v>
      </c>
      <c r="L1739" s="8">
        <v>4</v>
      </c>
      <c r="M1739" s="9" t="s">
        <v>46</v>
      </c>
      <c r="N1739" s="9" t="str">
        <f t="shared" si="13"/>
        <v>Ortho</v>
      </c>
      <c r="O1739" s="10">
        <v>8549.42</v>
      </c>
      <c r="P1739" s="10">
        <v>5820.11</v>
      </c>
      <c r="Q1739" s="11">
        <v>11.5</v>
      </c>
      <c r="R1739" s="13" t="str">
        <f>IF(Patient_Data!$L1739&lt;2,"Low Risk",IF(Patient_Data!$L1739&lt;4,"Moderate Risk","High Risk"))</f>
        <v>High Risk</v>
      </c>
      <c r="S1739" s="12" t="str">
        <f>IF(Patient_Data[[#This Row],[Age]]&lt;=18,"Pediatric",IF(Patient_Data[[#This Row],[Age]]&lt;=64,"Adult","Geriatric"))</f>
        <v>Geriatric</v>
      </c>
    </row>
    <row r="1740" spans="1:19" ht="15.75" customHeight="1" x14ac:dyDescent="0.3">
      <c r="A1740" s="4" t="s">
        <v>3490</v>
      </c>
      <c r="B1740" s="5" t="str">
        <f>TEXT(Patient_Data!$E1740,"mmmm")</f>
        <v>July</v>
      </c>
      <c r="C1740" s="6" t="str">
        <f t="shared" si="12"/>
        <v>Jul</v>
      </c>
      <c r="D1740" s="6">
        <f>MONTH(Patient_Data!$E1740)</f>
        <v>7</v>
      </c>
      <c r="E1740" s="7">
        <v>45846</v>
      </c>
      <c r="F1740" s="55" t="str">
        <f>TEXT(Patient_Data[[#This Row],[Admission_Date]],"YYYY")</f>
        <v>2025</v>
      </c>
      <c r="G1740" s="8" t="s">
        <v>616</v>
      </c>
      <c r="H1740" s="8" t="s">
        <v>49</v>
      </c>
      <c r="I1740" s="4" t="s">
        <v>35</v>
      </c>
      <c r="J1740" s="4">
        <v>31</v>
      </c>
      <c r="K1740" s="4" t="s">
        <v>54</v>
      </c>
      <c r="L1740" s="8">
        <v>4</v>
      </c>
      <c r="M1740" s="9" t="s">
        <v>72</v>
      </c>
      <c r="N1740" s="9" t="str">
        <f t="shared" si="13"/>
        <v>Surgery</v>
      </c>
      <c r="O1740" s="10">
        <v>21048.61</v>
      </c>
      <c r="P1740" s="10">
        <v>14812.43</v>
      </c>
      <c r="Q1740" s="11">
        <v>9.8000000000000007</v>
      </c>
      <c r="R1740" s="13" t="str">
        <f>IF(Patient_Data!$L1740&lt;2,"Low Risk",IF(Patient_Data!$L1740&lt;4,"Moderate Risk","High Risk"))</f>
        <v>High Risk</v>
      </c>
      <c r="S1740" s="12" t="str">
        <f>IF(Patient_Data[[#This Row],[Age]]&lt;=18,"Pediatric",IF(Patient_Data[[#This Row],[Age]]&lt;=64,"Adult","Geriatric"))</f>
        <v>Adult</v>
      </c>
    </row>
    <row r="1741" spans="1:19" ht="15.75" customHeight="1" x14ac:dyDescent="0.3">
      <c r="A1741" s="4" t="s">
        <v>3491</v>
      </c>
      <c r="B1741" s="5" t="str">
        <f>TEXT(Patient_Data!$E1741,"mmmm")</f>
        <v>October</v>
      </c>
      <c r="C1741" s="6" t="str">
        <f t="shared" si="12"/>
        <v>Oct</v>
      </c>
      <c r="D1741" s="6">
        <f>MONTH(Patient_Data!$E1741)</f>
        <v>10</v>
      </c>
      <c r="E1741" s="7">
        <v>45579</v>
      </c>
      <c r="F1741" s="55" t="str">
        <f>TEXT(Patient_Data[[#This Row],[Admission_Date]],"YYYY")</f>
        <v>2024</v>
      </c>
      <c r="G1741" s="8" t="s">
        <v>3492</v>
      </c>
      <c r="H1741" s="8" t="s">
        <v>42</v>
      </c>
      <c r="I1741" s="4" t="s">
        <v>35</v>
      </c>
      <c r="J1741" s="4">
        <v>69</v>
      </c>
      <c r="K1741" s="4" t="s">
        <v>30</v>
      </c>
      <c r="L1741" s="8">
        <v>2</v>
      </c>
      <c r="M1741" s="9" t="s">
        <v>46</v>
      </c>
      <c r="N1741" s="9" t="str">
        <f t="shared" si="13"/>
        <v>Ortho</v>
      </c>
      <c r="O1741" s="10">
        <v>5575.54</v>
      </c>
      <c r="P1741" s="10">
        <v>4070.14</v>
      </c>
      <c r="Q1741" s="11"/>
      <c r="R1741" s="13" t="str">
        <f>IF(Patient_Data!$L1741&lt;2,"Low Risk",IF(Patient_Data!$L1741&lt;4,"Moderate Risk","High Risk"))</f>
        <v>Moderate Risk</v>
      </c>
      <c r="S1741" s="12" t="str">
        <f>IF(Patient_Data[[#This Row],[Age]]&lt;=18,"Pediatric",IF(Patient_Data[[#This Row],[Age]]&lt;=64,"Adult","Geriatric"))</f>
        <v>Geriatric</v>
      </c>
    </row>
    <row r="1742" spans="1:19" ht="15.75" customHeight="1" x14ac:dyDescent="0.3">
      <c r="A1742" s="4" t="s">
        <v>3493</v>
      </c>
      <c r="B1742" s="5" t="str">
        <f>TEXT(Patient_Data!$E1742,"mmmm")</f>
        <v>May</v>
      </c>
      <c r="C1742" s="6" t="str">
        <f t="shared" si="12"/>
        <v>May</v>
      </c>
      <c r="D1742" s="6">
        <f>MONTH(Patient_Data!$E1742)</f>
        <v>5</v>
      </c>
      <c r="E1742" s="7">
        <v>45434</v>
      </c>
      <c r="F1742" s="55" t="str">
        <f>TEXT(Patient_Data[[#This Row],[Admission_Date]],"YYYY")</f>
        <v>2024</v>
      </c>
      <c r="G1742" s="8" t="s">
        <v>3494</v>
      </c>
      <c r="H1742" s="8" t="s">
        <v>28</v>
      </c>
      <c r="I1742" s="4" t="s">
        <v>29</v>
      </c>
      <c r="J1742" s="4">
        <v>63</v>
      </c>
      <c r="K1742" s="4" t="s">
        <v>45</v>
      </c>
      <c r="L1742" s="8">
        <v>3</v>
      </c>
      <c r="M1742" s="9" t="s">
        <v>31</v>
      </c>
      <c r="N1742" s="9" t="str">
        <f t="shared" si="13"/>
        <v>Neuro</v>
      </c>
      <c r="O1742" s="10">
        <v>6106.22</v>
      </c>
      <c r="P1742" s="10">
        <v>4682.33</v>
      </c>
      <c r="Q1742" s="11">
        <v>5.2</v>
      </c>
      <c r="R1742" s="13" t="str">
        <f>IF(Patient_Data!$L1742&lt;2,"Low Risk",IF(Patient_Data!$L1742&lt;4,"Moderate Risk","High Risk"))</f>
        <v>Moderate Risk</v>
      </c>
      <c r="S1742" s="12" t="str">
        <f>IF(Patient_Data[[#This Row],[Age]]&lt;=18,"Pediatric",IF(Patient_Data[[#This Row],[Age]]&lt;=64,"Adult","Geriatric"))</f>
        <v>Adult</v>
      </c>
    </row>
    <row r="1743" spans="1:19" ht="15.75" customHeight="1" x14ac:dyDescent="0.3">
      <c r="A1743" s="4" t="s">
        <v>3495</v>
      </c>
      <c r="B1743" s="5" t="str">
        <f>TEXT(Patient_Data!$E1743,"mmmm")</f>
        <v>June</v>
      </c>
      <c r="C1743" s="6" t="str">
        <f t="shared" si="12"/>
        <v>Jun</v>
      </c>
      <c r="D1743" s="6">
        <f>MONTH(Patient_Data!$E1743)</f>
        <v>6</v>
      </c>
      <c r="E1743" s="7">
        <v>45829</v>
      </c>
      <c r="F1743" s="55" t="str">
        <f>TEXT(Patient_Data[[#This Row],[Admission_Date]],"YYYY")</f>
        <v>2025</v>
      </c>
      <c r="G1743" s="8" t="s">
        <v>3496</v>
      </c>
      <c r="H1743" s="8" t="s">
        <v>28</v>
      </c>
      <c r="I1743" s="4" t="s">
        <v>29</v>
      </c>
      <c r="J1743" s="4">
        <v>36</v>
      </c>
      <c r="K1743" s="4" t="s">
        <v>30</v>
      </c>
      <c r="L1743" s="8">
        <v>1</v>
      </c>
      <c r="M1743" s="9" t="s">
        <v>83</v>
      </c>
      <c r="N1743" s="9" t="str">
        <f t="shared" si="13"/>
        <v>ER</v>
      </c>
      <c r="O1743" s="10">
        <v>5390.96</v>
      </c>
      <c r="P1743" s="10">
        <v>3209.16</v>
      </c>
      <c r="Q1743" s="11">
        <v>10.3</v>
      </c>
      <c r="R1743" s="13" t="str">
        <f>IF(Patient_Data!$L1743&lt;2,"Low Risk",IF(Patient_Data!$L1743&lt;4,"Moderate Risk","High Risk"))</f>
        <v>Low Risk</v>
      </c>
      <c r="S1743" s="12" t="str">
        <f>IF(Patient_Data[[#This Row],[Age]]&lt;=18,"Pediatric",IF(Patient_Data[[#This Row],[Age]]&lt;=64,"Adult","Geriatric"))</f>
        <v>Adult</v>
      </c>
    </row>
    <row r="1744" spans="1:19" ht="15.75" customHeight="1" x14ac:dyDescent="0.3">
      <c r="A1744" s="4" t="s">
        <v>3497</v>
      </c>
      <c r="B1744" s="5" t="str">
        <f>TEXT(Patient_Data!$E1744,"mmmm")</f>
        <v>June</v>
      </c>
      <c r="C1744" s="6" t="str">
        <f t="shared" si="12"/>
        <v>Jun</v>
      </c>
      <c r="D1744" s="6">
        <f>MONTH(Patient_Data!$E1744)</f>
        <v>6</v>
      </c>
      <c r="E1744" s="7">
        <v>45469</v>
      </c>
      <c r="F1744" s="55" t="str">
        <f>TEXT(Patient_Data[[#This Row],[Admission_Date]],"YYYY")</f>
        <v>2024</v>
      </c>
      <c r="G1744" s="8" t="s">
        <v>3498</v>
      </c>
      <c r="H1744" s="8" t="s">
        <v>53</v>
      </c>
      <c r="I1744" s="4" t="s">
        <v>29</v>
      </c>
      <c r="J1744" s="4">
        <v>14</v>
      </c>
      <c r="K1744" s="4" t="s">
        <v>45</v>
      </c>
      <c r="L1744" s="8">
        <v>1</v>
      </c>
      <c r="M1744" s="9" t="s">
        <v>79</v>
      </c>
      <c r="N1744" s="9" t="str">
        <f t="shared" si="13"/>
        <v>PD</v>
      </c>
      <c r="O1744" s="10">
        <v>2473.67</v>
      </c>
      <c r="P1744" s="10">
        <v>1556.94</v>
      </c>
      <c r="Q1744" s="11">
        <v>6</v>
      </c>
      <c r="R1744" s="13" t="str">
        <f>IF(Patient_Data!$L1744&lt;2,"Low Risk",IF(Patient_Data!$L1744&lt;4,"Moderate Risk","High Risk"))</f>
        <v>Low Risk</v>
      </c>
      <c r="S1744" s="12" t="str">
        <f>IF(Patient_Data[[#This Row],[Age]]&lt;=18,"Pediatric",IF(Patient_Data[[#This Row],[Age]]&lt;=64,"Adult","Geriatric"))</f>
        <v>Pediatric</v>
      </c>
    </row>
    <row r="1745" spans="1:19" ht="15.75" customHeight="1" x14ac:dyDescent="0.3">
      <c r="A1745" s="4" t="s">
        <v>3499</v>
      </c>
      <c r="B1745" s="5" t="str">
        <f>TEXT(Patient_Data!$E1745,"mmmm")</f>
        <v>June</v>
      </c>
      <c r="C1745" s="6" t="str">
        <f t="shared" si="12"/>
        <v>Jun</v>
      </c>
      <c r="D1745" s="6">
        <f>MONTH(Patient_Data!$E1745)</f>
        <v>6</v>
      </c>
      <c r="E1745" s="7">
        <v>45457</v>
      </c>
      <c r="F1745" s="55" t="str">
        <f>TEXT(Patient_Data[[#This Row],[Admission_Date]],"YYYY")</f>
        <v>2024</v>
      </c>
      <c r="G1745" s="8" t="s">
        <v>3500</v>
      </c>
      <c r="H1745" s="8" t="s">
        <v>28</v>
      </c>
      <c r="I1745" s="4" t="s">
        <v>29</v>
      </c>
      <c r="J1745" s="4">
        <v>66</v>
      </c>
      <c r="K1745" s="4" t="s">
        <v>30</v>
      </c>
      <c r="L1745" s="8">
        <v>2</v>
      </c>
      <c r="M1745" s="9" t="s">
        <v>46</v>
      </c>
      <c r="N1745" s="9" t="str">
        <f t="shared" si="13"/>
        <v>Ortho</v>
      </c>
      <c r="O1745" s="10">
        <v>5245.8</v>
      </c>
      <c r="P1745" s="10">
        <v>3379.71</v>
      </c>
      <c r="Q1745" s="11">
        <v>2.8</v>
      </c>
      <c r="R1745" s="13" t="str">
        <f>IF(Patient_Data!$L1745&lt;2,"Low Risk",IF(Patient_Data!$L1745&lt;4,"Moderate Risk","High Risk"))</f>
        <v>Moderate Risk</v>
      </c>
      <c r="S1745" s="12" t="str">
        <f>IF(Patient_Data[[#This Row],[Age]]&lt;=18,"Pediatric",IF(Patient_Data[[#This Row],[Age]]&lt;=64,"Adult","Geriatric"))</f>
        <v>Geriatric</v>
      </c>
    </row>
    <row r="1746" spans="1:19" ht="15.75" customHeight="1" x14ac:dyDescent="0.3">
      <c r="A1746" s="4" t="s">
        <v>3501</v>
      </c>
      <c r="B1746" s="5" t="str">
        <f>TEXT(Patient_Data!$E1746,"mmmm")</f>
        <v>April</v>
      </c>
      <c r="C1746" s="6" t="str">
        <f t="shared" si="12"/>
        <v>Apr</v>
      </c>
      <c r="D1746" s="6">
        <f>MONTH(Patient_Data!$E1746)</f>
        <v>4</v>
      </c>
      <c r="E1746" s="7">
        <v>45394</v>
      </c>
      <c r="F1746" s="55" t="str">
        <f>TEXT(Patient_Data[[#This Row],[Admission_Date]],"YYYY")</f>
        <v>2024</v>
      </c>
      <c r="G1746" s="8" t="s">
        <v>3502</v>
      </c>
      <c r="H1746" s="8" t="s">
        <v>53</v>
      </c>
      <c r="I1746" s="4" t="s">
        <v>35</v>
      </c>
      <c r="J1746" s="4">
        <v>62</v>
      </c>
      <c r="K1746" s="4" t="s">
        <v>30</v>
      </c>
      <c r="L1746" s="8">
        <v>3</v>
      </c>
      <c r="M1746" s="9" t="s">
        <v>72</v>
      </c>
      <c r="N1746" s="9" t="str">
        <f t="shared" si="13"/>
        <v>Surgery</v>
      </c>
      <c r="O1746" s="10">
        <v>12221.1</v>
      </c>
      <c r="P1746" s="10">
        <v>8271.34</v>
      </c>
      <c r="Q1746" s="11">
        <v>10.4</v>
      </c>
      <c r="R1746" s="13" t="str">
        <f>IF(Patient_Data!$L1746&lt;2,"Low Risk",IF(Patient_Data!$L1746&lt;4,"Moderate Risk","High Risk"))</f>
        <v>Moderate Risk</v>
      </c>
      <c r="S1746" s="12" t="str">
        <f>IF(Patient_Data[[#This Row],[Age]]&lt;=18,"Pediatric",IF(Patient_Data[[#This Row],[Age]]&lt;=64,"Adult","Geriatric"))</f>
        <v>Adult</v>
      </c>
    </row>
    <row r="1747" spans="1:19" ht="15.75" customHeight="1" x14ac:dyDescent="0.3">
      <c r="A1747" s="4" t="s">
        <v>3503</v>
      </c>
      <c r="B1747" s="5" t="str">
        <f>TEXT(Patient_Data!$E1747,"mmmm")</f>
        <v>October</v>
      </c>
      <c r="C1747" s="6" t="str">
        <f t="shared" si="12"/>
        <v>Oct</v>
      </c>
      <c r="D1747" s="6">
        <f>MONTH(Patient_Data!$E1747)</f>
        <v>10</v>
      </c>
      <c r="E1747" s="7">
        <v>45932</v>
      </c>
      <c r="F1747" s="55" t="str">
        <f>TEXT(Patient_Data[[#This Row],[Admission_Date]],"YYYY")</f>
        <v>2025</v>
      </c>
      <c r="G1747" s="8" t="s">
        <v>3504</v>
      </c>
      <c r="H1747" s="8" t="s">
        <v>132</v>
      </c>
      <c r="I1747" s="4" t="s">
        <v>35</v>
      </c>
      <c r="J1747" s="4">
        <v>75</v>
      </c>
      <c r="K1747" s="4" t="s">
        <v>54</v>
      </c>
      <c r="L1747" s="8">
        <v>4</v>
      </c>
      <c r="M1747" s="9" t="s">
        <v>31</v>
      </c>
      <c r="N1747" s="9" t="str">
        <f t="shared" si="13"/>
        <v>Neuro</v>
      </c>
      <c r="O1747" s="10">
        <v>10654.64</v>
      </c>
      <c r="P1747" s="10">
        <v>7458.25</v>
      </c>
      <c r="Q1747" s="11"/>
      <c r="R1747" s="13" t="str">
        <f>IF(Patient_Data!$L1747&lt;2,"Low Risk",IF(Patient_Data!$L1747&lt;4,"Moderate Risk","High Risk"))</f>
        <v>High Risk</v>
      </c>
      <c r="S1747" s="12" t="str">
        <f>IF(Patient_Data[[#This Row],[Age]]&lt;=18,"Pediatric",IF(Patient_Data[[#This Row],[Age]]&lt;=64,"Adult","Geriatric"))</f>
        <v>Geriatric</v>
      </c>
    </row>
    <row r="1748" spans="1:19" ht="15.75" customHeight="1" x14ac:dyDescent="0.3">
      <c r="A1748" s="4" t="s">
        <v>3505</v>
      </c>
      <c r="B1748" s="5" t="str">
        <f>TEXT(Patient_Data!$E1748,"mmmm")</f>
        <v>July</v>
      </c>
      <c r="C1748" s="6" t="str">
        <f t="shared" si="12"/>
        <v>Jul</v>
      </c>
      <c r="D1748" s="6">
        <f>MONTH(Patient_Data!$E1748)</f>
        <v>7</v>
      </c>
      <c r="E1748" s="7">
        <v>45856</v>
      </c>
      <c r="F1748" s="55" t="str">
        <f>TEXT(Patient_Data[[#This Row],[Admission_Date]],"YYYY")</f>
        <v>2025</v>
      </c>
      <c r="G1748" s="8" t="s">
        <v>1916</v>
      </c>
      <c r="H1748" s="8" t="s">
        <v>53</v>
      </c>
      <c r="I1748" s="4" t="s">
        <v>35</v>
      </c>
      <c r="J1748" s="4">
        <v>33</v>
      </c>
      <c r="K1748" s="4" t="s">
        <v>30</v>
      </c>
      <c r="L1748" s="8">
        <v>1</v>
      </c>
      <c r="M1748" s="9" t="s">
        <v>31</v>
      </c>
      <c r="N1748" s="9" t="str">
        <f t="shared" si="13"/>
        <v>Neuro</v>
      </c>
      <c r="O1748" s="10">
        <v>7528.08</v>
      </c>
      <c r="P1748" s="10">
        <v>5534.7</v>
      </c>
      <c r="Q1748" s="11">
        <v>4.9000000000000004</v>
      </c>
      <c r="R1748" s="13" t="str">
        <f>IF(Patient_Data!$L1748&lt;2,"Low Risk",IF(Patient_Data!$L1748&lt;4,"Moderate Risk","High Risk"))</f>
        <v>Low Risk</v>
      </c>
      <c r="S1748" s="12" t="str">
        <f>IF(Patient_Data[[#This Row],[Age]]&lt;=18,"Pediatric",IF(Patient_Data[[#This Row],[Age]]&lt;=64,"Adult","Geriatric"))</f>
        <v>Adult</v>
      </c>
    </row>
    <row r="1749" spans="1:19" ht="15.75" customHeight="1" x14ac:dyDescent="0.3">
      <c r="A1749" s="4" t="s">
        <v>3506</v>
      </c>
      <c r="B1749" s="5" t="str">
        <f>TEXT(Patient_Data!$E1749,"mmmm")</f>
        <v>May</v>
      </c>
      <c r="C1749" s="6" t="str">
        <f t="shared" si="12"/>
        <v>May</v>
      </c>
      <c r="D1749" s="6">
        <f>MONTH(Patient_Data!$E1749)</f>
        <v>5</v>
      </c>
      <c r="E1749" s="7">
        <v>45785</v>
      </c>
      <c r="F1749" s="55" t="str">
        <f>TEXT(Patient_Data[[#This Row],[Admission_Date]],"YYYY")</f>
        <v>2025</v>
      </c>
      <c r="G1749" s="8" t="s">
        <v>3507</v>
      </c>
      <c r="H1749" s="8" t="s">
        <v>28</v>
      </c>
      <c r="I1749" s="4" t="s">
        <v>29</v>
      </c>
      <c r="J1749" s="4">
        <v>87</v>
      </c>
      <c r="K1749" s="4" t="s">
        <v>30</v>
      </c>
      <c r="L1749" s="8">
        <v>2</v>
      </c>
      <c r="M1749" s="9" t="s">
        <v>46</v>
      </c>
      <c r="N1749" s="9" t="str">
        <f t="shared" si="13"/>
        <v>Ortho</v>
      </c>
      <c r="O1749" s="10">
        <v>8823.14</v>
      </c>
      <c r="P1749" s="10">
        <v>6763.99</v>
      </c>
      <c r="Q1749" s="11">
        <v>7.3</v>
      </c>
      <c r="R1749" s="13" t="str">
        <f>IF(Patient_Data!$L1749&lt;2,"Low Risk",IF(Patient_Data!$L1749&lt;4,"Moderate Risk","High Risk"))</f>
        <v>Moderate Risk</v>
      </c>
      <c r="S1749" s="12" t="str">
        <f>IF(Patient_Data[[#This Row],[Age]]&lt;=18,"Pediatric",IF(Patient_Data[[#This Row],[Age]]&lt;=64,"Adult","Geriatric"))</f>
        <v>Geriatric</v>
      </c>
    </row>
    <row r="1750" spans="1:19" ht="15.75" customHeight="1" x14ac:dyDescent="0.3">
      <c r="A1750" s="4" t="s">
        <v>3508</v>
      </c>
      <c r="B1750" s="5" t="str">
        <f>TEXT(Patient_Data!$E1750,"mmmm")</f>
        <v>June</v>
      </c>
      <c r="C1750" s="6" t="str">
        <f t="shared" si="12"/>
        <v>Jun</v>
      </c>
      <c r="D1750" s="6">
        <f>MONTH(Patient_Data!$E1750)</f>
        <v>6</v>
      </c>
      <c r="E1750" s="7">
        <v>45827</v>
      </c>
      <c r="F1750" s="55" t="str">
        <f>TEXT(Patient_Data[[#This Row],[Admission_Date]],"YYYY")</f>
        <v>2025</v>
      </c>
      <c r="G1750" s="8" t="s">
        <v>3509</v>
      </c>
      <c r="H1750" s="8" t="s">
        <v>53</v>
      </c>
      <c r="I1750" s="4" t="s">
        <v>35</v>
      </c>
      <c r="J1750" s="4">
        <v>75</v>
      </c>
      <c r="K1750" s="4" t="s">
        <v>45</v>
      </c>
      <c r="L1750" s="8">
        <v>4</v>
      </c>
      <c r="M1750" s="9" t="s">
        <v>50</v>
      </c>
      <c r="N1750" s="9" t="str">
        <f t="shared" si="13"/>
        <v>ICU</v>
      </c>
      <c r="O1750" s="10">
        <v>13379.63</v>
      </c>
      <c r="P1750" s="10">
        <v>7845.79</v>
      </c>
      <c r="Q1750" s="11">
        <v>10.7</v>
      </c>
      <c r="R1750" s="13" t="str">
        <f>IF(Patient_Data!$L1750&lt;2,"Low Risk",IF(Patient_Data!$L1750&lt;4,"Moderate Risk","High Risk"))</f>
        <v>High Risk</v>
      </c>
      <c r="S1750" s="12" t="str">
        <f>IF(Patient_Data[[#This Row],[Age]]&lt;=18,"Pediatric",IF(Patient_Data[[#This Row],[Age]]&lt;=64,"Adult","Geriatric"))</f>
        <v>Geriatric</v>
      </c>
    </row>
    <row r="1751" spans="1:19" ht="15.75" customHeight="1" x14ac:dyDescent="0.3">
      <c r="A1751" s="4" t="s">
        <v>3510</v>
      </c>
      <c r="B1751" s="5" t="str">
        <f>TEXT(Patient_Data!$E1751,"mmmm")</f>
        <v>June</v>
      </c>
      <c r="C1751" s="6" t="str">
        <f t="shared" si="12"/>
        <v>Jun</v>
      </c>
      <c r="D1751" s="6">
        <f>MONTH(Patient_Data!$E1751)</f>
        <v>6</v>
      </c>
      <c r="E1751" s="7">
        <v>45446</v>
      </c>
      <c r="F1751" s="55" t="str">
        <f>TEXT(Patient_Data[[#This Row],[Admission_Date]],"YYYY")</f>
        <v>2024</v>
      </c>
      <c r="G1751" s="8" t="s">
        <v>3511</v>
      </c>
      <c r="H1751" s="8" t="s">
        <v>28</v>
      </c>
      <c r="I1751" s="4" t="s">
        <v>29</v>
      </c>
      <c r="J1751" s="4">
        <v>57</v>
      </c>
      <c r="K1751" s="4" t="s">
        <v>30</v>
      </c>
      <c r="L1751" s="8">
        <v>1</v>
      </c>
      <c r="M1751" s="9" t="s">
        <v>83</v>
      </c>
      <c r="N1751" s="9" t="str">
        <f t="shared" si="13"/>
        <v>ER</v>
      </c>
      <c r="O1751" s="10">
        <v>8281.69</v>
      </c>
      <c r="P1751" s="10">
        <v>5158.2299999999996</v>
      </c>
      <c r="Q1751" s="11">
        <v>13.3</v>
      </c>
      <c r="R1751" s="13" t="str">
        <f>IF(Patient_Data!$L1751&lt;2,"Low Risk",IF(Patient_Data!$L1751&lt;4,"Moderate Risk","High Risk"))</f>
        <v>Low Risk</v>
      </c>
      <c r="S1751" s="12" t="str">
        <f>IF(Patient_Data[[#This Row],[Age]]&lt;=18,"Pediatric",IF(Patient_Data[[#This Row],[Age]]&lt;=64,"Adult","Geriatric"))</f>
        <v>Adult</v>
      </c>
    </row>
    <row r="1752" spans="1:19" ht="15.75" customHeight="1" x14ac:dyDescent="0.3">
      <c r="A1752" s="4" t="s">
        <v>3512</v>
      </c>
      <c r="B1752" s="5" t="str">
        <f>TEXT(Patient_Data!$E1752,"mmmm")</f>
        <v>July</v>
      </c>
      <c r="C1752" s="6" t="str">
        <f t="shared" si="12"/>
        <v>Jul</v>
      </c>
      <c r="D1752" s="6">
        <f>MONTH(Patient_Data!$E1752)</f>
        <v>7</v>
      </c>
      <c r="E1752" s="7">
        <v>45489</v>
      </c>
      <c r="F1752" s="55" t="str">
        <f>TEXT(Patient_Data[[#This Row],[Admission_Date]],"YYYY")</f>
        <v>2024</v>
      </c>
      <c r="G1752" s="8" t="s">
        <v>3513</v>
      </c>
      <c r="H1752" s="8" t="s">
        <v>28</v>
      </c>
      <c r="I1752" s="4" t="s">
        <v>35</v>
      </c>
      <c r="J1752" s="4">
        <v>85</v>
      </c>
      <c r="K1752" s="4" t="s">
        <v>30</v>
      </c>
      <c r="L1752" s="8">
        <v>1</v>
      </c>
      <c r="M1752" s="9" t="s">
        <v>36</v>
      </c>
      <c r="N1752" s="9" t="str">
        <f t="shared" si="13"/>
        <v>Cardio</v>
      </c>
      <c r="O1752" s="10">
        <v>8980.02</v>
      </c>
      <c r="P1752" s="10">
        <v>5841.61</v>
      </c>
      <c r="Q1752" s="11">
        <v>11.8</v>
      </c>
      <c r="R1752" s="13" t="str">
        <f>IF(Patient_Data!$L1752&lt;2,"Low Risk",IF(Patient_Data!$L1752&lt;4,"Moderate Risk","High Risk"))</f>
        <v>Low Risk</v>
      </c>
      <c r="S1752" s="12" t="str">
        <f>IF(Patient_Data[[#This Row],[Age]]&lt;=18,"Pediatric",IF(Patient_Data[[#This Row],[Age]]&lt;=64,"Adult","Geriatric"))</f>
        <v>Geriatric</v>
      </c>
    </row>
    <row r="1753" spans="1:19" ht="15.75" customHeight="1" x14ac:dyDescent="0.3">
      <c r="A1753" s="4" t="s">
        <v>3514</v>
      </c>
      <c r="B1753" s="5" t="str">
        <f>TEXT(Patient_Data!$E1753,"mmmm")</f>
        <v>May</v>
      </c>
      <c r="C1753" s="6" t="str">
        <f t="shared" si="12"/>
        <v>May</v>
      </c>
      <c r="D1753" s="6">
        <f>MONTH(Patient_Data!$E1753)</f>
        <v>5</v>
      </c>
      <c r="E1753" s="7">
        <v>46164</v>
      </c>
      <c r="F1753" s="55" t="str">
        <f>TEXT(Patient_Data[[#This Row],[Admission_Date]],"YYYY")</f>
        <v>2026</v>
      </c>
      <c r="G1753" s="8" t="s">
        <v>3515</v>
      </c>
      <c r="H1753" s="8" t="s">
        <v>75</v>
      </c>
      <c r="I1753" s="4" t="s">
        <v>35</v>
      </c>
      <c r="J1753" s="4">
        <v>48</v>
      </c>
      <c r="K1753" s="4" t="s">
        <v>30</v>
      </c>
      <c r="L1753" s="8">
        <v>1</v>
      </c>
      <c r="M1753" s="9" t="s">
        <v>31</v>
      </c>
      <c r="N1753" s="9" t="str">
        <f t="shared" si="13"/>
        <v>Neuro</v>
      </c>
      <c r="O1753" s="10">
        <v>5175.09</v>
      </c>
      <c r="P1753" s="10">
        <v>3540.91</v>
      </c>
      <c r="Q1753" s="11">
        <v>9.1999999999999993</v>
      </c>
      <c r="R1753" s="13" t="str">
        <f>IF(Patient_Data!$L1753&lt;2,"Low Risk",IF(Patient_Data!$L1753&lt;4,"Moderate Risk","High Risk"))</f>
        <v>Low Risk</v>
      </c>
      <c r="S1753" s="12" t="str">
        <f>IF(Patient_Data[[#This Row],[Age]]&lt;=18,"Pediatric",IF(Patient_Data[[#This Row],[Age]]&lt;=64,"Adult","Geriatric"))</f>
        <v>Adult</v>
      </c>
    </row>
    <row r="1754" spans="1:19" ht="15.75" customHeight="1" x14ac:dyDescent="0.3">
      <c r="A1754" s="4" t="s">
        <v>3516</v>
      </c>
      <c r="B1754" s="5" t="str">
        <f>TEXT(Patient_Data!$E1754,"mmmm")</f>
        <v>August</v>
      </c>
      <c r="C1754" s="6" t="str">
        <f t="shared" si="12"/>
        <v>Aug</v>
      </c>
      <c r="D1754" s="6">
        <f>MONTH(Patient_Data!$E1754)</f>
        <v>8</v>
      </c>
      <c r="E1754" s="7">
        <v>45897</v>
      </c>
      <c r="F1754" s="55" t="str">
        <f>TEXT(Patient_Data[[#This Row],[Admission_Date]],"YYYY")</f>
        <v>2025</v>
      </c>
      <c r="G1754" s="8" t="s">
        <v>3517</v>
      </c>
      <c r="H1754" s="8" t="s">
        <v>28</v>
      </c>
      <c r="I1754" s="4" t="s">
        <v>29</v>
      </c>
      <c r="J1754" s="4">
        <v>55</v>
      </c>
      <c r="K1754" s="4" t="s">
        <v>30</v>
      </c>
      <c r="L1754" s="8">
        <v>3</v>
      </c>
      <c r="M1754" s="9" t="s">
        <v>50</v>
      </c>
      <c r="N1754" s="9" t="str">
        <f t="shared" si="13"/>
        <v>ICU</v>
      </c>
      <c r="O1754" s="10">
        <v>12763.42</v>
      </c>
      <c r="P1754" s="10">
        <v>9031.99</v>
      </c>
      <c r="Q1754" s="11">
        <v>12.2</v>
      </c>
      <c r="R1754" s="13" t="str">
        <f>IF(Patient_Data!$L1754&lt;2,"Low Risk",IF(Patient_Data!$L1754&lt;4,"Moderate Risk","High Risk"))</f>
        <v>Moderate Risk</v>
      </c>
      <c r="S1754" s="12" t="str">
        <f>IF(Patient_Data[[#This Row],[Age]]&lt;=18,"Pediatric",IF(Patient_Data[[#This Row],[Age]]&lt;=64,"Adult","Geriatric"))</f>
        <v>Adult</v>
      </c>
    </row>
    <row r="1755" spans="1:19" ht="15.75" customHeight="1" x14ac:dyDescent="0.3">
      <c r="A1755" s="4" t="s">
        <v>3518</v>
      </c>
      <c r="B1755" s="5" t="str">
        <f>TEXT(Patient_Data!$E1755,"mmmm")</f>
        <v>November</v>
      </c>
      <c r="C1755" s="6" t="str">
        <f t="shared" si="12"/>
        <v>Nov</v>
      </c>
      <c r="D1755" s="6">
        <f>MONTH(Patient_Data!$E1755)</f>
        <v>11</v>
      </c>
      <c r="E1755" s="7">
        <v>45624</v>
      </c>
      <c r="F1755" s="55" t="str">
        <f>TEXT(Patient_Data[[#This Row],[Admission_Date]],"YYYY")</f>
        <v>2024</v>
      </c>
      <c r="G1755" s="8" t="s">
        <v>3519</v>
      </c>
      <c r="H1755" s="8" t="s">
        <v>28</v>
      </c>
      <c r="I1755" s="4" t="s">
        <v>29</v>
      </c>
      <c r="J1755" s="4">
        <v>48</v>
      </c>
      <c r="K1755" s="4" t="s">
        <v>30</v>
      </c>
      <c r="L1755" s="8">
        <v>1</v>
      </c>
      <c r="M1755" s="9" t="s">
        <v>36</v>
      </c>
      <c r="N1755" s="9" t="str">
        <f t="shared" si="13"/>
        <v>Cardio</v>
      </c>
      <c r="O1755" s="10">
        <v>8472.3700000000008</v>
      </c>
      <c r="P1755" s="10">
        <v>6219.23</v>
      </c>
      <c r="Q1755" s="11">
        <v>4.3</v>
      </c>
      <c r="R1755" s="13" t="str">
        <f>IF(Patient_Data!$L1755&lt;2,"Low Risk",IF(Patient_Data!$L1755&lt;4,"Moderate Risk","High Risk"))</f>
        <v>Low Risk</v>
      </c>
      <c r="S1755" s="12" t="str">
        <f>IF(Patient_Data[[#This Row],[Age]]&lt;=18,"Pediatric",IF(Patient_Data[[#This Row],[Age]]&lt;=64,"Adult","Geriatric"))</f>
        <v>Adult</v>
      </c>
    </row>
    <row r="1756" spans="1:19" ht="15.75" customHeight="1" x14ac:dyDescent="0.3">
      <c r="A1756" s="4" t="s">
        <v>3520</v>
      </c>
      <c r="B1756" s="5" t="str">
        <f>TEXT(Patient_Data!$E1756,"mmmm")</f>
        <v>August</v>
      </c>
      <c r="C1756" s="6" t="str">
        <f t="shared" si="12"/>
        <v>Aug</v>
      </c>
      <c r="D1756" s="6">
        <f>MONTH(Patient_Data!$E1756)</f>
        <v>8</v>
      </c>
      <c r="E1756" s="7">
        <v>45526</v>
      </c>
      <c r="F1756" s="55" t="str">
        <f>TEXT(Patient_Data[[#This Row],[Admission_Date]],"YYYY")</f>
        <v>2024</v>
      </c>
      <c r="G1756" s="8" t="s">
        <v>3521</v>
      </c>
      <c r="H1756" s="8" t="s">
        <v>53</v>
      </c>
      <c r="I1756" s="4" t="s">
        <v>35</v>
      </c>
      <c r="J1756" s="4">
        <v>68</v>
      </c>
      <c r="K1756" s="4" t="s">
        <v>54</v>
      </c>
      <c r="L1756" s="8">
        <v>2</v>
      </c>
      <c r="M1756" s="9" t="s">
        <v>39</v>
      </c>
      <c r="N1756" s="9" t="str">
        <f t="shared" si="13"/>
        <v>GM</v>
      </c>
      <c r="O1756" s="10">
        <v>4907.7</v>
      </c>
      <c r="P1756" s="10">
        <v>3804.25</v>
      </c>
      <c r="Q1756" s="11">
        <v>9.3000000000000007</v>
      </c>
      <c r="R1756" s="13" t="str">
        <f>IF(Patient_Data!$L1756&lt;2,"Low Risk",IF(Patient_Data!$L1756&lt;4,"Moderate Risk","High Risk"))</f>
        <v>Moderate Risk</v>
      </c>
      <c r="S1756" s="12" t="str">
        <f>IF(Patient_Data[[#This Row],[Age]]&lt;=18,"Pediatric",IF(Patient_Data[[#This Row],[Age]]&lt;=64,"Adult","Geriatric"))</f>
        <v>Geriatric</v>
      </c>
    </row>
    <row r="1757" spans="1:19" ht="15.75" customHeight="1" x14ac:dyDescent="0.3">
      <c r="A1757" s="4" t="s">
        <v>3522</v>
      </c>
      <c r="B1757" s="5" t="str">
        <f>TEXT(Patient_Data!$E1757,"mmmm")</f>
        <v>April</v>
      </c>
      <c r="C1757" s="6" t="str">
        <f t="shared" si="12"/>
        <v>Apr</v>
      </c>
      <c r="D1757" s="6">
        <f>MONTH(Patient_Data!$E1757)</f>
        <v>4</v>
      </c>
      <c r="E1757" s="7">
        <v>45770</v>
      </c>
      <c r="F1757" s="55" t="str">
        <f>TEXT(Patient_Data[[#This Row],[Admission_Date]],"YYYY")</f>
        <v>2025</v>
      </c>
      <c r="G1757" s="8" t="s">
        <v>3523</v>
      </c>
      <c r="H1757" s="8" t="s">
        <v>82</v>
      </c>
      <c r="I1757" s="4" t="s">
        <v>35</v>
      </c>
      <c r="J1757" s="4">
        <v>34</v>
      </c>
      <c r="K1757" s="4" t="s">
        <v>45</v>
      </c>
      <c r="L1757" s="8">
        <v>4</v>
      </c>
      <c r="M1757" s="9" t="s">
        <v>72</v>
      </c>
      <c r="N1757" s="9" t="str">
        <f t="shared" si="13"/>
        <v>Surgery</v>
      </c>
      <c r="O1757" s="10">
        <v>19006.34</v>
      </c>
      <c r="P1757" s="10">
        <v>11115.68</v>
      </c>
      <c r="Q1757" s="11">
        <v>11.5</v>
      </c>
      <c r="R1757" s="13" t="str">
        <f>IF(Patient_Data!$L1757&lt;2,"Low Risk",IF(Patient_Data!$L1757&lt;4,"Moderate Risk","High Risk"))</f>
        <v>High Risk</v>
      </c>
      <c r="S1757" s="12" t="str">
        <f>IF(Patient_Data[[#This Row],[Age]]&lt;=18,"Pediatric",IF(Patient_Data[[#This Row],[Age]]&lt;=64,"Adult","Geriatric"))</f>
        <v>Adult</v>
      </c>
    </row>
    <row r="1758" spans="1:19" ht="15.75" customHeight="1" x14ac:dyDescent="0.3">
      <c r="A1758" s="4" t="s">
        <v>3524</v>
      </c>
      <c r="B1758" s="5" t="str">
        <f>TEXT(Patient_Data!$E1758,"mmmm")</f>
        <v>May</v>
      </c>
      <c r="C1758" s="6" t="str">
        <f t="shared" si="12"/>
        <v>May</v>
      </c>
      <c r="D1758" s="6">
        <f>MONTH(Patient_Data!$E1758)</f>
        <v>5</v>
      </c>
      <c r="E1758" s="7">
        <v>45427</v>
      </c>
      <c r="F1758" s="55" t="str">
        <f>TEXT(Patient_Data[[#This Row],[Admission_Date]],"YYYY")</f>
        <v>2024</v>
      </c>
      <c r="G1758" s="8" t="s">
        <v>2140</v>
      </c>
      <c r="H1758" s="8" t="s">
        <v>28</v>
      </c>
      <c r="I1758" s="4" t="s">
        <v>35</v>
      </c>
      <c r="J1758" s="4">
        <v>2</v>
      </c>
      <c r="K1758" s="4" t="s">
        <v>54</v>
      </c>
      <c r="L1758" s="8">
        <v>3</v>
      </c>
      <c r="M1758" s="9" t="s">
        <v>79</v>
      </c>
      <c r="N1758" s="9" t="str">
        <f t="shared" si="13"/>
        <v>PD</v>
      </c>
      <c r="O1758" s="10">
        <v>2101.9</v>
      </c>
      <c r="P1758" s="10">
        <v>1293.3599999999999</v>
      </c>
      <c r="Q1758" s="11">
        <v>1.4</v>
      </c>
      <c r="R1758" s="13" t="str">
        <f>IF(Patient_Data!$L1758&lt;2,"Low Risk",IF(Patient_Data!$L1758&lt;4,"Moderate Risk","High Risk"))</f>
        <v>Moderate Risk</v>
      </c>
      <c r="S1758" s="12" t="str">
        <f>IF(Patient_Data[[#This Row],[Age]]&lt;=18,"Pediatric",IF(Patient_Data[[#This Row],[Age]]&lt;=64,"Adult","Geriatric"))</f>
        <v>Pediatric</v>
      </c>
    </row>
    <row r="1759" spans="1:19" ht="15.75" customHeight="1" x14ac:dyDescent="0.3">
      <c r="A1759" s="4" t="s">
        <v>3525</v>
      </c>
      <c r="B1759" s="5" t="str">
        <f>TEXT(Patient_Data!$E1759,"mmmm")</f>
        <v>August</v>
      </c>
      <c r="C1759" s="6" t="str">
        <f t="shared" si="12"/>
        <v>Aug</v>
      </c>
      <c r="D1759" s="6">
        <f>MONTH(Patient_Data!$E1759)</f>
        <v>8</v>
      </c>
      <c r="E1759" s="7">
        <v>45530</v>
      </c>
      <c r="F1759" s="55" t="str">
        <f>TEXT(Patient_Data[[#This Row],[Admission_Date]],"YYYY")</f>
        <v>2024</v>
      </c>
      <c r="G1759" s="8" t="s">
        <v>3526</v>
      </c>
      <c r="H1759" s="8" t="s">
        <v>34</v>
      </c>
      <c r="I1759" s="4" t="s">
        <v>29</v>
      </c>
      <c r="J1759" s="4">
        <v>51</v>
      </c>
      <c r="K1759" s="4" t="s">
        <v>30</v>
      </c>
      <c r="L1759" s="8">
        <v>2</v>
      </c>
      <c r="M1759" s="9" t="s">
        <v>36</v>
      </c>
      <c r="N1759" s="9" t="str">
        <f t="shared" si="13"/>
        <v>Cardio</v>
      </c>
      <c r="O1759" s="10">
        <v>12812.3</v>
      </c>
      <c r="P1759" s="10">
        <v>8222.27</v>
      </c>
      <c r="Q1759" s="11">
        <v>2.8</v>
      </c>
      <c r="R1759" s="13" t="str">
        <f>IF(Patient_Data!$L1759&lt;2,"Low Risk",IF(Patient_Data!$L1759&lt;4,"Moderate Risk","High Risk"))</f>
        <v>Moderate Risk</v>
      </c>
      <c r="S1759" s="12" t="str">
        <f>IF(Patient_Data[[#This Row],[Age]]&lt;=18,"Pediatric",IF(Patient_Data[[#This Row],[Age]]&lt;=64,"Adult","Geriatric"))</f>
        <v>Adult</v>
      </c>
    </row>
    <row r="1760" spans="1:19" ht="15.75" customHeight="1" x14ac:dyDescent="0.3">
      <c r="A1760" s="4" t="s">
        <v>3527</v>
      </c>
      <c r="B1760" s="5" t="str">
        <f>TEXT(Patient_Data!$E1760,"mmmm")</f>
        <v>September</v>
      </c>
      <c r="C1760" s="6" t="str">
        <f t="shared" si="12"/>
        <v>Sep</v>
      </c>
      <c r="D1760" s="6">
        <f>MONTH(Patient_Data!$E1760)</f>
        <v>9</v>
      </c>
      <c r="E1760" s="7">
        <v>45170</v>
      </c>
      <c r="F1760" s="55" t="str">
        <f>TEXT(Patient_Data[[#This Row],[Admission_Date]],"YYYY")</f>
        <v>2023</v>
      </c>
      <c r="G1760" s="8" t="s">
        <v>3528</v>
      </c>
      <c r="H1760" s="8" t="s">
        <v>28</v>
      </c>
      <c r="I1760" s="4" t="s">
        <v>29</v>
      </c>
      <c r="J1760" s="4">
        <v>6</v>
      </c>
      <c r="K1760" s="4" t="s">
        <v>30</v>
      </c>
      <c r="L1760" s="8">
        <v>2</v>
      </c>
      <c r="M1760" s="9" t="s">
        <v>79</v>
      </c>
      <c r="N1760" s="9" t="str">
        <f t="shared" si="13"/>
        <v>PD</v>
      </c>
      <c r="O1760" s="10">
        <v>2575.64</v>
      </c>
      <c r="P1760" s="10">
        <v>1762.48</v>
      </c>
      <c r="Q1760" s="11">
        <v>4.5999999999999996</v>
      </c>
      <c r="R1760" s="13" t="str">
        <f>IF(Patient_Data!$L1760&lt;2,"Low Risk",IF(Patient_Data!$L1760&lt;4,"Moderate Risk","High Risk"))</f>
        <v>Moderate Risk</v>
      </c>
      <c r="S1760" s="12" t="str">
        <f>IF(Patient_Data[[#This Row],[Age]]&lt;=18,"Pediatric",IF(Patient_Data[[#This Row],[Age]]&lt;=64,"Adult","Geriatric"))</f>
        <v>Pediatric</v>
      </c>
    </row>
    <row r="1761" spans="1:19" ht="15.75" customHeight="1" x14ac:dyDescent="0.3">
      <c r="A1761" s="4" t="s">
        <v>3529</v>
      </c>
      <c r="B1761" s="5" t="str">
        <f>TEXT(Patient_Data!$E1761,"mmmm")</f>
        <v>November</v>
      </c>
      <c r="C1761" s="6" t="str">
        <f t="shared" si="12"/>
        <v>Nov</v>
      </c>
      <c r="D1761" s="6">
        <f>MONTH(Patient_Data!$E1761)</f>
        <v>11</v>
      </c>
      <c r="E1761" s="7">
        <v>45968</v>
      </c>
      <c r="F1761" s="55" t="str">
        <f>TEXT(Patient_Data[[#This Row],[Admission_Date]],"YYYY")</f>
        <v>2025</v>
      </c>
      <c r="G1761" s="8" t="s">
        <v>3530</v>
      </c>
      <c r="H1761" s="8" t="s">
        <v>49</v>
      </c>
      <c r="I1761" s="4" t="s">
        <v>35</v>
      </c>
      <c r="J1761" s="4">
        <v>75</v>
      </c>
      <c r="K1761" s="4" t="s">
        <v>30</v>
      </c>
      <c r="L1761" s="8">
        <v>3</v>
      </c>
      <c r="M1761" s="9" t="s">
        <v>83</v>
      </c>
      <c r="N1761" s="9" t="str">
        <f t="shared" si="13"/>
        <v>ER</v>
      </c>
      <c r="O1761" s="10">
        <v>9994.16</v>
      </c>
      <c r="P1761" s="10">
        <v>7149.51</v>
      </c>
      <c r="Q1761" s="11">
        <v>19.2</v>
      </c>
      <c r="R1761" s="13" t="str">
        <f>IF(Patient_Data!$L1761&lt;2,"Low Risk",IF(Patient_Data!$L1761&lt;4,"Moderate Risk","High Risk"))</f>
        <v>Moderate Risk</v>
      </c>
      <c r="S1761" s="12" t="str">
        <f>IF(Patient_Data[[#This Row],[Age]]&lt;=18,"Pediatric",IF(Patient_Data[[#This Row],[Age]]&lt;=64,"Adult","Geriatric"))</f>
        <v>Geriatric</v>
      </c>
    </row>
    <row r="1762" spans="1:19" ht="15.75" customHeight="1" x14ac:dyDescent="0.3">
      <c r="A1762" s="4" t="s">
        <v>3531</v>
      </c>
      <c r="B1762" s="5" t="str">
        <f>TEXT(Patient_Data!$E1762,"mmmm")</f>
        <v>November</v>
      </c>
      <c r="C1762" s="6" t="str">
        <f t="shared" si="12"/>
        <v>Nov</v>
      </c>
      <c r="D1762" s="6">
        <f>MONTH(Patient_Data!$E1762)</f>
        <v>11</v>
      </c>
      <c r="E1762" s="7">
        <v>45233</v>
      </c>
      <c r="F1762" s="55" t="str">
        <f>TEXT(Patient_Data[[#This Row],[Admission_Date]],"YYYY")</f>
        <v>2023</v>
      </c>
      <c r="G1762" s="8" t="s">
        <v>3532</v>
      </c>
      <c r="H1762" s="8" t="s">
        <v>49</v>
      </c>
      <c r="I1762" s="4" t="s">
        <v>35</v>
      </c>
      <c r="J1762" s="4">
        <v>35</v>
      </c>
      <c r="K1762" s="4" t="s">
        <v>54</v>
      </c>
      <c r="L1762" s="8">
        <v>1</v>
      </c>
      <c r="M1762" s="9" t="s">
        <v>31</v>
      </c>
      <c r="N1762" s="9" t="str">
        <f t="shared" si="13"/>
        <v>Neuro</v>
      </c>
      <c r="O1762" s="10">
        <v>8997.19</v>
      </c>
      <c r="P1762" s="10">
        <v>6647.95</v>
      </c>
      <c r="Q1762" s="11">
        <v>10</v>
      </c>
      <c r="R1762" s="13" t="str">
        <f>IF(Patient_Data!$L1762&lt;2,"Low Risk",IF(Patient_Data!$L1762&lt;4,"Moderate Risk","High Risk"))</f>
        <v>Low Risk</v>
      </c>
      <c r="S1762" s="12" t="str">
        <f>IF(Patient_Data[[#This Row],[Age]]&lt;=18,"Pediatric",IF(Patient_Data[[#This Row],[Age]]&lt;=64,"Adult","Geriatric"))</f>
        <v>Adult</v>
      </c>
    </row>
    <row r="1763" spans="1:19" ht="15.75" customHeight="1" x14ac:dyDescent="0.3">
      <c r="A1763" s="4" t="s">
        <v>3533</v>
      </c>
      <c r="B1763" s="5" t="str">
        <f>TEXT(Patient_Data!$E1763,"mmmm")</f>
        <v>September</v>
      </c>
      <c r="C1763" s="6" t="str">
        <f t="shared" si="12"/>
        <v>Sep</v>
      </c>
      <c r="D1763" s="6">
        <f>MONTH(Patient_Data!$E1763)</f>
        <v>9</v>
      </c>
      <c r="E1763" s="7">
        <v>45539</v>
      </c>
      <c r="F1763" s="55" t="str">
        <f>TEXT(Patient_Data[[#This Row],[Admission_Date]],"YYYY")</f>
        <v>2024</v>
      </c>
      <c r="G1763" s="8" t="s">
        <v>3534</v>
      </c>
      <c r="H1763" s="8" t="s">
        <v>53</v>
      </c>
      <c r="I1763" s="4" t="s">
        <v>35</v>
      </c>
      <c r="J1763" s="4">
        <v>95</v>
      </c>
      <c r="K1763" s="4" t="s">
        <v>54</v>
      </c>
      <c r="L1763" s="8">
        <v>3</v>
      </c>
      <c r="M1763" s="9" t="s">
        <v>46</v>
      </c>
      <c r="N1763" s="9" t="str">
        <f t="shared" si="13"/>
        <v>Ortho</v>
      </c>
      <c r="O1763" s="10">
        <v>5346.32</v>
      </c>
      <c r="P1763" s="10">
        <v>4083.2</v>
      </c>
      <c r="Q1763" s="11">
        <v>2.5</v>
      </c>
      <c r="R1763" s="13" t="str">
        <f>IF(Patient_Data!$L1763&lt;2,"Low Risk",IF(Patient_Data!$L1763&lt;4,"Moderate Risk","High Risk"))</f>
        <v>Moderate Risk</v>
      </c>
      <c r="S1763" s="12" t="str">
        <f>IF(Patient_Data[[#This Row],[Age]]&lt;=18,"Pediatric",IF(Patient_Data[[#This Row],[Age]]&lt;=64,"Adult","Geriatric"))</f>
        <v>Geriatric</v>
      </c>
    </row>
    <row r="1764" spans="1:19" ht="15.75" customHeight="1" x14ac:dyDescent="0.3">
      <c r="A1764" s="4" t="s">
        <v>3535</v>
      </c>
      <c r="B1764" s="5" t="str">
        <f>TEXT(Patient_Data!$E1764,"mmmm")</f>
        <v>June</v>
      </c>
      <c r="C1764" s="6" t="str">
        <f t="shared" si="12"/>
        <v>Jun</v>
      </c>
      <c r="D1764" s="6">
        <f>MONTH(Patient_Data!$E1764)</f>
        <v>6</v>
      </c>
      <c r="E1764" s="7">
        <v>45818</v>
      </c>
      <c r="F1764" s="55" t="str">
        <f>TEXT(Patient_Data[[#This Row],[Admission_Date]],"YYYY")</f>
        <v>2025</v>
      </c>
      <c r="G1764" s="8" t="s">
        <v>3536</v>
      </c>
      <c r="H1764" s="8" t="s">
        <v>28</v>
      </c>
      <c r="I1764" s="4" t="s">
        <v>29</v>
      </c>
      <c r="J1764" s="4">
        <v>43</v>
      </c>
      <c r="K1764" s="4" t="s">
        <v>54</v>
      </c>
      <c r="L1764" s="8">
        <v>3</v>
      </c>
      <c r="M1764" s="9" t="s">
        <v>72</v>
      </c>
      <c r="N1764" s="9" t="str">
        <f t="shared" si="13"/>
        <v>Surgery</v>
      </c>
      <c r="O1764" s="10">
        <v>20239.62</v>
      </c>
      <c r="P1764" s="10">
        <v>11803.78</v>
      </c>
      <c r="Q1764" s="11">
        <v>8.1</v>
      </c>
      <c r="R1764" s="13" t="str">
        <f>IF(Patient_Data!$L1764&lt;2,"Low Risk",IF(Patient_Data!$L1764&lt;4,"Moderate Risk","High Risk"))</f>
        <v>Moderate Risk</v>
      </c>
      <c r="S1764" s="12" t="str">
        <f>IF(Patient_Data[[#This Row],[Age]]&lt;=18,"Pediatric",IF(Patient_Data[[#This Row],[Age]]&lt;=64,"Adult","Geriatric"))</f>
        <v>Adult</v>
      </c>
    </row>
    <row r="1765" spans="1:19" ht="15.75" customHeight="1" x14ac:dyDescent="0.3">
      <c r="A1765" s="4" t="s">
        <v>3537</v>
      </c>
      <c r="B1765" s="5" t="str">
        <f>TEXT(Patient_Data!$E1765,"mmmm")</f>
        <v>March</v>
      </c>
      <c r="C1765" s="6" t="str">
        <f t="shared" si="12"/>
        <v>Mar</v>
      </c>
      <c r="D1765" s="6">
        <f>MONTH(Patient_Data!$E1765)</f>
        <v>3</v>
      </c>
      <c r="E1765" s="7">
        <v>45380</v>
      </c>
      <c r="F1765" s="55" t="str">
        <f>TEXT(Patient_Data[[#This Row],[Admission_Date]],"YYYY")</f>
        <v>2024</v>
      </c>
      <c r="G1765" s="8" t="s">
        <v>3538</v>
      </c>
      <c r="H1765" s="8" t="s">
        <v>49</v>
      </c>
      <c r="I1765" s="4" t="s">
        <v>29</v>
      </c>
      <c r="J1765" s="4">
        <v>18</v>
      </c>
      <c r="K1765" s="4" t="s">
        <v>30</v>
      </c>
      <c r="L1765" s="8">
        <v>1</v>
      </c>
      <c r="M1765" s="9" t="s">
        <v>83</v>
      </c>
      <c r="N1765" s="9" t="str">
        <f t="shared" si="13"/>
        <v>ER</v>
      </c>
      <c r="O1765" s="10">
        <v>4182.57</v>
      </c>
      <c r="P1765" s="10">
        <v>2722.57</v>
      </c>
      <c r="Q1765" s="11">
        <v>21.4</v>
      </c>
      <c r="R1765" s="13" t="str">
        <f>IF(Patient_Data!$L1765&lt;2,"Low Risk",IF(Patient_Data!$L1765&lt;4,"Moderate Risk","High Risk"))</f>
        <v>Low Risk</v>
      </c>
      <c r="S1765" s="12" t="str">
        <f>IF(Patient_Data[[#This Row],[Age]]&lt;=18,"Pediatric",IF(Patient_Data[[#This Row],[Age]]&lt;=64,"Adult","Geriatric"))</f>
        <v>Pediatric</v>
      </c>
    </row>
    <row r="1766" spans="1:19" ht="15.75" customHeight="1" x14ac:dyDescent="0.3">
      <c r="A1766" s="4" t="s">
        <v>3539</v>
      </c>
      <c r="B1766" s="5" t="str">
        <f>TEXT(Patient_Data!$E1766,"mmmm")</f>
        <v>June</v>
      </c>
      <c r="C1766" s="6" t="str">
        <f t="shared" si="12"/>
        <v>Jun</v>
      </c>
      <c r="D1766" s="6">
        <f>MONTH(Patient_Data!$E1766)</f>
        <v>6</v>
      </c>
      <c r="E1766" s="7">
        <v>46183</v>
      </c>
      <c r="F1766" s="55" t="str">
        <f>TEXT(Patient_Data[[#This Row],[Admission_Date]],"YYYY")</f>
        <v>2026</v>
      </c>
      <c r="G1766" s="8" t="s">
        <v>3540</v>
      </c>
      <c r="H1766" s="8" t="s">
        <v>34</v>
      </c>
      <c r="I1766" s="4" t="s">
        <v>29</v>
      </c>
      <c r="J1766" s="4">
        <v>31</v>
      </c>
      <c r="K1766" s="4" t="s">
        <v>30</v>
      </c>
      <c r="L1766" s="8">
        <v>2</v>
      </c>
      <c r="M1766" s="9" t="s">
        <v>83</v>
      </c>
      <c r="N1766" s="9" t="str">
        <f t="shared" si="13"/>
        <v>ER</v>
      </c>
      <c r="O1766" s="10">
        <v>2952.18</v>
      </c>
      <c r="P1766" s="10">
        <v>1972.6</v>
      </c>
      <c r="Q1766" s="11">
        <v>10.4</v>
      </c>
      <c r="R1766" s="13" t="str">
        <f>IF(Patient_Data!$L1766&lt;2,"Low Risk",IF(Patient_Data!$L1766&lt;4,"Moderate Risk","High Risk"))</f>
        <v>Moderate Risk</v>
      </c>
      <c r="S1766" s="12" t="str">
        <f>IF(Patient_Data[[#This Row],[Age]]&lt;=18,"Pediatric",IF(Patient_Data[[#This Row],[Age]]&lt;=64,"Adult","Geriatric"))</f>
        <v>Adult</v>
      </c>
    </row>
    <row r="1767" spans="1:19" ht="15.75" customHeight="1" x14ac:dyDescent="0.3">
      <c r="A1767" s="4" t="s">
        <v>3541</v>
      </c>
      <c r="B1767" s="5" t="str">
        <f>TEXT(Patient_Data!$E1767,"mmmm")</f>
        <v>June</v>
      </c>
      <c r="C1767" s="6" t="str">
        <f t="shared" si="12"/>
        <v>Jun</v>
      </c>
      <c r="D1767" s="6">
        <f>MONTH(Patient_Data!$E1767)</f>
        <v>6</v>
      </c>
      <c r="E1767" s="7">
        <v>45455</v>
      </c>
      <c r="F1767" s="55" t="str">
        <f>TEXT(Patient_Data[[#This Row],[Admission_Date]],"YYYY")</f>
        <v>2024</v>
      </c>
      <c r="G1767" s="8" t="s">
        <v>3542</v>
      </c>
      <c r="H1767" s="8" t="s">
        <v>82</v>
      </c>
      <c r="I1767" s="4" t="s">
        <v>35</v>
      </c>
      <c r="J1767" s="4">
        <v>26</v>
      </c>
      <c r="K1767" s="4" t="s">
        <v>30</v>
      </c>
      <c r="L1767" s="8">
        <v>1</v>
      </c>
      <c r="M1767" s="9" t="s">
        <v>39</v>
      </c>
      <c r="N1767" s="9" t="str">
        <f t="shared" si="13"/>
        <v>GM</v>
      </c>
      <c r="O1767" s="10">
        <v>2334.33</v>
      </c>
      <c r="P1767" s="10">
        <v>1640.8</v>
      </c>
      <c r="Q1767" s="11">
        <v>9.6</v>
      </c>
      <c r="R1767" s="13" t="str">
        <f>IF(Patient_Data!$L1767&lt;2,"Low Risk",IF(Patient_Data!$L1767&lt;4,"Moderate Risk","High Risk"))</f>
        <v>Low Risk</v>
      </c>
      <c r="S1767" s="12" t="str">
        <f>IF(Patient_Data[[#This Row],[Age]]&lt;=18,"Pediatric",IF(Patient_Data[[#This Row],[Age]]&lt;=64,"Adult","Geriatric"))</f>
        <v>Adult</v>
      </c>
    </row>
    <row r="1768" spans="1:19" ht="15.75" customHeight="1" x14ac:dyDescent="0.3">
      <c r="A1768" s="4" t="s">
        <v>3543</v>
      </c>
      <c r="B1768" s="5" t="str">
        <f>TEXT(Patient_Data!$E1768,"mmmm")</f>
        <v>July</v>
      </c>
      <c r="C1768" s="6" t="str">
        <f t="shared" si="12"/>
        <v>Jul</v>
      </c>
      <c r="D1768" s="6">
        <f>MONTH(Patient_Data!$E1768)</f>
        <v>7</v>
      </c>
      <c r="E1768" s="7">
        <v>45845</v>
      </c>
      <c r="F1768" s="55" t="str">
        <f>TEXT(Patient_Data[[#This Row],[Admission_Date]],"YYYY")</f>
        <v>2025</v>
      </c>
      <c r="G1768" s="8" t="s">
        <v>1449</v>
      </c>
      <c r="H1768" s="8" t="s">
        <v>53</v>
      </c>
      <c r="I1768" s="4" t="s">
        <v>29</v>
      </c>
      <c r="J1768" s="4">
        <v>9</v>
      </c>
      <c r="K1768" s="4" t="s">
        <v>30</v>
      </c>
      <c r="L1768" s="8">
        <v>1</v>
      </c>
      <c r="M1768" s="9" t="s">
        <v>79</v>
      </c>
      <c r="N1768" s="9" t="str">
        <f t="shared" si="13"/>
        <v>PD</v>
      </c>
      <c r="O1768" s="10">
        <v>2188.67</v>
      </c>
      <c r="P1768" s="10">
        <v>1577.67</v>
      </c>
      <c r="Q1768" s="11">
        <v>5.7</v>
      </c>
      <c r="R1768" s="13" t="str">
        <f>IF(Patient_Data!$L1768&lt;2,"Low Risk",IF(Patient_Data!$L1768&lt;4,"Moderate Risk","High Risk"))</f>
        <v>Low Risk</v>
      </c>
      <c r="S1768" s="12" t="str">
        <f>IF(Patient_Data[[#This Row],[Age]]&lt;=18,"Pediatric",IF(Patient_Data[[#This Row],[Age]]&lt;=64,"Adult","Geriatric"))</f>
        <v>Pediatric</v>
      </c>
    </row>
    <row r="1769" spans="1:19" ht="15.75" customHeight="1" x14ac:dyDescent="0.3">
      <c r="A1769" s="4" t="s">
        <v>3544</v>
      </c>
      <c r="B1769" s="5" t="str">
        <f>TEXT(Patient_Data!$E1769,"mmmm")</f>
        <v>June</v>
      </c>
      <c r="C1769" s="6" t="str">
        <f t="shared" si="12"/>
        <v>Jun</v>
      </c>
      <c r="D1769" s="6">
        <f>MONTH(Patient_Data!$E1769)</f>
        <v>6</v>
      </c>
      <c r="E1769" s="7">
        <v>45821</v>
      </c>
      <c r="F1769" s="55" t="str">
        <f>TEXT(Patient_Data[[#This Row],[Admission_Date]],"YYYY")</f>
        <v>2025</v>
      </c>
      <c r="G1769" s="8" t="s">
        <v>3545</v>
      </c>
      <c r="H1769" s="8" t="s">
        <v>82</v>
      </c>
      <c r="I1769" s="4" t="s">
        <v>29</v>
      </c>
      <c r="J1769" s="4">
        <v>72</v>
      </c>
      <c r="K1769" s="4" t="s">
        <v>54</v>
      </c>
      <c r="L1769" s="8">
        <v>4</v>
      </c>
      <c r="M1769" s="9" t="s">
        <v>46</v>
      </c>
      <c r="N1769" s="9" t="str">
        <f t="shared" si="13"/>
        <v>Ortho</v>
      </c>
      <c r="O1769" s="10">
        <v>9702.81</v>
      </c>
      <c r="P1769" s="10">
        <v>7106.25</v>
      </c>
      <c r="Q1769" s="11">
        <v>2.9</v>
      </c>
      <c r="R1769" s="13" t="str">
        <f>IF(Patient_Data!$L1769&lt;2,"Low Risk",IF(Patient_Data!$L1769&lt;4,"Moderate Risk","High Risk"))</f>
        <v>High Risk</v>
      </c>
      <c r="S1769" s="12" t="str">
        <f>IF(Patient_Data[[#This Row],[Age]]&lt;=18,"Pediatric",IF(Patient_Data[[#This Row],[Age]]&lt;=64,"Adult","Geriatric"))</f>
        <v>Geriatric</v>
      </c>
    </row>
    <row r="1770" spans="1:19" ht="15.75" customHeight="1" x14ac:dyDescent="0.3">
      <c r="A1770" s="4" t="s">
        <v>3546</v>
      </c>
      <c r="B1770" s="5" t="str">
        <f>TEXT(Patient_Data!$E1770,"mmmm")</f>
        <v>August</v>
      </c>
      <c r="C1770" s="6" t="str">
        <f t="shared" si="12"/>
        <v>Aug</v>
      </c>
      <c r="D1770" s="6">
        <f>MONTH(Patient_Data!$E1770)</f>
        <v>8</v>
      </c>
      <c r="E1770" s="7">
        <v>45510</v>
      </c>
      <c r="F1770" s="55" t="str">
        <f>TEXT(Patient_Data[[#This Row],[Admission_Date]],"YYYY")</f>
        <v>2024</v>
      </c>
      <c r="G1770" s="8" t="s">
        <v>3547</v>
      </c>
      <c r="H1770" s="8" t="s">
        <v>28</v>
      </c>
      <c r="I1770" s="4" t="s">
        <v>29</v>
      </c>
      <c r="J1770" s="4">
        <v>19</v>
      </c>
      <c r="K1770" s="4" t="s">
        <v>30</v>
      </c>
      <c r="L1770" s="8">
        <v>2</v>
      </c>
      <c r="M1770" s="9" t="s">
        <v>31</v>
      </c>
      <c r="N1770" s="9" t="str">
        <f t="shared" si="13"/>
        <v>Neuro</v>
      </c>
      <c r="O1770" s="10">
        <v>10574.67</v>
      </c>
      <c r="P1770" s="10">
        <v>8064.75</v>
      </c>
      <c r="Q1770" s="11">
        <v>3.5</v>
      </c>
      <c r="R1770" s="13" t="str">
        <f>IF(Patient_Data!$L1770&lt;2,"Low Risk",IF(Patient_Data!$L1770&lt;4,"Moderate Risk","High Risk"))</f>
        <v>Moderate Risk</v>
      </c>
      <c r="S1770" s="12" t="str">
        <f>IF(Patient_Data[[#This Row],[Age]]&lt;=18,"Pediatric",IF(Patient_Data[[#This Row],[Age]]&lt;=64,"Adult","Geriatric"))</f>
        <v>Adult</v>
      </c>
    </row>
    <row r="1771" spans="1:19" ht="15.75" customHeight="1" x14ac:dyDescent="0.3">
      <c r="A1771" s="4" t="s">
        <v>3548</v>
      </c>
      <c r="B1771" s="5" t="str">
        <f>TEXT(Patient_Data!$E1771,"mmmm")</f>
        <v>February</v>
      </c>
      <c r="C1771" s="6" t="str">
        <f t="shared" si="12"/>
        <v>Feb</v>
      </c>
      <c r="D1771" s="6">
        <f>MONTH(Patient_Data!$E1771)</f>
        <v>2</v>
      </c>
      <c r="E1771" s="7">
        <v>45348</v>
      </c>
      <c r="F1771" s="55" t="str">
        <f>TEXT(Patient_Data[[#This Row],[Admission_Date]],"YYYY")</f>
        <v>2024</v>
      </c>
      <c r="G1771" s="8" t="s">
        <v>3549</v>
      </c>
      <c r="H1771" s="8" t="s">
        <v>98</v>
      </c>
      <c r="I1771" s="4" t="s">
        <v>35</v>
      </c>
      <c r="J1771" s="4">
        <v>22</v>
      </c>
      <c r="K1771" s="4" t="s">
        <v>30</v>
      </c>
      <c r="L1771" s="8">
        <v>2</v>
      </c>
      <c r="M1771" s="9" t="s">
        <v>31</v>
      </c>
      <c r="N1771" s="9" t="str">
        <f t="shared" si="13"/>
        <v>Neuro</v>
      </c>
      <c r="O1771" s="10">
        <v>11146.62</v>
      </c>
      <c r="P1771" s="10">
        <v>6487.44</v>
      </c>
      <c r="Q1771" s="11">
        <v>2.8</v>
      </c>
      <c r="R1771" s="13" t="str">
        <f>IF(Patient_Data!$L1771&lt;2,"Low Risk",IF(Patient_Data!$L1771&lt;4,"Moderate Risk","High Risk"))</f>
        <v>Moderate Risk</v>
      </c>
      <c r="S1771" s="12" t="str">
        <f>IF(Patient_Data[[#This Row],[Age]]&lt;=18,"Pediatric",IF(Patient_Data[[#This Row],[Age]]&lt;=64,"Adult","Geriatric"))</f>
        <v>Adult</v>
      </c>
    </row>
    <row r="1772" spans="1:19" ht="15.75" customHeight="1" x14ac:dyDescent="0.3">
      <c r="A1772" s="4" t="s">
        <v>3550</v>
      </c>
      <c r="B1772" s="5" t="str">
        <f>TEXT(Patient_Data!$E1772,"mmmm")</f>
        <v>July</v>
      </c>
      <c r="C1772" s="6" t="str">
        <f t="shared" si="12"/>
        <v>Jul</v>
      </c>
      <c r="D1772" s="6">
        <f>MONTH(Patient_Data!$E1772)</f>
        <v>7</v>
      </c>
      <c r="E1772" s="7">
        <v>45854</v>
      </c>
      <c r="F1772" s="55" t="str">
        <f>TEXT(Patient_Data[[#This Row],[Admission_Date]],"YYYY")</f>
        <v>2025</v>
      </c>
      <c r="G1772" s="8" t="s">
        <v>3551</v>
      </c>
      <c r="H1772" s="8" t="s">
        <v>34</v>
      </c>
      <c r="I1772" s="4" t="s">
        <v>29</v>
      </c>
      <c r="J1772" s="4">
        <v>57</v>
      </c>
      <c r="K1772" s="4" t="s">
        <v>30</v>
      </c>
      <c r="L1772" s="8">
        <v>2</v>
      </c>
      <c r="M1772" s="9" t="s">
        <v>36</v>
      </c>
      <c r="N1772" s="9" t="str">
        <f t="shared" si="13"/>
        <v>Cardio</v>
      </c>
      <c r="O1772" s="10">
        <v>5316.08</v>
      </c>
      <c r="P1772" s="10">
        <v>3304.41</v>
      </c>
      <c r="Q1772" s="11">
        <v>7.7</v>
      </c>
      <c r="R1772" s="13" t="str">
        <f>IF(Patient_Data!$L1772&lt;2,"Low Risk",IF(Patient_Data!$L1772&lt;4,"Moderate Risk","High Risk"))</f>
        <v>Moderate Risk</v>
      </c>
      <c r="S1772" s="12" t="str">
        <f>IF(Patient_Data[[#This Row],[Age]]&lt;=18,"Pediatric",IF(Patient_Data[[#This Row],[Age]]&lt;=64,"Adult","Geriatric"))</f>
        <v>Adult</v>
      </c>
    </row>
    <row r="1773" spans="1:19" ht="15.75" customHeight="1" x14ac:dyDescent="0.3">
      <c r="A1773" s="4" t="s">
        <v>3552</v>
      </c>
      <c r="B1773" s="5" t="str">
        <f>TEXT(Patient_Data!$E1773,"mmmm")</f>
        <v>February</v>
      </c>
      <c r="C1773" s="6" t="str">
        <f t="shared" si="12"/>
        <v>Feb</v>
      </c>
      <c r="D1773" s="6">
        <f>MONTH(Patient_Data!$E1773)</f>
        <v>2</v>
      </c>
      <c r="E1773" s="7">
        <v>46081</v>
      </c>
      <c r="F1773" s="55" t="str">
        <f>TEXT(Patient_Data[[#This Row],[Admission_Date]],"YYYY")</f>
        <v>2026</v>
      </c>
      <c r="G1773" s="8" t="s">
        <v>3553</v>
      </c>
      <c r="H1773" s="8" t="s">
        <v>132</v>
      </c>
      <c r="I1773" s="4" t="s">
        <v>29</v>
      </c>
      <c r="J1773" s="4">
        <v>63</v>
      </c>
      <c r="K1773" s="4" t="s">
        <v>45</v>
      </c>
      <c r="L1773" s="8">
        <v>4</v>
      </c>
      <c r="M1773" s="9" t="s">
        <v>50</v>
      </c>
      <c r="N1773" s="9" t="str">
        <f t="shared" si="13"/>
        <v>ICU</v>
      </c>
      <c r="O1773" s="10">
        <v>13035.42</v>
      </c>
      <c r="P1773" s="10">
        <v>8342.67</v>
      </c>
      <c r="Q1773" s="11"/>
      <c r="R1773" s="13" t="str">
        <f>IF(Patient_Data!$L1773&lt;2,"Low Risk",IF(Patient_Data!$L1773&lt;4,"Moderate Risk","High Risk"))</f>
        <v>High Risk</v>
      </c>
      <c r="S1773" s="12" t="str">
        <f>IF(Patient_Data[[#This Row],[Age]]&lt;=18,"Pediatric",IF(Patient_Data[[#This Row],[Age]]&lt;=64,"Adult","Geriatric"))</f>
        <v>Adult</v>
      </c>
    </row>
    <row r="1774" spans="1:19" ht="15.75" customHeight="1" x14ac:dyDescent="0.3">
      <c r="A1774" s="4" t="s">
        <v>3554</v>
      </c>
      <c r="B1774" s="5" t="str">
        <f>TEXT(Patient_Data!$E1774,"mmmm")</f>
        <v>October</v>
      </c>
      <c r="C1774" s="6" t="str">
        <f t="shared" si="12"/>
        <v>Oct</v>
      </c>
      <c r="D1774" s="6">
        <f>MONTH(Patient_Data!$E1774)</f>
        <v>10</v>
      </c>
      <c r="E1774" s="7">
        <v>45596</v>
      </c>
      <c r="F1774" s="55" t="str">
        <f>TEXT(Patient_Data[[#This Row],[Admission_Date]],"YYYY")</f>
        <v>2024</v>
      </c>
      <c r="G1774" s="8" t="s">
        <v>3555</v>
      </c>
      <c r="H1774" s="8" t="s">
        <v>53</v>
      </c>
      <c r="I1774" s="4" t="s">
        <v>29</v>
      </c>
      <c r="J1774" s="4">
        <v>23</v>
      </c>
      <c r="K1774" s="4" t="s">
        <v>30</v>
      </c>
      <c r="L1774" s="8">
        <v>1</v>
      </c>
      <c r="M1774" s="9" t="s">
        <v>39</v>
      </c>
      <c r="N1774" s="9" t="str">
        <f t="shared" si="13"/>
        <v>GM</v>
      </c>
      <c r="O1774" s="10">
        <v>1229.6199999999999</v>
      </c>
      <c r="P1774" s="10">
        <v>893.45</v>
      </c>
      <c r="Q1774" s="11">
        <v>8.6999999999999993</v>
      </c>
      <c r="R1774" s="13" t="str">
        <f>IF(Patient_Data!$L1774&lt;2,"Low Risk",IF(Patient_Data!$L1774&lt;4,"Moderate Risk","High Risk"))</f>
        <v>Low Risk</v>
      </c>
      <c r="S1774" s="12" t="str">
        <f>IF(Patient_Data[[#This Row],[Age]]&lt;=18,"Pediatric",IF(Patient_Data[[#This Row],[Age]]&lt;=64,"Adult","Geriatric"))</f>
        <v>Adult</v>
      </c>
    </row>
    <row r="1775" spans="1:19" ht="15.75" customHeight="1" x14ac:dyDescent="0.3">
      <c r="A1775" s="4" t="s">
        <v>3556</v>
      </c>
      <c r="B1775" s="5" t="str">
        <f>TEXT(Patient_Data!$E1775,"mmmm")</f>
        <v>January</v>
      </c>
      <c r="C1775" s="6" t="str">
        <f t="shared" si="12"/>
        <v>Jan</v>
      </c>
      <c r="D1775" s="6">
        <f>MONTH(Patient_Data!$E1775)</f>
        <v>1</v>
      </c>
      <c r="E1775" s="7">
        <v>45678</v>
      </c>
      <c r="F1775" s="55" t="str">
        <f>TEXT(Patient_Data[[#This Row],[Admission_Date]],"YYYY")</f>
        <v>2025</v>
      </c>
      <c r="G1775" s="8" t="s">
        <v>3557</v>
      </c>
      <c r="H1775" s="8" t="s">
        <v>28</v>
      </c>
      <c r="I1775" s="4" t="s">
        <v>29</v>
      </c>
      <c r="J1775" s="4">
        <v>69</v>
      </c>
      <c r="K1775" s="4" t="s">
        <v>45</v>
      </c>
      <c r="L1775" s="8">
        <v>4</v>
      </c>
      <c r="M1775" s="9" t="s">
        <v>50</v>
      </c>
      <c r="N1775" s="9" t="str">
        <f t="shared" si="13"/>
        <v>ICU</v>
      </c>
      <c r="O1775" s="10">
        <v>13406.79</v>
      </c>
      <c r="P1775" s="10">
        <v>9483.9500000000007</v>
      </c>
      <c r="Q1775" s="11">
        <v>12.4</v>
      </c>
      <c r="R1775" s="13" t="str">
        <f>IF(Patient_Data!$L1775&lt;2,"Low Risk",IF(Patient_Data!$L1775&lt;4,"Moderate Risk","High Risk"))</f>
        <v>High Risk</v>
      </c>
      <c r="S1775" s="12" t="str">
        <f>IF(Patient_Data[[#This Row],[Age]]&lt;=18,"Pediatric",IF(Patient_Data[[#This Row],[Age]]&lt;=64,"Adult","Geriatric"))</f>
        <v>Geriatric</v>
      </c>
    </row>
    <row r="1776" spans="1:19" ht="15.75" customHeight="1" x14ac:dyDescent="0.3">
      <c r="A1776" s="4" t="s">
        <v>3558</v>
      </c>
      <c r="B1776" s="5" t="str">
        <f>TEXT(Patient_Data!$E1776,"mmmm")</f>
        <v>December</v>
      </c>
      <c r="C1776" s="6" t="str">
        <f t="shared" si="12"/>
        <v>Dec</v>
      </c>
      <c r="D1776" s="6">
        <f>MONTH(Patient_Data!$E1776)</f>
        <v>12</v>
      </c>
      <c r="E1776" s="7">
        <v>45265</v>
      </c>
      <c r="F1776" s="55" t="str">
        <f>TEXT(Patient_Data[[#This Row],[Admission_Date]],"YYYY")</f>
        <v>2023</v>
      </c>
      <c r="G1776" s="8" t="s">
        <v>3559</v>
      </c>
      <c r="H1776" s="8" t="s">
        <v>53</v>
      </c>
      <c r="I1776" s="4" t="s">
        <v>35</v>
      </c>
      <c r="J1776" s="4">
        <v>73</v>
      </c>
      <c r="K1776" s="4" t="s">
        <v>45</v>
      </c>
      <c r="L1776" s="8">
        <v>4</v>
      </c>
      <c r="M1776" s="9" t="s">
        <v>31</v>
      </c>
      <c r="N1776" s="9" t="str">
        <f t="shared" si="13"/>
        <v>Neuro</v>
      </c>
      <c r="O1776" s="10">
        <v>8668.32</v>
      </c>
      <c r="P1776" s="10">
        <v>6408.67</v>
      </c>
      <c r="Q1776" s="11">
        <v>10.1</v>
      </c>
      <c r="R1776" s="13" t="str">
        <f>IF(Patient_Data!$L1776&lt;2,"Low Risk",IF(Patient_Data!$L1776&lt;4,"Moderate Risk","High Risk"))</f>
        <v>High Risk</v>
      </c>
      <c r="S1776" s="12" t="str">
        <f>IF(Patient_Data[[#This Row],[Age]]&lt;=18,"Pediatric",IF(Patient_Data[[#This Row],[Age]]&lt;=64,"Adult","Geriatric"))</f>
        <v>Geriatric</v>
      </c>
    </row>
    <row r="1777" spans="1:19" ht="15.75" customHeight="1" x14ac:dyDescent="0.3">
      <c r="A1777" s="4" t="s">
        <v>3560</v>
      </c>
      <c r="B1777" s="5" t="str">
        <f>TEXT(Patient_Data!$E1777,"mmmm")</f>
        <v>October</v>
      </c>
      <c r="C1777" s="6" t="str">
        <f t="shared" si="12"/>
        <v>Oct</v>
      </c>
      <c r="D1777" s="6">
        <f>MONTH(Patient_Data!$E1777)</f>
        <v>10</v>
      </c>
      <c r="E1777" s="7">
        <v>45957</v>
      </c>
      <c r="F1777" s="55" t="str">
        <f>TEXT(Patient_Data[[#This Row],[Admission_Date]],"YYYY")</f>
        <v>2025</v>
      </c>
      <c r="G1777" s="8" t="s">
        <v>3561</v>
      </c>
      <c r="H1777" s="8" t="s">
        <v>28</v>
      </c>
      <c r="I1777" s="4" t="s">
        <v>29</v>
      </c>
      <c r="J1777" s="4">
        <v>85</v>
      </c>
      <c r="K1777" s="4" t="s">
        <v>54</v>
      </c>
      <c r="L1777" s="8">
        <v>4</v>
      </c>
      <c r="M1777" s="9" t="s">
        <v>46</v>
      </c>
      <c r="N1777" s="9" t="str">
        <f t="shared" si="13"/>
        <v>Ortho</v>
      </c>
      <c r="O1777" s="10">
        <v>9606.7800000000007</v>
      </c>
      <c r="P1777" s="10">
        <v>7389.15</v>
      </c>
      <c r="Q1777" s="11">
        <v>11</v>
      </c>
      <c r="R1777" s="13" t="str">
        <f>IF(Patient_Data!$L1777&lt;2,"Low Risk",IF(Patient_Data!$L1777&lt;4,"Moderate Risk","High Risk"))</f>
        <v>High Risk</v>
      </c>
      <c r="S1777" s="12" t="str">
        <f>IF(Patient_Data[[#This Row],[Age]]&lt;=18,"Pediatric",IF(Patient_Data[[#This Row],[Age]]&lt;=64,"Adult","Geriatric"))</f>
        <v>Geriatric</v>
      </c>
    </row>
    <row r="1778" spans="1:19" ht="15.75" customHeight="1" x14ac:dyDescent="0.3">
      <c r="A1778" s="4" t="s">
        <v>3562</v>
      </c>
      <c r="B1778" s="5" t="str">
        <f>TEXT(Patient_Data!$E1778,"mmmm")</f>
        <v>February</v>
      </c>
      <c r="C1778" s="6" t="str">
        <f t="shared" si="12"/>
        <v>Feb</v>
      </c>
      <c r="D1778" s="6">
        <f>MONTH(Patient_Data!$E1778)</f>
        <v>2</v>
      </c>
      <c r="E1778" s="7">
        <v>46064</v>
      </c>
      <c r="F1778" s="55" t="str">
        <f>TEXT(Patient_Data[[#This Row],[Admission_Date]],"YYYY")</f>
        <v>2026</v>
      </c>
      <c r="G1778" s="8" t="s">
        <v>3563</v>
      </c>
      <c r="H1778" s="8" t="s">
        <v>98</v>
      </c>
      <c r="I1778" s="4" t="s">
        <v>29</v>
      </c>
      <c r="J1778" s="4">
        <v>42</v>
      </c>
      <c r="K1778" s="4" t="s">
        <v>30</v>
      </c>
      <c r="L1778" s="8">
        <v>3</v>
      </c>
      <c r="M1778" s="9" t="s">
        <v>72</v>
      </c>
      <c r="N1778" s="9" t="str">
        <f t="shared" si="13"/>
        <v>Surgery</v>
      </c>
      <c r="O1778" s="10">
        <v>12484.87</v>
      </c>
      <c r="P1778" s="10">
        <v>7273.22</v>
      </c>
      <c r="Q1778" s="11">
        <v>4</v>
      </c>
      <c r="R1778" s="13" t="str">
        <f>IF(Patient_Data!$L1778&lt;2,"Low Risk",IF(Patient_Data!$L1778&lt;4,"Moderate Risk","High Risk"))</f>
        <v>Moderate Risk</v>
      </c>
      <c r="S1778" s="12" t="str">
        <f>IF(Patient_Data[[#This Row],[Age]]&lt;=18,"Pediatric",IF(Patient_Data[[#This Row],[Age]]&lt;=64,"Adult","Geriatric"))</f>
        <v>Adult</v>
      </c>
    </row>
    <row r="1779" spans="1:19" ht="15.75" customHeight="1" x14ac:dyDescent="0.3">
      <c r="A1779" s="4" t="s">
        <v>3564</v>
      </c>
      <c r="B1779" s="5" t="str">
        <f>TEXT(Patient_Data!$E1779,"mmmm")</f>
        <v>December</v>
      </c>
      <c r="C1779" s="6" t="str">
        <f t="shared" si="12"/>
        <v>Dec</v>
      </c>
      <c r="D1779" s="6">
        <f>MONTH(Patient_Data!$E1779)</f>
        <v>12</v>
      </c>
      <c r="E1779" s="7">
        <v>46014</v>
      </c>
      <c r="F1779" s="55" t="str">
        <f>TEXT(Patient_Data[[#This Row],[Admission_Date]],"YYYY")</f>
        <v>2025</v>
      </c>
      <c r="G1779" s="8" t="s">
        <v>3565</v>
      </c>
      <c r="H1779" s="8" t="s">
        <v>49</v>
      </c>
      <c r="I1779" s="4" t="s">
        <v>29</v>
      </c>
      <c r="J1779" s="4">
        <v>83</v>
      </c>
      <c r="K1779" s="4" t="s">
        <v>30</v>
      </c>
      <c r="L1779" s="8">
        <v>3</v>
      </c>
      <c r="M1779" s="9" t="s">
        <v>46</v>
      </c>
      <c r="N1779" s="9" t="str">
        <f t="shared" si="13"/>
        <v>Ortho</v>
      </c>
      <c r="O1779" s="10">
        <v>7784.77</v>
      </c>
      <c r="P1779" s="10">
        <v>4833.51</v>
      </c>
      <c r="Q1779" s="11">
        <v>10.6</v>
      </c>
      <c r="R1779" s="13" t="str">
        <f>IF(Patient_Data!$L1779&lt;2,"Low Risk",IF(Patient_Data!$L1779&lt;4,"Moderate Risk","High Risk"))</f>
        <v>Moderate Risk</v>
      </c>
      <c r="S1779" s="12" t="str">
        <f>IF(Patient_Data[[#This Row],[Age]]&lt;=18,"Pediatric",IF(Patient_Data[[#This Row],[Age]]&lt;=64,"Adult","Geriatric"))</f>
        <v>Geriatric</v>
      </c>
    </row>
    <row r="1780" spans="1:19" ht="15.75" customHeight="1" x14ac:dyDescent="0.3">
      <c r="A1780" s="4" t="s">
        <v>3566</v>
      </c>
      <c r="B1780" s="5" t="str">
        <f>TEXT(Patient_Data!$E1780,"mmmm")</f>
        <v>June</v>
      </c>
      <c r="C1780" s="6" t="str">
        <f t="shared" si="12"/>
        <v>Jun</v>
      </c>
      <c r="D1780" s="6">
        <f>MONTH(Patient_Data!$E1780)</f>
        <v>6</v>
      </c>
      <c r="E1780" s="7">
        <v>46176</v>
      </c>
      <c r="F1780" s="55" t="str">
        <f>TEXT(Patient_Data[[#This Row],[Admission_Date]],"YYYY")</f>
        <v>2026</v>
      </c>
      <c r="G1780" s="8" t="s">
        <v>3567</v>
      </c>
      <c r="H1780" s="8" t="s">
        <v>53</v>
      </c>
      <c r="I1780" s="4" t="s">
        <v>29</v>
      </c>
      <c r="J1780" s="4">
        <v>81</v>
      </c>
      <c r="K1780" s="4" t="s">
        <v>45</v>
      </c>
      <c r="L1780" s="8">
        <v>5</v>
      </c>
      <c r="M1780" s="9" t="s">
        <v>31</v>
      </c>
      <c r="N1780" s="9" t="str">
        <f t="shared" si="13"/>
        <v>Neuro</v>
      </c>
      <c r="O1780" s="10">
        <v>16992.71</v>
      </c>
      <c r="P1780" s="10">
        <v>10900.93</v>
      </c>
      <c r="Q1780" s="11">
        <v>3.2</v>
      </c>
      <c r="R1780" s="13" t="str">
        <f>IF(Patient_Data!$L1780&lt;2,"Low Risk",IF(Patient_Data!$L1780&lt;4,"Moderate Risk","High Risk"))</f>
        <v>High Risk</v>
      </c>
      <c r="S1780" s="12" t="str">
        <f>IF(Patient_Data[[#This Row],[Age]]&lt;=18,"Pediatric",IF(Patient_Data[[#This Row],[Age]]&lt;=64,"Adult","Geriatric"))</f>
        <v>Geriatric</v>
      </c>
    </row>
    <row r="1781" spans="1:19" ht="15.75" customHeight="1" x14ac:dyDescent="0.3">
      <c r="A1781" s="4" t="s">
        <v>3568</v>
      </c>
      <c r="B1781" s="5" t="str">
        <f>TEXT(Patient_Data!$E1781,"mmmm")</f>
        <v>October</v>
      </c>
      <c r="C1781" s="6" t="str">
        <f t="shared" si="12"/>
        <v>Oct</v>
      </c>
      <c r="D1781" s="6">
        <f>MONTH(Patient_Data!$E1781)</f>
        <v>10</v>
      </c>
      <c r="E1781" s="7">
        <v>45935</v>
      </c>
      <c r="F1781" s="55" t="str">
        <f>TEXT(Patient_Data[[#This Row],[Admission_Date]],"YYYY")</f>
        <v>2025</v>
      </c>
      <c r="G1781" s="8" t="s">
        <v>3569</v>
      </c>
      <c r="H1781" s="8" t="s">
        <v>98</v>
      </c>
      <c r="I1781" s="4" t="s">
        <v>29</v>
      </c>
      <c r="J1781" s="4">
        <v>59</v>
      </c>
      <c r="K1781" s="4" t="s">
        <v>30</v>
      </c>
      <c r="L1781" s="8">
        <v>3</v>
      </c>
      <c r="M1781" s="9" t="s">
        <v>36</v>
      </c>
      <c r="N1781" s="9" t="str">
        <f t="shared" si="13"/>
        <v>Cardio</v>
      </c>
      <c r="O1781" s="10">
        <v>9833.6299999999992</v>
      </c>
      <c r="P1781" s="10">
        <v>6626.93</v>
      </c>
      <c r="Q1781" s="11">
        <v>4.8</v>
      </c>
      <c r="R1781" s="13" t="str">
        <f>IF(Patient_Data!$L1781&lt;2,"Low Risk",IF(Patient_Data!$L1781&lt;4,"Moderate Risk","High Risk"))</f>
        <v>Moderate Risk</v>
      </c>
      <c r="S1781" s="12" t="str">
        <f>IF(Patient_Data[[#This Row],[Age]]&lt;=18,"Pediatric",IF(Patient_Data[[#This Row],[Age]]&lt;=64,"Adult","Geriatric"))</f>
        <v>Adult</v>
      </c>
    </row>
    <row r="1782" spans="1:19" ht="15.75" customHeight="1" x14ac:dyDescent="0.3">
      <c r="A1782" s="4" t="s">
        <v>3570</v>
      </c>
      <c r="B1782" s="5" t="str">
        <f>TEXT(Patient_Data!$E1782,"mmmm")</f>
        <v>May</v>
      </c>
      <c r="C1782" s="6" t="str">
        <f t="shared" si="12"/>
        <v>May</v>
      </c>
      <c r="D1782" s="6">
        <f>MONTH(Patient_Data!$E1782)</f>
        <v>5</v>
      </c>
      <c r="E1782" s="7">
        <v>46148</v>
      </c>
      <c r="F1782" s="55" t="str">
        <f>TEXT(Patient_Data[[#This Row],[Admission_Date]],"YYYY")</f>
        <v>2026</v>
      </c>
      <c r="G1782" s="8" t="s">
        <v>3571</v>
      </c>
      <c r="H1782" s="8" t="s">
        <v>82</v>
      </c>
      <c r="I1782" s="4" t="s">
        <v>35</v>
      </c>
      <c r="J1782" s="4">
        <v>13</v>
      </c>
      <c r="K1782" s="4" t="s">
        <v>30</v>
      </c>
      <c r="L1782" s="8">
        <v>1</v>
      </c>
      <c r="M1782" s="9" t="s">
        <v>79</v>
      </c>
      <c r="N1782" s="9" t="str">
        <f t="shared" si="13"/>
        <v>PD</v>
      </c>
      <c r="O1782" s="10">
        <v>1251.8599999999999</v>
      </c>
      <c r="P1782" s="10">
        <v>902.7</v>
      </c>
      <c r="Q1782" s="11">
        <v>3.3</v>
      </c>
      <c r="R1782" s="13" t="str">
        <f>IF(Patient_Data!$L1782&lt;2,"Low Risk",IF(Patient_Data!$L1782&lt;4,"Moderate Risk","High Risk"))</f>
        <v>Low Risk</v>
      </c>
      <c r="S1782" s="12" t="str">
        <f>IF(Patient_Data[[#This Row],[Age]]&lt;=18,"Pediatric",IF(Patient_Data[[#This Row],[Age]]&lt;=64,"Adult","Geriatric"))</f>
        <v>Pediatric</v>
      </c>
    </row>
    <row r="1783" spans="1:19" ht="15.75" customHeight="1" x14ac:dyDescent="0.3">
      <c r="A1783" s="4" t="s">
        <v>3572</v>
      </c>
      <c r="B1783" s="5" t="str">
        <f>TEXT(Patient_Data!$E1783,"mmmm")</f>
        <v>December</v>
      </c>
      <c r="C1783" s="6" t="str">
        <f t="shared" si="12"/>
        <v>Dec</v>
      </c>
      <c r="D1783" s="6">
        <f>MONTH(Patient_Data!$E1783)</f>
        <v>12</v>
      </c>
      <c r="E1783" s="7">
        <v>45628</v>
      </c>
      <c r="F1783" s="55" t="str">
        <f>TEXT(Patient_Data[[#This Row],[Admission_Date]],"YYYY")</f>
        <v>2024</v>
      </c>
      <c r="G1783" s="8" t="s">
        <v>3573</v>
      </c>
      <c r="H1783" s="8" t="s">
        <v>28</v>
      </c>
      <c r="I1783" s="4" t="s">
        <v>29</v>
      </c>
      <c r="J1783" s="4">
        <v>12</v>
      </c>
      <c r="K1783" s="4" t="s">
        <v>30</v>
      </c>
      <c r="L1783" s="8">
        <v>2</v>
      </c>
      <c r="M1783" s="9" t="s">
        <v>79</v>
      </c>
      <c r="N1783" s="9" t="str">
        <f t="shared" si="13"/>
        <v>PD</v>
      </c>
      <c r="O1783" s="10">
        <v>2212.16</v>
      </c>
      <c r="P1783" s="10">
        <v>1650.88</v>
      </c>
      <c r="Q1783" s="11">
        <v>4.5</v>
      </c>
      <c r="R1783" s="13" t="str">
        <f>IF(Patient_Data!$L1783&lt;2,"Low Risk",IF(Patient_Data!$L1783&lt;4,"Moderate Risk","High Risk"))</f>
        <v>Moderate Risk</v>
      </c>
      <c r="S1783" s="12" t="str">
        <f>IF(Patient_Data[[#This Row],[Age]]&lt;=18,"Pediatric",IF(Patient_Data[[#This Row],[Age]]&lt;=64,"Adult","Geriatric"))</f>
        <v>Pediatric</v>
      </c>
    </row>
    <row r="1784" spans="1:19" ht="15.75" customHeight="1" x14ac:dyDescent="0.3">
      <c r="A1784" s="4" t="s">
        <v>3574</v>
      </c>
      <c r="B1784" s="5" t="str">
        <f>TEXT(Patient_Data!$E1784,"mmmm")</f>
        <v>June</v>
      </c>
      <c r="C1784" s="6" t="str">
        <f t="shared" si="12"/>
        <v>Jun</v>
      </c>
      <c r="D1784" s="6">
        <f>MONTH(Patient_Data!$E1784)</f>
        <v>6</v>
      </c>
      <c r="E1784" s="7">
        <v>45819</v>
      </c>
      <c r="F1784" s="55" t="str">
        <f>TEXT(Patient_Data[[#This Row],[Admission_Date]],"YYYY")</f>
        <v>2025</v>
      </c>
      <c r="G1784" s="8" t="s">
        <v>3575</v>
      </c>
      <c r="H1784" s="8" t="s">
        <v>82</v>
      </c>
      <c r="I1784" s="4" t="s">
        <v>35</v>
      </c>
      <c r="J1784" s="4">
        <v>31</v>
      </c>
      <c r="K1784" s="4" t="s">
        <v>30</v>
      </c>
      <c r="L1784" s="8">
        <v>2</v>
      </c>
      <c r="M1784" s="9" t="s">
        <v>36</v>
      </c>
      <c r="N1784" s="9" t="str">
        <f t="shared" si="13"/>
        <v>Cardio</v>
      </c>
      <c r="O1784" s="10">
        <v>9707.31</v>
      </c>
      <c r="P1784" s="10">
        <v>7416.76</v>
      </c>
      <c r="Q1784" s="11">
        <v>4.9000000000000004</v>
      </c>
      <c r="R1784" s="13" t="str">
        <f>IF(Patient_Data!$L1784&lt;2,"Low Risk",IF(Patient_Data!$L1784&lt;4,"Moderate Risk","High Risk"))</f>
        <v>Moderate Risk</v>
      </c>
      <c r="S1784" s="12" t="str">
        <f>IF(Patient_Data[[#This Row],[Age]]&lt;=18,"Pediatric",IF(Patient_Data[[#This Row],[Age]]&lt;=64,"Adult","Geriatric"))</f>
        <v>Adult</v>
      </c>
    </row>
    <row r="1785" spans="1:19" ht="15.75" customHeight="1" x14ac:dyDescent="0.3">
      <c r="A1785" s="4" t="s">
        <v>3576</v>
      </c>
      <c r="B1785" s="5" t="str">
        <f>TEXT(Patient_Data!$E1785,"mmmm")</f>
        <v>February</v>
      </c>
      <c r="C1785" s="6" t="str">
        <f t="shared" si="12"/>
        <v>Feb</v>
      </c>
      <c r="D1785" s="6">
        <f>MONTH(Patient_Data!$E1785)</f>
        <v>2</v>
      </c>
      <c r="E1785" s="7">
        <v>45701</v>
      </c>
      <c r="F1785" s="55" t="str">
        <f>TEXT(Patient_Data[[#This Row],[Admission_Date]],"YYYY")</f>
        <v>2025</v>
      </c>
      <c r="G1785" s="8" t="s">
        <v>3577</v>
      </c>
      <c r="H1785" s="8" t="s">
        <v>28</v>
      </c>
      <c r="I1785" s="4" t="s">
        <v>29</v>
      </c>
      <c r="J1785" s="4">
        <v>90</v>
      </c>
      <c r="K1785" s="4" t="s">
        <v>30</v>
      </c>
      <c r="L1785" s="8">
        <v>5</v>
      </c>
      <c r="M1785" s="9" t="s">
        <v>50</v>
      </c>
      <c r="N1785" s="9" t="str">
        <f t="shared" si="13"/>
        <v>ICU</v>
      </c>
      <c r="O1785" s="10">
        <v>19650.25</v>
      </c>
      <c r="P1785" s="10">
        <v>11497.14</v>
      </c>
      <c r="Q1785" s="11">
        <v>12.5</v>
      </c>
      <c r="R1785" s="13" t="str">
        <f>IF(Patient_Data!$L1785&lt;2,"Low Risk",IF(Patient_Data!$L1785&lt;4,"Moderate Risk","High Risk"))</f>
        <v>High Risk</v>
      </c>
      <c r="S1785" s="12" t="str">
        <f>IF(Patient_Data[[#This Row],[Age]]&lt;=18,"Pediatric",IF(Patient_Data[[#This Row],[Age]]&lt;=64,"Adult","Geriatric"))</f>
        <v>Geriatric</v>
      </c>
    </row>
    <row r="1786" spans="1:19" ht="15.75" customHeight="1" x14ac:dyDescent="0.3">
      <c r="A1786" s="4" t="s">
        <v>3578</v>
      </c>
      <c r="B1786" s="5" t="str">
        <f>TEXT(Patient_Data!$E1786,"mmmm")</f>
        <v>March</v>
      </c>
      <c r="C1786" s="6" t="str">
        <f t="shared" si="12"/>
        <v>Mar</v>
      </c>
      <c r="D1786" s="6">
        <f>MONTH(Patient_Data!$E1786)</f>
        <v>3</v>
      </c>
      <c r="E1786" s="7">
        <v>45381</v>
      </c>
      <c r="F1786" s="55" t="str">
        <f>TEXT(Patient_Data[[#This Row],[Admission_Date]],"YYYY")</f>
        <v>2024</v>
      </c>
      <c r="G1786" s="8" t="s">
        <v>3579</v>
      </c>
      <c r="H1786" s="8" t="s">
        <v>82</v>
      </c>
      <c r="I1786" s="4" t="s">
        <v>29</v>
      </c>
      <c r="J1786" s="4">
        <v>85</v>
      </c>
      <c r="K1786" s="4" t="s">
        <v>45</v>
      </c>
      <c r="L1786" s="8">
        <v>3</v>
      </c>
      <c r="M1786" s="9" t="s">
        <v>83</v>
      </c>
      <c r="N1786" s="9" t="str">
        <f t="shared" si="13"/>
        <v>ER</v>
      </c>
      <c r="O1786" s="10">
        <v>9762.1</v>
      </c>
      <c r="P1786" s="10">
        <v>6088.48</v>
      </c>
      <c r="Q1786" s="11">
        <v>16.7</v>
      </c>
      <c r="R1786" s="13" t="str">
        <f>IF(Patient_Data!$L1786&lt;2,"Low Risk",IF(Patient_Data!$L1786&lt;4,"Moderate Risk","High Risk"))</f>
        <v>Moderate Risk</v>
      </c>
      <c r="S1786" s="12" t="str">
        <f>IF(Patient_Data[[#This Row],[Age]]&lt;=18,"Pediatric",IF(Patient_Data[[#This Row],[Age]]&lt;=64,"Adult","Geriatric"))</f>
        <v>Geriatric</v>
      </c>
    </row>
    <row r="1787" spans="1:19" ht="15.75" customHeight="1" x14ac:dyDescent="0.3">
      <c r="A1787" s="4" t="s">
        <v>3580</v>
      </c>
      <c r="B1787" s="5" t="str">
        <f>TEXT(Patient_Data!$E1787,"mmmm")</f>
        <v>July</v>
      </c>
      <c r="C1787" s="6" t="str">
        <f t="shared" ref="C1787:C2041" si="14">LEFT(B1787,3)</f>
        <v>Jul</v>
      </c>
      <c r="D1787" s="6">
        <f>MONTH(Patient_Data!$E1787)</f>
        <v>7</v>
      </c>
      <c r="E1787" s="7">
        <v>45496</v>
      </c>
      <c r="F1787" s="55" t="str">
        <f>TEXT(Patient_Data[[#This Row],[Admission_Date]],"YYYY")</f>
        <v>2024</v>
      </c>
      <c r="G1787" s="8" t="s">
        <v>3581</v>
      </c>
      <c r="H1787" s="8" t="s">
        <v>98</v>
      </c>
      <c r="I1787" s="4" t="s">
        <v>29</v>
      </c>
      <c r="J1787" s="4">
        <v>75</v>
      </c>
      <c r="K1787" s="4" t="s">
        <v>54</v>
      </c>
      <c r="L1787" s="8">
        <v>4</v>
      </c>
      <c r="M1787" s="9" t="s">
        <v>72</v>
      </c>
      <c r="N1787" s="9" t="str">
        <f t="shared" ref="N1787:N2041" si="15">IF(M1787="Cardiology","Cardio",IF(M1787="Intensive Care Unit","ICU",IF(M1787="Neurology","Neuro",IF(M1787="Emergency Room","ER",IF(M1787="Pediatrics","PD",IF(M1787="Surgery","Surgery",IF(M1787="General Medicine","GM",IF(M1787="Orthopedics","Ortho",""))))))))</f>
        <v>Surgery</v>
      </c>
      <c r="O1787" s="10">
        <v>21558.22</v>
      </c>
      <c r="P1787" s="10">
        <v>13883.66</v>
      </c>
      <c r="Q1787" s="11">
        <v>10.8</v>
      </c>
      <c r="R1787" s="13" t="str">
        <f>IF(Patient_Data!$L1787&lt;2,"Low Risk",IF(Patient_Data!$L1787&lt;4,"Moderate Risk","High Risk"))</f>
        <v>High Risk</v>
      </c>
      <c r="S1787" s="12" t="str">
        <f>IF(Patient_Data[[#This Row],[Age]]&lt;=18,"Pediatric",IF(Patient_Data[[#This Row],[Age]]&lt;=64,"Adult","Geriatric"))</f>
        <v>Geriatric</v>
      </c>
    </row>
    <row r="1788" spans="1:19" ht="15.75" customHeight="1" x14ac:dyDescent="0.3">
      <c r="A1788" s="4" t="s">
        <v>3582</v>
      </c>
      <c r="B1788" s="5" t="str">
        <f>TEXT(Patient_Data!$E1788,"mmmm")</f>
        <v>January</v>
      </c>
      <c r="C1788" s="6" t="str">
        <f t="shared" si="14"/>
        <v>Jan</v>
      </c>
      <c r="D1788" s="6">
        <f>MONTH(Patient_Data!$E1788)</f>
        <v>1</v>
      </c>
      <c r="E1788" s="7">
        <v>45320</v>
      </c>
      <c r="F1788" s="55" t="str">
        <f>TEXT(Patient_Data[[#This Row],[Admission_Date]],"YYYY")</f>
        <v>2024</v>
      </c>
      <c r="G1788" s="8" t="s">
        <v>3583</v>
      </c>
      <c r="H1788" s="8" t="s">
        <v>75</v>
      </c>
      <c r="I1788" s="4" t="s">
        <v>35</v>
      </c>
      <c r="J1788" s="4">
        <v>47</v>
      </c>
      <c r="K1788" s="4" t="s">
        <v>45</v>
      </c>
      <c r="L1788" s="8">
        <v>4</v>
      </c>
      <c r="M1788" s="9" t="s">
        <v>46</v>
      </c>
      <c r="N1788" s="9" t="str">
        <f t="shared" si="15"/>
        <v>Ortho</v>
      </c>
      <c r="O1788" s="10">
        <v>8162.41</v>
      </c>
      <c r="P1788" s="10">
        <v>5559.21</v>
      </c>
      <c r="Q1788" s="11">
        <v>11.3</v>
      </c>
      <c r="R1788" s="13" t="str">
        <f>IF(Patient_Data!$L1788&lt;2,"Low Risk",IF(Patient_Data!$L1788&lt;4,"Moderate Risk","High Risk"))</f>
        <v>High Risk</v>
      </c>
      <c r="S1788" s="12" t="str">
        <f>IF(Patient_Data[[#This Row],[Age]]&lt;=18,"Pediatric",IF(Patient_Data[[#This Row],[Age]]&lt;=64,"Adult","Geriatric"))</f>
        <v>Adult</v>
      </c>
    </row>
    <row r="1789" spans="1:19" ht="15.75" customHeight="1" x14ac:dyDescent="0.3">
      <c r="A1789" s="4" t="s">
        <v>3584</v>
      </c>
      <c r="B1789" s="5" t="str">
        <f>TEXT(Patient_Data!$E1789,"mmmm")</f>
        <v>March</v>
      </c>
      <c r="C1789" s="6" t="str">
        <f t="shared" si="14"/>
        <v>Mar</v>
      </c>
      <c r="D1789" s="6">
        <f>MONTH(Patient_Data!$E1789)</f>
        <v>3</v>
      </c>
      <c r="E1789" s="7">
        <v>45357</v>
      </c>
      <c r="F1789" s="55" t="str">
        <f>TEXT(Patient_Data[[#This Row],[Admission_Date]],"YYYY")</f>
        <v>2024</v>
      </c>
      <c r="G1789" s="8" t="s">
        <v>3585</v>
      </c>
      <c r="H1789" s="8" t="s">
        <v>75</v>
      </c>
      <c r="I1789" s="4" t="s">
        <v>35</v>
      </c>
      <c r="J1789" s="4">
        <v>11</v>
      </c>
      <c r="K1789" s="4" t="s">
        <v>30</v>
      </c>
      <c r="L1789" s="8">
        <v>1</v>
      </c>
      <c r="M1789" s="9" t="s">
        <v>79</v>
      </c>
      <c r="N1789" s="9" t="str">
        <f t="shared" si="15"/>
        <v>PD</v>
      </c>
      <c r="O1789" s="10">
        <v>712.22</v>
      </c>
      <c r="P1789" s="10">
        <v>506.55</v>
      </c>
      <c r="Q1789" s="11">
        <v>1</v>
      </c>
      <c r="R1789" s="13" t="str">
        <f>IF(Patient_Data!$L1789&lt;2,"Low Risk",IF(Patient_Data!$L1789&lt;4,"Moderate Risk","High Risk"))</f>
        <v>Low Risk</v>
      </c>
      <c r="S1789" s="12" t="str">
        <f>IF(Patient_Data[[#This Row],[Age]]&lt;=18,"Pediatric",IF(Patient_Data[[#This Row],[Age]]&lt;=64,"Adult","Geriatric"))</f>
        <v>Pediatric</v>
      </c>
    </row>
    <row r="1790" spans="1:19" ht="15.75" customHeight="1" x14ac:dyDescent="0.3">
      <c r="A1790" s="4" t="s">
        <v>3586</v>
      </c>
      <c r="B1790" s="5" t="str">
        <f>TEXT(Patient_Data!$E1790,"mmmm")</f>
        <v>July</v>
      </c>
      <c r="C1790" s="6" t="str">
        <f t="shared" si="14"/>
        <v>Jul</v>
      </c>
      <c r="D1790" s="6">
        <f>MONTH(Patient_Data!$E1790)</f>
        <v>7</v>
      </c>
      <c r="E1790" s="7">
        <v>45859</v>
      </c>
      <c r="F1790" s="55" t="str">
        <f>TEXT(Patient_Data[[#This Row],[Admission_Date]],"YYYY")</f>
        <v>2025</v>
      </c>
      <c r="G1790" s="8" t="s">
        <v>3587</v>
      </c>
      <c r="H1790" s="8" t="s">
        <v>28</v>
      </c>
      <c r="I1790" s="4" t="s">
        <v>29</v>
      </c>
      <c r="J1790" s="4">
        <v>60</v>
      </c>
      <c r="K1790" s="4" t="s">
        <v>54</v>
      </c>
      <c r="L1790" s="8">
        <v>4</v>
      </c>
      <c r="M1790" s="9" t="s">
        <v>72</v>
      </c>
      <c r="N1790" s="9" t="str">
        <f t="shared" si="15"/>
        <v>Surgery</v>
      </c>
      <c r="O1790" s="10">
        <v>13424.21</v>
      </c>
      <c r="P1790" s="10">
        <v>9860.4699999999993</v>
      </c>
      <c r="Q1790" s="11">
        <v>7.6</v>
      </c>
      <c r="R1790" s="13" t="str">
        <f>IF(Patient_Data!$L1790&lt;2,"Low Risk",IF(Patient_Data!$L1790&lt;4,"Moderate Risk","High Risk"))</f>
        <v>High Risk</v>
      </c>
      <c r="S1790" s="12" t="str">
        <f>IF(Patient_Data[[#This Row],[Age]]&lt;=18,"Pediatric",IF(Patient_Data[[#This Row],[Age]]&lt;=64,"Adult","Geriatric"))</f>
        <v>Adult</v>
      </c>
    </row>
    <row r="1791" spans="1:19" ht="15.75" customHeight="1" x14ac:dyDescent="0.3">
      <c r="A1791" s="4" t="s">
        <v>3588</v>
      </c>
      <c r="B1791" s="5" t="str">
        <f>TEXT(Patient_Data!$E1791,"mmmm")</f>
        <v>May</v>
      </c>
      <c r="C1791" s="6" t="str">
        <f t="shared" si="14"/>
        <v>May</v>
      </c>
      <c r="D1791" s="6">
        <f>MONTH(Patient_Data!$E1791)</f>
        <v>5</v>
      </c>
      <c r="E1791" s="7">
        <v>46155</v>
      </c>
      <c r="F1791" s="55" t="str">
        <f>TEXT(Patient_Data[[#This Row],[Admission_Date]],"YYYY")</f>
        <v>2026</v>
      </c>
      <c r="G1791" s="8" t="s">
        <v>3589</v>
      </c>
      <c r="H1791" s="8" t="s">
        <v>42</v>
      </c>
      <c r="I1791" s="4" t="s">
        <v>35</v>
      </c>
      <c r="J1791" s="4">
        <v>81</v>
      </c>
      <c r="K1791" s="4" t="s">
        <v>45</v>
      </c>
      <c r="L1791" s="8">
        <v>4</v>
      </c>
      <c r="M1791" s="9" t="s">
        <v>46</v>
      </c>
      <c r="N1791" s="9" t="str">
        <f t="shared" si="15"/>
        <v>Ortho</v>
      </c>
      <c r="O1791" s="10">
        <v>12019.32</v>
      </c>
      <c r="P1791" s="10">
        <v>9193.08</v>
      </c>
      <c r="Q1791" s="11">
        <v>7.3</v>
      </c>
      <c r="R1791" s="13" t="str">
        <f>IF(Patient_Data!$L1791&lt;2,"Low Risk",IF(Patient_Data!$L1791&lt;4,"Moderate Risk","High Risk"))</f>
        <v>High Risk</v>
      </c>
      <c r="S1791" s="12" t="str">
        <f>IF(Patient_Data[[#This Row],[Age]]&lt;=18,"Pediatric",IF(Patient_Data[[#This Row],[Age]]&lt;=64,"Adult","Geriatric"))</f>
        <v>Geriatric</v>
      </c>
    </row>
    <row r="1792" spans="1:19" ht="15.75" customHeight="1" x14ac:dyDescent="0.3">
      <c r="A1792" s="4" t="s">
        <v>3590</v>
      </c>
      <c r="B1792" s="5" t="str">
        <f>TEXT(Patient_Data!$E1792,"mmmm")</f>
        <v>October</v>
      </c>
      <c r="C1792" s="6" t="str">
        <f t="shared" si="14"/>
        <v>Oct</v>
      </c>
      <c r="D1792" s="6">
        <f>MONTH(Patient_Data!$E1792)</f>
        <v>10</v>
      </c>
      <c r="E1792" s="7">
        <v>45230</v>
      </c>
      <c r="F1792" s="55" t="str">
        <f>TEXT(Patient_Data[[#This Row],[Admission_Date]],"YYYY")</f>
        <v>2023</v>
      </c>
      <c r="G1792" s="8" t="s">
        <v>604</v>
      </c>
      <c r="H1792" s="8" t="s">
        <v>28</v>
      </c>
      <c r="I1792" s="4" t="s">
        <v>29</v>
      </c>
      <c r="J1792" s="4">
        <v>54</v>
      </c>
      <c r="K1792" s="4" t="s">
        <v>30</v>
      </c>
      <c r="L1792" s="8">
        <v>1</v>
      </c>
      <c r="M1792" s="9" t="s">
        <v>39</v>
      </c>
      <c r="N1792" s="9" t="str">
        <f t="shared" si="15"/>
        <v>GM</v>
      </c>
      <c r="O1792" s="10">
        <v>1757.71</v>
      </c>
      <c r="P1792" s="10">
        <v>1066.67</v>
      </c>
      <c r="Q1792" s="11">
        <v>5.9</v>
      </c>
      <c r="R1792" s="13" t="str">
        <f>IF(Patient_Data!$L1792&lt;2,"Low Risk",IF(Patient_Data!$L1792&lt;4,"Moderate Risk","High Risk"))</f>
        <v>Low Risk</v>
      </c>
      <c r="S1792" s="12" t="str">
        <f>IF(Patient_Data[[#This Row],[Age]]&lt;=18,"Pediatric",IF(Patient_Data[[#This Row],[Age]]&lt;=64,"Adult","Geriatric"))</f>
        <v>Adult</v>
      </c>
    </row>
    <row r="1793" spans="1:19" ht="15.75" customHeight="1" x14ac:dyDescent="0.3">
      <c r="A1793" s="4" t="s">
        <v>3591</v>
      </c>
      <c r="B1793" s="5" t="str">
        <f>TEXT(Patient_Data!$E1793,"mmmm")</f>
        <v>January</v>
      </c>
      <c r="C1793" s="6" t="str">
        <f t="shared" si="14"/>
        <v>Jan</v>
      </c>
      <c r="D1793" s="6">
        <f>MONTH(Patient_Data!$E1793)</f>
        <v>1</v>
      </c>
      <c r="E1793" s="7">
        <v>46050</v>
      </c>
      <c r="F1793" s="55" t="str">
        <f>TEXT(Patient_Data[[#This Row],[Admission_Date]],"YYYY")</f>
        <v>2026</v>
      </c>
      <c r="G1793" s="8" t="s">
        <v>3592</v>
      </c>
      <c r="H1793" s="8" t="s">
        <v>98</v>
      </c>
      <c r="I1793" s="4" t="s">
        <v>35</v>
      </c>
      <c r="J1793" s="4">
        <v>57</v>
      </c>
      <c r="K1793" s="4" t="s">
        <v>30</v>
      </c>
      <c r="L1793" s="8">
        <v>3</v>
      </c>
      <c r="M1793" s="9" t="s">
        <v>50</v>
      </c>
      <c r="N1793" s="9" t="str">
        <f t="shared" si="15"/>
        <v>ICU</v>
      </c>
      <c r="O1793" s="10">
        <v>13415.41</v>
      </c>
      <c r="P1793" s="10">
        <v>8269</v>
      </c>
      <c r="Q1793" s="11">
        <v>10.7</v>
      </c>
      <c r="R1793" s="13" t="str">
        <f>IF(Patient_Data!$L1793&lt;2,"Low Risk",IF(Patient_Data!$L1793&lt;4,"Moderate Risk","High Risk"))</f>
        <v>Moderate Risk</v>
      </c>
      <c r="S1793" s="12" t="str">
        <f>IF(Patient_Data[[#This Row],[Age]]&lt;=18,"Pediatric",IF(Patient_Data[[#This Row],[Age]]&lt;=64,"Adult","Geriatric"))</f>
        <v>Adult</v>
      </c>
    </row>
    <row r="1794" spans="1:19" ht="15.75" customHeight="1" x14ac:dyDescent="0.3">
      <c r="A1794" s="4" t="s">
        <v>3593</v>
      </c>
      <c r="B1794" s="5" t="str">
        <f>TEXT(Patient_Data!$E1794,"mmmm")</f>
        <v>July</v>
      </c>
      <c r="C1794" s="6" t="str">
        <f t="shared" si="14"/>
        <v>Jul</v>
      </c>
      <c r="D1794" s="6">
        <f>MONTH(Patient_Data!$E1794)</f>
        <v>7</v>
      </c>
      <c r="E1794" s="7">
        <v>45504</v>
      </c>
      <c r="F1794" s="55" t="str">
        <f>TEXT(Patient_Data[[#This Row],[Admission_Date]],"YYYY")</f>
        <v>2024</v>
      </c>
      <c r="G1794" s="8" t="s">
        <v>3594</v>
      </c>
      <c r="H1794" s="8" t="s">
        <v>49</v>
      </c>
      <c r="I1794" s="4" t="s">
        <v>35</v>
      </c>
      <c r="J1794" s="4">
        <v>60</v>
      </c>
      <c r="K1794" s="4" t="s">
        <v>54</v>
      </c>
      <c r="L1794" s="8">
        <v>3</v>
      </c>
      <c r="M1794" s="9" t="s">
        <v>50</v>
      </c>
      <c r="N1794" s="9" t="str">
        <f t="shared" si="15"/>
        <v>ICU</v>
      </c>
      <c r="O1794" s="10">
        <v>19213.509999999998</v>
      </c>
      <c r="P1794" s="10">
        <v>12375.05</v>
      </c>
      <c r="Q1794" s="11">
        <v>9.8000000000000007</v>
      </c>
      <c r="R1794" s="13" t="str">
        <f>IF(Patient_Data!$L1794&lt;2,"Low Risk",IF(Patient_Data!$L1794&lt;4,"Moderate Risk","High Risk"))</f>
        <v>Moderate Risk</v>
      </c>
      <c r="S1794" s="12" t="str">
        <f>IF(Patient_Data[[#This Row],[Age]]&lt;=18,"Pediatric",IF(Patient_Data[[#This Row],[Age]]&lt;=64,"Adult","Geriatric"))</f>
        <v>Adult</v>
      </c>
    </row>
    <row r="1795" spans="1:19" ht="15.75" customHeight="1" x14ac:dyDescent="0.3">
      <c r="A1795" s="4" t="s">
        <v>3595</v>
      </c>
      <c r="B1795" s="5" t="str">
        <f>TEXT(Patient_Data!$E1795,"mmmm")</f>
        <v>February</v>
      </c>
      <c r="C1795" s="6" t="str">
        <f t="shared" si="14"/>
        <v>Feb</v>
      </c>
      <c r="D1795" s="6">
        <f>MONTH(Patient_Data!$E1795)</f>
        <v>2</v>
      </c>
      <c r="E1795" s="7">
        <v>46056</v>
      </c>
      <c r="F1795" s="55" t="str">
        <f>TEXT(Patient_Data[[#This Row],[Admission_Date]],"YYYY")</f>
        <v>2026</v>
      </c>
      <c r="G1795" s="8" t="s">
        <v>3596</v>
      </c>
      <c r="H1795" s="8" t="s">
        <v>42</v>
      </c>
      <c r="I1795" s="4" t="s">
        <v>29</v>
      </c>
      <c r="J1795" s="4">
        <v>56</v>
      </c>
      <c r="K1795" s="4" t="s">
        <v>30</v>
      </c>
      <c r="L1795" s="8">
        <v>1</v>
      </c>
      <c r="M1795" s="9" t="s">
        <v>83</v>
      </c>
      <c r="N1795" s="9" t="str">
        <f t="shared" si="15"/>
        <v>ER</v>
      </c>
      <c r="O1795" s="10">
        <v>8171.42</v>
      </c>
      <c r="P1795" s="10">
        <v>5570.05</v>
      </c>
      <c r="Q1795" s="11">
        <v>11.9</v>
      </c>
      <c r="R1795" s="13" t="str">
        <f>IF(Patient_Data!$L1795&lt;2,"Low Risk",IF(Patient_Data!$L1795&lt;4,"Moderate Risk","High Risk"))</f>
        <v>Low Risk</v>
      </c>
      <c r="S1795" s="12" t="str">
        <f>IF(Patient_Data[[#This Row],[Age]]&lt;=18,"Pediatric",IF(Patient_Data[[#This Row],[Age]]&lt;=64,"Adult","Geriatric"))</f>
        <v>Adult</v>
      </c>
    </row>
    <row r="1796" spans="1:19" ht="15.75" customHeight="1" x14ac:dyDescent="0.3">
      <c r="A1796" s="4" t="s">
        <v>3597</v>
      </c>
      <c r="B1796" s="5" t="str">
        <f>TEXT(Patient_Data!$E1796,"mmmm")</f>
        <v>July</v>
      </c>
      <c r="C1796" s="6" t="str">
        <f t="shared" si="14"/>
        <v>Jul</v>
      </c>
      <c r="D1796" s="6">
        <f>MONTH(Patient_Data!$E1796)</f>
        <v>7</v>
      </c>
      <c r="E1796" s="7">
        <v>45488</v>
      </c>
      <c r="F1796" s="55" t="str">
        <f>TEXT(Patient_Data[[#This Row],[Admission_Date]],"YYYY")</f>
        <v>2024</v>
      </c>
      <c r="G1796" s="8" t="s">
        <v>3598</v>
      </c>
      <c r="H1796" s="8" t="s">
        <v>28</v>
      </c>
      <c r="I1796" s="4" t="s">
        <v>35</v>
      </c>
      <c r="J1796" s="4">
        <v>50</v>
      </c>
      <c r="K1796" s="4" t="s">
        <v>45</v>
      </c>
      <c r="L1796" s="8">
        <v>2</v>
      </c>
      <c r="M1796" s="9" t="s">
        <v>46</v>
      </c>
      <c r="N1796" s="9" t="str">
        <f t="shared" si="15"/>
        <v>Ortho</v>
      </c>
      <c r="O1796" s="10">
        <v>7838.55</v>
      </c>
      <c r="P1796" s="10">
        <v>5580.59</v>
      </c>
      <c r="Q1796" s="11">
        <v>11.7</v>
      </c>
      <c r="R1796" s="13" t="str">
        <f>IF(Patient_Data!$L1796&lt;2,"Low Risk",IF(Patient_Data!$L1796&lt;4,"Moderate Risk","High Risk"))</f>
        <v>Moderate Risk</v>
      </c>
      <c r="S1796" s="12" t="str">
        <f>IF(Patient_Data[[#This Row],[Age]]&lt;=18,"Pediatric",IF(Patient_Data[[#This Row],[Age]]&lt;=64,"Adult","Geriatric"))</f>
        <v>Adult</v>
      </c>
    </row>
    <row r="1797" spans="1:19" ht="15.75" customHeight="1" x14ac:dyDescent="0.3">
      <c r="A1797" s="4" t="s">
        <v>3599</v>
      </c>
      <c r="B1797" s="5" t="str">
        <f>TEXT(Patient_Data!$E1797,"mmmm")</f>
        <v>December</v>
      </c>
      <c r="C1797" s="6" t="str">
        <f t="shared" si="14"/>
        <v>Dec</v>
      </c>
      <c r="D1797" s="6">
        <f>MONTH(Patient_Data!$E1797)</f>
        <v>12</v>
      </c>
      <c r="E1797" s="7">
        <v>45276</v>
      </c>
      <c r="F1797" s="55" t="str">
        <f>TEXT(Patient_Data[[#This Row],[Admission_Date]],"YYYY")</f>
        <v>2023</v>
      </c>
      <c r="G1797" s="8" t="s">
        <v>3600</v>
      </c>
      <c r="H1797" s="8" t="s">
        <v>82</v>
      </c>
      <c r="I1797" s="4" t="s">
        <v>29</v>
      </c>
      <c r="J1797" s="4">
        <v>17</v>
      </c>
      <c r="K1797" s="4" t="s">
        <v>30</v>
      </c>
      <c r="L1797" s="8">
        <v>1</v>
      </c>
      <c r="M1797" s="9" t="s">
        <v>79</v>
      </c>
      <c r="N1797" s="9" t="str">
        <f t="shared" si="15"/>
        <v>PD</v>
      </c>
      <c r="O1797" s="10">
        <v>2270.54</v>
      </c>
      <c r="P1797" s="10">
        <v>1668.69</v>
      </c>
      <c r="Q1797" s="11">
        <v>1.4</v>
      </c>
      <c r="R1797" s="13" t="str">
        <f>IF(Patient_Data!$L1797&lt;2,"Low Risk",IF(Patient_Data!$L1797&lt;4,"Moderate Risk","High Risk"))</f>
        <v>Low Risk</v>
      </c>
      <c r="S1797" s="12" t="str">
        <f>IF(Patient_Data[[#This Row],[Age]]&lt;=18,"Pediatric",IF(Patient_Data[[#This Row],[Age]]&lt;=64,"Adult","Geriatric"))</f>
        <v>Pediatric</v>
      </c>
    </row>
    <row r="1798" spans="1:19" ht="15.75" customHeight="1" x14ac:dyDescent="0.3">
      <c r="A1798" s="4" t="s">
        <v>3601</v>
      </c>
      <c r="B1798" s="5" t="str">
        <f>TEXT(Patient_Data!$E1798,"mmmm")</f>
        <v>October</v>
      </c>
      <c r="C1798" s="6" t="str">
        <f t="shared" si="14"/>
        <v>Oct</v>
      </c>
      <c r="D1798" s="6">
        <f>MONTH(Patient_Data!$E1798)</f>
        <v>10</v>
      </c>
      <c r="E1798" s="7">
        <v>45587</v>
      </c>
      <c r="F1798" s="55" t="str">
        <f>TEXT(Patient_Data[[#This Row],[Admission_Date]],"YYYY")</f>
        <v>2024</v>
      </c>
      <c r="G1798" s="8" t="s">
        <v>3602</v>
      </c>
      <c r="H1798" s="8" t="s">
        <v>34</v>
      </c>
      <c r="I1798" s="4" t="s">
        <v>29</v>
      </c>
      <c r="J1798" s="4">
        <v>12</v>
      </c>
      <c r="K1798" s="4" t="s">
        <v>30</v>
      </c>
      <c r="L1798" s="8">
        <v>3</v>
      </c>
      <c r="M1798" s="9" t="s">
        <v>79</v>
      </c>
      <c r="N1798" s="9" t="str">
        <f t="shared" si="15"/>
        <v>PD</v>
      </c>
      <c r="O1798" s="10">
        <v>2726.78</v>
      </c>
      <c r="P1798" s="10">
        <v>2097.9499999999998</v>
      </c>
      <c r="Q1798" s="11">
        <v>3.2</v>
      </c>
      <c r="R1798" s="13" t="str">
        <f>IF(Patient_Data!$L1798&lt;2,"Low Risk",IF(Patient_Data!$L1798&lt;4,"Moderate Risk","High Risk"))</f>
        <v>Moderate Risk</v>
      </c>
      <c r="S1798" s="12" t="str">
        <f>IF(Patient_Data[[#This Row],[Age]]&lt;=18,"Pediatric",IF(Patient_Data[[#This Row],[Age]]&lt;=64,"Adult","Geriatric"))</f>
        <v>Pediatric</v>
      </c>
    </row>
    <row r="1799" spans="1:19" ht="15.75" customHeight="1" x14ac:dyDescent="0.3">
      <c r="A1799" s="4" t="s">
        <v>3603</v>
      </c>
      <c r="B1799" s="5" t="str">
        <f>TEXT(Patient_Data!$E1799,"mmmm")</f>
        <v>April</v>
      </c>
      <c r="C1799" s="6" t="str">
        <f t="shared" si="14"/>
        <v>Apr</v>
      </c>
      <c r="D1799" s="6">
        <f>MONTH(Patient_Data!$E1799)</f>
        <v>4</v>
      </c>
      <c r="E1799" s="7">
        <v>45776</v>
      </c>
      <c r="F1799" s="55" t="str">
        <f>TEXT(Patient_Data[[#This Row],[Admission_Date]],"YYYY")</f>
        <v>2025</v>
      </c>
      <c r="G1799" s="8" t="s">
        <v>3604</v>
      </c>
      <c r="H1799" s="8" t="s">
        <v>34</v>
      </c>
      <c r="I1799" s="4" t="s">
        <v>29</v>
      </c>
      <c r="J1799" s="4">
        <v>5</v>
      </c>
      <c r="K1799" s="4" t="s">
        <v>30</v>
      </c>
      <c r="L1799" s="8">
        <v>2</v>
      </c>
      <c r="M1799" s="9" t="s">
        <v>79</v>
      </c>
      <c r="N1799" s="9" t="str">
        <f t="shared" si="15"/>
        <v>PD</v>
      </c>
      <c r="O1799" s="10">
        <v>1723.82</v>
      </c>
      <c r="P1799" s="10">
        <v>1036.6199999999999</v>
      </c>
      <c r="Q1799" s="11">
        <v>4.5999999999999996</v>
      </c>
      <c r="R1799" s="13" t="str">
        <f>IF(Patient_Data!$L1799&lt;2,"Low Risk",IF(Patient_Data!$L1799&lt;4,"Moderate Risk","High Risk"))</f>
        <v>Moderate Risk</v>
      </c>
      <c r="S1799" s="12" t="str">
        <f>IF(Patient_Data[[#This Row],[Age]]&lt;=18,"Pediatric",IF(Patient_Data[[#This Row],[Age]]&lt;=64,"Adult","Geriatric"))</f>
        <v>Pediatric</v>
      </c>
    </row>
    <row r="1800" spans="1:19" ht="15.75" customHeight="1" x14ac:dyDescent="0.3">
      <c r="A1800" s="4" t="s">
        <v>3605</v>
      </c>
      <c r="B1800" s="5" t="str">
        <f>TEXT(Patient_Data!$E1800,"mmmm")</f>
        <v>December</v>
      </c>
      <c r="C1800" s="6" t="str">
        <f t="shared" si="14"/>
        <v>Dec</v>
      </c>
      <c r="D1800" s="6">
        <f>MONTH(Patient_Data!$E1800)</f>
        <v>12</v>
      </c>
      <c r="E1800" s="7">
        <v>45653</v>
      </c>
      <c r="F1800" s="55" t="str">
        <f>TEXT(Patient_Data[[#This Row],[Admission_Date]],"YYYY")</f>
        <v>2024</v>
      </c>
      <c r="G1800" s="8" t="s">
        <v>3606</v>
      </c>
      <c r="H1800" s="8" t="s">
        <v>42</v>
      </c>
      <c r="I1800" s="4" t="s">
        <v>29</v>
      </c>
      <c r="J1800" s="4">
        <v>13</v>
      </c>
      <c r="K1800" s="4" t="s">
        <v>30</v>
      </c>
      <c r="L1800" s="8">
        <v>2</v>
      </c>
      <c r="M1800" s="9" t="s">
        <v>79</v>
      </c>
      <c r="N1800" s="9" t="str">
        <f t="shared" si="15"/>
        <v>PD</v>
      </c>
      <c r="O1800" s="10">
        <v>1418.91</v>
      </c>
      <c r="P1800" s="10">
        <v>903.14</v>
      </c>
      <c r="Q1800" s="11">
        <v>4.7</v>
      </c>
      <c r="R1800" s="13" t="str">
        <f>IF(Patient_Data!$L1800&lt;2,"Low Risk",IF(Patient_Data!$L1800&lt;4,"Moderate Risk","High Risk"))</f>
        <v>Moderate Risk</v>
      </c>
      <c r="S1800" s="12" t="str">
        <f>IF(Patient_Data[[#This Row],[Age]]&lt;=18,"Pediatric",IF(Patient_Data[[#This Row],[Age]]&lt;=64,"Adult","Geriatric"))</f>
        <v>Pediatric</v>
      </c>
    </row>
    <row r="1801" spans="1:19" ht="15.75" customHeight="1" x14ac:dyDescent="0.3">
      <c r="A1801" s="4" t="s">
        <v>3607</v>
      </c>
      <c r="B1801" s="5" t="str">
        <f>TEXT(Patient_Data!$E1801,"mmmm")</f>
        <v>March</v>
      </c>
      <c r="C1801" s="6" t="str">
        <f t="shared" si="14"/>
        <v>Mar</v>
      </c>
      <c r="D1801" s="6">
        <f>MONTH(Patient_Data!$E1801)</f>
        <v>3</v>
      </c>
      <c r="E1801" s="7">
        <v>45363</v>
      </c>
      <c r="F1801" s="55" t="str">
        <f>TEXT(Patient_Data[[#This Row],[Admission_Date]],"YYYY")</f>
        <v>2024</v>
      </c>
      <c r="G1801" s="8" t="s">
        <v>3608</v>
      </c>
      <c r="H1801" s="8" t="s">
        <v>53</v>
      </c>
      <c r="I1801" s="4" t="s">
        <v>29</v>
      </c>
      <c r="J1801" s="4">
        <v>52</v>
      </c>
      <c r="K1801" s="4" t="s">
        <v>30</v>
      </c>
      <c r="L1801" s="8">
        <v>2</v>
      </c>
      <c r="M1801" s="9" t="s">
        <v>39</v>
      </c>
      <c r="N1801" s="9" t="str">
        <f t="shared" si="15"/>
        <v>GM</v>
      </c>
      <c r="O1801" s="10">
        <v>1944.5</v>
      </c>
      <c r="P1801" s="10">
        <v>1297.28</v>
      </c>
      <c r="Q1801" s="11">
        <v>6.6</v>
      </c>
      <c r="R1801" s="13" t="str">
        <f>IF(Patient_Data!$L1801&lt;2,"Low Risk",IF(Patient_Data!$L1801&lt;4,"Moderate Risk","High Risk"))</f>
        <v>Moderate Risk</v>
      </c>
      <c r="S1801" s="12" t="str">
        <f>IF(Patient_Data[[#This Row],[Age]]&lt;=18,"Pediatric",IF(Patient_Data[[#This Row],[Age]]&lt;=64,"Adult","Geriatric"))</f>
        <v>Adult</v>
      </c>
    </row>
    <row r="1802" spans="1:19" ht="15.75" customHeight="1" x14ac:dyDescent="0.3">
      <c r="A1802" s="4" t="s">
        <v>3609</v>
      </c>
      <c r="B1802" s="5" t="str">
        <f>TEXT(Patient_Data!$E1802,"mmmm")</f>
        <v>December</v>
      </c>
      <c r="C1802" s="6" t="str">
        <f t="shared" si="14"/>
        <v>Dec</v>
      </c>
      <c r="D1802" s="6">
        <f>MONTH(Patient_Data!$E1802)</f>
        <v>12</v>
      </c>
      <c r="E1802" s="7">
        <v>45268</v>
      </c>
      <c r="F1802" s="55" t="str">
        <f>TEXT(Patient_Data[[#This Row],[Admission_Date]],"YYYY")</f>
        <v>2023</v>
      </c>
      <c r="G1802" s="8" t="s">
        <v>3610</v>
      </c>
      <c r="H1802" s="8" t="s">
        <v>28</v>
      </c>
      <c r="I1802" s="4" t="s">
        <v>29</v>
      </c>
      <c r="J1802" s="4">
        <v>17</v>
      </c>
      <c r="K1802" s="4" t="s">
        <v>54</v>
      </c>
      <c r="L1802" s="8">
        <v>4</v>
      </c>
      <c r="M1802" s="9" t="s">
        <v>79</v>
      </c>
      <c r="N1802" s="9" t="str">
        <f t="shared" si="15"/>
        <v>PD</v>
      </c>
      <c r="O1802" s="10">
        <v>1678.92</v>
      </c>
      <c r="P1802" s="10">
        <v>1168.8800000000001</v>
      </c>
      <c r="Q1802" s="11">
        <v>5.5</v>
      </c>
      <c r="R1802" s="13" t="str">
        <f>IF(Patient_Data!$L1802&lt;2,"Low Risk",IF(Patient_Data!$L1802&lt;4,"Moderate Risk","High Risk"))</f>
        <v>High Risk</v>
      </c>
      <c r="S1802" s="12" t="str">
        <f>IF(Patient_Data[[#This Row],[Age]]&lt;=18,"Pediatric",IF(Patient_Data[[#This Row],[Age]]&lt;=64,"Adult","Geriatric"))</f>
        <v>Pediatric</v>
      </c>
    </row>
    <row r="1803" spans="1:19" ht="15.75" customHeight="1" x14ac:dyDescent="0.3">
      <c r="A1803" s="4" t="s">
        <v>3611</v>
      </c>
      <c r="B1803" s="5" t="str">
        <f>TEXT(Patient_Data!$E1803,"mmmm")</f>
        <v>November</v>
      </c>
      <c r="C1803" s="6" t="str">
        <f t="shared" si="14"/>
        <v>Nov</v>
      </c>
      <c r="D1803" s="6">
        <f>MONTH(Patient_Data!$E1803)</f>
        <v>11</v>
      </c>
      <c r="E1803" s="7">
        <v>45971</v>
      </c>
      <c r="F1803" s="55" t="str">
        <f>TEXT(Patient_Data[[#This Row],[Admission_Date]],"YYYY")</f>
        <v>2025</v>
      </c>
      <c r="G1803" s="8" t="s">
        <v>3612</v>
      </c>
      <c r="H1803" s="8" t="s">
        <v>28</v>
      </c>
      <c r="I1803" s="4" t="s">
        <v>35</v>
      </c>
      <c r="J1803" s="4">
        <v>46</v>
      </c>
      <c r="K1803" s="4" t="s">
        <v>30</v>
      </c>
      <c r="L1803" s="8">
        <v>1</v>
      </c>
      <c r="M1803" s="9" t="s">
        <v>36</v>
      </c>
      <c r="N1803" s="9" t="str">
        <f t="shared" si="15"/>
        <v>Cardio</v>
      </c>
      <c r="O1803" s="10">
        <v>8781.5499999999993</v>
      </c>
      <c r="P1803" s="10">
        <v>6176.68</v>
      </c>
      <c r="Q1803" s="11">
        <v>3.7</v>
      </c>
      <c r="R1803" s="13" t="str">
        <f>IF(Patient_Data!$L1803&lt;2,"Low Risk",IF(Patient_Data!$L1803&lt;4,"Moderate Risk","High Risk"))</f>
        <v>Low Risk</v>
      </c>
      <c r="S1803" s="12" t="str">
        <f>IF(Patient_Data[[#This Row],[Age]]&lt;=18,"Pediatric",IF(Patient_Data[[#This Row],[Age]]&lt;=64,"Adult","Geriatric"))</f>
        <v>Adult</v>
      </c>
    </row>
    <row r="1804" spans="1:19" ht="15.75" customHeight="1" x14ac:dyDescent="0.3">
      <c r="A1804" s="4" t="s">
        <v>3613</v>
      </c>
      <c r="B1804" s="5" t="str">
        <f>TEXT(Patient_Data!$E1804,"mmmm")</f>
        <v>September</v>
      </c>
      <c r="C1804" s="6" t="str">
        <f t="shared" si="14"/>
        <v>Sep</v>
      </c>
      <c r="D1804" s="6">
        <f>MONTH(Patient_Data!$E1804)</f>
        <v>9</v>
      </c>
      <c r="E1804" s="7">
        <v>45905</v>
      </c>
      <c r="F1804" s="55" t="str">
        <f>TEXT(Patient_Data[[#This Row],[Admission_Date]],"YYYY")</f>
        <v>2025</v>
      </c>
      <c r="G1804" s="8" t="s">
        <v>3614</v>
      </c>
      <c r="H1804" s="8" t="s">
        <v>34</v>
      </c>
      <c r="I1804" s="4" t="s">
        <v>29</v>
      </c>
      <c r="J1804" s="4">
        <v>45</v>
      </c>
      <c r="K1804" s="4" t="s">
        <v>30</v>
      </c>
      <c r="L1804" s="8">
        <v>1</v>
      </c>
      <c r="M1804" s="9" t="s">
        <v>46</v>
      </c>
      <c r="N1804" s="9" t="str">
        <f t="shared" si="15"/>
        <v>Ortho</v>
      </c>
      <c r="O1804" s="10">
        <v>5481.42</v>
      </c>
      <c r="P1804" s="10">
        <v>4087.04</v>
      </c>
      <c r="Q1804" s="11">
        <v>10.7</v>
      </c>
      <c r="R1804" s="13" t="str">
        <f>IF(Patient_Data!$L1804&lt;2,"Low Risk",IF(Patient_Data!$L1804&lt;4,"Moderate Risk","High Risk"))</f>
        <v>Low Risk</v>
      </c>
      <c r="S1804" s="12" t="str">
        <f>IF(Patient_Data[[#This Row],[Age]]&lt;=18,"Pediatric",IF(Patient_Data[[#This Row],[Age]]&lt;=64,"Adult","Geriatric"))</f>
        <v>Adult</v>
      </c>
    </row>
    <row r="1805" spans="1:19" ht="15.75" customHeight="1" x14ac:dyDescent="0.3">
      <c r="A1805" s="4" t="s">
        <v>3615</v>
      </c>
      <c r="B1805" s="5" t="str">
        <f>TEXT(Patient_Data!$E1805,"mmmm")</f>
        <v>September</v>
      </c>
      <c r="C1805" s="6" t="str">
        <f t="shared" si="14"/>
        <v>Sep</v>
      </c>
      <c r="D1805" s="6">
        <f>MONTH(Patient_Data!$E1805)</f>
        <v>9</v>
      </c>
      <c r="E1805" s="7">
        <v>45174</v>
      </c>
      <c r="F1805" s="55" t="str">
        <f>TEXT(Patient_Data[[#This Row],[Admission_Date]],"YYYY")</f>
        <v>2023</v>
      </c>
      <c r="G1805" s="8" t="s">
        <v>3616</v>
      </c>
      <c r="H1805" s="8" t="s">
        <v>82</v>
      </c>
      <c r="I1805" s="4" t="s">
        <v>35</v>
      </c>
      <c r="J1805" s="4">
        <v>82</v>
      </c>
      <c r="K1805" s="4" t="s">
        <v>30</v>
      </c>
      <c r="L1805" s="8">
        <v>3</v>
      </c>
      <c r="M1805" s="9" t="s">
        <v>39</v>
      </c>
      <c r="N1805" s="9" t="str">
        <f t="shared" si="15"/>
        <v>GM</v>
      </c>
      <c r="O1805" s="10">
        <v>3657.2</v>
      </c>
      <c r="P1805" s="10">
        <v>2821.87</v>
      </c>
      <c r="Q1805" s="11">
        <v>5.3</v>
      </c>
      <c r="R1805" s="13" t="str">
        <f>IF(Patient_Data!$L1805&lt;2,"Low Risk",IF(Patient_Data!$L1805&lt;4,"Moderate Risk","High Risk"))</f>
        <v>Moderate Risk</v>
      </c>
      <c r="S1805" s="12" t="str">
        <f>IF(Patient_Data[[#This Row],[Age]]&lt;=18,"Pediatric",IF(Patient_Data[[#This Row],[Age]]&lt;=64,"Adult","Geriatric"))</f>
        <v>Geriatric</v>
      </c>
    </row>
    <row r="1806" spans="1:19" ht="15.75" customHeight="1" x14ac:dyDescent="0.3">
      <c r="A1806" s="4" t="s">
        <v>3617</v>
      </c>
      <c r="B1806" s="5" t="str">
        <f>TEXT(Patient_Data!$E1806,"mmmm")</f>
        <v>January</v>
      </c>
      <c r="C1806" s="6" t="str">
        <f t="shared" si="14"/>
        <v>Jan</v>
      </c>
      <c r="D1806" s="6">
        <f>MONTH(Patient_Data!$E1806)</f>
        <v>1</v>
      </c>
      <c r="E1806" s="7">
        <v>46042</v>
      </c>
      <c r="F1806" s="55" t="str">
        <f>TEXT(Patient_Data[[#This Row],[Admission_Date]],"YYYY")</f>
        <v>2026</v>
      </c>
      <c r="G1806" s="8" t="s">
        <v>3618</v>
      </c>
      <c r="H1806" s="8" t="s">
        <v>28</v>
      </c>
      <c r="I1806" s="4" t="s">
        <v>29</v>
      </c>
      <c r="J1806" s="4">
        <v>63</v>
      </c>
      <c r="K1806" s="4" t="s">
        <v>30</v>
      </c>
      <c r="L1806" s="8">
        <v>3</v>
      </c>
      <c r="M1806" s="9" t="s">
        <v>36</v>
      </c>
      <c r="N1806" s="9" t="str">
        <f t="shared" si="15"/>
        <v>Cardio</v>
      </c>
      <c r="O1806" s="10">
        <v>9937.43</v>
      </c>
      <c r="P1806" s="10">
        <v>5816.51</v>
      </c>
      <c r="Q1806" s="11">
        <v>6.6</v>
      </c>
      <c r="R1806" s="13" t="str">
        <f>IF(Patient_Data!$L1806&lt;2,"Low Risk",IF(Patient_Data!$L1806&lt;4,"Moderate Risk","High Risk"))</f>
        <v>Moderate Risk</v>
      </c>
      <c r="S1806" s="12" t="str">
        <f>IF(Patient_Data[[#This Row],[Age]]&lt;=18,"Pediatric",IF(Patient_Data[[#This Row],[Age]]&lt;=64,"Adult","Geriatric"))</f>
        <v>Adult</v>
      </c>
    </row>
    <row r="1807" spans="1:19" ht="15.75" customHeight="1" x14ac:dyDescent="0.3">
      <c r="A1807" s="4" t="s">
        <v>3619</v>
      </c>
      <c r="B1807" s="5" t="str">
        <f>TEXT(Patient_Data!$E1807,"mmmm")</f>
        <v>May</v>
      </c>
      <c r="C1807" s="6" t="str">
        <f t="shared" si="14"/>
        <v>May</v>
      </c>
      <c r="D1807" s="6">
        <f>MONTH(Patient_Data!$E1807)</f>
        <v>5</v>
      </c>
      <c r="E1807" s="7">
        <v>46150</v>
      </c>
      <c r="F1807" s="55" t="str">
        <f>TEXT(Patient_Data[[#This Row],[Admission_Date]],"YYYY")</f>
        <v>2026</v>
      </c>
      <c r="G1807" s="8" t="s">
        <v>3620</v>
      </c>
      <c r="H1807" s="8" t="s">
        <v>49</v>
      </c>
      <c r="I1807" s="4" t="s">
        <v>35</v>
      </c>
      <c r="J1807" s="4">
        <v>38</v>
      </c>
      <c r="K1807" s="4" t="s">
        <v>30</v>
      </c>
      <c r="L1807" s="8">
        <v>1</v>
      </c>
      <c r="M1807" s="9" t="s">
        <v>36</v>
      </c>
      <c r="N1807" s="9" t="str">
        <f t="shared" si="15"/>
        <v>Cardio</v>
      </c>
      <c r="O1807" s="10">
        <v>10265.129999999999</v>
      </c>
      <c r="P1807" s="10">
        <v>6280.13</v>
      </c>
      <c r="Q1807" s="11">
        <v>2.2999999999999998</v>
      </c>
      <c r="R1807" s="13" t="str">
        <f>IF(Patient_Data!$L1807&lt;2,"Low Risk",IF(Patient_Data!$L1807&lt;4,"Moderate Risk","High Risk"))</f>
        <v>Low Risk</v>
      </c>
      <c r="S1807" s="12" t="str">
        <f>IF(Patient_Data[[#This Row],[Age]]&lt;=18,"Pediatric",IF(Patient_Data[[#This Row],[Age]]&lt;=64,"Adult","Geriatric"))</f>
        <v>Adult</v>
      </c>
    </row>
    <row r="1808" spans="1:19" ht="15.75" customHeight="1" x14ac:dyDescent="0.3">
      <c r="A1808" s="4" t="s">
        <v>3621</v>
      </c>
      <c r="B1808" s="5" t="str">
        <f>TEXT(Patient_Data!$E1808,"mmmm")</f>
        <v>October</v>
      </c>
      <c r="C1808" s="6" t="str">
        <f t="shared" si="14"/>
        <v>Oct</v>
      </c>
      <c r="D1808" s="6">
        <f>MONTH(Patient_Data!$E1808)</f>
        <v>10</v>
      </c>
      <c r="E1808" s="7">
        <v>45575</v>
      </c>
      <c r="F1808" s="55" t="str">
        <f>TEXT(Patient_Data[[#This Row],[Admission_Date]],"YYYY")</f>
        <v>2024</v>
      </c>
      <c r="G1808" s="8" t="s">
        <v>3622</v>
      </c>
      <c r="H1808" s="8" t="s">
        <v>82</v>
      </c>
      <c r="I1808" s="4" t="s">
        <v>35</v>
      </c>
      <c r="J1808" s="4">
        <v>47</v>
      </c>
      <c r="K1808" s="4" t="s">
        <v>30</v>
      </c>
      <c r="L1808" s="8">
        <v>1</v>
      </c>
      <c r="M1808" s="9" t="s">
        <v>46</v>
      </c>
      <c r="N1808" s="9" t="str">
        <f t="shared" si="15"/>
        <v>Ortho</v>
      </c>
      <c r="O1808" s="10">
        <v>4811.51</v>
      </c>
      <c r="P1808" s="10">
        <v>3116.97</v>
      </c>
      <c r="Q1808" s="11">
        <v>4.7</v>
      </c>
      <c r="R1808" s="13" t="str">
        <f>IF(Patient_Data!$L1808&lt;2,"Low Risk",IF(Patient_Data!$L1808&lt;4,"Moderate Risk","High Risk"))</f>
        <v>Low Risk</v>
      </c>
      <c r="S1808" s="12" t="str">
        <f>IF(Patient_Data[[#This Row],[Age]]&lt;=18,"Pediatric",IF(Patient_Data[[#This Row],[Age]]&lt;=64,"Adult","Geriatric"))</f>
        <v>Adult</v>
      </c>
    </row>
    <row r="1809" spans="1:19" ht="15.75" customHeight="1" x14ac:dyDescent="0.3">
      <c r="A1809" s="4" t="s">
        <v>3623</v>
      </c>
      <c r="B1809" s="5" t="str">
        <f>TEXT(Patient_Data!$E1809,"mmmm")</f>
        <v>March</v>
      </c>
      <c r="C1809" s="6" t="str">
        <f t="shared" si="14"/>
        <v>Mar</v>
      </c>
      <c r="D1809" s="6">
        <f>MONTH(Patient_Data!$E1809)</f>
        <v>3</v>
      </c>
      <c r="E1809" s="7">
        <v>45365</v>
      </c>
      <c r="F1809" s="55" t="str">
        <f>TEXT(Patient_Data[[#This Row],[Admission_Date]],"YYYY")</f>
        <v>2024</v>
      </c>
      <c r="G1809" s="8" t="s">
        <v>3624</v>
      </c>
      <c r="H1809" s="8" t="s">
        <v>132</v>
      </c>
      <c r="I1809" s="4" t="s">
        <v>29</v>
      </c>
      <c r="J1809" s="4">
        <v>41</v>
      </c>
      <c r="K1809" s="4" t="s">
        <v>30</v>
      </c>
      <c r="L1809" s="8">
        <v>1</v>
      </c>
      <c r="M1809" s="9" t="s">
        <v>83</v>
      </c>
      <c r="N1809" s="9" t="str">
        <f t="shared" si="15"/>
        <v>ER</v>
      </c>
      <c r="O1809" s="10">
        <v>7141.9</v>
      </c>
      <c r="P1809" s="10">
        <v>4955.47</v>
      </c>
      <c r="Q1809" s="11">
        <v>21.3</v>
      </c>
      <c r="R1809" s="13" t="str">
        <f>IF(Patient_Data!$L1809&lt;2,"Low Risk",IF(Patient_Data!$L1809&lt;4,"Moderate Risk","High Risk"))</f>
        <v>Low Risk</v>
      </c>
      <c r="S1809" s="12" t="str">
        <f>IF(Patient_Data[[#This Row],[Age]]&lt;=18,"Pediatric",IF(Patient_Data[[#This Row],[Age]]&lt;=64,"Adult","Geriatric"))</f>
        <v>Adult</v>
      </c>
    </row>
    <row r="1810" spans="1:19" ht="15.75" customHeight="1" x14ac:dyDescent="0.3">
      <c r="A1810" s="4" t="s">
        <v>3625</v>
      </c>
      <c r="B1810" s="5" t="str">
        <f>TEXT(Patient_Data!$E1810,"mmmm")</f>
        <v>October</v>
      </c>
      <c r="C1810" s="6" t="str">
        <f t="shared" si="14"/>
        <v>Oct</v>
      </c>
      <c r="D1810" s="6">
        <f>MONTH(Patient_Data!$E1810)</f>
        <v>10</v>
      </c>
      <c r="E1810" s="7">
        <v>45219</v>
      </c>
      <c r="F1810" s="55" t="str">
        <f>TEXT(Patient_Data[[#This Row],[Admission_Date]],"YYYY")</f>
        <v>2023</v>
      </c>
      <c r="G1810" s="8" t="s">
        <v>3626</v>
      </c>
      <c r="H1810" s="8" t="s">
        <v>28</v>
      </c>
      <c r="I1810" s="4" t="s">
        <v>29</v>
      </c>
      <c r="J1810" s="4">
        <v>44</v>
      </c>
      <c r="K1810" s="4" t="s">
        <v>54</v>
      </c>
      <c r="L1810" s="8">
        <v>5</v>
      </c>
      <c r="M1810" s="9" t="s">
        <v>72</v>
      </c>
      <c r="N1810" s="9" t="str">
        <f t="shared" si="15"/>
        <v>Surgery</v>
      </c>
      <c r="O1810" s="10">
        <v>19688.91</v>
      </c>
      <c r="P1810" s="10">
        <v>13861.44</v>
      </c>
      <c r="Q1810" s="11">
        <v>9.9</v>
      </c>
      <c r="R1810" s="13" t="str">
        <f>IF(Patient_Data!$L1810&lt;2,"Low Risk",IF(Patient_Data!$L1810&lt;4,"Moderate Risk","High Risk"))</f>
        <v>High Risk</v>
      </c>
      <c r="S1810" s="12" t="str">
        <f>IF(Patient_Data[[#This Row],[Age]]&lt;=18,"Pediatric",IF(Patient_Data[[#This Row],[Age]]&lt;=64,"Adult","Geriatric"))</f>
        <v>Adult</v>
      </c>
    </row>
    <row r="1811" spans="1:19" ht="15.75" customHeight="1" x14ac:dyDescent="0.3">
      <c r="A1811" s="4" t="s">
        <v>3627</v>
      </c>
      <c r="B1811" s="5" t="str">
        <f>TEXT(Patient_Data!$E1811,"mmmm")</f>
        <v>October</v>
      </c>
      <c r="C1811" s="6" t="str">
        <f t="shared" si="14"/>
        <v>Oct</v>
      </c>
      <c r="D1811" s="6">
        <f>MONTH(Patient_Data!$E1811)</f>
        <v>10</v>
      </c>
      <c r="E1811" s="7">
        <v>45590</v>
      </c>
      <c r="F1811" s="55" t="str">
        <f>TEXT(Patient_Data[[#This Row],[Admission_Date]],"YYYY")</f>
        <v>2024</v>
      </c>
      <c r="G1811" s="8" t="s">
        <v>3628</v>
      </c>
      <c r="H1811" s="8" t="s">
        <v>34</v>
      </c>
      <c r="I1811" s="4" t="s">
        <v>29</v>
      </c>
      <c r="J1811" s="4">
        <v>67</v>
      </c>
      <c r="K1811" s="4" t="s">
        <v>54</v>
      </c>
      <c r="L1811" s="8">
        <v>4</v>
      </c>
      <c r="M1811" s="9" t="s">
        <v>72</v>
      </c>
      <c r="N1811" s="9" t="str">
        <f t="shared" si="15"/>
        <v>Surgery</v>
      </c>
      <c r="O1811" s="10">
        <v>21275.32</v>
      </c>
      <c r="P1811" s="10">
        <v>15605.38</v>
      </c>
      <c r="Q1811" s="11">
        <v>9.3000000000000007</v>
      </c>
      <c r="R1811" s="13" t="str">
        <f>IF(Patient_Data!$L1811&lt;2,"Low Risk",IF(Patient_Data!$L1811&lt;4,"Moderate Risk","High Risk"))</f>
        <v>High Risk</v>
      </c>
      <c r="S1811" s="12" t="str">
        <f>IF(Patient_Data[[#This Row],[Age]]&lt;=18,"Pediatric",IF(Patient_Data[[#This Row],[Age]]&lt;=64,"Adult","Geriatric"))</f>
        <v>Geriatric</v>
      </c>
    </row>
    <row r="1812" spans="1:19" ht="15.75" customHeight="1" x14ac:dyDescent="0.3">
      <c r="A1812" s="4" t="s">
        <v>3629</v>
      </c>
      <c r="B1812" s="5" t="str">
        <f>TEXT(Patient_Data!$E1812,"mmmm")</f>
        <v>August</v>
      </c>
      <c r="C1812" s="6" t="str">
        <f t="shared" si="14"/>
        <v>Aug</v>
      </c>
      <c r="D1812" s="6">
        <f>MONTH(Patient_Data!$E1812)</f>
        <v>8</v>
      </c>
      <c r="E1812" s="7">
        <v>45516</v>
      </c>
      <c r="F1812" s="55" t="str">
        <f>TEXT(Patient_Data[[#This Row],[Admission_Date]],"YYYY")</f>
        <v>2024</v>
      </c>
      <c r="G1812" s="8" t="s">
        <v>3630</v>
      </c>
      <c r="H1812" s="8" t="s">
        <v>53</v>
      </c>
      <c r="I1812" s="4" t="s">
        <v>29</v>
      </c>
      <c r="J1812" s="4">
        <v>33</v>
      </c>
      <c r="K1812" s="4" t="s">
        <v>30</v>
      </c>
      <c r="L1812" s="8">
        <v>1</v>
      </c>
      <c r="M1812" s="9" t="s">
        <v>39</v>
      </c>
      <c r="N1812" s="9" t="str">
        <f t="shared" si="15"/>
        <v>GM</v>
      </c>
      <c r="O1812" s="10">
        <v>4393.32</v>
      </c>
      <c r="P1812" s="10">
        <v>3382.12</v>
      </c>
      <c r="Q1812" s="11">
        <v>5.4</v>
      </c>
      <c r="R1812" s="13" t="str">
        <f>IF(Patient_Data!$L1812&lt;2,"Low Risk",IF(Patient_Data!$L1812&lt;4,"Moderate Risk","High Risk"))</f>
        <v>Low Risk</v>
      </c>
      <c r="S1812" s="12" t="str">
        <f>IF(Patient_Data[[#This Row],[Age]]&lt;=18,"Pediatric",IF(Patient_Data[[#This Row],[Age]]&lt;=64,"Adult","Geriatric"))</f>
        <v>Adult</v>
      </c>
    </row>
    <row r="1813" spans="1:19" ht="15.75" customHeight="1" x14ac:dyDescent="0.3">
      <c r="A1813" s="4" t="s">
        <v>3631</v>
      </c>
      <c r="B1813" s="5" t="str">
        <f>TEXT(Patient_Data!$E1813,"mmmm")</f>
        <v>April</v>
      </c>
      <c r="C1813" s="6" t="str">
        <f t="shared" si="14"/>
        <v>Apr</v>
      </c>
      <c r="D1813" s="6">
        <f>MONTH(Patient_Data!$E1813)</f>
        <v>4</v>
      </c>
      <c r="E1813" s="7">
        <v>45764</v>
      </c>
      <c r="F1813" s="55" t="str">
        <f>TEXT(Patient_Data[[#This Row],[Admission_Date]],"YYYY")</f>
        <v>2025</v>
      </c>
      <c r="G1813" s="8" t="s">
        <v>3632</v>
      </c>
      <c r="H1813" s="8" t="s">
        <v>98</v>
      </c>
      <c r="I1813" s="4" t="s">
        <v>29</v>
      </c>
      <c r="J1813" s="4">
        <v>50</v>
      </c>
      <c r="K1813" s="4" t="s">
        <v>30</v>
      </c>
      <c r="L1813" s="8">
        <v>3</v>
      </c>
      <c r="M1813" s="9" t="s">
        <v>83</v>
      </c>
      <c r="N1813" s="9" t="str">
        <f t="shared" si="15"/>
        <v>ER</v>
      </c>
      <c r="O1813" s="10">
        <v>5939.47</v>
      </c>
      <c r="P1813" s="10">
        <v>3606.49</v>
      </c>
      <c r="Q1813" s="11">
        <v>20.2</v>
      </c>
      <c r="R1813" s="13" t="str">
        <f>IF(Patient_Data!$L1813&lt;2,"Low Risk",IF(Patient_Data!$L1813&lt;4,"Moderate Risk","High Risk"))</f>
        <v>Moderate Risk</v>
      </c>
      <c r="S1813" s="12" t="str">
        <f>IF(Patient_Data[[#This Row],[Age]]&lt;=18,"Pediatric",IF(Patient_Data[[#This Row],[Age]]&lt;=64,"Adult","Geriatric"))</f>
        <v>Adult</v>
      </c>
    </row>
    <row r="1814" spans="1:19" ht="15.75" customHeight="1" x14ac:dyDescent="0.3">
      <c r="A1814" s="4" t="s">
        <v>3633</v>
      </c>
      <c r="B1814" s="5" t="str">
        <f>TEXT(Patient_Data!$E1814,"mmmm")</f>
        <v>February</v>
      </c>
      <c r="C1814" s="6" t="str">
        <f t="shared" si="14"/>
        <v>Feb</v>
      </c>
      <c r="D1814" s="6">
        <f>MONTH(Patient_Data!$E1814)</f>
        <v>2</v>
      </c>
      <c r="E1814" s="7">
        <v>45334</v>
      </c>
      <c r="F1814" s="55" t="str">
        <f>TEXT(Patient_Data[[#This Row],[Admission_Date]],"YYYY")</f>
        <v>2024</v>
      </c>
      <c r="G1814" s="8" t="s">
        <v>3634</v>
      </c>
      <c r="H1814" s="8" t="s">
        <v>53</v>
      </c>
      <c r="I1814" s="4" t="s">
        <v>29</v>
      </c>
      <c r="J1814" s="4">
        <v>80</v>
      </c>
      <c r="K1814" s="4" t="s">
        <v>54</v>
      </c>
      <c r="L1814" s="8">
        <v>3</v>
      </c>
      <c r="M1814" s="9" t="s">
        <v>46</v>
      </c>
      <c r="N1814" s="9" t="str">
        <f t="shared" si="15"/>
        <v>Ortho</v>
      </c>
      <c r="O1814" s="10">
        <v>5644.07</v>
      </c>
      <c r="P1814" s="10">
        <v>3499.68</v>
      </c>
      <c r="Q1814" s="11">
        <v>7.1</v>
      </c>
      <c r="R1814" s="13" t="str">
        <f>IF(Patient_Data!$L1814&lt;2,"Low Risk",IF(Patient_Data!$L1814&lt;4,"Moderate Risk","High Risk"))</f>
        <v>Moderate Risk</v>
      </c>
      <c r="S1814" s="12" t="str">
        <f>IF(Patient_Data[[#This Row],[Age]]&lt;=18,"Pediatric",IF(Patient_Data[[#This Row],[Age]]&lt;=64,"Adult","Geriatric"))</f>
        <v>Geriatric</v>
      </c>
    </row>
    <row r="1815" spans="1:19" ht="15.75" customHeight="1" x14ac:dyDescent="0.3">
      <c r="A1815" s="4" t="s">
        <v>3635</v>
      </c>
      <c r="B1815" s="5" t="str">
        <f>TEXT(Patient_Data!$E1815,"mmmm")</f>
        <v>April</v>
      </c>
      <c r="C1815" s="6" t="str">
        <f t="shared" si="14"/>
        <v>Apr</v>
      </c>
      <c r="D1815" s="6">
        <f>MONTH(Patient_Data!$E1815)</f>
        <v>4</v>
      </c>
      <c r="E1815" s="7">
        <v>46136</v>
      </c>
      <c r="F1815" s="55" t="str">
        <f>TEXT(Patient_Data[[#This Row],[Admission_Date]],"YYYY")</f>
        <v>2026</v>
      </c>
      <c r="G1815" s="8" t="s">
        <v>3636</v>
      </c>
      <c r="H1815" s="8" t="s">
        <v>49</v>
      </c>
      <c r="I1815" s="4" t="s">
        <v>29</v>
      </c>
      <c r="J1815" s="4">
        <v>47</v>
      </c>
      <c r="K1815" s="4" t="s">
        <v>30</v>
      </c>
      <c r="L1815" s="8">
        <v>2</v>
      </c>
      <c r="M1815" s="9" t="s">
        <v>31</v>
      </c>
      <c r="N1815" s="9" t="str">
        <f t="shared" si="15"/>
        <v>Neuro</v>
      </c>
      <c r="O1815" s="10">
        <v>6578.34</v>
      </c>
      <c r="P1815" s="10">
        <v>4257.34</v>
      </c>
      <c r="Q1815" s="11">
        <v>5.9</v>
      </c>
      <c r="R1815" s="13" t="str">
        <f>IF(Patient_Data!$L1815&lt;2,"Low Risk",IF(Patient_Data!$L1815&lt;4,"Moderate Risk","High Risk"))</f>
        <v>Moderate Risk</v>
      </c>
      <c r="S1815" s="12" t="str">
        <f>IF(Patient_Data[[#This Row],[Age]]&lt;=18,"Pediatric",IF(Patient_Data[[#This Row],[Age]]&lt;=64,"Adult","Geriatric"))</f>
        <v>Adult</v>
      </c>
    </row>
    <row r="1816" spans="1:19" ht="15.75" customHeight="1" x14ac:dyDescent="0.3">
      <c r="A1816" s="4" t="s">
        <v>3637</v>
      </c>
      <c r="B1816" s="5" t="str">
        <f>TEXT(Patient_Data!$E1816,"mmmm")</f>
        <v>November</v>
      </c>
      <c r="C1816" s="6" t="str">
        <f t="shared" si="14"/>
        <v>Nov</v>
      </c>
      <c r="D1816" s="6">
        <f>MONTH(Patient_Data!$E1816)</f>
        <v>11</v>
      </c>
      <c r="E1816" s="7">
        <v>45981</v>
      </c>
      <c r="F1816" s="55" t="str">
        <f>TEXT(Patient_Data[[#This Row],[Admission_Date]],"YYYY")</f>
        <v>2025</v>
      </c>
      <c r="G1816" s="8" t="s">
        <v>3638</v>
      </c>
      <c r="H1816" s="8" t="s">
        <v>34</v>
      </c>
      <c r="I1816" s="4" t="s">
        <v>29</v>
      </c>
      <c r="J1816" s="4">
        <v>44</v>
      </c>
      <c r="K1816" s="4" t="s">
        <v>30</v>
      </c>
      <c r="L1816" s="8">
        <v>1</v>
      </c>
      <c r="M1816" s="9" t="s">
        <v>36</v>
      </c>
      <c r="N1816" s="9" t="str">
        <f t="shared" si="15"/>
        <v>Cardio</v>
      </c>
      <c r="O1816" s="10">
        <v>5069.51</v>
      </c>
      <c r="P1816" s="10">
        <v>3416.57</v>
      </c>
      <c r="Q1816" s="11">
        <v>2.5</v>
      </c>
      <c r="R1816" s="13" t="str">
        <f>IF(Patient_Data!$L1816&lt;2,"Low Risk",IF(Patient_Data!$L1816&lt;4,"Moderate Risk","High Risk"))</f>
        <v>Low Risk</v>
      </c>
      <c r="S1816" s="12" t="str">
        <f>IF(Patient_Data[[#This Row],[Age]]&lt;=18,"Pediatric",IF(Patient_Data[[#This Row],[Age]]&lt;=64,"Adult","Geriatric"))</f>
        <v>Adult</v>
      </c>
    </row>
    <row r="1817" spans="1:19" ht="15.75" customHeight="1" x14ac:dyDescent="0.3">
      <c r="A1817" s="4" t="s">
        <v>3639</v>
      </c>
      <c r="B1817" s="5" t="str">
        <f>TEXT(Patient_Data!$E1817,"mmmm")</f>
        <v>February</v>
      </c>
      <c r="C1817" s="6" t="str">
        <f t="shared" si="14"/>
        <v>Feb</v>
      </c>
      <c r="D1817" s="6">
        <f>MONTH(Patient_Data!$E1817)</f>
        <v>2</v>
      </c>
      <c r="E1817" s="7">
        <v>45709</v>
      </c>
      <c r="F1817" s="55" t="str">
        <f>TEXT(Patient_Data[[#This Row],[Admission_Date]],"YYYY")</f>
        <v>2025</v>
      </c>
      <c r="G1817" s="8" t="s">
        <v>3640</v>
      </c>
      <c r="H1817" s="8" t="s">
        <v>28</v>
      </c>
      <c r="I1817" s="4" t="s">
        <v>29</v>
      </c>
      <c r="J1817" s="4">
        <v>13</v>
      </c>
      <c r="K1817" s="4" t="s">
        <v>30</v>
      </c>
      <c r="L1817" s="8">
        <v>1</v>
      </c>
      <c r="M1817" s="9" t="s">
        <v>79</v>
      </c>
      <c r="N1817" s="9" t="str">
        <f t="shared" si="15"/>
        <v>PD</v>
      </c>
      <c r="O1817" s="10">
        <v>714</v>
      </c>
      <c r="P1817" s="10">
        <v>503</v>
      </c>
      <c r="Q1817" s="11">
        <v>0.4</v>
      </c>
      <c r="R1817" s="13" t="str">
        <f>IF(Patient_Data!$L1817&lt;2,"Low Risk",IF(Patient_Data!$L1817&lt;4,"Moderate Risk","High Risk"))</f>
        <v>Low Risk</v>
      </c>
      <c r="S1817" s="12" t="str">
        <f>IF(Patient_Data[[#This Row],[Age]]&lt;=18,"Pediatric",IF(Patient_Data[[#This Row],[Age]]&lt;=64,"Adult","Geriatric"))</f>
        <v>Pediatric</v>
      </c>
    </row>
    <row r="1818" spans="1:19" ht="15.75" customHeight="1" x14ac:dyDescent="0.3">
      <c r="A1818" s="4" t="s">
        <v>3641</v>
      </c>
      <c r="B1818" s="5" t="str">
        <f>TEXT(Patient_Data!$E1818,"mmmm")</f>
        <v>October</v>
      </c>
      <c r="C1818" s="6" t="str">
        <f t="shared" si="14"/>
        <v>Oct</v>
      </c>
      <c r="D1818" s="6">
        <f>MONTH(Patient_Data!$E1818)</f>
        <v>10</v>
      </c>
      <c r="E1818" s="7">
        <v>45960</v>
      </c>
      <c r="F1818" s="55" t="str">
        <f>TEXT(Patient_Data[[#This Row],[Admission_Date]],"YYYY")</f>
        <v>2025</v>
      </c>
      <c r="G1818" s="8" t="s">
        <v>872</v>
      </c>
      <c r="H1818" s="8" t="s">
        <v>42</v>
      </c>
      <c r="I1818" s="4" t="s">
        <v>35</v>
      </c>
      <c r="J1818" s="4">
        <v>61</v>
      </c>
      <c r="K1818" s="4" t="s">
        <v>54</v>
      </c>
      <c r="L1818" s="8">
        <v>4</v>
      </c>
      <c r="M1818" s="9" t="s">
        <v>72</v>
      </c>
      <c r="N1818" s="9" t="str">
        <f t="shared" si="15"/>
        <v>Surgery</v>
      </c>
      <c r="O1818" s="10">
        <v>12632.11</v>
      </c>
      <c r="P1818" s="10">
        <v>9303.0400000000009</v>
      </c>
      <c r="Q1818" s="11">
        <v>10.199999999999999</v>
      </c>
      <c r="R1818" s="13" t="str">
        <f>IF(Patient_Data!$L1818&lt;2,"Low Risk",IF(Patient_Data!$L1818&lt;4,"Moderate Risk","High Risk"))</f>
        <v>High Risk</v>
      </c>
      <c r="S1818" s="12" t="str">
        <f>IF(Patient_Data[[#This Row],[Age]]&lt;=18,"Pediatric",IF(Patient_Data[[#This Row],[Age]]&lt;=64,"Adult","Geriatric"))</f>
        <v>Adult</v>
      </c>
    </row>
    <row r="1819" spans="1:19" ht="15.75" customHeight="1" x14ac:dyDescent="0.3">
      <c r="A1819" s="4" t="s">
        <v>3642</v>
      </c>
      <c r="B1819" s="5" t="str">
        <f>TEXT(Patient_Data!$E1819,"mmmm")</f>
        <v>September</v>
      </c>
      <c r="C1819" s="6" t="str">
        <f t="shared" si="14"/>
        <v>Sep</v>
      </c>
      <c r="D1819" s="6">
        <f>MONTH(Patient_Data!$E1819)</f>
        <v>9</v>
      </c>
      <c r="E1819" s="7">
        <v>45545</v>
      </c>
      <c r="F1819" s="55" t="str">
        <f>TEXT(Patient_Data[[#This Row],[Admission_Date]],"YYYY")</f>
        <v>2024</v>
      </c>
      <c r="G1819" s="8" t="s">
        <v>3643</v>
      </c>
      <c r="H1819" s="8" t="s">
        <v>34</v>
      </c>
      <c r="I1819" s="4" t="s">
        <v>35</v>
      </c>
      <c r="J1819" s="4">
        <v>0</v>
      </c>
      <c r="K1819" s="4" t="s">
        <v>54</v>
      </c>
      <c r="L1819" s="8">
        <v>2</v>
      </c>
      <c r="M1819" s="9" t="s">
        <v>79</v>
      </c>
      <c r="N1819" s="9" t="str">
        <f t="shared" si="15"/>
        <v>PD</v>
      </c>
      <c r="O1819" s="10">
        <v>1361.8</v>
      </c>
      <c r="P1819" s="10">
        <v>1037.3699999999999</v>
      </c>
      <c r="Q1819" s="11">
        <v>0.3</v>
      </c>
      <c r="R1819" s="13" t="str">
        <f>IF(Patient_Data!$L1819&lt;2,"Low Risk",IF(Patient_Data!$L1819&lt;4,"Moderate Risk","High Risk"))</f>
        <v>Moderate Risk</v>
      </c>
      <c r="S1819" s="12" t="str">
        <f>IF(Patient_Data[[#This Row],[Age]]&lt;=18,"Pediatric",IF(Patient_Data[[#This Row],[Age]]&lt;=64,"Adult","Geriatric"))</f>
        <v>Pediatric</v>
      </c>
    </row>
    <row r="1820" spans="1:19" ht="15.75" customHeight="1" x14ac:dyDescent="0.3">
      <c r="A1820" s="4" t="s">
        <v>3644</v>
      </c>
      <c r="B1820" s="5" t="str">
        <f>TEXT(Patient_Data!$E1820,"mmmm")</f>
        <v>September</v>
      </c>
      <c r="C1820" s="6" t="str">
        <f t="shared" si="14"/>
        <v>Sep</v>
      </c>
      <c r="D1820" s="6">
        <f>MONTH(Patient_Data!$E1820)</f>
        <v>9</v>
      </c>
      <c r="E1820" s="7">
        <v>45926</v>
      </c>
      <c r="F1820" s="55" t="str">
        <f>TEXT(Patient_Data[[#This Row],[Admission_Date]],"YYYY")</f>
        <v>2025</v>
      </c>
      <c r="G1820" s="8" t="s">
        <v>3645</v>
      </c>
      <c r="H1820" s="8" t="s">
        <v>28</v>
      </c>
      <c r="I1820" s="4" t="s">
        <v>29</v>
      </c>
      <c r="J1820" s="4">
        <v>62</v>
      </c>
      <c r="K1820" s="4" t="s">
        <v>30</v>
      </c>
      <c r="L1820" s="8">
        <v>1</v>
      </c>
      <c r="M1820" s="9" t="s">
        <v>36</v>
      </c>
      <c r="N1820" s="9" t="str">
        <f t="shared" si="15"/>
        <v>Cardio</v>
      </c>
      <c r="O1820" s="10">
        <v>6423.73</v>
      </c>
      <c r="P1820" s="10">
        <v>3750.56</v>
      </c>
      <c r="Q1820" s="11">
        <v>3.1</v>
      </c>
      <c r="R1820" s="13" t="str">
        <f>IF(Patient_Data!$L1820&lt;2,"Low Risk",IF(Patient_Data!$L1820&lt;4,"Moderate Risk","High Risk"))</f>
        <v>Low Risk</v>
      </c>
      <c r="S1820" s="12" t="str">
        <f>IF(Patient_Data[[#This Row],[Age]]&lt;=18,"Pediatric",IF(Patient_Data[[#This Row],[Age]]&lt;=64,"Adult","Geriatric"))</f>
        <v>Adult</v>
      </c>
    </row>
    <row r="1821" spans="1:19" ht="15.75" customHeight="1" x14ac:dyDescent="0.3">
      <c r="A1821" s="4" t="s">
        <v>3646</v>
      </c>
      <c r="B1821" s="5" t="str">
        <f>TEXT(Patient_Data!$E1821,"mmmm")</f>
        <v>February</v>
      </c>
      <c r="C1821" s="6" t="str">
        <f t="shared" si="14"/>
        <v>Feb</v>
      </c>
      <c r="D1821" s="6">
        <f>MONTH(Patient_Data!$E1821)</f>
        <v>2</v>
      </c>
      <c r="E1821" s="7">
        <v>46079</v>
      </c>
      <c r="F1821" s="55" t="str">
        <f>TEXT(Patient_Data[[#This Row],[Admission_Date]],"YYYY")</f>
        <v>2026</v>
      </c>
      <c r="G1821" s="8" t="s">
        <v>3647</v>
      </c>
      <c r="H1821" s="8" t="s">
        <v>82</v>
      </c>
      <c r="I1821" s="4" t="s">
        <v>35</v>
      </c>
      <c r="J1821" s="4">
        <v>24</v>
      </c>
      <c r="K1821" s="4" t="s">
        <v>30</v>
      </c>
      <c r="L1821" s="8">
        <v>2</v>
      </c>
      <c r="M1821" s="9" t="s">
        <v>36</v>
      </c>
      <c r="N1821" s="9" t="str">
        <f t="shared" si="15"/>
        <v>Cardio</v>
      </c>
      <c r="O1821" s="10">
        <v>7955.15</v>
      </c>
      <c r="P1821" s="10">
        <v>4935.84</v>
      </c>
      <c r="Q1821" s="11">
        <v>10.4</v>
      </c>
      <c r="R1821" s="13" t="str">
        <f>IF(Patient_Data!$L1821&lt;2,"Low Risk",IF(Patient_Data!$L1821&lt;4,"Moderate Risk","High Risk"))</f>
        <v>Moderate Risk</v>
      </c>
      <c r="S1821" s="12" t="str">
        <f>IF(Patient_Data[[#This Row],[Age]]&lt;=18,"Pediatric",IF(Patient_Data[[#This Row],[Age]]&lt;=64,"Adult","Geriatric"))</f>
        <v>Adult</v>
      </c>
    </row>
    <row r="1822" spans="1:19" ht="15.75" customHeight="1" x14ac:dyDescent="0.3">
      <c r="A1822" s="4" t="s">
        <v>3648</v>
      </c>
      <c r="B1822" s="5" t="str">
        <f>TEXT(Patient_Data!$E1822,"mmmm")</f>
        <v>November</v>
      </c>
      <c r="C1822" s="6" t="str">
        <f t="shared" si="14"/>
        <v>Nov</v>
      </c>
      <c r="D1822" s="6">
        <f>MONTH(Patient_Data!$E1822)</f>
        <v>11</v>
      </c>
      <c r="E1822" s="7">
        <v>45258</v>
      </c>
      <c r="F1822" s="55" t="str">
        <f>TEXT(Patient_Data[[#This Row],[Admission_Date]],"YYYY")</f>
        <v>2023</v>
      </c>
      <c r="G1822" s="8" t="s">
        <v>3649</v>
      </c>
      <c r="H1822" s="8" t="s">
        <v>82</v>
      </c>
      <c r="I1822" s="4" t="s">
        <v>29</v>
      </c>
      <c r="J1822" s="4">
        <v>71</v>
      </c>
      <c r="K1822" s="4" t="s">
        <v>30</v>
      </c>
      <c r="L1822" s="8">
        <v>5</v>
      </c>
      <c r="M1822" s="9" t="s">
        <v>50</v>
      </c>
      <c r="N1822" s="9" t="str">
        <f t="shared" si="15"/>
        <v>ICU</v>
      </c>
      <c r="O1822" s="10">
        <v>21609.37</v>
      </c>
      <c r="P1822" s="10">
        <v>13902</v>
      </c>
      <c r="Q1822" s="11">
        <v>9</v>
      </c>
      <c r="R1822" s="13" t="str">
        <f>IF(Patient_Data!$L1822&lt;2,"Low Risk",IF(Patient_Data!$L1822&lt;4,"Moderate Risk","High Risk"))</f>
        <v>High Risk</v>
      </c>
      <c r="S1822" s="12" t="str">
        <f>IF(Patient_Data[[#This Row],[Age]]&lt;=18,"Pediatric",IF(Patient_Data[[#This Row],[Age]]&lt;=64,"Adult","Geriatric"))</f>
        <v>Geriatric</v>
      </c>
    </row>
    <row r="1823" spans="1:19" ht="15.75" customHeight="1" x14ac:dyDescent="0.3">
      <c r="A1823" s="4" t="s">
        <v>3650</v>
      </c>
      <c r="B1823" s="5" t="str">
        <f>TEXT(Patient_Data!$E1823,"mmmm")</f>
        <v>February</v>
      </c>
      <c r="C1823" s="6" t="str">
        <f t="shared" si="14"/>
        <v>Feb</v>
      </c>
      <c r="D1823" s="6">
        <f>MONTH(Patient_Data!$E1823)</f>
        <v>2</v>
      </c>
      <c r="E1823" s="7">
        <v>45706</v>
      </c>
      <c r="F1823" s="55" t="str">
        <f>TEXT(Patient_Data[[#This Row],[Admission_Date]],"YYYY")</f>
        <v>2025</v>
      </c>
      <c r="G1823" s="8" t="s">
        <v>3651</v>
      </c>
      <c r="H1823" s="8" t="s">
        <v>132</v>
      </c>
      <c r="I1823" s="4" t="s">
        <v>35</v>
      </c>
      <c r="J1823" s="4">
        <v>76</v>
      </c>
      <c r="K1823" s="4" t="s">
        <v>30</v>
      </c>
      <c r="L1823" s="8">
        <v>3</v>
      </c>
      <c r="M1823" s="9" t="s">
        <v>72</v>
      </c>
      <c r="N1823" s="9" t="str">
        <f t="shared" si="15"/>
        <v>Surgery</v>
      </c>
      <c r="O1823" s="10">
        <v>12281.63</v>
      </c>
      <c r="P1823" s="10">
        <v>8323.89</v>
      </c>
      <c r="Q1823" s="11">
        <v>11.9</v>
      </c>
      <c r="R1823" s="13" t="str">
        <f>IF(Patient_Data!$L1823&lt;2,"Low Risk",IF(Patient_Data!$L1823&lt;4,"Moderate Risk","High Risk"))</f>
        <v>Moderate Risk</v>
      </c>
      <c r="S1823" s="12" t="str">
        <f>IF(Patient_Data[[#This Row],[Age]]&lt;=18,"Pediatric",IF(Patient_Data[[#This Row],[Age]]&lt;=64,"Adult","Geriatric"))</f>
        <v>Geriatric</v>
      </c>
    </row>
    <row r="1824" spans="1:19" ht="15.75" customHeight="1" x14ac:dyDescent="0.3">
      <c r="A1824" s="4" t="s">
        <v>3652</v>
      </c>
      <c r="B1824" s="5" t="str">
        <f>TEXT(Patient_Data!$E1824,"mmmm")</f>
        <v>December</v>
      </c>
      <c r="C1824" s="6" t="str">
        <f t="shared" si="14"/>
        <v>Dec</v>
      </c>
      <c r="D1824" s="6">
        <f>MONTH(Patient_Data!$E1824)</f>
        <v>12</v>
      </c>
      <c r="E1824" s="7">
        <v>45630</v>
      </c>
      <c r="F1824" s="55" t="str">
        <f>TEXT(Patient_Data[[#This Row],[Admission_Date]],"YYYY")</f>
        <v>2024</v>
      </c>
      <c r="G1824" s="8" t="s">
        <v>3653</v>
      </c>
      <c r="H1824" s="8" t="s">
        <v>49</v>
      </c>
      <c r="I1824" s="4" t="s">
        <v>29</v>
      </c>
      <c r="J1824" s="4">
        <v>72</v>
      </c>
      <c r="K1824" s="4" t="s">
        <v>54</v>
      </c>
      <c r="L1824" s="8">
        <v>4</v>
      </c>
      <c r="M1824" s="9" t="s">
        <v>50</v>
      </c>
      <c r="N1824" s="9" t="str">
        <f t="shared" si="15"/>
        <v>ICU</v>
      </c>
      <c r="O1824" s="10">
        <v>10367.68</v>
      </c>
      <c r="P1824" s="10">
        <v>7386.98</v>
      </c>
      <c r="Q1824" s="11">
        <v>16.2</v>
      </c>
      <c r="R1824" s="13" t="str">
        <f>IF(Patient_Data!$L1824&lt;2,"Low Risk",IF(Patient_Data!$L1824&lt;4,"Moderate Risk","High Risk"))</f>
        <v>High Risk</v>
      </c>
      <c r="S1824" s="12" t="str">
        <f>IF(Patient_Data[[#This Row],[Age]]&lt;=18,"Pediatric",IF(Patient_Data[[#This Row],[Age]]&lt;=64,"Adult","Geriatric"))</f>
        <v>Geriatric</v>
      </c>
    </row>
    <row r="1825" spans="1:19" ht="15.75" customHeight="1" x14ac:dyDescent="0.3">
      <c r="A1825" s="4" t="s">
        <v>3654</v>
      </c>
      <c r="B1825" s="5" t="str">
        <f>TEXT(Patient_Data!$E1825,"mmmm")</f>
        <v>July</v>
      </c>
      <c r="C1825" s="6" t="str">
        <f t="shared" si="14"/>
        <v>Jul</v>
      </c>
      <c r="D1825" s="6">
        <f>MONTH(Patient_Data!$E1825)</f>
        <v>7</v>
      </c>
      <c r="E1825" s="7">
        <v>45476</v>
      </c>
      <c r="F1825" s="55" t="str">
        <f>TEXT(Patient_Data[[#This Row],[Admission_Date]],"YYYY")</f>
        <v>2024</v>
      </c>
      <c r="G1825" s="8" t="s">
        <v>3655</v>
      </c>
      <c r="H1825" s="8" t="s">
        <v>53</v>
      </c>
      <c r="I1825" s="4" t="s">
        <v>29</v>
      </c>
      <c r="J1825" s="4">
        <v>68</v>
      </c>
      <c r="K1825" s="4" t="s">
        <v>54</v>
      </c>
      <c r="L1825" s="8">
        <v>5</v>
      </c>
      <c r="M1825" s="9" t="s">
        <v>31</v>
      </c>
      <c r="N1825" s="9" t="str">
        <f t="shared" si="15"/>
        <v>Neuro</v>
      </c>
      <c r="O1825" s="10">
        <v>16087.2</v>
      </c>
      <c r="P1825" s="10">
        <v>11787.66</v>
      </c>
      <c r="Q1825" s="11">
        <v>5.5</v>
      </c>
      <c r="R1825" s="13" t="str">
        <f>IF(Patient_Data!$L1825&lt;2,"Low Risk",IF(Patient_Data!$L1825&lt;4,"Moderate Risk","High Risk"))</f>
        <v>High Risk</v>
      </c>
      <c r="S1825" s="12" t="str">
        <f>IF(Patient_Data[[#This Row],[Age]]&lt;=18,"Pediatric",IF(Patient_Data[[#This Row],[Age]]&lt;=64,"Adult","Geriatric"))</f>
        <v>Geriatric</v>
      </c>
    </row>
    <row r="1826" spans="1:19" ht="15.75" customHeight="1" x14ac:dyDescent="0.3">
      <c r="A1826" s="4" t="s">
        <v>3656</v>
      </c>
      <c r="B1826" s="5" t="str">
        <f>TEXT(Patient_Data!$E1826,"mmmm")</f>
        <v>March</v>
      </c>
      <c r="C1826" s="6" t="str">
        <f t="shared" si="14"/>
        <v>Mar</v>
      </c>
      <c r="D1826" s="6">
        <f>MONTH(Patient_Data!$E1826)</f>
        <v>3</v>
      </c>
      <c r="E1826" s="7">
        <v>45365</v>
      </c>
      <c r="F1826" s="55" t="str">
        <f>TEXT(Patient_Data[[#This Row],[Admission_Date]],"YYYY")</f>
        <v>2024</v>
      </c>
      <c r="G1826" s="8" t="s">
        <v>3657</v>
      </c>
      <c r="H1826" s="8" t="s">
        <v>34</v>
      </c>
      <c r="I1826" s="4" t="s">
        <v>29</v>
      </c>
      <c r="J1826" s="4">
        <v>37</v>
      </c>
      <c r="K1826" s="4" t="s">
        <v>30</v>
      </c>
      <c r="L1826" s="8">
        <v>1</v>
      </c>
      <c r="M1826" s="9" t="s">
        <v>31</v>
      </c>
      <c r="N1826" s="9" t="str">
        <f t="shared" si="15"/>
        <v>Neuro</v>
      </c>
      <c r="O1826" s="10">
        <v>4016.52</v>
      </c>
      <c r="P1826" s="10">
        <v>3052.56</v>
      </c>
      <c r="Q1826" s="11"/>
      <c r="R1826" s="13" t="str">
        <f>IF(Patient_Data!$L1826&lt;2,"Low Risk",IF(Patient_Data!$L1826&lt;4,"Moderate Risk","High Risk"))</f>
        <v>Low Risk</v>
      </c>
      <c r="S1826" s="12" t="str">
        <f>IF(Patient_Data[[#This Row],[Age]]&lt;=18,"Pediatric",IF(Patient_Data[[#This Row],[Age]]&lt;=64,"Adult","Geriatric"))</f>
        <v>Adult</v>
      </c>
    </row>
    <row r="1827" spans="1:19" ht="15.75" customHeight="1" x14ac:dyDescent="0.3">
      <c r="A1827" s="4" t="s">
        <v>3658</v>
      </c>
      <c r="B1827" s="5" t="str">
        <f>TEXT(Patient_Data!$E1827,"mmmm")</f>
        <v>February</v>
      </c>
      <c r="C1827" s="6" t="str">
        <f t="shared" si="14"/>
        <v>Feb</v>
      </c>
      <c r="D1827" s="6">
        <f>MONTH(Patient_Data!$E1827)</f>
        <v>2</v>
      </c>
      <c r="E1827" s="7">
        <v>45342</v>
      </c>
      <c r="F1827" s="55" t="str">
        <f>TEXT(Patient_Data[[#This Row],[Admission_Date]],"YYYY")</f>
        <v>2024</v>
      </c>
      <c r="G1827" s="8" t="s">
        <v>3659</v>
      </c>
      <c r="H1827" s="8" t="s">
        <v>82</v>
      </c>
      <c r="I1827" s="4" t="s">
        <v>29</v>
      </c>
      <c r="J1827" s="4">
        <v>76</v>
      </c>
      <c r="K1827" s="4" t="s">
        <v>54</v>
      </c>
      <c r="L1827" s="8">
        <v>4</v>
      </c>
      <c r="M1827" s="9" t="s">
        <v>50</v>
      </c>
      <c r="N1827" s="9" t="str">
        <f t="shared" si="15"/>
        <v>ICU</v>
      </c>
      <c r="O1827" s="10">
        <v>13585.23</v>
      </c>
      <c r="P1827" s="10">
        <v>7986.63</v>
      </c>
      <c r="Q1827" s="11">
        <v>13.4</v>
      </c>
      <c r="R1827" s="13" t="str">
        <f>IF(Patient_Data!$L1827&lt;2,"Low Risk",IF(Patient_Data!$L1827&lt;4,"Moderate Risk","High Risk"))</f>
        <v>High Risk</v>
      </c>
      <c r="S1827" s="12" t="str">
        <f>IF(Patient_Data[[#This Row],[Age]]&lt;=18,"Pediatric",IF(Patient_Data[[#This Row],[Age]]&lt;=64,"Adult","Geriatric"))</f>
        <v>Geriatric</v>
      </c>
    </row>
    <row r="1828" spans="1:19" ht="15.75" customHeight="1" x14ac:dyDescent="0.3">
      <c r="A1828" s="4" t="s">
        <v>3660</v>
      </c>
      <c r="B1828" s="5" t="str">
        <f>TEXT(Patient_Data!$E1828,"mmmm")</f>
        <v>December</v>
      </c>
      <c r="C1828" s="6" t="str">
        <f t="shared" si="14"/>
        <v>Dec</v>
      </c>
      <c r="D1828" s="6">
        <f>MONTH(Patient_Data!$E1828)</f>
        <v>12</v>
      </c>
      <c r="E1828" s="7">
        <v>46014</v>
      </c>
      <c r="F1828" s="55" t="str">
        <f>TEXT(Patient_Data[[#This Row],[Admission_Date]],"YYYY")</f>
        <v>2025</v>
      </c>
      <c r="G1828" s="8" t="s">
        <v>3661</v>
      </c>
      <c r="H1828" s="8" t="s">
        <v>82</v>
      </c>
      <c r="I1828" s="4" t="s">
        <v>35</v>
      </c>
      <c r="J1828" s="4">
        <v>66</v>
      </c>
      <c r="K1828" s="4" t="s">
        <v>54</v>
      </c>
      <c r="L1828" s="8">
        <v>1</v>
      </c>
      <c r="M1828" s="9" t="s">
        <v>39</v>
      </c>
      <c r="N1828" s="9" t="str">
        <f t="shared" si="15"/>
        <v>GM</v>
      </c>
      <c r="O1828" s="10">
        <v>3370.56</v>
      </c>
      <c r="P1828" s="10">
        <v>2113.64</v>
      </c>
      <c r="Q1828" s="11">
        <v>7.2</v>
      </c>
      <c r="R1828" s="13" t="str">
        <f>IF(Patient_Data!$L1828&lt;2,"Low Risk",IF(Patient_Data!$L1828&lt;4,"Moderate Risk","High Risk"))</f>
        <v>Low Risk</v>
      </c>
      <c r="S1828" s="12" t="str">
        <f>IF(Patient_Data[[#This Row],[Age]]&lt;=18,"Pediatric",IF(Patient_Data[[#This Row],[Age]]&lt;=64,"Adult","Geriatric"))</f>
        <v>Geriatric</v>
      </c>
    </row>
    <row r="1829" spans="1:19" ht="15.75" customHeight="1" x14ac:dyDescent="0.3">
      <c r="A1829" s="4" t="s">
        <v>3662</v>
      </c>
      <c r="B1829" s="5" t="str">
        <f>TEXT(Patient_Data!$E1829,"mmmm")</f>
        <v>December</v>
      </c>
      <c r="C1829" s="6" t="str">
        <f t="shared" si="14"/>
        <v>Dec</v>
      </c>
      <c r="D1829" s="6">
        <f>MONTH(Patient_Data!$E1829)</f>
        <v>12</v>
      </c>
      <c r="E1829" s="7">
        <v>45632</v>
      </c>
      <c r="F1829" s="55" t="str">
        <f>TEXT(Patient_Data[[#This Row],[Admission_Date]],"YYYY")</f>
        <v>2024</v>
      </c>
      <c r="G1829" s="8" t="s">
        <v>3663</v>
      </c>
      <c r="H1829" s="8" t="s">
        <v>28</v>
      </c>
      <c r="I1829" s="4" t="s">
        <v>29</v>
      </c>
      <c r="J1829" s="4">
        <v>2</v>
      </c>
      <c r="K1829" s="4" t="s">
        <v>45</v>
      </c>
      <c r="L1829" s="8">
        <v>4</v>
      </c>
      <c r="M1829" s="9" t="s">
        <v>79</v>
      </c>
      <c r="N1829" s="9" t="str">
        <f t="shared" si="15"/>
        <v>PD</v>
      </c>
      <c r="O1829" s="10">
        <v>1513.56</v>
      </c>
      <c r="P1829" s="10">
        <v>977.48</v>
      </c>
      <c r="Q1829" s="11">
        <v>1.1000000000000001</v>
      </c>
      <c r="R1829" s="13" t="str">
        <f>IF(Patient_Data!$L1829&lt;2,"Low Risk",IF(Patient_Data!$L1829&lt;4,"Moderate Risk","High Risk"))</f>
        <v>High Risk</v>
      </c>
      <c r="S1829" s="12" t="str">
        <f>IF(Patient_Data[[#This Row],[Age]]&lt;=18,"Pediatric",IF(Patient_Data[[#This Row],[Age]]&lt;=64,"Adult","Geriatric"))</f>
        <v>Pediatric</v>
      </c>
    </row>
    <row r="1830" spans="1:19" ht="15.75" customHeight="1" x14ac:dyDescent="0.3">
      <c r="A1830" s="4" t="s">
        <v>3664</v>
      </c>
      <c r="B1830" s="5" t="str">
        <f>TEXT(Patient_Data!$E1830,"mmmm")</f>
        <v>January</v>
      </c>
      <c r="C1830" s="6" t="str">
        <f t="shared" si="14"/>
        <v>Jan</v>
      </c>
      <c r="D1830" s="6">
        <f>MONTH(Patient_Data!$E1830)</f>
        <v>1</v>
      </c>
      <c r="E1830" s="7">
        <v>46024</v>
      </c>
      <c r="F1830" s="55" t="str">
        <f>TEXT(Patient_Data[[#This Row],[Admission_Date]],"YYYY")</f>
        <v>2026</v>
      </c>
      <c r="G1830" s="8" t="s">
        <v>3665</v>
      </c>
      <c r="H1830" s="8" t="s">
        <v>34</v>
      </c>
      <c r="I1830" s="4" t="s">
        <v>35</v>
      </c>
      <c r="J1830" s="4">
        <v>80</v>
      </c>
      <c r="K1830" s="4" t="s">
        <v>54</v>
      </c>
      <c r="L1830" s="8">
        <v>3</v>
      </c>
      <c r="M1830" s="9" t="s">
        <v>31</v>
      </c>
      <c r="N1830" s="9" t="str">
        <f t="shared" si="15"/>
        <v>Neuro</v>
      </c>
      <c r="O1830" s="10">
        <v>14025.65</v>
      </c>
      <c r="P1830" s="10">
        <v>9417.99</v>
      </c>
      <c r="Q1830" s="11">
        <v>2.6</v>
      </c>
      <c r="R1830" s="13" t="str">
        <f>IF(Patient_Data!$L1830&lt;2,"Low Risk",IF(Patient_Data!$L1830&lt;4,"Moderate Risk","High Risk"))</f>
        <v>Moderate Risk</v>
      </c>
      <c r="S1830" s="12" t="str">
        <f>IF(Patient_Data[[#This Row],[Age]]&lt;=18,"Pediatric",IF(Patient_Data[[#This Row],[Age]]&lt;=64,"Adult","Geriatric"))</f>
        <v>Geriatric</v>
      </c>
    </row>
    <row r="1831" spans="1:19" ht="15.75" customHeight="1" x14ac:dyDescent="0.3">
      <c r="A1831" s="4" t="s">
        <v>3666</v>
      </c>
      <c r="B1831" s="5" t="str">
        <f>TEXT(Patient_Data!$E1831,"mmmm")</f>
        <v>April</v>
      </c>
      <c r="C1831" s="6" t="str">
        <f t="shared" si="14"/>
        <v>Apr</v>
      </c>
      <c r="D1831" s="6">
        <f>MONTH(Patient_Data!$E1831)</f>
        <v>4</v>
      </c>
      <c r="E1831" s="7">
        <v>46139</v>
      </c>
      <c r="F1831" s="55" t="str">
        <f>TEXT(Patient_Data[[#This Row],[Admission_Date]],"YYYY")</f>
        <v>2026</v>
      </c>
      <c r="G1831" s="8" t="s">
        <v>3667</v>
      </c>
      <c r="H1831" s="8" t="s">
        <v>53</v>
      </c>
      <c r="I1831" s="4" t="s">
        <v>29</v>
      </c>
      <c r="J1831" s="4">
        <v>82</v>
      </c>
      <c r="K1831" s="4" t="s">
        <v>30</v>
      </c>
      <c r="L1831" s="8">
        <v>5</v>
      </c>
      <c r="M1831" s="9" t="s">
        <v>72</v>
      </c>
      <c r="N1831" s="9" t="str">
        <f t="shared" si="15"/>
        <v>Surgery</v>
      </c>
      <c r="O1831" s="10">
        <v>25261.45</v>
      </c>
      <c r="P1831" s="10">
        <v>17745.419999999998</v>
      </c>
      <c r="Q1831" s="11">
        <v>7.8</v>
      </c>
      <c r="R1831" s="13" t="str">
        <f>IF(Patient_Data!$L1831&lt;2,"Low Risk",IF(Patient_Data!$L1831&lt;4,"Moderate Risk","High Risk"))</f>
        <v>High Risk</v>
      </c>
      <c r="S1831" s="12" t="str">
        <f>IF(Patient_Data[[#This Row],[Age]]&lt;=18,"Pediatric",IF(Patient_Data[[#This Row],[Age]]&lt;=64,"Adult","Geriatric"))</f>
        <v>Geriatric</v>
      </c>
    </row>
    <row r="1832" spans="1:19" ht="15.75" customHeight="1" x14ac:dyDescent="0.3">
      <c r="A1832" s="4" t="s">
        <v>3668</v>
      </c>
      <c r="B1832" s="5" t="str">
        <f>TEXT(Patient_Data!$E1832,"mmmm")</f>
        <v>December</v>
      </c>
      <c r="C1832" s="6" t="str">
        <f t="shared" si="14"/>
        <v>Dec</v>
      </c>
      <c r="D1832" s="6">
        <f>MONTH(Patient_Data!$E1832)</f>
        <v>12</v>
      </c>
      <c r="E1832" s="7">
        <v>45649</v>
      </c>
      <c r="F1832" s="55" t="str">
        <f>TEXT(Patient_Data[[#This Row],[Admission_Date]],"YYYY")</f>
        <v>2024</v>
      </c>
      <c r="G1832" s="8" t="s">
        <v>3669</v>
      </c>
      <c r="H1832" s="8" t="s">
        <v>98</v>
      </c>
      <c r="I1832" s="4" t="s">
        <v>35</v>
      </c>
      <c r="J1832" s="4">
        <v>19</v>
      </c>
      <c r="K1832" s="4" t="s">
        <v>30</v>
      </c>
      <c r="L1832" s="8">
        <v>1</v>
      </c>
      <c r="M1832" s="9" t="s">
        <v>31</v>
      </c>
      <c r="N1832" s="9" t="str">
        <f t="shared" si="15"/>
        <v>Neuro</v>
      </c>
      <c r="O1832" s="10">
        <v>5289.76</v>
      </c>
      <c r="P1832" s="10">
        <v>3926.32</v>
      </c>
      <c r="Q1832" s="11">
        <v>8.1</v>
      </c>
      <c r="R1832" s="13" t="str">
        <f>IF(Patient_Data!$L1832&lt;2,"Low Risk",IF(Patient_Data!$L1832&lt;4,"Moderate Risk","High Risk"))</f>
        <v>Low Risk</v>
      </c>
      <c r="S1832" s="12" t="str">
        <f>IF(Patient_Data[[#This Row],[Age]]&lt;=18,"Pediatric",IF(Patient_Data[[#This Row],[Age]]&lt;=64,"Adult","Geriatric"))</f>
        <v>Adult</v>
      </c>
    </row>
    <row r="1833" spans="1:19" ht="15.75" customHeight="1" x14ac:dyDescent="0.3">
      <c r="A1833" s="4" t="s">
        <v>3670</v>
      </c>
      <c r="B1833" s="5" t="str">
        <f>TEXT(Patient_Data!$E1833,"mmmm")</f>
        <v>April</v>
      </c>
      <c r="C1833" s="6" t="str">
        <f t="shared" si="14"/>
        <v>Apr</v>
      </c>
      <c r="D1833" s="6">
        <f>MONTH(Patient_Data!$E1833)</f>
        <v>4</v>
      </c>
      <c r="E1833" s="7">
        <v>46142</v>
      </c>
      <c r="F1833" s="55" t="str">
        <f>TEXT(Patient_Data[[#This Row],[Admission_Date]],"YYYY")</f>
        <v>2026</v>
      </c>
      <c r="G1833" s="8" t="s">
        <v>3671</v>
      </c>
      <c r="H1833" s="8" t="s">
        <v>42</v>
      </c>
      <c r="I1833" s="4" t="s">
        <v>35</v>
      </c>
      <c r="J1833" s="4">
        <v>59</v>
      </c>
      <c r="K1833" s="4" t="s">
        <v>30</v>
      </c>
      <c r="L1833" s="8">
        <v>2</v>
      </c>
      <c r="M1833" s="9" t="s">
        <v>83</v>
      </c>
      <c r="N1833" s="9" t="str">
        <f t="shared" si="15"/>
        <v>ER</v>
      </c>
      <c r="O1833" s="10">
        <v>7325.9</v>
      </c>
      <c r="P1833" s="10">
        <v>5689.28</v>
      </c>
      <c r="Q1833" s="11">
        <v>15.2</v>
      </c>
      <c r="R1833" s="13" t="str">
        <f>IF(Patient_Data!$L1833&lt;2,"Low Risk",IF(Patient_Data!$L1833&lt;4,"Moderate Risk","High Risk"))</f>
        <v>Moderate Risk</v>
      </c>
      <c r="S1833" s="12" t="str">
        <f>IF(Patient_Data[[#This Row],[Age]]&lt;=18,"Pediatric",IF(Patient_Data[[#This Row],[Age]]&lt;=64,"Adult","Geriatric"))</f>
        <v>Adult</v>
      </c>
    </row>
    <row r="1834" spans="1:19" ht="15.75" customHeight="1" x14ac:dyDescent="0.3">
      <c r="A1834" s="4" t="s">
        <v>3672</v>
      </c>
      <c r="B1834" s="5" t="str">
        <f>TEXT(Patient_Data!$E1834,"mmmm")</f>
        <v>May</v>
      </c>
      <c r="C1834" s="6" t="str">
        <f t="shared" si="14"/>
        <v>May</v>
      </c>
      <c r="D1834" s="6">
        <f>MONTH(Patient_Data!$E1834)</f>
        <v>5</v>
      </c>
      <c r="E1834" s="7">
        <v>45779</v>
      </c>
      <c r="F1834" s="55" t="str">
        <f>TEXT(Patient_Data[[#This Row],[Admission_Date]],"YYYY")</f>
        <v>2025</v>
      </c>
      <c r="G1834" s="8" t="s">
        <v>3130</v>
      </c>
      <c r="H1834" s="8" t="s">
        <v>42</v>
      </c>
      <c r="I1834" s="4" t="s">
        <v>29</v>
      </c>
      <c r="J1834" s="4">
        <v>28</v>
      </c>
      <c r="K1834" s="4" t="s">
        <v>30</v>
      </c>
      <c r="L1834" s="8">
        <v>1</v>
      </c>
      <c r="M1834" s="9" t="s">
        <v>39</v>
      </c>
      <c r="N1834" s="9" t="str">
        <f t="shared" si="15"/>
        <v>GM</v>
      </c>
      <c r="O1834" s="10">
        <v>3131.12</v>
      </c>
      <c r="P1834" s="10">
        <v>1892.05</v>
      </c>
      <c r="Q1834" s="11">
        <v>9.5</v>
      </c>
      <c r="R1834" s="13" t="str">
        <f>IF(Patient_Data!$L1834&lt;2,"Low Risk",IF(Patient_Data!$L1834&lt;4,"Moderate Risk","High Risk"))</f>
        <v>Low Risk</v>
      </c>
      <c r="S1834" s="12" t="str">
        <f>IF(Patient_Data[[#This Row],[Age]]&lt;=18,"Pediatric",IF(Patient_Data[[#This Row],[Age]]&lt;=64,"Adult","Geriatric"))</f>
        <v>Adult</v>
      </c>
    </row>
    <row r="1835" spans="1:19" ht="15.75" customHeight="1" x14ac:dyDescent="0.3">
      <c r="A1835" s="4" t="s">
        <v>3673</v>
      </c>
      <c r="B1835" s="5" t="str">
        <f>TEXT(Patient_Data!$E1835,"mmmm")</f>
        <v>February</v>
      </c>
      <c r="C1835" s="6" t="str">
        <f t="shared" si="14"/>
        <v>Feb</v>
      </c>
      <c r="D1835" s="6">
        <f>MONTH(Patient_Data!$E1835)</f>
        <v>2</v>
      </c>
      <c r="E1835" s="7">
        <v>45328</v>
      </c>
      <c r="F1835" s="55" t="str">
        <f>TEXT(Patient_Data[[#This Row],[Admission_Date]],"YYYY")</f>
        <v>2024</v>
      </c>
      <c r="G1835" s="8" t="s">
        <v>3674</v>
      </c>
      <c r="H1835" s="8" t="s">
        <v>34</v>
      </c>
      <c r="I1835" s="4" t="s">
        <v>29</v>
      </c>
      <c r="J1835" s="4">
        <v>27</v>
      </c>
      <c r="K1835" s="4" t="s">
        <v>45</v>
      </c>
      <c r="L1835" s="8">
        <v>4</v>
      </c>
      <c r="M1835" s="9" t="s">
        <v>83</v>
      </c>
      <c r="N1835" s="9" t="str">
        <f t="shared" si="15"/>
        <v>ER</v>
      </c>
      <c r="O1835" s="10">
        <v>12816.53</v>
      </c>
      <c r="P1835" s="10">
        <v>7981.28</v>
      </c>
      <c r="Q1835" s="11">
        <v>20.399999999999999</v>
      </c>
      <c r="R1835" s="13" t="str">
        <f>IF(Patient_Data!$L1835&lt;2,"Low Risk",IF(Patient_Data!$L1835&lt;4,"Moderate Risk","High Risk"))</f>
        <v>High Risk</v>
      </c>
      <c r="S1835" s="12" t="str">
        <f>IF(Patient_Data[[#This Row],[Age]]&lt;=18,"Pediatric",IF(Patient_Data[[#This Row],[Age]]&lt;=64,"Adult","Geriatric"))</f>
        <v>Adult</v>
      </c>
    </row>
    <row r="1836" spans="1:19" ht="15.75" customHeight="1" x14ac:dyDescent="0.3">
      <c r="A1836" s="4" t="s">
        <v>3675</v>
      </c>
      <c r="B1836" s="5" t="str">
        <f>TEXT(Patient_Data!$E1836,"mmmm")</f>
        <v>November</v>
      </c>
      <c r="C1836" s="6" t="str">
        <f t="shared" si="14"/>
        <v>Nov</v>
      </c>
      <c r="D1836" s="6">
        <f>MONTH(Patient_Data!$E1836)</f>
        <v>11</v>
      </c>
      <c r="E1836" s="7">
        <v>45975</v>
      </c>
      <c r="F1836" s="55" t="str">
        <f>TEXT(Patient_Data[[#This Row],[Admission_Date]],"YYYY")</f>
        <v>2025</v>
      </c>
      <c r="G1836" s="8" t="s">
        <v>3676</v>
      </c>
      <c r="H1836" s="8" t="s">
        <v>34</v>
      </c>
      <c r="I1836" s="4" t="s">
        <v>35</v>
      </c>
      <c r="J1836" s="4">
        <v>71</v>
      </c>
      <c r="K1836" s="4" t="s">
        <v>30</v>
      </c>
      <c r="L1836" s="8">
        <v>2</v>
      </c>
      <c r="M1836" s="9" t="s">
        <v>39</v>
      </c>
      <c r="N1836" s="9" t="str">
        <f t="shared" si="15"/>
        <v>GM</v>
      </c>
      <c r="O1836" s="10">
        <v>2003.6</v>
      </c>
      <c r="P1836" s="10">
        <v>1354.3</v>
      </c>
      <c r="Q1836" s="11">
        <v>9</v>
      </c>
      <c r="R1836" s="13" t="str">
        <f>IF(Patient_Data!$L1836&lt;2,"Low Risk",IF(Patient_Data!$L1836&lt;4,"Moderate Risk","High Risk"))</f>
        <v>Moderate Risk</v>
      </c>
      <c r="S1836" s="12" t="str">
        <f>IF(Patient_Data[[#This Row],[Age]]&lt;=18,"Pediatric",IF(Patient_Data[[#This Row],[Age]]&lt;=64,"Adult","Geriatric"))</f>
        <v>Geriatric</v>
      </c>
    </row>
    <row r="1837" spans="1:19" ht="15.75" customHeight="1" x14ac:dyDescent="0.3">
      <c r="A1837" s="4" t="s">
        <v>3677</v>
      </c>
      <c r="B1837" s="5" t="str">
        <f>TEXT(Patient_Data!$E1837,"mmmm")</f>
        <v>November</v>
      </c>
      <c r="C1837" s="6" t="str">
        <f t="shared" si="14"/>
        <v>Nov</v>
      </c>
      <c r="D1837" s="6">
        <f>MONTH(Patient_Data!$E1837)</f>
        <v>11</v>
      </c>
      <c r="E1837" s="7">
        <v>45238</v>
      </c>
      <c r="F1837" s="55" t="str">
        <f>TEXT(Patient_Data[[#This Row],[Admission_Date]],"YYYY")</f>
        <v>2023</v>
      </c>
      <c r="G1837" s="8" t="s">
        <v>3678</v>
      </c>
      <c r="H1837" s="8" t="s">
        <v>34</v>
      </c>
      <c r="I1837" s="4" t="s">
        <v>29</v>
      </c>
      <c r="J1837" s="4">
        <v>9</v>
      </c>
      <c r="K1837" s="4" t="s">
        <v>30</v>
      </c>
      <c r="L1837" s="8">
        <v>2</v>
      </c>
      <c r="M1837" s="9" t="s">
        <v>79</v>
      </c>
      <c r="N1837" s="9" t="str">
        <f t="shared" si="15"/>
        <v>PD</v>
      </c>
      <c r="O1837" s="10">
        <v>1693.97</v>
      </c>
      <c r="P1837" s="10">
        <v>1168.56</v>
      </c>
      <c r="Q1837" s="11">
        <v>4.2</v>
      </c>
      <c r="R1837" s="13" t="str">
        <f>IF(Patient_Data!$L1837&lt;2,"Low Risk",IF(Patient_Data!$L1837&lt;4,"Moderate Risk","High Risk"))</f>
        <v>Moderate Risk</v>
      </c>
      <c r="S1837" s="12" t="str">
        <f>IF(Patient_Data[[#This Row],[Age]]&lt;=18,"Pediatric",IF(Patient_Data[[#This Row],[Age]]&lt;=64,"Adult","Geriatric"))</f>
        <v>Pediatric</v>
      </c>
    </row>
    <row r="1838" spans="1:19" ht="15.75" customHeight="1" x14ac:dyDescent="0.3">
      <c r="A1838" s="4" t="s">
        <v>3679</v>
      </c>
      <c r="B1838" s="5" t="str">
        <f>TEXT(Patient_Data!$E1838,"mmmm")</f>
        <v>June</v>
      </c>
      <c r="C1838" s="6" t="str">
        <f t="shared" si="14"/>
        <v>Jun</v>
      </c>
      <c r="D1838" s="6">
        <f>MONTH(Patient_Data!$E1838)</f>
        <v>6</v>
      </c>
      <c r="E1838" s="7">
        <v>46195</v>
      </c>
      <c r="F1838" s="55" t="str">
        <f>TEXT(Patient_Data[[#This Row],[Admission_Date]],"YYYY")</f>
        <v>2026</v>
      </c>
      <c r="G1838" s="8" t="s">
        <v>3680</v>
      </c>
      <c r="H1838" s="8" t="s">
        <v>28</v>
      </c>
      <c r="I1838" s="4" t="s">
        <v>29</v>
      </c>
      <c r="J1838" s="4">
        <v>10</v>
      </c>
      <c r="K1838" s="4" t="s">
        <v>45</v>
      </c>
      <c r="L1838" s="8">
        <v>3</v>
      </c>
      <c r="M1838" s="9" t="s">
        <v>79</v>
      </c>
      <c r="N1838" s="9" t="str">
        <f t="shared" si="15"/>
        <v>PD</v>
      </c>
      <c r="O1838" s="10">
        <v>2688</v>
      </c>
      <c r="P1838" s="10">
        <v>1906.4</v>
      </c>
      <c r="Q1838" s="11">
        <v>3.1</v>
      </c>
      <c r="R1838" s="13" t="str">
        <f>IF(Patient_Data!$L1838&lt;2,"Low Risk",IF(Patient_Data!$L1838&lt;4,"Moderate Risk","High Risk"))</f>
        <v>Moderate Risk</v>
      </c>
      <c r="S1838" s="12" t="str">
        <f>IF(Patient_Data[[#This Row],[Age]]&lt;=18,"Pediatric",IF(Patient_Data[[#This Row],[Age]]&lt;=64,"Adult","Geriatric"))</f>
        <v>Pediatric</v>
      </c>
    </row>
    <row r="1839" spans="1:19" ht="15.75" customHeight="1" x14ac:dyDescent="0.3">
      <c r="A1839" s="4" t="s">
        <v>3681</v>
      </c>
      <c r="B1839" s="5" t="str">
        <f>TEXT(Patient_Data!$E1839,"mmmm")</f>
        <v>June</v>
      </c>
      <c r="C1839" s="6" t="str">
        <f t="shared" si="14"/>
        <v>Jun</v>
      </c>
      <c r="D1839" s="6">
        <f>MONTH(Patient_Data!$E1839)</f>
        <v>6</v>
      </c>
      <c r="E1839" s="7">
        <v>45468</v>
      </c>
      <c r="F1839" s="55" t="str">
        <f>TEXT(Patient_Data[[#This Row],[Admission_Date]],"YYYY")</f>
        <v>2024</v>
      </c>
      <c r="G1839" s="8" t="s">
        <v>3682</v>
      </c>
      <c r="H1839" s="8" t="s">
        <v>53</v>
      </c>
      <c r="I1839" s="4" t="s">
        <v>29</v>
      </c>
      <c r="J1839" s="4">
        <v>38</v>
      </c>
      <c r="K1839" s="4" t="s">
        <v>30</v>
      </c>
      <c r="L1839" s="8">
        <v>1</v>
      </c>
      <c r="M1839" s="9" t="s">
        <v>31</v>
      </c>
      <c r="N1839" s="9" t="str">
        <f t="shared" si="15"/>
        <v>Neuro</v>
      </c>
      <c r="O1839" s="10">
        <v>9470.42</v>
      </c>
      <c r="P1839" s="10">
        <v>6930.21</v>
      </c>
      <c r="Q1839" s="11">
        <v>2.1</v>
      </c>
      <c r="R1839" s="13" t="str">
        <f>IF(Patient_Data!$L1839&lt;2,"Low Risk",IF(Patient_Data!$L1839&lt;4,"Moderate Risk","High Risk"))</f>
        <v>Low Risk</v>
      </c>
      <c r="S1839" s="12" t="str">
        <f>IF(Patient_Data[[#This Row],[Age]]&lt;=18,"Pediatric",IF(Patient_Data[[#This Row],[Age]]&lt;=64,"Adult","Geriatric"))</f>
        <v>Adult</v>
      </c>
    </row>
    <row r="1840" spans="1:19" ht="15.75" customHeight="1" x14ac:dyDescent="0.3">
      <c r="A1840" s="4" t="s">
        <v>3683</v>
      </c>
      <c r="B1840" s="5" t="str">
        <f>TEXT(Patient_Data!$E1840,"mmmm")</f>
        <v>May</v>
      </c>
      <c r="C1840" s="6" t="str">
        <f t="shared" si="14"/>
        <v>May</v>
      </c>
      <c r="D1840" s="6">
        <f>MONTH(Patient_Data!$E1840)</f>
        <v>5</v>
      </c>
      <c r="E1840" s="7">
        <v>45413</v>
      </c>
      <c r="F1840" s="55" t="str">
        <f>TEXT(Patient_Data[[#This Row],[Admission_Date]],"YYYY")</f>
        <v>2024</v>
      </c>
      <c r="G1840" s="8" t="s">
        <v>3684</v>
      </c>
      <c r="H1840" s="8" t="s">
        <v>34</v>
      </c>
      <c r="I1840" s="4" t="s">
        <v>35</v>
      </c>
      <c r="J1840" s="4">
        <v>61</v>
      </c>
      <c r="K1840" s="4" t="s">
        <v>30</v>
      </c>
      <c r="L1840" s="8">
        <v>2</v>
      </c>
      <c r="M1840" s="9" t="s">
        <v>31</v>
      </c>
      <c r="N1840" s="9" t="str">
        <f t="shared" si="15"/>
        <v>Neuro</v>
      </c>
      <c r="O1840" s="10">
        <v>9411.0400000000009</v>
      </c>
      <c r="P1840" s="10">
        <v>7202.79</v>
      </c>
      <c r="Q1840" s="11">
        <v>6.3</v>
      </c>
      <c r="R1840" s="13" t="str">
        <f>IF(Patient_Data!$L1840&lt;2,"Low Risk",IF(Patient_Data!$L1840&lt;4,"Moderate Risk","High Risk"))</f>
        <v>Moderate Risk</v>
      </c>
      <c r="S1840" s="12" t="str">
        <f>IF(Patient_Data[[#This Row],[Age]]&lt;=18,"Pediatric",IF(Patient_Data[[#This Row],[Age]]&lt;=64,"Adult","Geriatric"))</f>
        <v>Adult</v>
      </c>
    </row>
    <row r="1841" spans="1:19" ht="15.75" customHeight="1" x14ac:dyDescent="0.3">
      <c r="A1841" s="4" t="s">
        <v>3685</v>
      </c>
      <c r="B1841" s="5" t="str">
        <f>TEXT(Patient_Data!$E1841,"mmmm")</f>
        <v>March</v>
      </c>
      <c r="C1841" s="6" t="str">
        <f t="shared" si="14"/>
        <v>Mar</v>
      </c>
      <c r="D1841" s="6">
        <f>MONTH(Patient_Data!$E1841)</f>
        <v>3</v>
      </c>
      <c r="E1841" s="7">
        <v>46086</v>
      </c>
      <c r="F1841" s="55" t="str">
        <f>TEXT(Patient_Data[[#This Row],[Admission_Date]],"YYYY")</f>
        <v>2026</v>
      </c>
      <c r="G1841" s="8" t="s">
        <v>3686</v>
      </c>
      <c r="H1841" s="8" t="s">
        <v>82</v>
      </c>
      <c r="I1841" s="4" t="s">
        <v>29</v>
      </c>
      <c r="J1841" s="4">
        <v>61</v>
      </c>
      <c r="K1841" s="4" t="s">
        <v>30</v>
      </c>
      <c r="L1841" s="8">
        <v>5</v>
      </c>
      <c r="M1841" s="9" t="s">
        <v>72</v>
      </c>
      <c r="N1841" s="9" t="str">
        <f t="shared" si="15"/>
        <v>Surgery</v>
      </c>
      <c r="O1841" s="10">
        <v>13511.16</v>
      </c>
      <c r="P1841" s="10">
        <v>7895.67</v>
      </c>
      <c r="Q1841" s="11">
        <v>7.4</v>
      </c>
      <c r="R1841" s="13" t="str">
        <f>IF(Patient_Data!$L1841&lt;2,"Low Risk",IF(Patient_Data!$L1841&lt;4,"Moderate Risk","High Risk"))</f>
        <v>High Risk</v>
      </c>
      <c r="S1841" s="12" t="str">
        <f>IF(Patient_Data[[#This Row],[Age]]&lt;=18,"Pediatric",IF(Patient_Data[[#This Row],[Age]]&lt;=64,"Adult","Geriatric"))</f>
        <v>Adult</v>
      </c>
    </row>
    <row r="1842" spans="1:19" ht="15.75" customHeight="1" x14ac:dyDescent="0.3">
      <c r="A1842" s="4" t="s">
        <v>3687</v>
      </c>
      <c r="B1842" s="5" t="str">
        <f>TEXT(Patient_Data!$E1842,"mmmm")</f>
        <v>August</v>
      </c>
      <c r="C1842" s="6" t="str">
        <f t="shared" si="14"/>
        <v>Aug</v>
      </c>
      <c r="D1842" s="6">
        <f>MONTH(Patient_Data!$E1842)</f>
        <v>8</v>
      </c>
      <c r="E1842" s="7">
        <v>45509</v>
      </c>
      <c r="F1842" s="55" t="str">
        <f>TEXT(Patient_Data[[#This Row],[Admission_Date]],"YYYY")</f>
        <v>2024</v>
      </c>
      <c r="G1842" s="8" t="s">
        <v>3688</v>
      </c>
      <c r="H1842" s="8" t="s">
        <v>98</v>
      </c>
      <c r="I1842" s="4" t="s">
        <v>29</v>
      </c>
      <c r="J1842" s="4">
        <v>15</v>
      </c>
      <c r="K1842" s="4" t="s">
        <v>30</v>
      </c>
      <c r="L1842" s="8">
        <v>1</v>
      </c>
      <c r="M1842" s="9" t="s">
        <v>79</v>
      </c>
      <c r="N1842" s="9" t="str">
        <f t="shared" si="15"/>
        <v>PD</v>
      </c>
      <c r="O1842" s="10">
        <v>1463.9</v>
      </c>
      <c r="P1842" s="10">
        <v>904.18</v>
      </c>
      <c r="Q1842" s="11">
        <v>1.4</v>
      </c>
      <c r="R1842" s="13" t="str">
        <f>IF(Patient_Data!$L1842&lt;2,"Low Risk",IF(Patient_Data!$L1842&lt;4,"Moderate Risk","High Risk"))</f>
        <v>Low Risk</v>
      </c>
      <c r="S1842" s="12" t="str">
        <f>IF(Patient_Data[[#This Row],[Age]]&lt;=18,"Pediatric",IF(Patient_Data[[#This Row],[Age]]&lt;=64,"Adult","Geriatric"))</f>
        <v>Pediatric</v>
      </c>
    </row>
    <row r="1843" spans="1:19" ht="15.75" customHeight="1" x14ac:dyDescent="0.3">
      <c r="A1843" s="4" t="s">
        <v>3689</v>
      </c>
      <c r="B1843" s="5" t="str">
        <f>TEXT(Patient_Data!$E1843,"mmmm")</f>
        <v>November</v>
      </c>
      <c r="C1843" s="6" t="str">
        <f t="shared" si="14"/>
        <v>Nov</v>
      </c>
      <c r="D1843" s="6">
        <f>MONTH(Patient_Data!$E1843)</f>
        <v>11</v>
      </c>
      <c r="E1843" s="7">
        <v>45600</v>
      </c>
      <c r="F1843" s="55" t="str">
        <f>TEXT(Patient_Data[[#This Row],[Admission_Date]],"YYYY")</f>
        <v>2024</v>
      </c>
      <c r="G1843" s="8" t="s">
        <v>3690</v>
      </c>
      <c r="H1843" s="8" t="s">
        <v>53</v>
      </c>
      <c r="I1843" s="4" t="s">
        <v>35</v>
      </c>
      <c r="J1843" s="4">
        <v>46</v>
      </c>
      <c r="K1843" s="4" t="s">
        <v>30</v>
      </c>
      <c r="L1843" s="8">
        <v>1</v>
      </c>
      <c r="M1843" s="9" t="s">
        <v>46</v>
      </c>
      <c r="N1843" s="9" t="str">
        <f t="shared" si="15"/>
        <v>Ortho</v>
      </c>
      <c r="O1843" s="10">
        <v>7980.28</v>
      </c>
      <c r="P1843" s="10">
        <v>5169.78</v>
      </c>
      <c r="Q1843" s="11">
        <v>7.8</v>
      </c>
      <c r="R1843" s="13" t="str">
        <f>IF(Patient_Data!$L1843&lt;2,"Low Risk",IF(Patient_Data!$L1843&lt;4,"Moderate Risk","High Risk"))</f>
        <v>Low Risk</v>
      </c>
      <c r="S1843" s="12" t="str">
        <f>IF(Patient_Data[[#This Row],[Age]]&lt;=18,"Pediatric",IF(Patient_Data[[#This Row],[Age]]&lt;=64,"Adult","Geriatric"))</f>
        <v>Adult</v>
      </c>
    </row>
    <row r="1844" spans="1:19" ht="15.75" customHeight="1" x14ac:dyDescent="0.3">
      <c r="A1844" s="4" t="s">
        <v>3691</v>
      </c>
      <c r="B1844" s="5" t="str">
        <f>TEXT(Patient_Data!$E1844,"mmmm")</f>
        <v>September</v>
      </c>
      <c r="C1844" s="6" t="str">
        <f t="shared" si="14"/>
        <v>Sep</v>
      </c>
      <c r="D1844" s="6">
        <f>MONTH(Patient_Data!$E1844)</f>
        <v>9</v>
      </c>
      <c r="E1844" s="7">
        <v>45561</v>
      </c>
      <c r="F1844" s="55" t="str">
        <f>TEXT(Patient_Data[[#This Row],[Admission_Date]],"YYYY")</f>
        <v>2024</v>
      </c>
      <c r="G1844" s="8" t="s">
        <v>3692</v>
      </c>
      <c r="H1844" s="8" t="s">
        <v>28</v>
      </c>
      <c r="I1844" s="4" t="s">
        <v>29</v>
      </c>
      <c r="J1844" s="4">
        <v>50</v>
      </c>
      <c r="K1844" s="4" t="s">
        <v>45</v>
      </c>
      <c r="L1844" s="8">
        <v>4</v>
      </c>
      <c r="M1844" s="9" t="s">
        <v>39</v>
      </c>
      <c r="N1844" s="9" t="str">
        <f t="shared" si="15"/>
        <v>GM</v>
      </c>
      <c r="O1844" s="10">
        <v>4129.7299999999996</v>
      </c>
      <c r="P1844" s="10">
        <v>2802.92</v>
      </c>
      <c r="Q1844" s="11">
        <v>4.5</v>
      </c>
      <c r="R1844" s="13" t="str">
        <f>IF(Patient_Data!$L1844&lt;2,"Low Risk",IF(Patient_Data!$L1844&lt;4,"Moderate Risk","High Risk"))</f>
        <v>High Risk</v>
      </c>
      <c r="S1844" s="12" t="str">
        <f>IF(Patient_Data[[#This Row],[Age]]&lt;=18,"Pediatric",IF(Patient_Data[[#This Row],[Age]]&lt;=64,"Adult","Geriatric"))</f>
        <v>Adult</v>
      </c>
    </row>
    <row r="1845" spans="1:19" ht="15.75" customHeight="1" x14ac:dyDescent="0.3">
      <c r="A1845" s="4" t="s">
        <v>3693</v>
      </c>
      <c r="B1845" s="5" t="str">
        <f>TEXT(Patient_Data!$E1845,"mmmm")</f>
        <v>May</v>
      </c>
      <c r="C1845" s="6" t="str">
        <f t="shared" si="14"/>
        <v>May</v>
      </c>
      <c r="D1845" s="6">
        <f>MONTH(Patient_Data!$E1845)</f>
        <v>5</v>
      </c>
      <c r="E1845" s="7">
        <v>45425</v>
      </c>
      <c r="F1845" s="55" t="str">
        <f>TEXT(Patient_Data[[#This Row],[Admission_Date]],"YYYY")</f>
        <v>2024</v>
      </c>
      <c r="G1845" s="8" t="s">
        <v>3694</v>
      </c>
      <c r="H1845" s="8" t="s">
        <v>42</v>
      </c>
      <c r="I1845" s="4" t="s">
        <v>35</v>
      </c>
      <c r="J1845" s="4">
        <v>53</v>
      </c>
      <c r="K1845" s="4" t="s">
        <v>30</v>
      </c>
      <c r="L1845" s="8">
        <v>1</v>
      </c>
      <c r="M1845" s="9" t="s">
        <v>36</v>
      </c>
      <c r="N1845" s="9" t="str">
        <f t="shared" si="15"/>
        <v>Cardio</v>
      </c>
      <c r="O1845" s="10">
        <v>7013.76</v>
      </c>
      <c r="P1845" s="10">
        <v>4969.63</v>
      </c>
      <c r="Q1845" s="11">
        <v>7.5</v>
      </c>
      <c r="R1845" s="13" t="str">
        <f>IF(Patient_Data!$L1845&lt;2,"Low Risk",IF(Patient_Data!$L1845&lt;4,"Moderate Risk","High Risk"))</f>
        <v>Low Risk</v>
      </c>
      <c r="S1845" s="12" t="str">
        <f>IF(Patient_Data[[#This Row],[Age]]&lt;=18,"Pediatric",IF(Patient_Data[[#This Row],[Age]]&lt;=64,"Adult","Geriatric"))</f>
        <v>Adult</v>
      </c>
    </row>
    <row r="1846" spans="1:19" ht="15.75" customHeight="1" x14ac:dyDescent="0.3">
      <c r="A1846" s="4" t="s">
        <v>3695</v>
      </c>
      <c r="B1846" s="5" t="str">
        <f>TEXT(Patient_Data!$E1846,"mmmm")</f>
        <v>November</v>
      </c>
      <c r="C1846" s="6" t="str">
        <f t="shared" si="14"/>
        <v>Nov</v>
      </c>
      <c r="D1846" s="6">
        <f>MONTH(Patient_Data!$E1846)</f>
        <v>11</v>
      </c>
      <c r="E1846" s="7">
        <v>45254</v>
      </c>
      <c r="F1846" s="55" t="str">
        <f>TEXT(Patient_Data[[#This Row],[Admission_Date]],"YYYY")</f>
        <v>2023</v>
      </c>
      <c r="G1846" s="8" t="s">
        <v>3696</v>
      </c>
      <c r="H1846" s="8" t="s">
        <v>49</v>
      </c>
      <c r="I1846" s="4" t="s">
        <v>29</v>
      </c>
      <c r="J1846" s="4">
        <v>45</v>
      </c>
      <c r="K1846" s="4" t="s">
        <v>30</v>
      </c>
      <c r="L1846" s="8">
        <v>2</v>
      </c>
      <c r="M1846" s="9" t="s">
        <v>36</v>
      </c>
      <c r="N1846" s="9" t="str">
        <f t="shared" si="15"/>
        <v>Cardio</v>
      </c>
      <c r="O1846" s="10">
        <v>10533.07</v>
      </c>
      <c r="P1846" s="10">
        <v>7721.14</v>
      </c>
      <c r="Q1846" s="11">
        <v>4</v>
      </c>
      <c r="R1846" s="13" t="str">
        <f>IF(Patient_Data!$L1846&lt;2,"Low Risk",IF(Patient_Data!$L1846&lt;4,"Moderate Risk","High Risk"))</f>
        <v>Moderate Risk</v>
      </c>
      <c r="S1846" s="12" t="str">
        <f>IF(Patient_Data[[#This Row],[Age]]&lt;=18,"Pediatric",IF(Patient_Data[[#This Row],[Age]]&lt;=64,"Adult","Geriatric"))</f>
        <v>Adult</v>
      </c>
    </row>
    <row r="1847" spans="1:19" ht="15.75" customHeight="1" x14ac:dyDescent="0.3">
      <c r="A1847" s="4" t="s">
        <v>3697</v>
      </c>
      <c r="B1847" s="5" t="str">
        <f>TEXT(Patient_Data!$E1847,"mmmm")</f>
        <v>January</v>
      </c>
      <c r="C1847" s="6" t="str">
        <f t="shared" si="14"/>
        <v>Jan</v>
      </c>
      <c r="D1847" s="6">
        <f>MONTH(Patient_Data!$E1847)</f>
        <v>1</v>
      </c>
      <c r="E1847" s="7">
        <v>46034</v>
      </c>
      <c r="F1847" s="55" t="str">
        <f>TEXT(Patient_Data[[#This Row],[Admission_Date]],"YYYY")</f>
        <v>2026</v>
      </c>
      <c r="G1847" s="8" t="s">
        <v>3698</v>
      </c>
      <c r="H1847" s="8" t="s">
        <v>53</v>
      </c>
      <c r="I1847" s="4" t="s">
        <v>29</v>
      </c>
      <c r="J1847" s="4">
        <v>89</v>
      </c>
      <c r="K1847" s="4" t="s">
        <v>54</v>
      </c>
      <c r="L1847" s="8">
        <v>5</v>
      </c>
      <c r="M1847" s="9" t="s">
        <v>46</v>
      </c>
      <c r="N1847" s="9" t="str">
        <f t="shared" si="15"/>
        <v>Ortho</v>
      </c>
      <c r="O1847" s="10">
        <v>12020.66</v>
      </c>
      <c r="P1847" s="10">
        <v>9151.7000000000007</v>
      </c>
      <c r="Q1847" s="11">
        <v>2</v>
      </c>
      <c r="R1847" s="13" t="str">
        <f>IF(Patient_Data!$L1847&lt;2,"Low Risk",IF(Patient_Data!$L1847&lt;4,"Moderate Risk","High Risk"))</f>
        <v>High Risk</v>
      </c>
      <c r="S1847" s="12" t="str">
        <f>IF(Patient_Data[[#This Row],[Age]]&lt;=18,"Pediatric",IF(Patient_Data[[#This Row],[Age]]&lt;=64,"Adult","Geriatric"))</f>
        <v>Geriatric</v>
      </c>
    </row>
    <row r="1848" spans="1:19" ht="15.75" customHeight="1" x14ac:dyDescent="0.3">
      <c r="A1848" s="4" t="s">
        <v>3699</v>
      </c>
      <c r="B1848" s="5" t="str">
        <f>TEXT(Patient_Data!$E1848,"mmmm")</f>
        <v>February</v>
      </c>
      <c r="C1848" s="6" t="str">
        <f t="shared" si="14"/>
        <v>Feb</v>
      </c>
      <c r="D1848" s="6">
        <f>MONTH(Patient_Data!$E1848)</f>
        <v>2</v>
      </c>
      <c r="E1848" s="7">
        <v>45327</v>
      </c>
      <c r="F1848" s="55" t="str">
        <f>TEXT(Patient_Data[[#This Row],[Admission_Date]],"YYYY")</f>
        <v>2024</v>
      </c>
      <c r="G1848" s="8" t="s">
        <v>3700</v>
      </c>
      <c r="H1848" s="8" t="s">
        <v>49</v>
      </c>
      <c r="I1848" s="4" t="s">
        <v>29</v>
      </c>
      <c r="J1848" s="4">
        <v>32</v>
      </c>
      <c r="K1848" s="4" t="s">
        <v>30</v>
      </c>
      <c r="L1848" s="8">
        <v>2</v>
      </c>
      <c r="M1848" s="9" t="s">
        <v>39</v>
      </c>
      <c r="N1848" s="9" t="str">
        <f t="shared" si="15"/>
        <v>GM</v>
      </c>
      <c r="O1848" s="10">
        <v>3403.95</v>
      </c>
      <c r="P1848" s="10">
        <v>2039.89</v>
      </c>
      <c r="Q1848" s="11">
        <v>8.1999999999999993</v>
      </c>
      <c r="R1848" s="13" t="str">
        <f>IF(Patient_Data!$L1848&lt;2,"Low Risk",IF(Patient_Data!$L1848&lt;4,"Moderate Risk","High Risk"))</f>
        <v>Moderate Risk</v>
      </c>
      <c r="S1848" s="12" t="str">
        <f>IF(Patient_Data[[#This Row],[Age]]&lt;=18,"Pediatric",IF(Patient_Data[[#This Row],[Age]]&lt;=64,"Adult","Geriatric"))</f>
        <v>Adult</v>
      </c>
    </row>
    <row r="1849" spans="1:19" ht="15.75" customHeight="1" x14ac:dyDescent="0.3">
      <c r="A1849" s="4" t="s">
        <v>3701</v>
      </c>
      <c r="B1849" s="5" t="str">
        <f>TEXT(Patient_Data!$E1849,"mmmm")</f>
        <v>February</v>
      </c>
      <c r="C1849" s="6" t="str">
        <f t="shared" si="14"/>
        <v>Feb</v>
      </c>
      <c r="D1849" s="6">
        <f>MONTH(Patient_Data!$E1849)</f>
        <v>2</v>
      </c>
      <c r="E1849" s="7">
        <v>46058</v>
      </c>
      <c r="F1849" s="55" t="str">
        <f>TEXT(Patient_Data[[#This Row],[Admission_Date]],"YYYY")</f>
        <v>2026</v>
      </c>
      <c r="G1849" s="8" t="s">
        <v>3702</v>
      </c>
      <c r="H1849" s="8" t="s">
        <v>75</v>
      </c>
      <c r="I1849" s="4" t="s">
        <v>29</v>
      </c>
      <c r="J1849" s="4">
        <v>53</v>
      </c>
      <c r="K1849" s="4" t="s">
        <v>30</v>
      </c>
      <c r="L1849" s="8">
        <v>1</v>
      </c>
      <c r="M1849" s="9" t="s">
        <v>39</v>
      </c>
      <c r="N1849" s="9" t="str">
        <f t="shared" si="15"/>
        <v>GM</v>
      </c>
      <c r="O1849" s="10">
        <v>3647.07</v>
      </c>
      <c r="P1849" s="10">
        <v>2260.71</v>
      </c>
      <c r="Q1849" s="11">
        <v>4.5</v>
      </c>
      <c r="R1849" s="13" t="str">
        <f>IF(Patient_Data!$L1849&lt;2,"Low Risk",IF(Patient_Data!$L1849&lt;4,"Moderate Risk","High Risk"))</f>
        <v>Low Risk</v>
      </c>
      <c r="S1849" s="12" t="str">
        <f>IF(Patient_Data[[#This Row],[Age]]&lt;=18,"Pediatric",IF(Patient_Data[[#This Row],[Age]]&lt;=64,"Adult","Geriatric"))</f>
        <v>Adult</v>
      </c>
    </row>
    <row r="1850" spans="1:19" ht="15.75" customHeight="1" x14ac:dyDescent="0.3">
      <c r="A1850" s="4" t="s">
        <v>3703</v>
      </c>
      <c r="B1850" s="5" t="str">
        <f>TEXT(Patient_Data!$E1850,"mmmm")</f>
        <v>October</v>
      </c>
      <c r="C1850" s="6" t="str">
        <f t="shared" si="14"/>
        <v>Oct</v>
      </c>
      <c r="D1850" s="6">
        <f>MONTH(Patient_Data!$E1850)</f>
        <v>10</v>
      </c>
      <c r="E1850" s="7">
        <v>45580</v>
      </c>
      <c r="F1850" s="55" t="str">
        <f>TEXT(Patient_Data[[#This Row],[Admission_Date]],"YYYY")</f>
        <v>2024</v>
      </c>
      <c r="G1850" s="8" t="s">
        <v>3704</v>
      </c>
      <c r="H1850" s="8" t="s">
        <v>53</v>
      </c>
      <c r="I1850" s="4" t="s">
        <v>35</v>
      </c>
      <c r="J1850" s="4">
        <v>45</v>
      </c>
      <c r="K1850" s="4" t="s">
        <v>45</v>
      </c>
      <c r="L1850" s="8">
        <v>3</v>
      </c>
      <c r="M1850" s="9" t="s">
        <v>36</v>
      </c>
      <c r="N1850" s="9" t="str">
        <f t="shared" si="15"/>
        <v>Cardio</v>
      </c>
      <c r="O1850" s="10">
        <v>7108.9</v>
      </c>
      <c r="P1850" s="10">
        <v>4574.5</v>
      </c>
      <c r="Q1850" s="11">
        <v>3.1</v>
      </c>
      <c r="R1850" s="13" t="str">
        <f>IF(Patient_Data!$L1850&lt;2,"Low Risk",IF(Patient_Data!$L1850&lt;4,"Moderate Risk","High Risk"))</f>
        <v>Moderate Risk</v>
      </c>
      <c r="S1850" s="12" t="str">
        <f>IF(Patient_Data[[#This Row],[Age]]&lt;=18,"Pediatric",IF(Patient_Data[[#This Row],[Age]]&lt;=64,"Adult","Geriatric"))</f>
        <v>Adult</v>
      </c>
    </row>
    <row r="1851" spans="1:19" ht="15.75" customHeight="1" x14ac:dyDescent="0.3">
      <c r="A1851" s="4" t="s">
        <v>3705</v>
      </c>
      <c r="B1851" s="5" t="str">
        <f>TEXT(Patient_Data!$E1851,"mmmm")</f>
        <v>June</v>
      </c>
      <c r="C1851" s="6" t="str">
        <f t="shared" si="14"/>
        <v>Jun</v>
      </c>
      <c r="D1851" s="6">
        <f>MONTH(Patient_Data!$E1851)</f>
        <v>6</v>
      </c>
      <c r="E1851" s="7">
        <v>45469</v>
      </c>
      <c r="F1851" s="55" t="str">
        <f>TEXT(Patient_Data[[#This Row],[Admission_Date]],"YYYY")</f>
        <v>2024</v>
      </c>
      <c r="G1851" s="8" t="s">
        <v>3706</v>
      </c>
      <c r="H1851" s="8" t="s">
        <v>34</v>
      </c>
      <c r="I1851" s="4" t="s">
        <v>35</v>
      </c>
      <c r="J1851" s="4">
        <v>0</v>
      </c>
      <c r="K1851" s="4" t="s">
        <v>54</v>
      </c>
      <c r="L1851" s="8">
        <v>3</v>
      </c>
      <c r="M1851" s="9" t="s">
        <v>79</v>
      </c>
      <c r="N1851" s="9" t="str">
        <f t="shared" si="15"/>
        <v>PD</v>
      </c>
      <c r="O1851" s="10">
        <v>1273.9000000000001</v>
      </c>
      <c r="P1851" s="10">
        <v>867.11</v>
      </c>
      <c r="Q1851" s="11">
        <v>1.7</v>
      </c>
      <c r="R1851" s="13" t="str">
        <f>IF(Patient_Data!$L1851&lt;2,"Low Risk",IF(Patient_Data!$L1851&lt;4,"Moderate Risk","High Risk"))</f>
        <v>Moderate Risk</v>
      </c>
      <c r="S1851" s="12" t="str">
        <f>IF(Patient_Data[[#This Row],[Age]]&lt;=18,"Pediatric",IF(Patient_Data[[#This Row],[Age]]&lt;=64,"Adult","Geriatric"))</f>
        <v>Pediatric</v>
      </c>
    </row>
    <row r="1852" spans="1:19" ht="15.75" customHeight="1" x14ac:dyDescent="0.3">
      <c r="A1852" s="4" t="s">
        <v>3707</v>
      </c>
      <c r="B1852" s="5" t="str">
        <f>TEXT(Patient_Data!$E1852,"mmmm")</f>
        <v>February</v>
      </c>
      <c r="C1852" s="6" t="str">
        <f t="shared" si="14"/>
        <v>Feb</v>
      </c>
      <c r="D1852" s="6">
        <f>MONTH(Patient_Data!$E1852)</f>
        <v>2</v>
      </c>
      <c r="E1852" s="7">
        <v>45695</v>
      </c>
      <c r="F1852" s="55" t="str">
        <f>TEXT(Patient_Data[[#This Row],[Admission_Date]],"YYYY")</f>
        <v>2025</v>
      </c>
      <c r="G1852" s="8" t="s">
        <v>3708</v>
      </c>
      <c r="H1852" s="8" t="s">
        <v>82</v>
      </c>
      <c r="I1852" s="4" t="s">
        <v>29</v>
      </c>
      <c r="J1852" s="4">
        <v>60</v>
      </c>
      <c r="K1852" s="4" t="s">
        <v>30</v>
      </c>
      <c r="L1852" s="8">
        <v>3</v>
      </c>
      <c r="M1852" s="9" t="s">
        <v>46</v>
      </c>
      <c r="N1852" s="9" t="str">
        <f t="shared" si="15"/>
        <v>Ortho</v>
      </c>
      <c r="O1852" s="10">
        <v>5725.7</v>
      </c>
      <c r="P1852" s="10">
        <v>4064.79</v>
      </c>
      <c r="Q1852" s="11">
        <v>7.1</v>
      </c>
      <c r="R1852" s="13" t="str">
        <f>IF(Patient_Data!$L1852&lt;2,"Low Risk",IF(Patient_Data!$L1852&lt;4,"Moderate Risk","High Risk"))</f>
        <v>Moderate Risk</v>
      </c>
      <c r="S1852" s="12" t="str">
        <f>IF(Patient_Data[[#This Row],[Age]]&lt;=18,"Pediatric",IF(Patient_Data[[#This Row],[Age]]&lt;=64,"Adult","Geriatric"))</f>
        <v>Adult</v>
      </c>
    </row>
    <row r="1853" spans="1:19" ht="15.75" customHeight="1" x14ac:dyDescent="0.3">
      <c r="A1853" s="4" t="s">
        <v>3709</v>
      </c>
      <c r="B1853" s="5" t="str">
        <f>TEXT(Patient_Data!$E1853,"mmmm")</f>
        <v>June</v>
      </c>
      <c r="C1853" s="6" t="str">
        <f t="shared" si="14"/>
        <v>Jun</v>
      </c>
      <c r="D1853" s="6">
        <f>MONTH(Patient_Data!$E1853)</f>
        <v>6</v>
      </c>
      <c r="E1853" s="7">
        <v>45821</v>
      </c>
      <c r="F1853" s="55" t="str">
        <f>TEXT(Patient_Data[[#This Row],[Admission_Date]],"YYYY")</f>
        <v>2025</v>
      </c>
      <c r="G1853" s="8" t="s">
        <v>3710</v>
      </c>
      <c r="H1853" s="8" t="s">
        <v>28</v>
      </c>
      <c r="I1853" s="4" t="s">
        <v>29</v>
      </c>
      <c r="J1853" s="4">
        <v>86</v>
      </c>
      <c r="K1853" s="4" t="s">
        <v>54</v>
      </c>
      <c r="L1853" s="8">
        <v>4</v>
      </c>
      <c r="M1853" s="9" t="s">
        <v>72</v>
      </c>
      <c r="N1853" s="9" t="str">
        <f t="shared" si="15"/>
        <v>Surgery</v>
      </c>
      <c r="O1853" s="10">
        <v>15440.18</v>
      </c>
      <c r="P1853" s="10">
        <v>11313.73</v>
      </c>
      <c r="Q1853" s="11">
        <v>5.3</v>
      </c>
      <c r="R1853" s="13" t="str">
        <f>IF(Patient_Data!$L1853&lt;2,"Low Risk",IF(Patient_Data!$L1853&lt;4,"Moderate Risk","High Risk"))</f>
        <v>High Risk</v>
      </c>
      <c r="S1853" s="12" t="str">
        <f>IF(Patient_Data[[#This Row],[Age]]&lt;=18,"Pediatric",IF(Patient_Data[[#This Row],[Age]]&lt;=64,"Adult","Geriatric"))</f>
        <v>Geriatric</v>
      </c>
    </row>
    <row r="1854" spans="1:19" ht="15.75" customHeight="1" x14ac:dyDescent="0.3">
      <c r="A1854" s="4" t="s">
        <v>3711</v>
      </c>
      <c r="B1854" s="5" t="str">
        <f>TEXT(Patient_Data!$E1854,"mmmm")</f>
        <v>January</v>
      </c>
      <c r="C1854" s="6" t="str">
        <f t="shared" si="14"/>
        <v>Jan</v>
      </c>
      <c r="D1854" s="6">
        <f>MONTH(Patient_Data!$E1854)</f>
        <v>1</v>
      </c>
      <c r="E1854" s="7">
        <v>45304</v>
      </c>
      <c r="F1854" s="55" t="str">
        <f>TEXT(Patient_Data[[#This Row],[Admission_Date]],"YYYY")</f>
        <v>2024</v>
      </c>
      <c r="G1854" s="8" t="s">
        <v>3712</v>
      </c>
      <c r="H1854" s="8" t="s">
        <v>53</v>
      </c>
      <c r="I1854" s="4" t="s">
        <v>29</v>
      </c>
      <c r="J1854" s="4">
        <v>81</v>
      </c>
      <c r="K1854" s="4" t="s">
        <v>45</v>
      </c>
      <c r="L1854" s="8">
        <v>4</v>
      </c>
      <c r="M1854" s="9" t="s">
        <v>39</v>
      </c>
      <c r="N1854" s="9" t="str">
        <f t="shared" si="15"/>
        <v>GM</v>
      </c>
      <c r="O1854" s="10">
        <v>5706.21</v>
      </c>
      <c r="P1854" s="10">
        <v>4401.5200000000004</v>
      </c>
      <c r="Q1854" s="11">
        <v>8.1</v>
      </c>
      <c r="R1854" s="13" t="str">
        <f>IF(Patient_Data!$L1854&lt;2,"Low Risk",IF(Patient_Data!$L1854&lt;4,"Moderate Risk","High Risk"))</f>
        <v>High Risk</v>
      </c>
      <c r="S1854" s="12" t="str">
        <f>IF(Patient_Data[[#This Row],[Age]]&lt;=18,"Pediatric",IF(Patient_Data[[#This Row],[Age]]&lt;=64,"Adult","Geriatric"))</f>
        <v>Geriatric</v>
      </c>
    </row>
    <row r="1855" spans="1:19" ht="15.75" customHeight="1" x14ac:dyDescent="0.3">
      <c r="A1855" s="4" t="s">
        <v>3713</v>
      </c>
      <c r="B1855" s="5" t="str">
        <f>TEXT(Patient_Data!$E1855,"mmmm")</f>
        <v>November</v>
      </c>
      <c r="C1855" s="6" t="str">
        <f t="shared" si="14"/>
        <v>Nov</v>
      </c>
      <c r="D1855" s="6">
        <f>MONTH(Patient_Data!$E1855)</f>
        <v>11</v>
      </c>
      <c r="E1855" s="7">
        <v>45980</v>
      </c>
      <c r="F1855" s="55" t="str">
        <f>TEXT(Patient_Data[[#This Row],[Admission_Date]],"YYYY")</f>
        <v>2025</v>
      </c>
      <c r="G1855" s="8" t="s">
        <v>3714</v>
      </c>
      <c r="H1855" s="8" t="s">
        <v>28</v>
      </c>
      <c r="I1855" s="4" t="s">
        <v>35</v>
      </c>
      <c r="J1855" s="4">
        <v>17</v>
      </c>
      <c r="K1855" s="4" t="s">
        <v>30</v>
      </c>
      <c r="L1855" s="8">
        <v>2</v>
      </c>
      <c r="M1855" s="9" t="s">
        <v>79</v>
      </c>
      <c r="N1855" s="9" t="str">
        <f t="shared" si="15"/>
        <v>PD</v>
      </c>
      <c r="O1855" s="10">
        <v>2082.89</v>
      </c>
      <c r="P1855" s="10">
        <v>1236.8800000000001</v>
      </c>
      <c r="Q1855" s="11">
        <v>3.6</v>
      </c>
      <c r="R1855" s="13" t="str">
        <f>IF(Patient_Data!$L1855&lt;2,"Low Risk",IF(Patient_Data!$L1855&lt;4,"Moderate Risk","High Risk"))</f>
        <v>Moderate Risk</v>
      </c>
      <c r="S1855" s="12" t="str">
        <f>IF(Patient_Data[[#This Row],[Age]]&lt;=18,"Pediatric",IF(Patient_Data[[#This Row],[Age]]&lt;=64,"Adult","Geriatric"))</f>
        <v>Pediatric</v>
      </c>
    </row>
    <row r="1856" spans="1:19" ht="15.75" customHeight="1" x14ac:dyDescent="0.3">
      <c r="A1856" s="4" t="s">
        <v>3715</v>
      </c>
      <c r="B1856" s="5" t="str">
        <f>TEXT(Patient_Data!$E1856,"mmmm")</f>
        <v>June</v>
      </c>
      <c r="C1856" s="6" t="str">
        <f t="shared" si="14"/>
        <v>Jun</v>
      </c>
      <c r="D1856" s="6">
        <f>MONTH(Patient_Data!$E1856)</f>
        <v>6</v>
      </c>
      <c r="E1856" s="7">
        <v>45834</v>
      </c>
      <c r="F1856" s="55" t="str">
        <f>TEXT(Patient_Data[[#This Row],[Admission_Date]],"YYYY")</f>
        <v>2025</v>
      </c>
      <c r="G1856" s="8" t="s">
        <v>3716</v>
      </c>
      <c r="H1856" s="8" t="s">
        <v>28</v>
      </c>
      <c r="I1856" s="4" t="s">
        <v>29</v>
      </c>
      <c r="J1856" s="4">
        <v>4</v>
      </c>
      <c r="K1856" s="4" t="s">
        <v>30</v>
      </c>
      <c r="L1856" s="8">
        <v>2</v>
      </c>
      <c r="M1856" s="9" t="s">
        <v>79</v>
      </c>
      <c r="N1856" s="9" t="str">
        <f t="shared" si="15"/>
        <v>PD</v>
      </c>
      <c r="O1856" s="10">
        <v>2922.89</v>
      </c>
      <c r="P1856" s="10">
        <v>1809.36</v>
      </c>
      <c r="Q1856" s="11">
        <v>3.3</v>
      </c>
      <c r="R1856" s="13" t="str">
        <f>IF(Patient_Data!$L1856&lt;2,"Low Risk",IF(Patient_Data!$L1856&lt;4,"Moderate Risk","High Risk"))</f>
        <v>Moderate Risk</v>
      </c>
      <c r="S1856" s="12" t="str">
        <f>IF(Patient_Data[[#This Row],[Age]]&lt;=18,"Pediatric",IF(Patient_Data[[#This Row],[Age]]&lt;=64,"Adult","Geriatric"))</f>
        <v>Pediatric</v>
      </c>
    </row>
    <row r="1857" spans="1:19" ht="15.75" customHeight="1" x14ac:dyDescent="0.3">
      <c r="A1857" s="4" t="s">
        <v>3717</v>
      </c>
      <c r="B1857" s="5" t="str">
        <f>TEXT(Patient_Data!$E1857,"mmmm")</f>
        <v>January</v>
      </c>
      <c r="C1857" s="6" t="str">
        <f t="shared" si="14"/>
        <v>Jan</v>
      </c>
      <c r="D1857" s="6">
        <f>MONTH(Patient_Data!$E1857)</f>
        <v>1</v>
      </c>
      <c r="E1857" s="7">
        <v>46026</v>
      </c>
      <c r="F1857" s="55" t="str">
        <f>TEXT(Patient_Data[[#This Row],[Admission_Date]],"YYYY")</f>
        <v>2026</v>
      </c>
      <c r="G1857" s="8" t="s">
        <v>3718</v>
      </c>
      <c r="H1857" s="8" t="s">
        <v>28</v>
      </c>
      <c r="I1857" s="4" t="s">
        <v>29</v>
      </c>
      <c r="J1857" s="4">
        <v>39</v>
      </c>
      <c r="K1857" s="4" t="s">
        <v>45</v>
      </c>
      <c r="L1857" s="8">
        <v>4</v>
      </c>
      <c r="M1857" s="9" t="s">
        <v>39</v>
      </c>
      <c r="N1857" s="9" t="str">
        <f t="shared" si="15"/>
        <v>GM</v>
      </c>
      <c r="O1857" s="10">
        <v>6216.17</v>
      </c>
      <c r="P1857" s="10">
        <v>4032.75</v>
      </c>
      <c r="Q1857" s="11">
        <v>6.8</v>
      </c>
      <c r="R1857" s="13" t="str">
        <f>IF(Patient_Data!$L1857&lt;2,"Low Risk",IF(Patient_Data!$L1857&lt;4,"Moderate Risk","High Risk"))</f>
        <v>High Risk</v>
      </c>
      <c r="S1857" s="12" t="str">
        <f>IF(Patient_Data[[#This Row],[Age]]&lt;=18,"Pediatric",IF(Patient_Data[[#This Row],[Age]]&lt;=64,"Adult","Geriatric"))</f>
        <v>Adult</v>
      </c>
    </row>
    <row r="1858" spans="1:19" ht="15.75" customHeight="1" x14ac:dyDescent="0.3">
      <c r="A1858" s="4" t="s">
        <v>3719</v>
      </c>
      <c r="B1858" s="5" t="str">
        <f>TEXT(Patient_Data!$E1858,"mmmm")</f>
        <v>June</v>
      </c>
      <c r="C1858" s="6" t="str">
        <f t="shared" si="14"/>
        <v>Jun</v>
      </c>
      <c r="D1858" s="6">
        <f>MONTH(Patient_Data!$E1858)</f>
        <v>6</v>
      </c>
      <c r="E1858" s="7">
        <v>45473</v>
      </c>
      <c r="F1858" s="55" t="str">
        <f>TEXT(Patient_Data[[#This Row],[Admission_Date]],"YYYY")</f>
        <v>2024</v>
      </c>
      <c r="G1858" s="8" t="s">
        <v>3720</v>
      </c>
      <c r="H1858" s="8" t="s">
        <v>28</v>
      </c>
      <c r="I1858" s="4" t="s">
        <v>29</v>
      </c>
      <c r="J1858" s="4">
        <v>59</v>
      </c>
      <c r="K1858" s="4" t="s">
        <v>54</v>
      </c>
      <c r="L1858" s="8">
        <v>4</v>
      </c>
      <c r="M1858" s="9" t="s">
        <v>50</v>
      </c>
      <c r="N1858" s="9" t="str">
        <f t="shared" si="15"/>
        <v>ICU</v>
      </c>
      <c r="O1858" s="10">
        <v>17217.7</v>
      </c>
      <c r="P1858" s="10">
        <v>11639.06</v>
      </c>
      <c r="Q1858" s="11">
        <v>12.9</v>
      </c>
      <c r="R1858" s="13" t="str">
        <f>IF(Patient_Data!$L1858&lt;2,"Low Risk",IF(Patient_Data!$L1858&lt;4,"Moderate Risk","High Risk"))</f>
        <v>High Risk</v>
      </c>
      <c r="S1858" s="12" t="str">
        <f>IF(Patient_Data[[#This Row],[Age]]&lt;=18,"Pediatric",IF(Patient_Data[[#This Row],[Age]]&lt;=64,"Adult","Geriatric"))</f>
        <v>Adult</v>
      </c>
    </row>
    <row r="1859" spans="1:19" ht="15.75" customHeight="1" x14ac:dyDescent="0.3">
      <c r="A1859" s="4" t="s">
        <v>3721</v>
      </c>
      <c r="B1859" s="5" t="str">
        <f>TEXT(Patient_Data!$E1859,"mmmm")</f>
        <v>March</v>
      </c>
      <c r="C1859" s="6" t="str">
        <f t="shared" si="14"/>
        <v>Mar</v>
      </c>
      <c r="D1859" s="6">
        <f>MONTH(Patient_Data!$E1859)</f>
        <v>3</v>
      </c>
      <c r="E1859" s="7">
        <v>45372</v>
      </c>
      <c r="F1859" s="55" t="str">
        <f>TEXT(Patient_Data[[#This Row],[Admission_Date]],"YYYY")</f>
        <v>2024</v>
      </c>
      <c r="G1859" s="8" t="s">
        <v>100</v>
      </c>
      <c r="H1859" s="8" t="s">
        <v>98</v>
      </c>
      <c r="I1859" s="4" t="s">
        <v>29</v>
      </c>
      <c r="J1859" s="4">
        <v>18</v>
      </c>
      <c r="K1859" s="4" t="s">
        <v>30</v>
      </c>
      <c r="L1859" s="8">
        <v>1</v>
      </c>
      <c r="M1859" s="9" t="s">
        <v>36</v>
      </c>
      <c r="N1859" s="9" t="str">
        <f t="shared" si="15"/>
        <v>Cardio</v>
      </c>
      <c r="O1859" s="10">
        <v>7365.83</v>
      </c>
      <c r="P1859" s="10">
        <v>5184.88</v>
      </c>
      <c r="Q1859" s="11">
        <v>3.6</v>
      </c>
      <c r="R1859" s="13" t="str">
        <f>IF(Patient_Data!$L1859&lt;2,"Low Risk",IF(Patient_Data!$L1859&lt;4,"Moderate Risk","High Risk"))</f>
        <v>Low Risk</v>
      </c>
      <c r="S1859" s="12" t="str">
        <f>IF(Patient_Data[[#This Row],[Age]]&lt;=18,"Pediatric",IF(Patient_Data[[#This Row],[Age]]&lt;=64,"Adult","Geriatric"))</f>
        <v>Pediatric</v>
      </c>
    </row>
    <row r="1860" spans="1:19" ht="15.75" customHeight="1" x14ac:dyDescent="0.3">
      <c r="A1860" s="4" t="s">
        <v>3722</v>
      </c>
      <c r="B1860" s="5" t="str">
        <f>TEXT(Patient_Data!$E1860,"mmmm")</f>
        <v>April</v>
      </c>
      <c r="C1860" s="6" t="str">
        <f t="shared" si="14"/>
        <v>Apr</v>
      </c>
      <c r="D1860" s="6">
        <f>MONTH(Patient_Data!$E1860)</f>
        <v>4</v>
      </c>
      <c r="E1860" s="7">
        <v>45383</v>
      </c>
      <c r="F1860" s="55" t="str">
        <f>TEXT(Patient_Data[[#This Row],[Admission_Date]],"YYYY")</f>
        <v>2024</v>
      </c>
      <c r="G1860" s="8" t="s">
        <v>3723</v>
      </c>
      <c r="H1860" s="8" t="s">
        <v>98</v>
      </c>
      <c r="I1860" s="4" t="s">
        <v>35</v>
      </c>
      <c r="J1860" s="4">
        <v>48</v>
      </c>
      <c r="K1860" s="4" t="s">
        <v>30</v>
      </c>
      <c r="L1860" s="8">
        <v>1</v>
      </c>
      <c r="M1860" s="9" t="s">
        <v>83</v>
      </c>
      <c r="N1860" s="9" t="str">
        <f t="shared" si="15"/>
        <v>ER</v>
      </c>
      <c r="O1860" s="10">
        <v>8704.89</v>
      </c>
      <c r="P1860" s="10">
        <v>6487.37</v>
      </c>
      <c r="Q1860" s="11">
        <v>16.600000000000001</v>
      </c>
      <c r="R1860" s="13" t="str">
        <f>IF(Patient_Data!$L1860&lt;2,"Low Risk",IF(Patient_Data!$L1860&lt;4,"Moderate Risk","High Risk"))</f>
        <v>Low Risk</v>
      </c>
      <c r="S1860" s="12" t="str">
        <f>IF(Patient_Data[[#This Row],[Age]]&lt;=18,"Pediatric",IF(Patient_Data[[#This Row],[Age]]&lt;=64,"Adult","Geriatric"))</f>
        <v>Adult</v>
      </c>
    </row>
    <row r="1861" spans="1:19" ht="15.75" customHeight="1" x14ac:dyDescent="0.3">
      <c r="A1861" s="4" t="s">
        <v>3724</v>
      </c>
      <c r="B1861" s="5" t="str">
        <f>TEXT(Patient_Data!$E1861,"mmmm")</f>
        <v>March</v>
      </c>
      <c r="C1861" s="6" t="str">
        <f t="shared" si="14"/>
        <v>Mar</v>
      </c>
      <c r="D1861" s="6">
        <f>MONTH(Patient_Data!$E1861)</f>
        <v>3</v>
      </c>
      <c r="E1861" s="7">
        <v>45373</v>
      </c>
      <c r="F1861" s="55" t="str">
        <f>TEXT(Patient_Data[[#This Row],[Admission_Date]],"YYYY")</f>
        <v>2024</v>
      </c>
      <c r="G1861" s="8" t="s">
        <v>3725</v>
      </c>
      <c r="H1861" s="8" t="s">
        <v>28</v>
      </c>
      <c r="I1861" s="4" t="s">
        <v>29</v>
      </c>
      <c r="J1861" s="4">
        <v>64</v>
      </c>
      <c r="K1861" s="4" t="s">
        <v>45</v>
      </c>
      <c r="L1861" s="8">
        <v>5</v>
      </c>
      <c r="M1861" s="9" t="s">
        <v>50</v>
      </c>
      <c r="N1861" s="9" t="str">
        <f t="shared" si="15"/>
        <v>ICU</v>
      </c>
      <c r="O1861" s="10">
        <v>12804.41</v>
      </c>
      <c r="P1861" s="10">
        <v>9812.15</v>
      </c>
      <c r="Q1861" s="11">
        <v>10.1</v>
      </c>
      <c r="R1861" s="13" t="str">
        <f>IF(Patient_Data!$L1861&lt;2,"Low Risk",IF(Patient_Data!$L1861&lt;4,"Moderate Risk","High Risk"))</f>
        <v>High Risk</v>
      </c>
      <c r="S1861" s="12" t="str">
        <f>IF(Patient_Data[[#This Row],[Age]]&lt;=18,"Pediatric",IF(Patient_Data[[#This Row],[Age]]&lt;=64,"Adult","Geriatric"))</f>
        <v>Adult</v>
      </c>
    </row>
    <row r="1862" spans="1:19" ht="15.75" customHeight="1" x14ac:dyDescent="0.3">
      <c r="A1862" s="4" t="s">
        <v>3726</v>
      </c>
      <c r="B1862" s="5" t="str">
        <f>TEXT(Patient_Data!$E1862,"mmmm")</f>
        <v>February</v>
      </c>
      <c r="C1862" s="6" t="str">
        <f t="shared" si="14"/>
        <v>Feb</v>
      </c>
      <c r="D1862" s="6">
        <f>MONTH(Patient_Data!$E1862)</f>
        <v>2</v>
      </c>
      <c r="E1862" s="7">
        <v>45707</v>
      </c>
      <c r="F1862" s="55" t="str">
        <f>TEXT(Patient_Data[[#This Row],[Admission_Date]],"YYYY")</f>
        <v>2025</v>
      </c>
      <c r="G1862" s="8" t="s">
        <v>3727</v>
      </c>
      <c r="H1862" s="8" t="s">
        <v>34</v>
      </c>
      <c r="I1862" s="4" t="s">
        <v>29</v>
      </c>
      <c r="J1862" s="4">
        <v>16</v>
      </c>
      <c r="K1862" s="4" t="s">
        <v>30</v>
      </c>
      <c r="L1862" s="8">
        <v>2</v>
      </c>
      <c r="M1862" s="9" t="s">
        <v>79</v>
      </c>
      <c r="N1862" s="9" t="str">
        <f t="shared" si="15"/>
        <v>PD</v>
      </c>
      <c r="O1862" s="10">
        <v>1965.5</v>
      </c>
      <c r="P1862" s="10">
        <v>1165.5899999999999</v>
      </c>
      <c r="Q1862" s="11">
        <v>3.2</v>
      </c>
      <c r="R1862" s="13" t="str">
        <f>IF(Patient_Data!$L1862&lt;2,"Low Risk",IF(Patient_Data!$L1862&lt;4,"Moderate Risk","High Risk"))</f>
        <v>Moderate Risk</v>
      </c>
      <c r="S1862" s="12" t="str">
        <f>IF(Patient_Data[[#This Row],[Age]]&lt;=18,"Pediatric",IF(Patient_Data[[#This Row],[Age]]&lt;=64,"Adult","Geriatric"))</f>
        <v>Pediatric</v>
      </c>
    </row>
    <row r="1863" spans="1:19" ht="15.75" customHeight="1" x14ac:dyDescent="0.3">
      <c r="A1863" s="4" t="s">
        <v>3728</v>
      </c>
      <c r="B1863" s="5" t="str">
        <f>TEXT(Patient_Data!$E1863,"mmmm")</f>
        <v>October</v>
      </c>
      <c r="C1863" s="6" t="str">
        <f t="shared" si="14"/>
        <v>Oct</v>
      </c>
      <c r="D1863" s="6">
        <f>MONTH(Patient_Data!$E1863)</f>
        <v>10</v>
      </c>
      <c r="E1863" s="7">
        <v>45951</v>
      </c>
      <c r="F1863" s="55" t="str">
        <f>TEXT(Patient_Data[[#This Row],[Admission_Date]],"YYYY")</f>
        <v>2025</v>
      </c>
      <c r="G1863" s="8" t="s">
        <v>3729</v>
      </c>
      <c r="H1863" s="8" t="s">
        <v>28</v>
      </c>
      <c r="I1863" s="4" t="s">
        <v>35</v>
      </c>
      <c r="J1863" s="4">
        <v>31</v>
      </c>
      <c r="K1863" s="4" t="s">
        <v>30</v>
      </c>
      <c r="L1863" s="8">
        <v>2</v>
      </c>
      <c r="M1863" s="9" t="s">
        <v>36</v>
      </c>
      <c r="N1863" s="9" t="str">
        <f t="shared" si="15"/>
        <v>Cardio</v>
      </c>
      <c r="O1863" s="10">
        <v>9116.34</v>
      </c>
      <c r="P1863" s="10">
        <v>5560.97</v>
      </c>
      <c r="Q1863" s="11"/>
      <c r="R1863" s="13" t="str">
        <f>IF(Patient_Data!$L1863&lt;2,"Low Risk",IF(Patient_Data!$L1863&lt;4,"Moderate Risk","High Risk"))</f>
        <v>Moderate Risk</v>
      </c>
      <c r="S1863" s="12" t="str">
        <f>IF(Patient_Data[[#This Row],[Age]]&lt;=18,"Pediatric",IF(Patient_Data[[#This Row],[Age]]&lt;=64,"Adult","Geriatric"))</f>
        <v>Adult</v>
      </c>
    </row>
    <row r="1864" spans="1:19" ht="15.75" customHeight="1" x14ac:dyDescent="0.3">
      <c r="A1864" s="4" t="s">
        <v>3730</v>
      </c>
      <c r="B1864" s="5" t="str">
        <f>TEXT(Patient_Data!$E1864,"mmmm")</f>
        <v>May</v>
      </c>
      <c r="C1864" s="6" t="str">
        <f t="shared" si="14"/>
        <v>May</v>
      </c>
      <c r="D1864" s="6">
        <f>MONTH(Patient_Data!$E1864)</f>
        <v>5</v>
      </c>
      <c r="E1864" s="7">
        <v>46161</v>
      </c>
      <c r="F1864" s="55" t="str">
        <f>TEXT(Patient_Data[[#This Row],[Admission_Date]],"YYYY")</f>
        <v>2026</v>
      </c>
      <c r="G1864" s="8" t="s">
        <v>3731</v>
      </c>
      <c r="H1864" s="8" t="s">
        <v>34</v>
      </c>
      <c r="I1864" s="4" t="s">
        <v>29</v>
      </c>
      <c r="J1864" s="4">
        <v>70</v>
      </c>
      <c r="K1864" s="4" t="s">
        <v>30</v>
      </c>
      <c r="L1864" s="8">
        <v>1</v>
      </c>
      <c r="M1864" s="9" t="s">
        <v>39</v>
      </c>
      <c r="N1864" s="9" t="str">
        <f t="shared" si="15"/>
        <v>GM</v>
      </c>
      <c r="O1864" s="10">
        <v>3403.3</v>
      </c>
      <c r="P1864" s="10">
        <v>2226.91</v>
      </c>
      <c r="Q1864" s="11">
        <v>6.1</v>
      </c>
      <c r="R1864" s="13" t="str">
        <f>IF(Patient_Data!$L1864&lt;2,"Low Risk",IF(Patient_Data!$L1864&lt;4,"Moderate Risk","High Risk"))</f>
        <v>Low Risk</v>
      </c>
      <c r="S1864" s="12" t="str">
        <f>IF(Patient_Data[[#This Row],[Age]]&lt;=18,"Pediatric",IF(Patient_Data[[#This Row],[Age]]&lt;=64,"Adult","Geriatric"))</f>
        <v>Geriatric</v>
      </c>
    </row>
    <row r="1865" spans="1:19" ht="15.75" customHeight="1" x14ac:dyDescent="0.3">
      <c r="A1865" s="4" t="s">
        <v>3732</v>
      </c>
      <c r="B1865" s="5" t="str">
        <f>TEXT(Patient_Data!$E1865,"mmmm")</f>
        <v>April</v>
      </c>
      <c r="C1865" s="6" t="str">
        <f t="shared" si="14"/>
        <v>Apr</v>
      </c>
      <c r="D1865" s="6">
        <f>MONTH(Patient_Data!$E1865)</f>
        <v>4</v>
      </c>
      <c r="E1865" s="7">
        <v>46135</v>
      </c>
      <c r="F1865" s="55" t="str">
        <f>TEXT(Patient_Data[[#This Row],[Admission_Date]],"YYYY")</f>
        <v>2026</v>
      </c>
      <c r="G1865" s="8" t="s">
        <v>3733</v>
      </c>
      <c r="H1865" s="8" t="s">
        <v>28</v>
      </c>
      <c r="I1865" s="4" t="s">
        <v>29</v>
      </c>
      <c r="J1865" s="4">
        <v>46</v>
      </c>
      <c r="K1865" s="4" t="s">
        <v>54</v>
      </c>
      <c r="L1865" s="8">
        <v>3</v>
      </c>
      <c r="M1865" s="9" t="s">
        <v>39</v>
      </c>
      <c r="N1865" s="9" t="str">
        <f t="shared" si="15"/>
        <v>GM</v>
      </c>
      <c r="O1865" s="10">
        <v>6252.13</v>
      </c>
      <c r="P1865" s="10">
        <v>4260.13</v>
      </c>
      <c r="Q1865" s="11">
        <v>8.9</v>
      </c>
      <c r="R1865" s="13" t="str">
        <f>IF(Patient_Data!$L1865&lt;2,"Low Risk",IF(Patient_Data!$L1865&lt;4,"Moderate Risk","High Risk"))</f>
        <v>Moderate Risk</v>
      </c>
      <c r="S1865" s="12" t="str">
        <f>IF(Patient_Data[[#This Row],[Age]]&lt;=18,"Pediatric",IF(Patient_Data[[#This Row],[Age]]&lt;=64,"Adult","Geriatric"))</f>
        <v>Adult</v>
      </c>
    </row>
    <row r="1866" spans="1:19" ht="15.75" customHeight="1" x14ac:dyDescent="0.3">
      <c r="A1866" s="4" t="s">
        <v>3734</v>
      </c>
      <c r="B1866" s="5" t="str">
        <f>TEXT(Patient_Data!$E1866,"mmmm")</f>
        <v>November</v>
      </c>
      <c r="C1866" s="6" t="str">
        <f t="shared" si="14"/>
        <v>Nov</v>
      </c>
      <c r="D1866" s="6">
        <f>MONTH(Patient_Data!$E1866)</f>
        <v>11</v>
      </c>
      <c r="E1866" s="7">
        <v>45243</v>
      </c>
      <c r="F1866" s="55" t="str">
        <f>TEXT(Patient_Data[[#This Row],[Admission_Date]],"YYYY")</f>
        <v>2023</v>
      </c>
      <c r="G1866" s="8" t="s">
        <v>3735</v>
      </c>
      <c r="H1866" s="8" t="s">
        <v>132</v>
      </c>
      <c r="I1866" s="4" t="s">
        <v>35</v>
      </c>
      <c r="J1866" s="4">
        <v>60</v>
      </c>
      <c r="K1866" s="4" t="s">
        <v>30</v>
      </c>
      <c r="L1866" s="8">
        <v>3</v>
      </c>
      <c r="M1866" s="9" t="s">
        <v>72</v>
      </c>
      <c r="N1866" s="9" t="str">
        <f t="shared" si="15"/>
        <v>Surgery</v>
      </c>
      <c r="O1866" s="10">
        <v>15052.97</v>
      </c>
      <c r="P1866" s="10">
        <v>10605.08</v>
      </c>
      <c r="Q1866" s="11">
        <v>8.5</v>
      </c>
      <c r="R1866" s="13" t="str">
        <f>IF(Patient_Data!$L1866&lt;2,"Low Risk",IF(Patient_Data!$L1866&lt;4,"Moderate Risk","High Risk"))</f>
        <v>Moderate Risk</v>
      </c>
      <c r="S1866" s="12" t="str">
        <f>IF(Patient_Data[[#This Row],[Age]]&lt;=18,"Pediatric",IF(Patient_Data[[#This Row],[Age]]&lt;=64,"Adult","Geriatric"))</f>
        <v>Adult</v>
      </c>
    </row>
    <row r="1867" spans="1:19" ht="15.75" customHeight="1" x14ac:dyDescent="0.3">
      <c r="A1867" s="4" t="s">
        <v>3736</v>
      </c>
      <c r="B1867" s="5" t="str">
        <f>TEXT(Patient_Data!$E1867,"mmmm")</f>
        <v>August</v>
      </c>
      <c r="C1867" s="6" t="str">
        <f t="shared" si="14"/>
        <v>Aug</v>
      </c>
      <c r="D1867" s="6">
        <f>MONTH(Patient_Data!$E1867)</f>
        <v>8</v>
      </c>
      <c r="E1867" s="7">
        <v>45519</v>
      </c>
      <c r="F1867" s="55" t="str">
        <f>TEXT(Patient_Data[[#This Row],[Admission_Date]],"YYYY")</f>
        <v>2024</v>
      </c>
      <c r="G1867" s="8" t="s">
        <v>3737</v>
      </c>
      <c r="H1867" s="8" t="s">
        <v>53</v>
      </c>
      <c r="I1867" s="4" t="s">
        <v>35</v>
      </c>
      <c r="J1867" s="4">
        <v>85</v>
      </c>
      <c r="K1867" s="4" t="s">
        <v>45</v>
      </c>
      <c r="L1867" s="8">
        <v>4</v>
      </c>
      <c r="M1867" s="9" t="s">
        <v>50</v>
      </c>
      <c r="N1867" s="9" t="str">
        <f t="shared" si="15"/>
        <v>ICU</v>
      </c>
      <c r="O1867" s="10">
        <v>22655.57</v>
      </c>
      <c r="P1867" s="10">
        <v>16642.57</v>
      </c>
      <c r="Q1867" s="11">
        <v>13</v>
      </c>
      <c r="R1867" s="13" t="str">
        <f>IF(Patient_Data!$L1867&lt;2,"Low Risk",IF(Patient_Data!$L1867&lt;4,"Moderate Risk","High Risk"))</f>
        <v>High Risk</v>
      </c>
      <c r="S1867" s="12" t="str">
        <f>IF(Patient_Data[[#This Row],[Age]]&lt;=18,"Pediatric",IF(Patient_Data[[#This Row],[Age]]&lt;=64,"Adult","Geriatric"))</f>
        <v>Geriatric</v>
      </c>
    </row>
    <row r="1868" spans="1:19" ht="15.75" customHeight="1" x14ac:dyDescent="0.3">
      <c r="A1868" s="4" t="s">
        <v>3738</v>
      </c>
      <c r="B1868" s="5" t="str">
        <f>TEXT(Patient_Data!$E1868,"mmmm")</f>
        <v>November</v>
      </c>
      <c r="C1868" s="6" t="str">
        <f t="shared" si="14"/>
        <v>Nov</v>
      </c>
      <c r="D1868" s="6">
        <f>MONTH(Patient_Data!$E1868)</f>
        <v>11</v>
      </c>
      <c r="E1868" s="7">
        <v>45989</v>
      </c>
      <c r="F1868" s="55" t="str">
        <f>TEXT(Patient_Data[[#This Row],[Admission_Date]],"YYYY")</f>
        <v>2025</v>
      </c>
      <c r="G1868" s="8" t="s">
        <v>3739</v>
      </c>
      <c r="H1868" s="8" t="s">
        <v>82</v>
      </c>
      <c r="I1868" s="4" t="s">
        <v>29</v>
      </c>
      <c r="J1868" s="4">
        <v>52</v>
      </c>
      <c r="K1868" s="4" t="s">
        <v>30</v>
      </c>
      <c r="L1868" s="8">
        <v>2</v>
      </c>
      <c r="M1868" s="9" t="s">
        <v>46</v>
      </c>
      <c r="N1868" s="9" t="str">
        <f t="shared" si="15"/>
        <v>Ortho</v>
      </c>
      <c r="O1868" s="10">
        <v>8503.16</v>
      </c>
      <c r="P1868" s="10">
        <v>6542.4</v>
      </c>
      <c r="Q1868" s="11">
        <v>10</v>
      </c>
      <c r="R1868" s="13" t="str">
        <f>IF(Patient_Data!$L1868&lt;2,"Low Risk",IF(Patient_Data!$L1868&lt;4,"Moderate Risk","High Risk"))</f>
        <v>Moderate Risk</v>
      </c>
      <c r="S1868" s="12" t="str">
        <f>IF(Patient_Data[[#This Row],[Age]]&lt;=18,"Pediatric",IF(Patient_Data[[#This Row],[Age]]&lt;=64,"Adult","Geriatric"))</f>
        <v>Adult</v>
      </c>
    </row>
    <row r="1869" spans="1:19" ht="15.75" customHeight="1" x14ac:dyDescent="0.3">
      <c r="A1869" s="4" t="s">
        <v>3740</v>
      </c>
      <c r="B1869" s="5" t="str">
        <f>TEXT(Patient_Data!$E1869,"mmmm")</f>
        <v>November</v>
      </c>
      <c r="C1869" s="6" t="str">
        <f t="shared" si="14"/>
        <v>Nov</v>
      </c>
      <c r="D1869" s="6">
        <f>MONTH(Patient_Data!$E1869)</f>
        <v>11</v>
      </c>
      <c r="E1869" s="7">
        <v>45246</v>
      </c>
      <c r="F1869" s="55" t="str">
        <f>TEXT(Patient_Data[[#This Row],[Admission_Date]],"YYYY")</f>
        <v>2023</v>
      </c>
      <c r="G1869" s="8" t="s">
        <v>2464</v>
      </c>
      <c r="H1869" s="8" t="s">
        <v>28</v>
      </c>
      <c r="I1869" s="4" t="s">
        <v>29</v>
      </c>
      <c r="J1869" s="4">
        <v>22</v>
      </c>
      <c r="K1869" s="4" t="s">
        <v>45</v>
      </c>
      <c r="L1869" s="8">
        <v>5</v>
      </c>
      <c r="M1869" s="9" t="s">
        <v>83</v>
      </c>
      <c r="N1869" s="9" t="str">
        <f t="shared" si="15"/>
        <v>ER</v>
      </c>
      <c r="O1869" s="10">
        <v>13264.52</v>
      </c>
      <c r="P1869" s="10">
        <v>7815.82</v>
      </c>
      <c r="Q1869" s="11">
        <v>15.3</v>
      </c>
      <c r="R1869" s="13" t="str">
        <f>IF(Patient_Data!$L1869&lt;2,"Low Risk",IF(Patient_Data!$L1869&lt;4,"Moderate Risk","High Risk"))</f>
        <v>High Risk</v>
      </c>
      <c r="S1869" s="12" t="str">
        <f>IF(Patient_Data[[#This Row],[Age]]&lt;=18,"Pediatric",IF(Patient_Data[[#This Row],[Age]]&lt;=64,"Adult","Geriatric"))</f>
        <v>Adult</v>
      </c>
    </row>
    <row r="1870" spans="1:19" ht="15.75" customHeight="1" x14ac:dyDescent="0.3">
      <c r="A1870" s="4" t="s">
        <v>3741</v>
      </c>
      <c r="B1870" s="5" t="str">
        <f>TEXT(Patient_Data!$E1870,"mmmm")</f>
        <v>July</v>
      </c>
      <c r="C1870" s="6" t="str">
        <f t="shared" si="14"/>
        <v>Jul</v>
      </c>
      <c r="D1870" s="6">
        <f>MONTH(Patient_Data!$E1870)</f>
        <v>7</v>
      </c>
      <c r="E1870" s="7">
        <v>45845</v>
      </c>
      <c r="F1870" s="55" t="str">
        <f>TEXT(Patient_Data[[#This Row],[Admission_Date]],"YYYY")</f>
        <v>2025</v>
      </c>
      <c r="G1870" s="8" t="s">
        <v>3742</v>
      </c>
      <c r="H1870" s="8" t="s">
        <v>82</v>
      </c>
      <c r="I1870" s="4" t="s">
        <v>35</v>
      </c>
      <c r="J1870" s="4">
        <v>62</v>
      </c>
      <c r="K1870" s="4" t="s">
        <v>54</v>
      </c>
      <c r="L1870" s="8">
        <v>3</v>
      </c>
      <c r="M1870" s="9" t="s">
        <v>39</v>
      </c>
      <c r="N1870" s="9" t="str">
        <f t="shared" si="15"/>
        <v>GM</v>
      </c>
      <c r="O1870" s="10">
        <v>5950.37</v>
      </c>
      <c r="P1870" s="10">
        <v>3683.33</v>
      </c>
      <c r="Q1870" s="11">
        <v>6.7</v>
      </c>
      <c r="R1870" s="13" t="str">
        <f>IF(Patient_Data!$L1870&lt;2,"Low Risk",IF(Patient_Data!$L1870&lt;4,"Moderate Risk","High Risk"))</f>
        <v>Moderate Risk</v>
      </c>
      <c r="S1870" s="12" t="str">
        <f>IF(Patient_Data[[#This Row],[Age]]&lt;=18,"Pediatric",IF(Patient_Data[[#This Row],[Age]]&lt;=64,"Adult","Geriatric"))</f>
        <v>Adult</v>
      </c>
    </row>
    <row r="1871" spans="1:19" ht="15.75" customHeight="1" x14ac:dyDescent="0.3">
      <c r="A1871" s="4" t="s">
        <v>3743</v>
      </c>
      <c r="B1871" s="5" t="str">
        <f>TEXT(Patient_Data!$E1871,"mmmm")</f>
        <v>December</v>
      </c>
      <c r="C1871" s="6" t="str">
        <f t="shared" si="14"/>
        <v>Dec</v>
      </c>
      <c r="D1871" s="6">
        <f>MONTH(Patient_Data!$E1871)</f>
        <v>12</v>
      </c>
      <c r="E1871" s="7">
        <v>45653</v>
      </c>
      <c r="F1871" s="55" t="str">
        <f>TEXT(Patient_Data[[#This Row],[Admission_Date]],"YYYY")</f>
        <v>2024</v>
      </c>
      <c r="G1871" s="8" t="s">
        <v>3744</v>
      </c>
      <c r="H1871" s="8" t="s">
        <v>28</v>
      </c>
      <c r="I1871" s="4" t="s">
        <v>29</v>
      </c>
      <c r="J1871" s="4">
        <v>46</v>
      </c>
      <c r="K1871" s="4" t="s">
        <v>45</v>
      </c>
      <c r="L1871" s="8">
        <v>3</v>
      </c>
      <c r="M1871" s="9" t="s">
        <v>31</v>
      </c>
      <c r="N1871" s="9" t="str">
        <f t="shared" si="15"/>
        <v>Neuro</v>
      </c>
      <c r="O1871" s="10">
        <v>14260.26</v>
      </c>
      <c r="P1871" s="10">
        <v>9202.57</v>
      </c>
      <c r="Q1871" s="11">
        <v>9.5</v>
      </c>
      <c r="R1871" s="13" t="str">
        <f>IF(Patient_Data!$L1871&lt;2,"Low Risk",IF(Patient_Data!$L1871&lt;4,"Moderate Risk","High Risk"))</f>
        <v>Moderate Risk</v>
      </c>
      <c r="S1871" s="12" t="str">
        <f>IF(Patient_Data[[#This Row],[Age]]&lt;=18,"Pediatric",IF(Patient_Data[[#This Row],[Age]]&lt;=64,"Adult","Geriatric"))</f>
        <v>Adult</v>
      </c>
    </row>
    <row r="1872" spans="1:19" ht="15.75" customHeight="1" x14ac:dyDescent="0.3">
      <c r="A1872" s="4" t="s">
        <v>3745</v>
      </c>
      <c r="B1872" s="5" t="str">
        <f>TEXT(Patient_Data!$E1872,"mmmm")</f>
        <v>December</v>
      </c>
      <c r="C1872" s="6" t="str">
        <f t="shared" si="14"/>
        <v>Dec</v>
      </c>
      <c r="D1872" s="6">
        <f>MONTH(Patient_Data!$E1872)</f>
        <v>12</v>
      </c>
      <c r="E1872" s="7">
        <v>45267</v>
      </c>
      <c r="F1872" s="55" t="str">
        <f>TEXT(Patient_Data[[#This Row],[Admission_Date]],"YYYY")</f>
        <v>2023</v>
      </c>
      <c r="G1872" s="8" t="s">
        <v>3746</v>
      </c>
      <c r="H1872" s="8" t="s">
        <v>49</v>
      </c>
      <c r="I1872" s="4" t="s">
        <v>35</v>
      </c>
      <c r="J1872" s="4">
        <v>71</v>
      </c>
      <c r="K1872" s="4" t="s">
        <v>54</v>
      </c>
      <c r="L1872" s="8">
        <v>3</v>
      </c>
      <c r="M1872" s="9" t="s">
        <v>36</v>
      </c>
      <c r="N1872" s="9" t="str">
        <f t="shared" si="15"/>
        <v>Cardio</v>
      </c>
      <c r="O1872" s="10">
        <v>10546.9</v>
      </c>
      <c r="P1872" s="10">
        <v>7128.82</v>
      </c>
      <c r="Q1872" s="11">
        <v>7.8</v>
      </c>
      <c r="R1872" s="13" t="str">
        <f>IF(Patient_Data!$L1872&lt;2,"Low Risk",IF(Patient_Data!$L1872&lt;4,"Moderate Risk","High Risk"))</f>
        <v>Moderate Risk</v>
      </c>
      <c r="S1872" s="12" t="str">
        <f>IF(Patient_Data[[#This Row],[Age]]&lt;=18,"Pediatric",IF(Patient_Data[[#This Row],[Age]]&lt;=64,"Adult","Geriatric"))</f>
        <v>Geriatric</v>
      </c>
    </row>
    <row r="1873" spans="1:19" ht="15.75" customHeight="1" x14ac:dyDescent="0.3">
      <c r="A1873" s="4" t="s">
        <v>3747</v>
      </c>
      <c r="B1873" s="5" t="str">
        <f>TEXT(Patient_Data!$E1873,"mmmm")</f>
        <v>April</v>
      </c>
      <c r="C1873" s="6" t="str">
        <f t="shared" si="14"/>
        <v>Apr</v>
      </c>
      <c r="D1873" s="6">
        <f>MONTH(Patient_Data!$E1873)</f>
        <v>4</v>
      </c>
      <c r="E1873" s="7">
        <v>46140</v>
      </c>
      <c r="F1873" s="55" t="str">
        <f>TEXT(Patient_Data[[#This Row],[Admission_Date]],"YYYY")</f>
        <v>2026</v>
      </c>
      <c r="G1873" s="8" t="s">
        <v>3718</v>
      </c>
      <c r="H1873" s="8" t="s">
        <v>53</v>
      </c>
      <c r="I1873" s="4" t="s">
        <v>29</v>
      </c>
      <c r="J1873" s="4">
        <v>49</v>
      </c>
      <c r="K1873" s="4" t="s">
        <v>30</v>
      </c>
      <c r="L1873" s="8">
        <v>1</v>
      </c>
      <c r="M1873" s="9" t="s">
        <v>39</v>
      </c>
      <c r="N1873" s="9" t="str">
        <f t="shared" si="15"/>
        <v>GM</v>
      </c>
      <c r="O1873" s="10">
        <v>3933.16</v>
      </c>
      <c r="P1873" s="10">
        <v>2833.21</v>
      </c>
      <c r="Q1873" s="11">
        <v>10</v>
      </c>
      <c r="R1873" s="13" t="str">
        <f>IF(Patient_Data!$L1873&lt;2,"Low Risk",IF(Patient_Data!$L1873&lt;4,"Moderate Risk","High Risk"))</f>
        <v>Low Risk</v>
      </c>
      <c r="S1873" s="12" t="str">
        <f>IF(Patient_Data[[#This Row],[Age]]&lt;=18,"Pediatric",IF(Patient_Data[[#This Row],[Age]]&lt;=64,"Adult","Geriatric"))</f>
        <v>Adult</v>
      </c>
    </row>
    <row r="1874" spans="1:19" ht="15.75" customHeight="1" x14ac:dyDescent="0.3">
      <c r="A1874" s="4" t="s">
        <v>3748</v>
      </c>
      <c r="B1874" s="5" t="str">
        <f>TEXT(Patient_Data!$E1874,"mmmm")</f>
        <v>October</v>
      </c>
      <c r="C1874" s="6" t="str">
        <f t="shared" si="14"/>
        <v>Oct</v>
      </c>
      <c r="D1874" s="6">
        <f>MONTH(Patient_Data!$E1874)</f>
        <v>10</v>
      </c>
      <c r="E1874" s="7">
        <v>45208</v>
      </c>
      <c r="F1874" s="55" t="str">
        <f>TEXT(Patient_Data[[#This Row],[Admission_Date]],"YYYY")</f>
        <v>2023</v>
      </c>
      <c r="G1874" s="8" t="s">
        <v>3749</v>
      </c>
      <c r="H1874" s="8" t="s">
        <v>98</v>
      </c>
      <c r="I1874" s="4" t="s">
        <v>35</v>
      </c>
      <c r="J1874" s="4">
        <v>69</v>
      </c>
      <c r="K1874" s="4" t="s">
        <v>54</v>
      </c>
      <c r="L1874" s="8">
        <v>5</v>
      </c>
      <c r="M1874" s="9" t="s">
        <v>36</v>
      </c>
      <c r="N1874" s="9" t="str">
        <f t="shared" si="15"/>
        <v>Cardio</v>
      </c>
      <c r="O1874" s="10">
        <v>13483.33</v>
      </c>
      <c r="P1874" s="10">
        <v>9932.43</v>
      </c>
      <c r="Q1874" s="11">
        <v>11.2</v>
      </c>
      <c r="R1874" s="13" t="str">
        <f>IF(Patient_Data!$L1874&lt;2,"Low Risk",IF(Patient_Data!$L1874&lt;4,"Moderate Risk","High Risk"))</f>
        <v>High Risk</v>
      </c>
      <c r="S1874" s="12" t="str">
        <f>IF(Patient_Data[[#This Row],[Age]]&lt;=18,"Pediatric",IF(Patient_Data[[#This Row],[Age]]&lt;=64,"Adult","Geriatric"))</f>
        <v>Geriatric</v>
      </c>
    </row>
    <row r="1875" spans="1:19" ht="15.75" customHeight="1" x14ac:dyDescent="0.3">
      <c r="A1875" s="4" t="s">
        <v>3750</v>
      </c>
      <c r="B1875" s="5" t="str">
        <f>TEXT(Patient_Data!$E1875,"mmmm")</f>
        <v>December</v>
      </c>
      <c r="C1875" s="6" t="str">
        <f t="shared" si="14"/>
        <v>Dec</v>
      </c>
      <c r="D1875" s="6">
        <f>MONTH(Patient_Data!$E1875)</f>
        <v>12</v>
      </c>
      <c r="E1875" s="7">
        <v>45633</v>
      </c>
      <c r="F1875" s="55" t="str">
        <f>TEXT(Patient_Data[[#This Row],[Admission_Date]],"YYYY")</f>
        <v>2024</v>
      </c>
      <c r="G1875" s="8" t="s">
        <v>3751</v>
      </c>
      <c r="H1875" s="8" t="s">
        <v>49</v>
      </c>
      <c r="I1875" s="4" t="s">
        <v>35</v>
      </c>
      <c r="J1875" s="4">
        <v>65</v>
      </c>
      <c r="K1875" s="4" t="s">
        <v>54</v>
      </c>
      <c r="L1875" s="8">
        <v>4</v>
      </c>
      <c r="M1875" s="9" t="s">
        <v>72</v>
      </c>
      <c r="N1875" s="9" t="str">
        <f t="shared" si="15"/>
        <v>Surgery</v>
      </c>
      <c r="O1875" s="10">
        <v>13476</v>
      </c>
      <c r="P1875" s="10">
        <v>10298.56</v>
      </c>
      <c r="Q1875" s="11">
        <v>7.1</v>
      </c>
      <c r="R1875" s="13" t="str">
        <f>IF(Patient_Data!$L1875&lt;2,"Low Risk",IF(Patient_Data!$L1875&lt;4,"Moderate Risk","High Risk"))</f>
        <v>High Risk</v>
      </c>
      <c r="S1875" s="12" t="str">
        <f>IF(Patient_Data[[#This Row],[Age]]&lt;=18,"Pediatric",IF(Patient_Data[[#This Row],[Age]]&lt;=64,"Adult","Geriatric"))</f>
        <v>Geriatric</v>
      </c>
    </row>
    <row r="1876" spans="1:19" ht="15.75" customHeight="1" x14ac:dyDescent="0.3">
      <c r="A1876" s="4" t="s">
        <v>3752</v>
      </c>
      <c r="B1876" s="5" t="str">
        <f>TEXT(Patient_Data!$E1876,"mmmm")</f>
        <v>June</v>
      </c>
      <c r="C1876" s="6" t="str">
        <f t="shared" si="14"/>
        <v>Jun</v>
      </c>
      <c r="D1876" s="6">
        <f>MONTH(Patient_Data!$E1876)</f>
        <v>6</v>
      </c>
      <c r="E1876" s="7">
        <v>45824</v>
      </c>
      <c r="F1876" s="55" t="str">
        <f>TEXT(Patient_Data[[#This Row],[Admission_Date]],"YYYY")</f>
        <v>2025</v>
      </c>
      <c r="G1876" s="8" t="s">
        <v>3753</v>
      </c>
      <c r="H1876" s="8" t="s">
        <v>82</v>
      </c>
      <c r="I1876" s="4" t="s">
        <v>29</v>
      </c>
      <c r="J1876" s="4">
        <v>47</v>
      </c>
      <c r="K1876" s="4" t="s">
        <v>54</v>
      </c>
      <c r="L1876" s="8">
        <v>5</v>
      </c>
      <c r="M1876" s="9" t="s">
        <v>36</v>
      </c>
      <c r="N1876" s="9" t="str">
        <f t="shared" si="15"/>
        <v>Cardio</v>
      </c>
      <c r="O1876" s="10">
        <v>17435.16</v>
      </c>
      <c r="P1876" s="10">
        <v>10147.59</v>
      </c>
      <c r="Q1876" s="11">
        <v>4.4000000000000004</v>
      </c>
      <c r="R1876" s="13" t="str">
        <f>IF(Patient_Data!$L1876&lt;2,"Low Risk",IF(Patient_Data!$L1876&lt;4,"Moderate Risk","High Risk"))</f>
        <v>High Risk</v>
      </c>
      <c r="S1876" s="12" t="str">
        <f>IF(Patient_Data[[#This Row],[Age]]&lt;=18,"Pediatric",IF(Patient_Data[[#This Row],[Age]]&lt;=64,"Adult","Geriatric"))</f>
        <v>Adult</v>
      </c>
    </row>
    <row r="1877" spans="1:19" ht="15.75" customHeight="1" x14ac:dyDescent="0.3">
      <c r="A1877" s="4" t="s">
        <v>3754</v>
      </c>
      <c r="B1877" s="5" t="str">
        <f>TEXT(Patient_Data!$E1877,"mmmm")</f>
        <v>February</v>
      </c>
      <c r="C1877" s="6" t="str">
        <f t="shared" si="14"/>
        <v>Feb</v>
      </c>
      <c r="D1877" s="6">
        <f>MONTH(Patient_Data!$E1877)</f>
        <v>2</v>
      </c>
      <c r="E1877" s="7">
        <v>45349</v>
      </c>
      <c r="F1877" s="55" t="str">
        <f>TEXT(Patient_Data[[#This Row],[Admission_Date]],"YYYY")</f>
        <v>2024</v>
      </c>
      <c r="G1877" s="8" t="s">
        <v>3755</v>
      </c>
      <c r="H1877" s="8" t="s">
        <v>28</v>
      </c>
      <c r="I1877" s="4" t="s">
        <v>35</v>
      </c>
      <c r="J1877" s="4">
        <v>4</v>
      </c>
      <c r="K1877" s="4" t="s">
        <v>30</v>
      </c>
      <c r="L1877" s="8">
        <v>1</v>
      </c>
      <c r="M1877" s="9" t="s">
        <v>79</v>
      </c>
      <c r="N1877" s="9" t="str">
        <f t="shared" si="15"/>
        <v>PD</v>
      </c>
      <c r="O1877" s="10">
        <v>994.28</v>
      </c>
      <c r="P1877" s="10">
        <v>653.71</v>
      </c>
      <c r="Q1877" s="11">
        <v>5.9</v>
      </c>
      <c r="R1877" s="13" t="str">
        <f>IF(Patient_Data!$L1877&lt;2,"Low Risk",IF(Patient_Data!$L1877&lt;4,"Moderate Risk","High Risk"))</f>
        <v>Low Risk</v>
      </c>
      <c r="S1877" s="12" t="str">
        <f>IF(Patient_Data[[#This Row],[Age]]&lt;=18,"Pediatric",IF(Patient_Data[[#This Row],[Age]]&lt;=64,"Adult","Geriatric"))</f>
        <v>Pediatric</v>
      </c>
    </row>
    <row r="1878" spans="1:19" ht="15.75" customHeight="1" x14ac:dyDescent="0.3">
      <c r="A1878" s="4" t="s">
        <v>3756</v>
      </c>
      <c r="B1878" s="5" t="str">
        <f>TEXT(Patient_Data!$E1878,"mmmm")</f>
        <v>September</v>
      </c>
      <c r="C1878" s="6" t="str">
        <f t="shared" si="14"/>
        <v>Sep</v>
      </c>
      <c r="D1878" s="6">
        <f>MONTH(Patient_Data!$E1878)</f>
        <v>9</v>
      </c>
      <c r="E1878" s="7">
        <v>45551</v>
      </c>
      <c r="F1878" s="55" t="str">
        <f>TEXT(Patient_Data[[#This Row],[Admission_Date]],"YYYY")</f>
        <v>2024</v>
      </c>
      <c r="G1878" s="8" t="s">
        <v>3757</v>
      </c>
      <c r="H1878" s="8" t="s">
        <v>132</v>
      </c>
      <c r="I1878" s="4" t="s">
        <v>29</v>
      </c>
      <c r="J1878" s="4">
        <v>52</v>
      </c>
      <c r="K1878" s="4" t="s">
        <v>30</v>
      </c>
      <c r="L1878" s="8">
        <v>2</v>
      </c>
      <c r="M1878" s="9" t="s">
        <v>83</v>
      </c>
      <c r="N1878" s="9" t="str">
        <f t="shared" si="15"/>
        <v>ER</v>
      </c>
      <c r="O1878" s="10">
        <v>10762.63</v>
      </c>
      <c r="P1878" s="10">
        <v>6969.68</v>
      </c>
      <c r="Q1878" s="11">
        <v>10.199999999999999</v>
      </c>
      <c r="R1878" s="13" t="str">
        <f>IF(Patient_Data!$L1878&lt;2,"Low Risk",IF(Patient_Data!$L1878&lt;4,"Moderate Risk","High Risk"))</f>
        <v>Moderate Risk</v>
      </c>
      <c r="S1878" s="12" t="str">
        <f>IF(Patient_Data[[#This Row],[Age]]&lt;=18,"Pediatric",IF(Patient_Data[[#This Row],[Age]]&lt;=64,"Adult","Geriatric"))</f>
        <v>Adult</v>
      </c>
    </row>
    <row r="1879" spans="1:19" ht="15.75" customHeight="1" x14ac:dyDescent="0.3">
      <c r="A1879" s="4" t="s">
        <v>3758</v>
      </c>
      <c r="B1879" s="5" t="str">
        <f>TEXT(Patient_Data!$E1879,"mmmm")</f>
        <v>February</v>
      </c>
      <c r="C1879" s="6" t="str">
        <f t="shared" si="14"/>
        <v>Feb</v>
      </c>
      <c r="D1879" s="6">
        <f>MONTH(Patient_Data!$E1879)</f>
        <v>2</v>
      </c>
      <c r="E1879" s="7">
        <v>46071</v>
      </c>
      <c r="F1879" s="55" t="str">
        <f>TEXT(Patient_Data[[#This Row],[Admission_Date]],"YYYY")</f>
        <v>2026</v>
      </c>
      <c r="G1879" s="8" t="s">
        <v>3759</v>
      </c>
      <c r="H1879" s="8" t="s">
        <v>82</v>
      </c>
      <c r="I1879" s="4" t="s">
        <v>29</v>
      </c>
      <c r="J1879" s="4">
        <v>41</v>
      </c>
      <c r="K1879" s="4" t="s">
        <v>54</v>
      </c>
      <c r="L1879" s="8">
        <v>1</v>
      </c>
      <c r="M1879" s="9" t="s">
        <v>83</v>
      </c>
      <c r="N1879" s="9" t="str">
        <f t="shared" si="15"/>
        <v>ER</v>
      </c>
      <c r="O1879" s="10">
        <v>6869.77</v>
      </c>
      <c r="P1879" s="10">
        <v>4721.1499999999996</v>
      </c>
      <c r="Q1879" s="11">
        <v>14.8</v>
      </c>
      <c r="R1879" s="13" t="str">
        <f>IF(Patient_Data!$L1879&lt;2,"Low Risk",IF(Patient_Data!$L1879&lt;4,"Moderate Risk","High Risk"))</f>
        <v>Low Risk</v>
      </c>
      <c r="S1879" s="12" t="str">
        <f>IF(Patient_Data[[#This Row],[Age]]&lt;=18,"Pediatric",IF(Patient_Data[[#This Row],[Age]]&lt;=64,"Adult","Geriatric"))</f>
        <v>Adult</v>
      </c>
    </row>
    <row r="1880" spans="1:19" ht="15.75" customHeight="1" x14ac:dyDescent="0.3">
      <c r="A1880" s="4" t="s">
        <v>3760</v>
      </c>
      <c r="B1880" s="5" t="str">
        <f>TEXT(Patient_Data!$E1880,"mmmm")</f>
        <v>December</v>
      </c>
      <c r="C1880" s="6" t="str">
        <f t="shared" si="14"/>
        <v>Dec</v>
      </c>
      <c r="D1880" s="6">
        <f>MONTH(Patient_Data!$E1880)</f>
        <v>12</v>
      </c>
      <c r="E1880" s="7">
        <v>46000</v>
      </c>
      <c r="F1880" s="55" t="str">
        <f>TEXT(Patient_Data[[#This Row],[Admission_Date]],"YYYY")</f>
        <v>2025</v>
      </c>
      <c r="G1880" s="8" t="s">
        <v>385</v>
      </c>
      <c r="H1880" s="8" t="s">
        <v>42</v>
      </c>
      <c r="I1880" s="4" t="s">
        <v>29</v>
      </c>
      <c r="J1880" s="4">
        <v>64</v>
      </c>
      <c r="K1880" s="4" t="s">
        <v>54</v>
      </c>
      <c r="L1880" s="8">
        <v>3</v>
      </c>
      <c r="M1880" s="9" t="s">
        <v>50</v>
      </c>
      <c r="N1880" s="9" t="str">
        <f t="shared" si="15"/>
        <v>ICU</v>
      </c>
      <c r="O1880" s="10">
        <v>13804.23</v>
      </c>
      <c r="P1880" s="10">
        <v>9743.76</v>
      </c>
      <c r="Q1880" s="11">
        <v>10.1</v>
      </c>
      <c r="R1880" s="13" t="str">
        <f>IF(Patient_Data!$L1880&lt;2,"Low Risk",IF(Patient_Data!$L1880&lt;4,"Moderate Risk","High Risk"))</f>
        <v>Moderate Risk</v>
      </c>
      <c r="S1880" s="12" t="str">
        <f>IF(Patient_Data[[#This Row],[Age]]&lt;=18,"Pediatric",IF(Patient_Data[[#This Row],[Age]]&lt;=64,"Adult","Geriatric"))</f>
        <v>Adult</v>
      </c>
    </row>
    <row r="1881" spans="1:19" ht="15.75" customHeight="1" x14ac:dyDescent="0.3">
      <c r="A1881" s="4" t="s">
        <v>3761</v>
      </c>
      <c r="B1881" s="5" t="str">
        <f>TEXT(Patient_Data!$E1881,"mmmm")</f>
        <v>October</v>
      </c>
      <c r="C1881" s="6" t="str">
        <f t="shared" si="14"/>
        <v>Oct</v>
      </c>
      <c r="D1881" s="6">
        <f>MONTH(Patient_Data!$E1881)</f>
        <v>10</v>
      </c>
      <c r="E1881" s="7">
        <v>45932</v>
      </c>
      <c r="F1881" s="55" t="str">
        <f>TEXT(Patient_Data[[#This Row],[Admission_Date]],"YYYY")</f>
        <v>2025</v>
      </c>
      <c r="G1881" s="8" t="s">
        <v>3762</v>
      </c>
      <c r="H1881" s="8" t="s">
        <v>53</v>
      </c>
      <c r="I1881" s="4" t="s">
        <v>29</v>
      </c>
      <c r="J1881" s="4">
        <v>87</v>
      </c>
      <c r="K1881" s="4" t="s">
        <v>30</v>
      </c>
      <c r="L1881" s="8">
        <v>2</v>
      </c>
      <c r="M1881" s="9" t="s">
        <v>46</v>
      </c>
      <c r="N1881" s="9" t="str">
        <f t="shared" si="15"/>
        <v>Ortho</v>
      </c>
      <c r="O1881" s="10">
        <v>4216.25</v>
      </c>
      <c r="P1881" s="10">
        <v>3118.66</v>
      </c>
      <c r="Q1881" s="11">
        <v>5.0999999999999996</v>
      </c>
      <c r="R1881" s="13" t="str">
        <f>IF(Patient_Data!$L1881&lt;2,"Low Risk",IF(Patient_Data!$L1881&lt;4,"Moderate Risk","High Risk"))</f>
        <v>Moderate Risk</v>
      </c>
      <c r="S1881" s="12" t="str">
        <f>IF(Patient_Data[[#This Row],[Age]]&lt;=18,"Pediatric",IF(Patient_Data[[#This Row],[Age]]&lt;=64,"Adult","Geriatric"))</f>
        <v>Geriatric</v>
      </c>
    </row>
    <row r="1882" spans="1:19" ht="15.75" customHeight="1" x14ac:dyDescent="0.3">
      <c r="A1882" s="4" t="s">
        <v>3763</v>
      </c>
      <c r="B1882" s="5" t="str">
        <f>TEXT(Patient_Data!$E1882,"mmmm")</f>
        <v>December</v>
      </c>
      <c r="C1882" s="6" t="str">
        <f t="shared" si="14"/>
        <v>Dec</v>
      </c>
      <c r="D1882" s="6">
        <f>MONTH(Patient_Data!$E1882)</f>
        <v>12</v>
      </c>
      <c r="E1882" s="7">
        <v>45282</v>
      </c>
      <c r="F1882" s="55" t="str">
        <f>TEXT(Patient_Data[[#This Row],[Admission_Date]],"YYYY")</f>
        <v>2023</v>
      </c>
      <c r="G1882" s="8" t="s">
        <v>3764</v>
      </c>
      <c r="H1882" s="8" t="s">
        <v>75</v>
      </c>
      <c r="I1882" s="4" t="s">
        <v>29</v>
      </c>
      <c r="J1882" s="4">
        <v>62</v>
      </c>
      <c r="K1882" s="4" t="s">
        <v>30</v>
      </c>
      <c r="L1882" s="8">
        <v>2</v>
      </c>
      <c r="M1882" s="9" t="s">
        <v>83</v>
      </c>
      <c r="N1882" s="9" t="str">
        <f t="shared" si="15"/>
        <v>ER</v>
      </c>
      <c r="O1882" s="10">
        <v>8828.51</v>
      </c>
      <c r="P1882" s="10">
        <v>6876.07</v>
      </c>
      <c r="Q1882" s="11">
        <v>20.8</v>
      </c>
      <c r="R1882" s="13" t="str">
        <f>IF(Patient_Data!$L1882&lt;2,"Low Risk",IF(Patient_Data!$L1882&lt;4,"Moderate Risk","High Risk"))</f>
        <v>Moderate Risk</v>
      </c>
      <c r="S1882" s="12" t="str">
        <f>IF(Patient_Data[[#This Row],[Age]]&lt;=18,"Pediatric",IF(Patient_Data[[#This Row],[Age]]&lt;=64,"Adult","Geriatric"))</f>
        <v>Adult</v>
      </c>
    </row>
    <row r="1883" spans="1:19" ht="15.75" customHeight="1" x14ac:dyDescent="0.3">
      <c r="A1883" s="4" t="s">
        <v>3765</v>
      </c>
      <c r="B1883" s="5" t="str">
        <f>TEXT(Patient_Data!$E1883,"mmmm")</f>
        <v>January</v>
      </c>
      <c r="C1883" s="6" t="str">
        <f t="shared" si="14"/>
        <v>Jan</v>
      </c>
      <c r="D1883" s="6">
        <f>MONTH(Patient_Data!$E1883)</f>
        <v>1</v>
      </c>
      <c r="E1883" s="7">
        <v>45301</v>
      </c>
      <c r="F1883" s="55" t="str">
        <f>TEXT(Patient_Data[[#This Row],[Admission_Date]],"YYYY")</f>
        <v>2024</v>
      </c>
      <c r="G1883" s="8" t="s">
        <v>3766</v>
      </c>
      <c r="H1883" s="8" t="s">
        <v>82</v>
      </c>
      <c r="I1883" s="4" t="s">
        <v>35</v>
      </c>
      <c r="J1883" s="4">
        <v>5</v>
      </c>
      <c r="K1883" s="4" t="s">
        <v>30</v>
      </c>
      <c r="L1883" s="8">
        <v>1</v>
      </c>
      <c r="M1883" s="9" t="s">
        <v>79</v>
      </c>
      <c r="N1883" s="9" t="str">
        <f t="shared" si="15"/>
        <v>PD</v>
      </c>
      <c r="O1883" s="10">
        <v>2179.08</v>
      </c>
      <c r="P1883" s="10">
        <v>1290.27</v>
      </c>
      <c r="Q1883" s="11">
        <v>3.3</v>
      </c>
      <c r="R1883" s="13" t="str">
        <f>IF(Patient_Data!$L1883&lt;2,"Low Risk",IF(Patient_Data!$L1883&lt;4,"Moderate Risk","High Risk"))</f>
        <v>Low Risk</v>
      </c>
      <c r="S1883" s="12" t="str">
        <f>IF(Patient_Data[[#This Row],[Age]]&lt;=18,"Pediatric",IF(Patient_Data[[#This Row],[Age]]&lt;=64,"Adult","Geriatric"))</f>
        <v>Pediatric</v>
      </c>
    </row>
    <row r="1884" spans="1:19" ht="15.75" customHeight="1" x14ac:dyDescent="0.3">
      <c r="A1884" s="4" t="s">
        <v>3767</v>
      </c>
      <c r="B1884" s="5" t="str">
        <f>TEXT(Patient_Data!$E1884,"mmmm")</f>
        <v>May</v>
      </c>
      <c r="C1884" s="6" t="str">
        <f t="shared" si="14"/>
        <v>May</v>
      </c>
      <c r="D1884" s="6">
        <f>MONTH(Patient_Data!$E1884)</f>
        <v>5</v>
      </c>
      <c r="E1884" s="7">
        <v>45804</v>
      </c>
      <c r="F1884" s="55" t="str">
        <f>TEXT(Patient_Data[[#This Row],[Admission_Date]],"YYYY")</f>
        <v>2025</v>
      </c>
      <c r="G1884" s="8" t="s">
        <v>3768</v>
      </c>
      <c r="H1884" s="8" t="s">
        <v>53</v>
      </c>
      <c r="I1884" s="4" t="s">
        <v>29</v>
      </c>
      <c r="J1884" s="4">
        <v>79</v>
      </c>
      <c r="K1884" s="4" t="s">
        <v>30</v>
      </c>
      <c r="L1884" s="8">
        <v>3</v>
      </c>
      <c r="M1884" s="9" t="s">
        <v>31</v>
      </c>
      <c r="N1884" s="9" t="str">
        <f t="shared" si="15"/>
        <v>Neuro</v>
      </c>
      <c r="O1884" s="10">
        <v>6575.76</v>
      </c>
      <c r="P1884" s="10">
        <v>4053.61</v>
      </c>
      <c r="Q1884" s="11">
        <v>5.3</v>
      </c>
      <c r="R1884" s="13" t="str">
        <f>IF(Patient_Data!$L1884&lt;2,"Low Risk",IF(Patient_Data!$L1884&lt;4,"Moderate Risk","High Risk"))</f>
        <v>Moderate Risk</v>
      </c>
      <c r="S1884" s="12" t="str">
        <f>IF(Patient_Data[[#This Row],[Age]]&lt;=18,"Pediatric",IF(Patient_Data[[#This Row],[Age]]&lt;=64,"Adult","Geriatric"))</f>
        <v>Geriatric</v>
      </c>
    </row>
    <row r="1885" spans="1:19" ht="15.75" customHeight="1" x14ac:dyDescent="0.3">
      <c r="A1885" s="4" t="s">
        <v>3769</v>
      </c>
      <c r="B1885" s="5" t="str">
        <f>TEXT(Patient_Data!$E1885,"mmmm")</f>
        <v>July</v>
      </c>
      <c r="C1885" s="6" t="str">
        <f t="shared" si="14"/>
        <v>Jul</v>
      </c>
      <c r="D1885" s="6">
        <f>MONTH(Patient_Data!$E1885)</f>
        <v>7</v>
      </c>
      <c r="E1885" s="7">
        <v>46204</v>
      </c>
      <c r="F1885" s="55" t="str">
        <f>TEXT(Patient_Data[[#This Row],[Admission_Date]],"YYYY")</f>
        <v>2026</v>
      </c>
      <c r="G1885" s="8" t="s">
        <v>3770</v>
      </c>
      <c r="H1885" s="8" t="s">
        <v>28</v>
      </c>
      <c r="I1885" s="4" t="s">
        <v>29</v>
      </c>
      <c r="J1885" s="4">
        <v>59</v>
      </c>
      <c r="K1885" s="4" t="s">
        <v>30</v>
      </c>
      <c r="L1885" s="8">
        <v>5</v>
      </c>
      <c r="M1885" s="9" t="s">
        <v>50</v>
      </c>
      <c r="N1885" s="9" t="str">
        <f t="shared" si="15"/>
        <v>ICU</v>
      </c>
      <c r="O1885" s="10">
        <v>17257.669999999998</v>
      </c>
      <c r="P1885" s="10">
        <v>11134.51</v>
      </c>
      <c r="Q1885" s="11">
        <v>11.2</v>
      </c>
      <c r="R1885" s="13" t="str">
        <f>IF(Patient_Data!$L1885&lt;2,"Low Risk",IF(Patient_Data!$L1885&lt;4,"Moderate Risk","High Risk"))</f>
        <v>High Risk</v>
      </c>
      <c r="S1885" s="12" t="str">
        <f>IF(Patient_Data[[#This Row],[Age]]&lt;=18,"Pediatric",IF(Patient_Data[[#This Row],[Age]]&lt;=64,"Adult","Geriatric"))</f>
        <v>Adult</v>
      </c>
    </row>
    <row r="1886" spans="1:19" ht="15.75" customHeight="1" x14ac:dyDescent="0.3">
      <c r="A1886" s="4" t="s">
        <v>3771</v>
      </c>
      <c r="B1886" s="5" t="str">
        <f>TEXT(Patient_Data!$E1886,"mmmm")</f>
        <v>December</v>
      </c>
      <c r="C1886" s="6" t="str">
        <f t="shared" si="14"/>
        <v>Dec</v>
      </c>
      <c r="D1886" s="6">
        <f>MONTH(Patient_Data!$E1886)</f>
        <v>12</v>
      </c>
      <c r="E1886" s="7">
        <v>45993</v>
      </c>
      <c r="F1886" s="55" t="str">
        <f>TEXT(Patient_Data[[#This Row],[Admission_Date]],"YYYY")</f>
        <v>2025</v>
      </c>
      <c r="G1886" s="8" t="s">
        <v>3772</v>
      </c>
      <c r="H1886" s="8" t="s">
        <v>82</v>
      </c>
      <c r="I1886" s="4" t="s">
        <v>35</v>
      </c>
      <c r="J1886" s="4">
        <v>65</v>
      </c>
      <c r="K1886" s="4" t="s">
        <v>45</v>
      </c>
      <c r="L1886" s="8">
        <v>4</v>
      </c>
      <c r="M1886" s="9" t="s">
        <v>50</v>
      </c>
      <c r="N1886" s="9" t="str">
        <f t="shared" si="15"/>
        <v>ICU</v>
      </c>
      <c r="O1886" s="10">
        <v>16844.02</v>
      </c>
      <c r="P1886" s="10">
        <v>11390.29</v>
      </c>
      <c r="Q1886" s="11">
        <v>13.1</v>
      </c>
      <c r="R1886" s="13" t="str">
        <f>IF(Patient_Data!$L1886&lt;2,"Low Risk",IF(Patient_Data!$L1886&lt;4,"Moderate Risk","High Risk"))</f>
        <v>High Risk</v>
      </c>
      <c r="S1886" s="12" t="str">
        <f>IF(Patient_Data[[#This Row],[Age]]&lt;=18,"Pediatric",IF(Patient_Data[[#This Row],[Age]]&lt;=64,"Adult","Geriatric"))</f>
        <v>Geriatric</v>
      </c>
    </row>
    <row r="1887" spans="1:19" ht="15.75" customHeight="1" x14ac:dyDescent="0.3">
      <c r="A1887" s="4" t="s">
        <v>3773</v>
      </c>
      <c r="B1887" s="5" t="str">
        <f>TEXT(Patient_Data!$E1887,"mmmm")</f>
        <v>October</v>
      </c>
      <c r="C1887" s="6" t="str">
        <f t="shared" si="14"/>
        <v>Oct</v>
      </c>
      <c r="D1887" s="6">
        <f>MONTH(Patient_Data!$E1887)</f>
        <v>10</v>
      </c>
      <c r="E1887" s="7">
        <v>45226</v>
      </c>
      <c r="F1887" s="55" t="str">
        <f>TEXT(Patient_Data[[#This Row],[Admission_Date]],"YYYY")</f>
        <v>2023</v>
      </c>
      <c r="G1887" s="8" t="s">
        <v>3774</v>
      </c>
      <c r="H1887" s="8" t="s">
        <v>75</v>
      </c>
      <c r="I1887" s="4" t="s">
        <v>35</v>
      </c>
      <c r="J1887" s="4">
        <v>55</v>
      </c>
      <c r="K1887" s="4" t="s">
        <v>30</v>
      </c>
      <c r="L1887" s="8">
        <v>2</v>
      </c>
      <c r="M1887" s="9" t="s">
        <v>46</v>
      </c>
      <c r="N1887" s="9" t="str">
        <f t="shared" si="15"/>
        <v>Ortho</v>
      </c>
      <c r="O1887" s="10">
        <v>8283.06</v>
      </c>
      <c r="P1887" s="10">
        <v>5822.94</v>
      </c>
      <c r="Q1887" s="11">
        <v>3.1</v>
      </c>
      <c r="R1887" s="13" t="str">
        <f>IF(Patient_Data!$L1887&lt;2,"Low Risk",IF(Patient_Data!$L1887&lt;4,"Moderate Risk","High Risk"))</f>
        <v>Moderate Risk</v>
      </c>
      <c r="S1887" s="12" t="str">
        <f>IF(Patient_Data[[#This Row],[Age]]&lt;=18,"Pediatric",IF(Patient_Data[[#This Row],[Age]]&lt;=64,"Adult","Geriatric"))</f>
        <v>Adult</v>
      </c>
    </row>
    <row r="1888" spans="1:19" ht="15.75" customHeight="1" x14ac:dyDescent="0.3">
      <c r="A1888" s="4" t="s">
        <v>3775</v>
      </c>
      <c r="B1888" s="5" t="str">
        <f>TEXT(Patient_Data!$E1888,"mmmm")</f>
        <v>January</v>
      </c>
      <c r="C1888" s="6" t="str">
        <f t="shared" si="14"/>
        <v>Jan</v>
      </c>
      <c r="D1888" s="6">
        <f>MONTH(Patient_Data!$E1888)</f>
        <v>1</v>
      </c>
      <c r="E1888" s="7">
        <v>45677</v>
      </c>
      <c r="F1888" s="55" t="str">
        <f>TEXT(Patient_Data[[#This Row],[Admission_Date]],"YYYY")</f>
        <v>2025</v>
      </c>
      <c r="G1888" s="8" t="s">
        <v>3776</v>
      </c>
      <c r="H1888" s="8" t="s">
        <v>28</v>
      </c>
      <c r="I1888" s="4" t="s">
        <v>35</v>
      </c>
      <c r="J1888" s="4">
        <v>65</v>
      </c>
      <c r="K1888" s="4" t="s">
        <v>30</v>
      </c>
      <c r="L1888" s="8">
        <v>1</v>
      </c>
      <c r="M1888" s="9" t="s">
        <v>36</v>
      </c>
      <c r="N1888" s="9" t="str">
        <f t="shared" si="15"/>
        <v>Cardio</v>
      </c>
      <c r="O1888" s="10">
        <v>10964.32</v>
      </c>
      <c r="P1888" s="10">
        <v>8038.35</v>
      </c>
      <c r="Q1888" s="11">
        <v>4.3</v>
      </c>
      <c r="R1888" s="13" t="str">
        <f>IF(Patient_Data!$L1888&lt;2,"Low Risk",IF(Patient_Data!$L1888&lt;4,"Moderate Risk","High Risk"))</f>
        <v>Low Risk</v>
      </c>
      <c r="S1888" s="12" t="str">
        <f>IF(Patient_Data[[#This Row],[Age]]&lt;=18,"Pediatric",IF(Patient_Data[[#This Row],[Age]]&lt;=64,"Adult","Geriatric"))</f>
        <v>Geriatric</v>
      </c>
    </row>
    <row r="1889" spans="1:19" ht="15.75" customHeight="1" x14ac:dyDescent="0.3">
      <c r="A1889" s="4" t="s">
        <v>3777</v>
      </c>
      <c r="B1889" s="5" t="str">
        <f>TEXT(Patient_Data!$E1889,"mmmm")</f>
        <v>September</v>
      </c>
      <c r="C1889" s="6" t="str">
        <f t="shared" si="14"/>
        <v>Sep</v>
      </c>
      <c r="D1889" s="6">
        <f>MONTH(Patient_Data!$E1889)</f>
        <v>9</v>
      </c>
      <c r="E1889" s="7">
        <v>45905</v>
      </c>
      <c r="F1889" s="55" t="str">
        <f>TEXT(Patient_Data[[#This Row],[Admission_Date]],"YYYY")</f>
        <v>2025</v>
      </c>
      <c r="G1889" s="8" t="s">
        <v>3778</v>
      </c>
      <c r="H1889" s="8" t="s">
        <v>34</v>
      </c>
      <c r="I1889" s="4" t="s">
        <v>29</v>
      </c>
      <c r="J1889" s="4">
        <v>24</v>
      </c>
      <c r="K1889" s="4" t="s">
        <v>54</v>
      </c>
      <c r="L1889" s="8">
        <v>2</v>
      </c>
      <c r="M1889" s="9" t="s">
        <v>31</v>
      </c>
      <c r="N1889" s="9" t="str">
        <f t="shared" si="15"/>
        <v>Neuro</v>
      </c>
      <c r="O1889" s="10">
        <v>10072.16</v>
      </c>
      <c r="P1889" s="10">
        <v>7739.64</v>
      </c>
      <c r="Q1889" s="11">
        <v>10.6</v>
      </c>
      <c r="R1889" s="13" t="str">
        <f>IF(Patient_Data!$L1889&lt;2,"Low Risk",IF(Patient_Data!$L1889&lt;4,"Moderate Risk","High Risk"))</f>
        <v>Moderate Risk</v>
      </c>
      <c r="S1889" s="12" t="str">
        <f>IF(Patient_Data[[#This Row],[Age]]&lt;=18,"Pediatric",IF(Patient_Data[[#This Row],[Age]]&lt;=64,"Adult","Geriatric"))</f>
        <v>Adult</v>
      </c>
    </row>
    <row r="1890" spans="1:19" ht="15.75" customHeight="1" x14ac:dyDescent="0.3">
      <c r="A1890" s="4" t="s">
        <v>3779</v>
      </c>
      <c r="B1890" s="5" t="str">
        <f>TEXT(Patient_Data!$E1890,"mmmm")</f>
        <v>October</v>
      </c>
      <c r="C1890" s="6" t="str">
        <f t="shared" si="14"/>
        <v>Oct</v>
      </c>
      <c r="D1890" s="6">
        <f>MONTH(Patient_Data!$E1890)</f>
        <v>10</v>
      </c>
      <c r="E1890" s="7">
        <v>45574</v>
      </c>
      <c r="F1890" s="55" t="str">
        <f>TEXT(Patient_Data[[#This Row],[Admission_Date]],"YYYY")</f>
        <v>2024</v>
      </c>
      <c r="G1890" s="8" t="s">
        <v>3780</v>
      </c>
      <c r="H1890" s="8" t="s">
        <v>42</v>
      </c>
      <c r="I1890" s="4" t="s">
        <v>29</v>
      </c>
      <c r="J1890" s="4">
        <v>50</v>
      </c>
      <c r="K1890" s="4" t="s">
        <v>54</v>
      </c>
      <c r="L1890" s="8">
        <v>1</v>
      </c>
      <c r="M1890" s="9" t="s">
        <v>36</v>
      </c>
      <c r="N1890" s="9" t="str">
        <f t="shared" si="15"/>
        <v>Cardio</v>
      </c>
      <c r="O1890" s="10">
        <v>10163.85</v>
      </c>
      <c r="P1890" s="10">
        <v>5941.43</v>
      </c>
      <c r="Q1890" s="11">
        <v>5.8</v>
      </c>
      <c r="R1890" s="13" t="str">
        <f>IF(Patient_Data!$L1890&lt;2,"Low Risk",IF(Patient_Data!$L1890&lt;4,"Moderate Risk","High Risk"))</f>
        <v>Low Risk</v>
      </c>
      <c r="S1890" s="12" t="str">
        <f>IF(Patient_Data[[#This Row],[Age]]&lt;=18,"Pediatric",IF(Patient_Data[[#This Row],[Age]]&lt;=64,"Adult","Geriatric"))</f>
        <v>Adult</v>
      </c>
    </row>
    <row r="1891" spans="1:19" ht="15.75" customHeight="1" x14ac:dyDescent="0.3">
      <c r="A1891" s="4" t="s">
        <v>3781</v>
      </c>
      <c r="B1891" s="5" t="str">
        <f>TEXT(Patient_Data!$E1891,"mmmm")</f>
        <v>March</v>
      </c>
      <c r="C1891" s="6" t="str">
        <f t="shared" si="14"/>
        <v>Mar</v>
      </c>
      <c r="D1891" s="6">
        <f>MONTH(Patient_Data!$E1891)</f>
        <v>3</v>
      </c>
      <c r="E1891" s="7">
        <v>45728</v>
      </c>
      <c r="F1891" s="55" t="str">
        <f>TEXT(Patient_Data[[#This Row],[Admission_Date]],"YYYY")</f>
        <v>2025</v>
      </c>
      <c r="G1891" s="8" t="s">
        <v>3782</v>
      </c>
      <c r="H1891" s="8" t="s">
        <v>34</v>
      </c>
      <c r="I1891" s="4" t="s">
        <v>35</v>
      </c>
      <c r="J1891" s="4">
        <v>73</v>
      </c>
      <c r="K1891" s="4" t="s">
        <v>30</v>
      </c>
      <c r="L1891" s="8">
        <v>3</v>
      </c>
      <c r="M1891" s="9" t="s">
        <v>83</v>
      </c>
      <c r="N1891" s="9" t="str">
        <f t="shared" si="15"/>
        <v>ER</v>
      </c>
      <c r="O1891" s="10">
        <v>9711.7999999999993</v>
      </c>
      <c r="P1891" s="10">
        <v>6068.2</v>
      </c>
      <c r="Q1891" s="11">
        <v>18</v>
      </c>
      <c r="R1891" s="13" t="str">
        <f>IF(Patient_Data!$L1891&lt;2,"Low Risk",IF(Patient_Data!$L1891&lt;4,"Moderate Risk","High Risk"))</f>
        <v>Moderate Risk</v>
      </c>
      <c r="S1891" s="12" t="str">
        <f>IF(Patient_Data[[#This Row],[Age]]&lt;=18,"Pediatric",IF(Patient_Data[[#This Row],[Age]]&lt;=64,"Adult","Geriatric"))</f>
        <v>Geriatric</v>
      </c>
    </row>
    <row r="1892" spans="1:19" ht="15.75" customHeight="1" x14ac:dyDescent="0.3">
      <c r="A1892" s="4" t="s">
        <v>3783</v>
      </c>
      <c r="B1892" s="5" t="str">
        <f>TEXT(Patient_Data!$E1892,"mmmm")</f>
        <v>May</v>
      </c>
      <c r="C1892" s="6" t="str">
        <f t="shared" si="14"/>
        <v>May</v>
      </c>
      <c r="D1892" s="6">
        <f>MONTH(Patient_Data!$E1892)</f>
        <v>5</v>
      </c>
      <c r="E1892" s="7">
        <v>45420</v>
      </c>
      <c r="F1892" s="55" t="str">
        <f>TEXT(Patient_Data[[#This Row],[Admission_Date]],"YYYY")</f>
        <v>2024</v>
      </c>
      <c r="G1892" s="8" t="s">
        <v>3784</v>
      </c>
      <c r="H1892" s="8" t="s">
        <v>28</v>
      </c>
      <c r="I1892" s="4" t="s">
        <v>29</v>
      </c>
      <c r="J1892" s="4">
        <v>87</v>
      </c>
      <c r="K1892" s="4" t="s">
        <v>45</v>
      </c>
      <c r="L1892" s="8">
        <v>4</v>
      </c>
      <c r="M1892" s="9" t="s">
        <v>50</v>
      </c>
      <c r="N1892" s="9" t="str">
        <f t="shared" si="15"/>
        <v>ICU</v>
      </c>
      <c r="O1892" s="10">
        <v>12639.74</v>
      </c>
      <c r="P1892" s="10">
        <v>8167.03</v>
      </c>
      <c r="Q1892" s="11">
        <v>9.6999999999999993</v>
      </c>
      <c r="R1892" s="13" t="str">
        <f>IF(Patient_Data!$L1892&lt;2,"Low Risk",IF(Patient_Data!$L1892&lt;4,"Moderate Risk","High Risk"))</f>
        <v>High Risk</v>
      </c>
      <c r="S1892" s="12" t="str">
        <f>IF(Patient_Data[[#This Row],[Age]]&lt;=18,"Pediatric",IF(Patient_Data[[#This Row],[Age]]&lt;=64,"Adult","Geriatric"))</f>
        <v>Geriatric</v>
      </c>
    </row>
    <row r="1893" spans="1:19" ht="15.75" customHeight="1" x14ac:dyDescent="0.3">
      <c r="A1893" s="4" t="s">
        <v>3785</v>
      </c>
      <c r="B1893" s="5" t="str">
        <f>TEXT(Patient_Data!$E1893,"mmmm")</f>
        <v>October</v>
      </c>
      <c r="C1893" s="6" t="str">
        <f t="shared" si="14"/>
        <v>Oct</v>
      </c>
      <c r="D1893" s="6">
        <f>MONTH(Patient_Data!$E1893)</f>
        <v>10</v>
      </c>
      <c r="E1893" s="7">
        <v>45229</v>
      </c>
      <c r="F1893" s="55" t="str">
        <f>TEXT(Patient_Data[[#This Row],[Admission_Date]],"YYYY")</f>
        <v>2023</v>
      </c>
      <c r="G1893" s="8" t="s">
        <v>3786</v>
      </c>
      <c r="H1893" s="8" t="s">
        <v>28</v>
      </c>
      <c r="I1893" s="4" t="s">
        <v>35</v>
      </c>
      <c r="J1893" s="4">
        <v>81</v>
      </c>
      <c r="K1893" s="4" t="s">
        <v>30</v>
      </c>
      <c r="L1893" s="8">
        <v>3</v>
      </c>
      <c r="M1893" s="9" t="s">
        <v>46</v>
      </c>
      <c r="N1893" s="9" t="str">
        <f t="shared" si="15"/>
        <v>Ortho</v>
      </c>
      <c r="O1893" s="10">
        <v>6662.62</v>
      </c>
      <c r="P1893" s="10">
        <v>4487.16</v>
      </c>
      <c r="Q1893" s="11">
        <v>2.9</v>
      </c>
      <c r="R1893" s="13" t="str">
        <f>IF(Patient_Data!$L1893&lt;2,"Low Risk",IF(Patient_Data!$L1893&lt;4,"Moderate Risk","High Risk"))</f>
        <v>Moderate Risk</v>
      </c>
      <c r="S1893" s="12" t="str">
        <f>IF(Patient_Data[[#This Row],[Age]]&lt;=18,"Pediatric",IF(Patient_Data[[#This Row],[Age]]&lt;=64,"Adult","Geriatric"))</f>
        <v>Geriatric</v>
      </c>
    </row>
    <row r="1894" spans="1:19" ht="15.75" customHeight="1" x14ac:dyDescent="0.3">
      <c r="A1894" s="4" t="s">
        <v>3787</v>
      </c>
      <c r="B1894" s="5" t="str">
        <f>TEXT(Patient_Data!$E1894,"mmmm")</f>
        <v>February</v>
      </c>
      <c r="C1894" s="6" t="str">
        <f t="shared" si="14"/>
        <v>Feb</v>
      </c>
      <c r="D1894" s="6">
        <f>MONTH(Patient_Data!$E1894)</f>
        <v>2</v>
      </c>
      <c r="E1894" s="7">
        <v>46080</v>
      </c>
      <c r="F1894" s="55" t="str">
        <f>TEXT(Patient_Data[[#This Row],[Admission_Date]],"YYYY")</f>
        <v>2026</v>
      </c>
      <c r="G1894" s="8" t="s">
        <v>3788</v>
      </c>
      <c r="H1894" s="8" t="s">
        <v>53</v>
      </c>
      <c r="I1894" s="4" t="s">
        <v>29</v>
      </c>
      <c r="J1894" s="4">
        <v>37</v>
      </c>
      <c r="K1894" s="4" t="s">
        <v>30</v>
      </c>
      <c r="L1894" s="8">
        <v>1</v>
      </c>
      <c r="M1894" s="9" t="s">
        <v>36</v>
      </c>
      <c r="N1894" s="9" t="str">
        <f t="shared" si="15"/>
        <v>Cardio</v>
      </c>
      <c r="O1894" s="10">
        <v>7894.78</v>
      </c>
      <c r="P1894" s="10">
        <v>5585.55</v>
      </c>
      <c r="Q1894" s="11">
        <v>7.4</v>
      </c>
      <c r="R1894" s="13" t="str">
        <f>IF(Patient_Data!$L1894&lt;2,"Low Risk",IF(Patient_Data!$L1894&lt;4,"Moderate Risk","High Risk"))</f>
        <v>Low Risk</v>
      </c>
      <c r="S1894" s="12" t="str">
        <f>IF(Patient_Data[[#This Row],[Age]]&lt;=18,"Pediatric",IF(Patient_Data[[#This Row],[Age]]&lt;=64,"Adult","Geriatric"))</f>
        <v>Adult</v>
      </c>
    </row>
    <row r="1895" spans="1:19" ht="15.75" customHeight="1" x14ac:dyDescent="0.3">
      <c r="A1895" s="4" t="s">
        <v>3789</v>
      </c>
      <c r="B1895" s="5" t="str">
        <f>TEXT(Patient_Data!$E1895,"mmmm")</f>
        <v>August</v>
      </c>
      <c r="C1895" s="6" t="str">
        <f t="shared" si="14"/>
        <v>Aug</v>
      </c>
      <c r="D1895" s="6">
        <f>MONTH(Patient_Data!$E1895)</f>
        <v>8</v>
      </c>
      <c r="E1895" s="7">
        <v>45530</v>
      </c>
      <c r="F1895" s="55" t="str">
        <f>TEXT(Patient_Data[[#This Row],[Admission_Date]],"YYYY")</f>
        <v>2024</v>
      </c>
      <c r="G1895" s="8" t="s">
        <v>3790</v>
      </c>
      <c r="H1895" s="8" t="s">
        <v>49</v>
      </c>
      <c r="I1895" s="4" t="s">
        <v>29</v>
      </c>
      <c r="J1895" s="4">
        <v>16</v>
      </c>
      <c r="K1895" s="4" t="s">
        <v>30</v>
      </c>
      <c r="L1895" s="8">
        <v>1</v>
      </c>
      <c r="M1895" s="9" t="s">
        <v>79</v>
      </c>
      <c r="N1895" s="9" t="str">
        <f t="shared" si="15"/>
        <v>PD</v>
      </c>
      <c r="O1895" s="10">
        <v>2068.6</v>
      </c>
      <c r="P1895" s="10">
        <v>1528.48</v>
      </c>
      <c r="Q1895" s="11">
        <v>2.2999999999999998</v>
      </c>
      <c r="R1895" s="13" t="str">
        <f>IF(Patient_Data!$L1895&lt;2,"Low Risk",IF(Patient_Data!$L1895&lt;4,"Moderate Risk","High Risk"))</f>
        <v>Low Risk</v>
      </c>
      <c r="S1895" s="12" t="str">
        <f>IF(Patient_Data[[#This Row],[Age]]&lt;=18,"Pediatric",IF(Patient_Data[[#This Row],[Age]]&lt;=64,"Adult","Geriatric"))</f>
        <v>Pediatric</v>
      </c>
    </row>
    <row r="1896" spans="1:19" ht="15.75" customHeight="1" x14ac:dyDescent="0.3">
      <c r="A1896" s="4" t="s">
        <v>3791</v>
      </c>
      <c r="B1896" s="5" t="str">
        <f>TEXT(Patient_Data!$E1896,"mmmm")</f>
        <v>August</v>
      </c>
      <c r="C1896" s="6" t="str">
        <f t="shared" si="14"/>
        <v>Aug</v>
      </c>
      <c r="D1896" s="6">
        <f>MONTH(Patient_Data!$E1896)</f>
        <v>8</v>
      </c>
      <c r="E1896" s="7">
        <v>45883</v>
      </c>
      <c r="F1896" s="55" t="str">
        <f>TEXT(Patient_Data[[#This Row],[Admission_Date]],"YYYY")</f>
        <v>2025</v>
      </c>
      <c r="G1896" s="8" t="s">
        <v>3792</v>
      </c>
      <c r="H1896" s="8" t="s">
        <v>53</v>
      </c>
      <c r="I1896" s="4" t="s">
        <v>35</v>
      </c>
      <c r="J1896" s="4">
        <v>57</v>
      </c>
      <c r="K1896" s="4" t="s">
        <v>30</v>
      </c>
      <c r="L1896" s="8">
        <v>2</v>
      </c>
      <c r="M1896" s="9" t="s">
        <v>36</v>
      </c>
      <c r="N1896" s="9" t="str">
        <f t="shared" si="15"/>
        <v>Cardio</v>
      </c>
      <c r="O1896" s="10">
        <v>8939.48</v>
      </c>
      <c r="P1896" s="10">
        <v>6884.4</v>
      </c>
      <c r="Q1896" s="11">
        <v>11.3</v>
      </c>
      <c r="R1896" s="13" t="str">
        <f>IF(Patient_Data!$L1896&lt;2,"Low Risk",IF(Patient_Data!$L1896&lt;4,"Moderate Risk","High Risk"))</f>
        <v>Moderate Risk</v>
      </c>
      <c r="S1896" s="12" t="str">
        <f>IF(Patient_Data[[#This Row],[Age]]&lt;=18,"Pediatric",IF(Patient_Data[[#This Row],[Age]]&lt;=64,"Adult","Geriatric"))</f>
        <v>Adult</v>
      </c>
    </row>
    <row r="1897" spans="1:19" ht="15.75" customHeight="1" x14ac:dyDescent="0.3">
      <c r="A1897" s="4" t="s">
        <v>3793</v>
      </c>
      <c r="B1897" s="5" t="str">
        <f>TEXT(Patient_Data!$E1897,"mmmm")</f>
        <v>March</v>
      </c>
      <c r="C1897" s="6" t="str">
        <f t="shared" si="14"/>
        <v>Mar</v>
      </c>
      <c r="D1897" s="6">
        <f>MONTH(Patient_Data!$E1897)</f>
        <v>3</v>
      </c>
      <c r="E1897" s="7">
        <v>45352</v>
      </c>
      <c r="F1897" s="55" t="str">
        <f>TEXT(Patient_Data[[#This Row],[Admission_Date]],"YYYY")</f>
        <v>2024</v>
      </c>
      <c r="G1897" s="8" t="s">
        <v>3794</v>
      </c>
      <c r="H1897" s="8" t="s">
        <v>98</v>
      </c>
      <c r="I1897" s="4" t="s">
        <v>29</v>
      </c>
      <c r="J1897" s="4">
        <v>63</v>
      </c>
      <c r="K1897" s="4" t="s">
        <v>30</v>
      </c>
      <c r="L1897" s="8">
        <v>1</v>
      </c>
      <c r="M1897" s="9" t="s">
        <v>46</v>
      </c>
      <c r="N1897" s="9" t="str">
        <f t="shared" si="15"/>
        <v>Ortho</v>
      </c>
      <c r="O1897" s="10">
        <v>7150.49</v>
      </c>
      <c r="P1897" s="10">
        <v>4224.08</v>
      </c>
      <c r="Q1897" s="11">
        <v>9.6</v>
      </c>
      <c r="R1897" s="13" t="str">
        <f>IF(Patient_Data!$L1897&lt;2,"Low Risk",IF(Patient_Data!$L1897&lt;4,"Moderate Risk","High Risk"))</f>
        <v>Low Risk</v>
      </c>
      <c r="S1897" s="12" t="str">
        <f>IF(Patient_Data[[#This Row],[Age]]&lt;=18,"Pediatric",IF(Patient_Data[[#This Row],[Age]]&lt;=64,"Adult","Geriatric"))</f>
        <v>Adult</v>
      </c>
    </row>
    <row r="1898" spans="1:19" ht="15.75" customHeight="1" x14ac:dyDescent="0.3">
      <c r="A1898" s="4" t="s">
        <v>3795</v>
      </c>
      <c r="B1898" s="5" t="str">
        <f>TEXT(Patient_Data!$E1898,"mmmm")</f>
        <v>April</v>
      </c>
      <c r="C1898" s="6" t="str">
        <f t="shared" si="14"/>
        <v>Apr</v>
      </c>
      <c r="D1898" s="6">
        <f>MONTH(Patient_Data!$E1898)</f>
        <v>4</v>
      </c>
      <c r="E1898" s="7">
        <v>45750</v>
      </c>
      <c r="F1898" s="55" t="str">
        <f>TEXT(Patient_Data[[#This Row],[Admission_Date]],"YYYY")</f>
        <v>2025</v>
      </c>
      <c r="G1898" s="8" t="s">
        <v>3796</v>
      </c>
      <c r="H1898" s="8" t="s">
        <v>53</v>
      </c>
      <c r="I1898" s="4" t="s">
        <v>35</v>
      </c>
      <c r="J1898" s="4">
        <v>66</v>
      </c>
      <c r="K1898" s="4" t="s">
        <v>30</v>
      </c>
      <c r="L1898" s="8">
        <v>1</v>
      </c>
      <c r="M1898" s="9" t="s">
        <v>83</v>
      </c>
      <c r="N1898" s="9" t="str">
        <f t="shared" si="15"/>
        <v>ER</v>
      </c>
      <c r="O1898" s="10">
        <v>3304.57</v>
      </c>
      <c r="P1898" s="10">
        <v>2161.39</v>
      </c>
      <c r="Q1898" s="11">
        <v>18.2</v>
      </c>
      <c r="R1898" s="13" t="str">
        <f>IF(Patient_Data!$L1898&lt;2,"Low Risk",IF(Patient_Data!$L1898&lt;4,"Moderate Risk","High Risk"))</f>
        <v>Low Risk</v>
      </c>
      <c r="S1898" s="12" t="str">
        <f>IF(Patient_Data[[#This Row],[Age]]&lt;=18,"Pediatric",IF(Patient_Data[[#This Row],[Age]]&lt;=64,"Adult","Geriatric"))</f>
        <v>Geriatric</v>
      </c>
    </row>
    <row r="1899" spans="1:19" ht="15.75" customHeight="1" x14ac:dyDescent="0.3">
      <c r="A1899" s="4" t="s">
        <v>3797</v>
      </c>
      <c r="B1899" s="5" t="str">
        <f>TEXT(Patient_Data!$E1899,"mmmm")</f>
        <v>October</v>
      </c>
      <c r="C1899" s="6" t="str">
        <f t="shared" si="14"/>
        <v>Oct</v>
      </c>
      <c r="D1899" s="6">
        <f>MONTH(Patient_Data!$E1899)</f>
        <v>10</v>
      </c>
      <c r="E1899" s="7">
        <v>45223</v>
      </c>
      <c r="F1899" s="55" t="str">
        <f>TEXT(Patient_Data[[#This Row],[Admission_Date]],"YYYY")</f>
        <v>2023</v>
      </c>
      <c r="G1899" s="8" t="s">
        <v>3798</v>
      </c>
      <c r="H1899" s="8" t="s">
        <v>53</v>
      </c>
      <c r="I1899" s="4" t="s">
        <v>29</v>
      </c>
      <c r="J1899" s="4">
        <v>74</v>
      </c>
      <c r="K1899" s="4" t="s">
        <v>54</v>
      </c>
      <c r="L1899" s="8">
        <v>3</v>
      </c>
      <c r="M1899" s="9" t="s">
        <v>31</v>
      </c>
      <c r="N1899" s="9" t="str">
        <f t="shared" si="15"/>
        <v>Neuro</v>
      </c>
      <c r="O1899" s="10">
        <v>11832.56</v>
      </c>
      <c r="P1899" s="10">
        <v>7648.04</v>
      </c>
      <c r="Q1899" s="11">
        <v>9.4</v>
      </c>
      <c r="R1899" s="13" t="str">
        <f>IF(Patient_Data!$L1899&lt;2,"Low Risk",IF(Patient_Data!$L1899&lt;4,"Moderate Risk","High Risk"))</f>
        <v>Moderate Risk</v>
      </c>
      <c r="S1899" s="12" t="str">
        <f>IF(Patient_Data[[#This Row],[Age]]&lt;=18,"Pediatric",IF(Patient_Data[[#This Row],[Age]]&lt;=64,"Adult","Geriatric"))</f>
        <v>Geriatric</v>
      </c>
    </row>
    <row r="1900" spans="1:19" ht="15.75" customHeight="1" x14ac:dyDescent="0.3">
      <c r="A1900" s="4" t="s">
        <v>3799</v>
      </c>
      <c r="B1900" s="5" t="str">
        <f>TEXT(Patient_Data!$E1900,"mmmm")</f>
        <v>October</v>
      </c>
      <c r="C1900" s="6" t="str">
        <f t="shared" si="14"/>
        <v>Oct</v>
      </c>
      <c r="D1900" s="6">
        <f>MONTH(Patient_Data!$E1900)</f>
        <v>10</v>
      </c>
      <c r="E1900" s="7">
        <v>45958</v>
      </c>
      <c r="F1900" s="55" t="str">
        <f>TEXT(Patient_Data[[#This Row],[Admission_Date]],"YYYY")</f>
        <v>2025</v>
      </c>
      <c r="G1900" s="8" t="s">
        <v>3800</v>
      </c>
      <c r="H1900" s="8" t="s">
        <v>34</v>
      </c>
      <c r="I1900" s="4" t="s">
        <v>35</v>
      </c>
      <c r="J1900" s="4">
        <v>60</v>
      </c>
      <c r="K1900" s="4" t="s">
        <v>54</v>
      </c>
      <c r="L1900" s="8">
        <v>5</v>
      </c>
      <c r="M1900" s="9" t="s">
        <v>50</v>
      </c>
      <c r="N1900" s="9" t="str">
        <f t="shared" si="15"/>
        <v>ICU</v>
      </c>
      <c r="O1900" s="10">
        <v>24986.32</v>
      </c>
      <c r="P1900" s="10">
        <v>16856.830000000002</v>
      </c>
      <c r="Q1900" s="11">
        <v>14.5</v>
      </c>
      <c r="R1900" s="13" t="str">
        <f>IF(Patient_Data!$L1900&lt;2,"Low Risk",IF(Patient_Data!$L1900&lt;4,"Moderate Risk","High Risk"))</f>
        <v>High Risk</v>
      </c>
      <c r="S1900" s="12" t="str">
        <f>IF(Patient_Data[[#This Row],[Age]]&lt;=18,"Pediatric",IF(Patient_Data[[#This Row],[Age]]&lt;=64,"Adult","Geriatric"))</f>
        <v>Adult</v>
      </c>
    </row>
    <row r="1901" spans="1:19" ht="15.75" customHeight="1" x14ac:dyDescent="0.3">
      <c r="A1901" s="4" t="s">
        <v>3801</v>
      </c>
      <c r="B1901" s="5" t="str">
        <f>TEXT(Patient_Data!$E1901,"mmmm")</f>
        <v>December</v>
      </c>
      <c r="C1901" s="6" t="str">
        <f t="shared" si="14"/>
        <v>Dec</v>
      </c>
      <c r="D1901" s="6">
        <f>MONTH(Patient_Data!$E1901)</f>
        <v>12</v>
      </c>
      <c r="E1901" s="7">
        <v>45268</v>
      </c>
      <c r="F1901" s="55" t="str">
        <f>TEXT(Patient_Data[[#This Row],[Admission_Date]],"YYYY")</f>
        <v>2023</v>
      </c>
      <c r="G1901" s="8" t="s">
        <v>3802</v>
      </c>
      <c r="H1901" s="8" t="s">
        <v>28</v>
      </c>
      <c r="I1901" s="4" t="s">
        <v>29</v>
      </c>
      <c r="J1901" s="4">
        <v>45</v>
      </c>
      <c r="K1901" s="4" t="s">
        <v>30</v>
      </c>
      <c r="L1901" s="8">
        <v>2</v>
      </c>
      <c r="M1901" s="9" t="s">
        <v>39</v>
      </c>
      <c r="N1901" s="9" t="str">
        <f t="shared" si="15"/>
        <v>GM</v>
      </c>
      <c r="O1901" s="10">
        <v>2170.0500000000002</v>
      </c>
      <c r="P1901" s="10">
        <v>1559.84</v>
      </c>
      <c r="Q1901" s="11">
        <v>5.0999999999999996</v>
      </c>
      <c r="R1901" s="13" t="str">
        <f>IF(Patient_Data!$L1901&lt;2,"Low Risk",IF(Patient_Data!$L1901&lt;4,"Moderate Risk","High Risk"))</f>
        <v>Moderate Risk</v>
      </c>
      <c r="S1901" s="12" t="str">
        <f>IF(Patient_Data[[#This Row],[Age]]&lt;=18,"Pediatric",IF(Patient_Data[[#This Row],[Age]]&lt;=64,"Adult","Geriatric"))</f>
        <v>Adult</v>
      </c>
    </row>
    <row r="1902" spans="1:19" ht="15.75" customHeight="1" x14ac:dyDescent="0.3">
      <c r="A1902" s="4" t="s">
        <v>3803</v>
      </c>
      <c r="B1902" s="5" t="str">
        <f>TEXT(Patient_Data!$E1902,"mmmm")</f>
        <v>December</v>
      </c>
      <c r="C1902" s="6" t="str">
        <f t="shared" si="14"/>
        <v>Dec</v>
      </c>
      <c r="D1902" s="6">
        <f>MONTH(Patient_Data!$E1902)</f>
        <v>12</v>
      </c>
      <c r="E1902" s="7">
        <v>45628</v>
      </c>
      <c r="F1902" s="55" t="str">
        <f>TEXT(Patient_Data[[#This Row],[Admission_Date]],"YYYY")</f>
        <v>2024</v>
      </c>
      <c r="G1902" s="8" t="s">
        <v>3804</v>
      </c>
      <c r="H1902" s="8" t="s">
        <v>34</v>
      </c>
      <c r="I1902" s="4" t="s">
        <v>35</v>
      </c>
      <c r="J1902" s="4">
        <v>82</v>
      </c>
      <c r="K1902" s="4" t="s">
        <v>30</v>
      </c>
      <c r="L1902" s="8">
        <v>1</v>
      </c>
      <c r="M1902" s="9" t="s">
        <v>83</v>
      </c>
      <c r="N1902" s="9" t="str">
        <f t="shared" si="15"/>
        <v>ER</v>
      </c>
      <c r="O1902" s="10">
        <v>9151.35</v>
      </c>
      <c r="P1902" s="10">
        <v>6852.49</v>
      </c>
      <c r="Q1902" s="11">
        <v>21.5</v>
      </c>
      <c r="R1902" s="13" t="str">
        <f>IF(Patient_Data!$L1902&lt;2,"Low Risk",IF(Patient_Data!$L1902&lt;4,"Moderate Risk","High Risk"))</f>
        <v>Low Risk</v>
      </c>
      <c r="S1902" s="12" t="str">
        <f>IF(Patient_Data[[#This Row],[Age]]&lt;=18,"Pediatric",IF(Patient_Data[[#This Row],[Age]]&lt;=64,"Adult","Geriatric"))</f>
        <v>Geriatric</v>
      </c>
    </row>
    <row r="1903" spans="1:19" ht="15.75" customHeight="1" x14ac:dyDescent="0.3">
      <c r="A1903" s="4" t="s">
        <v>3805</v>
      </c>
      <c r="B1903" s="5" t="str">
        <f>TEXT(Patient_Data!$E1903,"mmmm")</f>
        <v>October</v>
      </c>
      <c r="C1903" s="6" t="str">
        <f t="shared" si="14"/>
        <v>Oct</v>
      </c>
      <c r="D1903" s="6">
        <f>MONTH(Patient_Data!$E1903)</f>
        <v>10</v>
      </c>
      <c r="E1903" s="7">
        <v>45590</v>
      </c>
      <c r="F1903" s="55" t="str">
        <f>TEXT(Patient_Data[[#This Row],[Admission_Date]],"YYYY")</f>
        <v>2024</v>
      </c>
      <c r="G1903" s="8" t="s">
        <v>3806</v>
      </c>
      <c r="H1903" s="8" t="s">
        <v>42</v>
      </c>
      <c r="I1903" s="4" t="s">
        <v>35</v>
      </c>
      <c r="J1903" s="4">
        <v>25</v>
      </c>
      <c r="K1903" s="4" t="s">
        <v>54</v>
      </c>
      <c r="L1903" s="8">
        <v>3</v>
      </c>
      <c r="M1903" s="9" t="s">
        <v>83</v>
      </c>
      <c r="N1903" s="9" t="str">
        <f t="shared" si="15"/>
        <v>ER</v>
      </c>
      <c r="O1903" s="10">
        <v>5686.67</v>
      </c>
      <c r="P1903" s="10">
        <v>4456.2700000000004</v>
      </c>
      <c r="Q1903" s="11">
        <v>16.8</v>
      </c>
      <c r="R1903" s="13" t="str">
        <f>IF(Patient_Data!$L1903&lt;2,"Low Risk",IF(Patient_Data!$L1903&lt;4,"Moderate Risk","High Risk"))</f>
        <v>Moderate Risk</v>
      </c>
      <c r="S1903" s="12" t="str">
        <f>IF(Patient_Data[[#This Row],[Age]]&lt;=18,"Pediatric",IF(Patient_Data[[#This Row],[Age]]&lt;=64,"Adult","Geriatric"))</f>
        <v>Adult</v>
      </c>
    </row>
    <row r="1904" spans="1:19" ht="15.75" customHeight="1" x14ac:dyDescent="0.3">
      <c r="A1904" s="4" t="s">
        <v>3807</v>
      </c>
      <c r="B1904" s="5" t="str">
        <f>TEXT(Patient_Data!$E1904,"mmmm")</f>
        <v>July</v>
      </c>
      <c r="C1904" s="6" t="str">
        <f t="shared" si="14"/>
        <v>Jul</v>
      </c>
      <c r="D1904" s="6">
        <f>MONTH(Patient_Data!$E1904)</f>
        <v>7</v>
      </c>
      <c r="E1904" s="7">
        <v>46218</v>
      </c>
      <c r="F1904" s="55" t="str">
        <f>TEXT(Patient_Data[[#This Row],[Admission_Date]],"YYYY")</f>
        <v>2026</v>
      </c>
      <c r="G1904" s="8" t="s">
        <v>3808</v>
      </c>
      <c r="H1904" s="8" t="s">
        <v>28</v>
      </c>
      <c r="I1904" s="4" t="s">
        <v>35</v>
      </c>
      <c r="J1904" s="4">
        <v>6</v>
      </c>
      <c r="K1904" s="4" t="s">
        <v>54</v>
      </c>
      <c r="L1904" s="8">
        <v>4</v>
      </c>
      <c r="M1904" s="9" t="s">
        <v>79</v>
      </c>
      <c r="N1904" s="9" t="str">
        <f t="shared" si="15"/>
        <v>PD</v>
      </c>
      <c r="O1904" s="10">
        <v>1398.08</v>
      </c>
      <c r="P1904" s="10">
        <v>838.09</v>
      </c>
      <c r="Q1904" s="11">
        <v>3.4</v>
      </c>
      <c r="R1904" s="13" t="str">
        <f>IF(Patient_Data!$L1904&lt;2,"Low Risk",IF(Patient_Data!$L1904&lt;4,"Moderate Risk","High Risk"))</f>
        <v>High Risk</v>
      </c>
      <c r="S1904" s="12" t="str">
        <f>IF(Patient_Data[[#This Row],[Age]]&lt;=18,"Pediatric",IF(Patient_Data[[#This Row],[Age]]&lt;=64,"Adult","Geriatric"))</f>
        <v>Pediatric</v>
      </c>
    </row>
    <row r="1905" spans="1:19" ht="15.75" customHeight="1" x14ac:dyDescent="0.3">
      <c r="A1905" s="4" t="s">
        <v>3809</v>
      </c>
      <c r="B1905" s="5" t="str">
        <f>TEXT(Patient_Data!$E1905,"mmmm")</f>
        <v>October</v>
      </c>
      <c r="C1905" s="6" t="str">
        <f t="shared" si="14"/>
        <v>Oct</v>
      </c>
      <c r="D1905" s="6">
        <f>MONTH(Patient_Data!$E1905)</f>
        <v>10</v>
      </c>
      <c r="E1905" s="7">
        <v>45208</v>
      </c>
      <c r="F1905" s="55" t="str">
        <f>TEXT(Patient_Data[[#This Row],[Admission_Date]],"YYYY")</f>
        <v>2023</v>
      </c>
      <c r="G1905" s="8" t="s">
        <v>3810</v>
      </c>
      <c r="H1905" s="8" t="s">
        <v>53</v>
      </c>
      <c r="I1905" s="4" t="s">
        <v>35</v>
      </c>
      <c r="J1905" s="4">
        <v>37</v>
      </c>
      <c r="K1905" s="4" t="s">
        <v>45</v>
      </c>
      <c r="L1905" s="8">
        <v>4</v>
      </c>
      <c r="M1905" s="9" t="s">
        <v>39</v>
      </c>
      <c r="N1905" s="9" t="str">
        <f t="shared" si="15"/>
        <v>GM</v>
      </c>
      <c r="O1905" s="10">
        <v>6091.61</v>
      </c>
      <c r="P1905" s="10">
        <v>3786.28</v>
      </c>
      <c r="Q1905" s="11">
        <v>8.8000000000000007</v>
      </c>
      <c r="R1905" s="13" t="str">
        <f>IF(Patient_Data!$L1905&lt;2,"Low Risk",IF(Patient_Data!$L1905&lt;4,"Moderate Risk","High Risk"))</f>
        <v>High Risk</v>
      </c>
      <c r="S1905" s="12" t="str">
        <f>IF(Patient_Data[[#This Row],[Age]]&lt;=18,"Pediatric",IF(Patient_Data[[#This Row],[Age]]&lt;=64,"Adult","Geriatric"))</f>
        <v>Adult</v>
      </c>
    </row>
    <row r="1906" spans="1:19" ht="15.75" customHeight="1" x14ac:dyDescent="0.3">
      <c r="A1906" s="4" t="s">
        <v>3811</v>
      </c>
      <c r="B1906" s="5" t="str">
        <f>TEXT(Patient_Data!$E1906,"mmmm")</f>
        <v>September</v>
      </c>
      <c r="C1906" s="6" t="str">
        <f t="shared" si="14"/>
        <v>Sep</v>
      </c>
      <c r="D1906" s="6">
        <f>MONTH(Patient_Data!$E1906)</f>
        <v>9</v>
      </c>
      <c r="E1906" s="7">
        <v>45184</v>
      </c>
      <c r="F1906" s="55" t="str">
        <f>TEXT(Patient_Data[[#This Row],[Admission_Date]],"YYYY")</f>
        <v>2023</v>
      </c>
      <c r="G1906" s="8" t="s">
        <v>3812</v>
      </c>
      <c r="H1906" s="8" t="s">
        <v>82</v>
      </c>
      <c r="I1906" s="4" t="s">
        <v>29</v>
      </c>
      <c r="J1906" s="4">
        <v>83</v>
      </c>
      <c r="K1906" s="4" t="s">
        <v>45</v>
      </c>
      <c r="L1906" s="8">
        <v>2</v>
      </c>
      <c r="M1906" s="9" t="s">
        <v>39</v>
      </c>
      <c r="N1906" s="9" t="str">
        <f t="shared" si="15"/>
        <v>GM</v>
      </c>
      <c r="O1906" s="10">
        <v>3593.22</v>
      </c>
      <c r="P1906" s="10">
        <v>2370.86</v>
      </c>
      <c r="Q1906" s="11">
        <v>8.9</v>
      </c>
      <c r="R1906" s="13" t="str">
        <f>IF(Patient_Data!$L1906&lt;2,"Low Risk",IF(Patient_Data!$L1906&lt;4,"Moderate Risk","High Risk"))</f>
        <v>Moderate Risk</v>
      </c>
      <c r="S1906" s="12" t="str">
        <f>IF(Patient_Data[[#This Row],[Age]]&lt;=18,"Pediatric",IF(Patient_Data[[#This Row],[Age]]&lt;=64,"Adult","Geriatric"))</f>
        <v>Geriatric</v>
      </c>
    </row>
    <row r="1907" spans="1:19" ht="15.75" customHeight="1" x14ac:dyDescent="0.3">
      <c r="A1907" s="4" t="s">
        <v>3813</v>
      </c>
      <c r="B1907" s="5" t="str">
        <f>TEXT(Patient_Data!$E1907,"mmmm")</f>
        <v>November</v>
      </c>
      <c r="C1907" s="6" t="str">
        <f t="shared" si="14"/>
        <v>Nov</v>
      </c>
      <c r="D1907" s="6">
        <f>MONTH(Patient_Data!$E1907)</f>
        <v>11</v>
      </c>
      <c r="E1907" s="7">
        <v>45625</v>
      </c>
      <c r="F1907" s="55" t="str">
        <f>TEXT(Patient_Data[[#This Row],[Admission_Date]],"YYYY")</f>
        <v>2024</v>
      </c>
      <c r="G1907" s="8" t="s">
        <v>2595</v>
      </c>
      <c r="H1907" s="8" t="s">
        <v>34</v>
      </c>
      <c r="I1907" s="4" t="s">
        <v>29</v>
      </c>
      <c r="J1907" s="4">
        <v>34</v>
      </c>
      <c r="K1907" s="4" t="s">
        <v>30</v>
      </c>
      <c r="L1907" s="8">
        <v>2</v>
      </c>
      <c r="M1907" s="9" t="s">
        <v>36</v>
      </c>
      <c r="N1907" s="9" t="str">
        <f t="shared" si="15"/>
        <v>Cardio</v>
      </c>
      <c r="O1907" s="10">
        <v>9688.8700000000008</v>
      </c>
      <c r="P1907" s="10">
        <v>6566.74</v>
      </c>
      <c r="Q1907" s="11">
        <v>9.4</v>
      </c>
      <c r="R1907" s="13" t="str">
        <f>IF(Patient_Data!$L1907&lt;2,"Low Risk",IF(Patient_Data!$L1907&lt;4,"Moderate Risk","High Risk"))</f>
        <v>Moderate Risk</v>
      </c>
      <c r="S1907" s="12" t="str">
        <f>IF(Patient_Data[[#This Row],[Age]]&lt;=18,"Pediatric",IF(Patient_Data[[#This Row],[Age]]&lt;=64,"Adult","Geriatric"))</f>
        <v>Adult</v>
      </c>
    </row>
    <row r="1908" spans="1:19" ht="15.75" customHeight="1" x14ac:dyDescent="0.3">
      <c r="A1908" s="4" t="s">
        <v>3814</v>
      </c>
      <c r="B1908" s="5" t="str">
        <f>TEXT(Patient_Data!$E1908,"mmmm")</f>
        <v>May</v>
      </c>
      <c r="C1908" s="6" t="str">
        <f t="shared" si="14"/>
        <v>May</v>
      </c>
      <c r="D1908" s="6">
        <f>MONTH(Patient_Data!$E1908)</f>
        <v>5</v>
      </c>
      <c r="E1908" s="7">
        <v>45792</v>
      </c>
      <c r="F1908" s="55" t="str">
        <f>TEXT(Patient_Data[[#This Row],[Admission_Date]],"YYYY")</f>
        <v>2025</v>
      </c>
      <c r="G1908" s="8" t="s">
        <v>3815</v>
      </c>
      <c r="H1908" s="8" t="s">
        <v>82</v>
      </c>
      <c r="I1908" s="4" t="s">
        <v>29</v>
      </c>
      <c r="J1908" s="4">
        <v>40</v>
      </c>
      <c r="K1908" s="4" t="s">
        <v>30</v>
      </c>
      <c r="L1908" s="8">
        <v>3</v>
      </c>
      <c r="M1908" s="9" t="s">
        <v>31</v>
      </c>
      <c r="N1908" s="9" t="str">
        <f t="shared" si="15"/>
        <v>Neuro</v>
      </c>
      <c r="O1908" s="10">
        <v>12308.93</v>
      </c>
      <c r="P1908" s="10">
        <v>8637.0499999999993</v>
      </c>
      <c r="Q1908" s="11">
        <v>2.6</v>
      </c>
      <c r="R1908" s="13" t="str">
        <f>IF(Patient_Data!$L1908&lt;2,"Low Risk",IF(Patient_Data!$L1908&lt;4,"Moderate Risk","High Risk"))</f>
        <v>Moderate Risk</v>
      </c>
      <c r="S1908" s="12" t="str">
        <f>IF(Patient_Data[[#This Row],[Age]]&lt;=18,"Pediatric",IF(Patient_Data[[#This Row],[Age]]&lt;=64,"Adult","Geriatric"))</f>
        <v>Adult</v>
      </c>
    </row>
    <row r="1909" spans="1:19" ht="15.75" customHeight="1" x14ac:dyDescent="0.3">
      <c r="A1909" s="4" t="s">
        <v>3816</v>
      </c>
      <c r="B1909" s="5" t="str">
        <f>TEXT(Patient_Data!$E1909,"mmmm")</f>
        <v>March</v>
      </c>
      <c r="C1909" s="6" t="str">
        <f t="shared" si="14"/>
        <v>Mar</v>
      </c>
      <c r="D1909" s="6">
        <f>MONTH(Patient_Data!$E1909)</f>
        <v>3</v>
      </c>
      <c r="E1909" s="7">
        <v>45730</v>
      </c>
      <c r="F1909" s="55" t="str">
        <f>TEXT(Patient_Data[[#This Row],[Admission_Date]],"YYYY")</f>
        <v>2025</v>
      </c>
      <c r="G1909" s="8" t="s">
        <v>3817</v>
      </c>
      <c r="H1909" s="8" t="s">
        <v>75</v>
      </c>
      <c r="I1909" s="4" t="s">
        <v>35</v>
      </c>
      <c r="J1909" s="4">
        <v>69</v>
      </c>
      <c r="K1909" s="4" t="s">
        <v>30</v>
      </c>
      <c r="L1909" s="8">
        <v>4</v>
      </c>
      <c r="M1909" s="9" t="s">
        <v>46</v>
      </c>
      <c r="N1909" s="9" t="str">
        <f t="shared" si="15"/>
        <v>Ortho</v>
      </c>
      <c r="O1909" s="10">
        <v>12834.21</v>
      </c>
      <c r="P1909" s="10">
        <v>9436.17</v>
      </c>
      <c r="Q1909" s="11">
        <v>8.4</v>
      </c>
      <c r="R1909" s="13" t="str">
        <f>IF(Patient_Data!$L1909&lt;2,"Low Risk",IF(Patient_Data!$L1909&lt;4,"Moderate Risk","High Risk"))</f>
        <v>High Risk</v>
      </c>
      <c r="S1909" s="12" t="str">
        <f>IF(Patient_Data[[#This Row],[Age]]&lt;=18,"Pediatric",IF(Patient_Data[[#This Row],[Age]]&lt;=64,"Adult","Geriatric"))</f>
        <v>Geriatric</v>
      </c>
    </row>
    <row r="1910" spans="1:19" ht="15.75" customHeight="1" x14ac:dyDescent="0.3">
      <c r="A1910" s="4" t="s">
        <v>3818</v>
      </c>
      <c r="B1910" s="5" t="str">
        <f>TEXT(Patient_Data!$E1910,"mmmm")</f>
        <v>January</v>
      </c>
      <c r="C1910" s="6" t="str">
        <f t="shared" si="14"/>
        <v>Jan</v>
      </c>
      <c r="D1910" s="6">
        <f>MONTH(Patient_Data!$E1910)</f>
        <v>1</v>
      </c>
      <c r="E1910" s="7">
        <v>46034</v>
      </c>
      <c r="F1910" s="55" t="str">
        <f>TEXT(Patient_Data[[#This Row],[Admission_Date]],"YYYY")</f>
        <v>2026</v>
      </c>
      <c r="G1910" s="8" t="s">
        <v>3819</v>
      </c>
      <c r="H1910" s="8" t="s">
        <v>82</v>
      </c>
      <c r="I1910" s="4" t="s">
        <v>29</v>
      </c>
      <c r="J1910" s="4">
        <v>70</v>
      </c>
      <c r="K1910" s="4" t="s">
        <v>54</v>
      </c>
      <c r="L1910" s="8">
        <v>5</v>
      </c>
      <c r="M1910" s="9" t="s">
        <v>50</v>
      </c>
      <c r="N1910" s="9" t="str">
        <f t="shared" si="15"/>
        <v>ICU</v>
      </c>
      <c r="O1910" s="10">
        <v>17955.580000000002</v>
      </c>
      <c r="P1910" s="10">
        <v>13731.04</v>
      </c>
      <c r="Q1910" s="11">
        <v>10.6</v>
      </c>
      <c r="R1910" s="13" t="str">
        <f>IF(Patient_Data!$L1910&lt;2,"Low Risk",IF(Patient_Data!$L1910&lt;4,"Moderate Risk","High Risk"))</f>
        <v>High Risk</v>
      </c>
      <c r="S1910" s="12" t="str">
        <f>IF(Patient_Data[[#This Row],[Age]]&lt;=18,"Pediatric",IF(Patient_Data[[#This Row],[Age]]&lt;=64,"Adult","Geriatric"))</f>
        <v>Geriatric</v>
      </c>
    </row>
    <row r="1911" spans="1:19" ht="15.75" customHeight="1" x14ac:dyDescent="0.3">
      <c r="A1911" s="4" t="s">
        <v>3820</v>
      </c>
      <c r="B1911" s="5" t="str">
        <f>TEXT(Patient_Data!$E1911,"mmmm")</f>
        <v>October</v>
      </c>
      <c r="C1911" s="6" t="str">
        <f t="shared" si="14"/>
        <v>Oct</v>
      </c>
      <c r="D1911" s="6">
        <f>MONTH(Patient_Data!$E1911)</f>
        <v>10</v>
      </c>
      <c r="E1911" s="7">
        <v>45938</v>
      </c>
      <c r="F1911" s="55" t="str">
        <f>TEXT(Patient_Data[[#This Row],[Admission_Date]],"YYYY")</f>
        <v>2025</v>
      </c>
      <c r="G1911" s="8" t="s">
        <v>2452</v>
      </c>
      <c r="H1911" s="8" t="s">
        <v>28</v>
      </c>
      <c r="I1911" s="4" t="s">
        <v>29</v>
      </c>
      <c r="J1911" s="4">
        <v>56</v>
      </c>
      <c r="K1911" s="4" t="s">
        <v>45</v>
      </c>
      <c r="L1911" s="8">
        <v>5</v>
      </c>
      <c r="M1911" s="9" t="s">
        <v>50</v>
      </c>
      <c r="N1911" s="9" t="str">
        <f t="shared" si="15"/>
        <v>ICU</v>
      </c>
      <c r="O1911" s="10">
        <v>20488.28</v>
      </c>
      <c r="P1911" s="10">
        <v>12024</v>
      </c>
      <c r="Q1911" s="11">
        <v>17.600000000000001</v>
      </c>
      <c r="R1911" s="13" t="str">
        <f>IF(Patient_Data!$L1911&lt;2,"Low Risk",IF(Patient_Data!$L1911&lt;4,"Moderate Risk","High Risk"))</f>
        <v>High Risk</v>
      </c>
      <c r="S1911" s="12" t="str">
        <f>IF(Patient_Data[[#This Row],[Age]]&lt;=18,"Pediatric",IF(Patient_Data[[#This Row],[Age]]&lt;=64,"Adult","Geriatric"))</f>
        <v>Adult</v>
      </c>
    </row>
    <row r="1912" spans="1:19" ht="15.75" customHeight="1" x14ac:dyDescent="0.3">
      <c r="A1912" s="4" t="s">
        <v>3821</v>
      </c>
      <c r="B1912" s="5" t="str">
        <f>TEXT(Patient_Data!$E1912,"mmmm")</f>
        <v>August</v>
      </c>
      <c r="C1912" s="6" t="str">
        <f t="shared" si="14"/>
        <v>Aug</v>
      </c>
      <c r="D1912" s="6">
        <f>MONTH(Patient_Data!$E1912)</f>
        <v>8</v>
      </c>
      <c r="E1912" s="7">
        <v>45881</v>
      </c>
      <c r="F1912" s="55" t="str">
        <f>TEXT(Patient_Data[[#This Row],[Admission_Date]],"YYYY")</f>
        <v>2025</v>
      </c>
      <c r="G1912" s="8" t="s">
        <v>3822</v>
      </c>
      <c r="H1912" s="8" t="s">
        <v>42</v>
      </c>
      <c r="I1912" s="4" t="s">
        <v>35</v>
      </c>
      <c r="J1912" s="4">
        <v>62</v>
      </c>
      <c r="K1912" s="4" t="s">
        <v>30</v>
      </c>
      <c r="L1912" s="8">
        <v>1</v>
      </c>
      <c r="M1912" s="9" t="s">
        <v>31</v>
      </c>
      <c r="N1912" s="9" t="str">
        <f t="shared" si="15"/>
        <v>Neuro</v>
      </c>
      <c r="O1912" s="10">
        <v>6157.02</v>
      </c>
      <c r="P1912" s="10">
        <v>3838.18</v>
      </c>
      <c r="Q1912" s="11">
        <v>10.3</v>
      </c>
      <c r="R1912" s="13" t="str">
        <f>IF(Patient_Data!$L1912&lt;2,"Low Risk",IF(Patient_Data!$L1912&lt;4,"Moderate Risk","High Risk"))</f>
        <v>Low Risk</v>
      </c>
      <c r="S1912" s="12" t="str">
        <f>IF(Patient_Data[[#This Row],[Age]]&lt;=18,"Pediatric",IF(Patient_Data[[#This Row],[Age]]&lt;=64,"Adult","Geriatric"))</f>
        <v>Adult</v>
      </c>
    </row>
    <row r="1913" spans="1:19" ht="15.75" customHeight="1" x14ac:dyDescent="0.3">
      <c r="A1913" s="4" t="s">
        <v>3823</v>
      </c>
      <c r="B1913" s="5" t="str">
        <f>TEXT(Patient_Data!$E1913,"mmmm")</f>
        <v>March</v>
      </c>
      <c r="C1913" s="6" t="str">
        <f t="shared" si="14"/>
        <v>Mar</v>
      </c>
      <c r="D1913" s="6">
        <f>MONTH(Patient_Data!$E1913)</f>
        <v>3</v>
      </c>
      <c r="E1913" s="7">
        <v>46107</v>
      </c>
      <c r="F1913" s="55" t="str">
        <f>TEXT(Patient_Data[[#This Row],[Admission_Date]],"YYYY")</f>
        <v>2026</v>
      </c>
      <c r="G1913" s="8" t="s">
        <v>3824</v>
      </c>
      <c r="H1913" s="8" t="s">
        <v>28</v>
      </c>
      <c r="I1913" s="4" t="s">
        <v>29</v>
      </c>
      <c r="J1913" s="4">
        <v>27</v>
      </c>
      <c r="K1913" s="4" t="s">
        <v>30</v>
      </c>
      <c r="L1913" s="8">
        <v>2</v>
      </c>
      <c r="M1913" s="9" t="s">
        <v>39</v>
      </c>
      <c r="N1913" s="9" t="str">
        <f t="shared" si="15"/>
        <v>GM</v>
      </c>
      <c r="O1913" s="10">
        <v>5436.26</v>
      </c>
      <c r="P1913" s="10">
        <v>3521.61</v>
      </c>
      <c r="Q1913" s="11">
        <v>5.3</v>
      </c>
      <c r="R1913" s="13" t="str">
        <f>IF(Patient_Data!$L1913&lt;2,"Low Risk",IF(Patient_Data!$L1913&lt;4,"Moderate Risk","High Risk"))</f>
        <v>Moderate Risk</v>
      </c>
      <c r="S1913" s="12" t="str">
        <f>IF(Patient_Data[[#This Row],[Age]]&lt;=18,"Pediatric",IF(Patient_Data[[#This Row],[Age]]&lt;=64,"Adult","Geriatric"))</f>
        <v>Adult</v>
      </c>
    </row>
    <row r="1914" spans="1:19" ht="15.75" customHeight="1" x14ac:dyDescent="0.3">
      <c r="A1914" s="4" t="s">
        <v>3825</v>
      </c>
      <c r="B1914" s="5" t="str">
        <f>TEXT(Patient_Data!$E1914,"mmmm")</f>
        <v>May</v>
      </c>
      <c r="C1914" s="6" t="str">
        <f t="shared" si="14"/>
        <v>May</v>
      </c>
      <c r="D1914" s="6">
        <f>MONTH(Patient_Data!$E1914)</f>
        <v>5</v>
      </c>
      <c r="E1914" s="7">
        <v>45785</v>
      </c>
      <c r="F1914" s="55" t="str">
        <f>TEXT(Patient_Data[[#This Row],[Admission_Date]],"YYYY")</f>
        <v>2025</v>
      </c>
      <c r="G1914" s="8" t="s">
        <v>3826</v>
      </c>
      <c r="H1914" s="8" t="s">
        <v>49</v>
      </c>
      <c r="I1914" s="4" t="s">
        <v>29</v>
      </c>
      <c r="J1914" s="4">
        <v>79</v>
      </c>
      <c r="K1914" s="4" t="s">
        <v>30</v>
      </c>
      <c r="L1914" s="8">
        <v>1</v>
      </c>
      <c r="M1914" s="9" t="s">
        <v>39</v>
      </c>
      <c r="N1914" s="9" t="str">
        <f t="shared" si="15"/>
        <v>GM</v>
      </c>
      <c r="O1914" s="10">
        <v>2838.86</v>
      </c>
      <c r="P1914" s="10">
        <v>1949.24</v>
      </c>
      <c r="Q1914" s="11">
        <v>5.9</v>
      </c>
      <c r="R1914" s="13" t="str">
        <f>IF(Patient_Data!$L1914&lt;2,"Low Risk",IF(Patient_Data!$L1914&lt;4,"Moderate Risk","High Risk"))</f>
        <v>Low Risk</v>
      </c>
      <c r="S1914" s="12" t="str">
        <f>IF(Patient_Data[[#This Row],[Age]]&lt;=18,"Pediatric",IF(Patient_Data[[#This Row],[Age]]&lt;=64,"Adult","Geriatric"))</f>
        <v>Geriatric</v>
      </c>
    </row>
    <row r="1915" spans="1:19" ht="15.75" customHeight="1" x14ac:dyDescent="0.3">
      <c r="A1915" s="4" t="s">
        <v>3827</v>
      </c>
      <c r="B1915" s="5" t="str">
        <f>TEXT(Patient_Data!$E1915,"mmmm")</f>
        <v>November</v>
      </c>
      <c r="C1915" s="6" t="str">
        <f t="shared" si="14"/>
        <v>Nov</v>
      </c>
      <c r="D1915" s="6">
        <f>MONTH(Patient_Data!$E1915)</f>
        <v>11</v>
      </c>
      <c r="E1915" s="7">
        <v>45980</v>
      </c>
      <c r="F1915" s="55" t="str">
        <f>TEXT(Patient_Data[[#This Row],[Admission_Date]],"YYYY")</f>
        <v>2025</v>
      </c>
      <c r="G1915" s="8" t="s">
        <v>3828</v>
      </c>
      <c r="H1915" s="8" t="s">
        <v>82</v>
      </c>
      <c r="I1915" s="4" t="s">
        <v>35</v>
      </c>
      <c r="J1915" s="4">
        <v>13</v>
      </c>
      <c r="K1915" s="4" t="s">
        <v>30</v>
      </c>
      <c r="L1915" s="8">
        <v>3</v>
      </c>
      <c r="M1915" s="9" t="s">
        <v>79</v>
      </c>
      <c r="N1915" s="9" t="str">
        <f t="shared" si="15"/>
        <v>PD</v>
      </c>
      <c r="O1915" s="10">
        <v>2905.58</v>
      </c>
      <c r="P1915" s="10">
        <v>2041.11</v>
      </c>
      <c r="Q1915" s="11">
        <v>0.9</v>
      </c>
      <c r="R1915" s="13" t="str">
        <f>IF(Patient_Data!$L1915&lt;2,"Low Risk",IF(Patient_Data!$L1915&lt;4,"Moderate Risk","High Risk"))</f>
        <v>Moderate Risk</v>
      </c>
      <c r="S1915" s="12" t="str">
        <f>IF(Patient_Data[[#This Row],[Age]]&lt;=18,"Pediatric",IF(Patient_Data[[#This Row],[Age]]&lt;=64,"Adult","Geriatric"))</f>
        <v>Pediatric</v>
      </c>
    </row>
    <row r="1916" spans="1:19" ht="15.75" customHeight="1" x14ac:dyDescent="0.3">
      <c r="A1916" s="4" t="s">
        <v>3829</v>
      </c>
      <c r="B1916" s="5" t="str">
        <f>TEXT(Patient_Data!$E1916,"mmmm")</f>
        <v>March</v>
      </c>
      <c r="C1916" s="6" t="str">
        <f t="shared" si="14"/>
        <v>Mar</v>
      </c>
      <c r="D1916" s="6">
        <f>MONTH(Patient_Data!$E1916)</f>
        <v>3</v>
      </c>
      <c r="E1916" s="7">
        <v>45376</v>
      </c>
      <c r="F1916" s="55" t="str">
        <f>TEXT(Patient_Data[[#This Row],[Admission_Date]],"YYYY")</f>
        <v>2024</v>
      </c>
      <c r="G1916" s="8" t="s">
        <v>3830</v>
      </c>
      <c r="H1916" s="8" t="s">
        <v>49</v>
      </c>
      <c r="I1916" s="4" t="s">
        <v>35</v>
      </c>
      <c r="J1916" s="4">
        <v>59</v>
      </c>
      <c r="K1916" s="4" t="s">
        <v>54</v>
      </c>
      <c r="L1916" s="8">
        <v>5</v>
      </c>
      <c r="M1916" s="9" t="s">
        <v>50</v>
      </c>
      <c r="N1916" s="9" t="str">
        <f t="shared" si="15"/>
        <v>ICU</v>
      </c>
      <c r="O1916" s="10">
        <v>15733.42</v>
      </c>
      <c r="P1916" s="10">
        <v>11615</v>
      </c>
      <c r="Q1916" s="11">
        <v>16.2</v>
      </c>
      <c r="R1916" s="13" t="str">
        <f>IF(Patient_Data!$L1916&lt;2,"Low Risk",IF(Patient_Data!$L1916&lt;4,"Moderate Risk","High Risk"))</f>
        <v>High Risk</v>
      </c>
      <c r="S1916" s="12" t="str">
        <f>IF(Patient_Data[[#This Row],[Age]]&lt;=18,"Pediatric",IF(Patient_Data[[#This Row],[Age]]&lt;=64,"Adult","Geriatric"))</f>
        <v>Adult</v>
      </c>
    </row>
    <row r="1917" spans="1:19" ht="15.75" customHeight="1" x14ac:dyDescent="0.3">
      <c r="A1917" s="4" t="s">
        <v>3831</v>
      </c>
      <c r="B1917" s="5" t="str">
        <f>TEXT(Patient_Data!$E1917,"mmmm")</f>
        <v>September</v>
      </c>
      <c r="C1917" s="6" t="str">
        <f t="shared" si="14"/>
        <v>Sep</v>
      </c>
      <c r="D1917" s="6">
        <f>MONTH(Patient_Data!$E1917)</f>
        <v>9</v>
      </c>
      <c r="E1917" s="7">
        <v>45182</v>
      </c>
      <c r="F1917" s="55" t="str">
        <f>TEXT(Patient_Data[[#This Row],[Admission_Date]],"YYYY")</f>
        <v>2023</v>
      </c>
      <c r="G1917" s="8" t="s">
        <v>3832</v>
      </c>
      <c r="H1917" s="8" t="s">
        <v>49</v>
      </c>
      <c r="I1917" s="4" t="s">
        <v>35</v>
      </c>
      <c r="J1917" s="4">
        <v>2</v>
      </c>
      <c r="K1917" s="4" t="s">
        <v>30</v>
      </c>
      <c r="L1917" s="8">
        <v>2</v>
      </c>
      <c r="M1917" s="9" t="s">
        <v>79</v>
      </c>
      <c r="N1917" s="9" t="str">
        <f t="shared" si="15"/>
        <v>PD</v>
      </c>
      <c r="O1917" s="10">
        <v>2549.52</v>
      </c>
      <c r="P1917" s="10">
        <v>1963.24</v>
      </c>
      <c r="Q1917" s="11">
        <v>3.2</v>
      </c>
      <c r="R1917" s="13" t="str">
        <f>IF(Patient_Data!$L1917&lt;2,"Low Risk",IF(Patient_Data!$L1917&lt;4,"Moderate Risk","High Risk"))</f>
        <v>Moderate Risk</v>
      </c>
      <c r="S1917" s="12" t="str">
        <f>IF(Patient_Data[[#This Row],[Age]]&lt;=18,"Pediatric",IF(Patient_Data[[#This Row],[Age]]&lt;=64,"Adult","Geriatric"))</f>
        <v>Pediatric</v>
      </c>
    </row>
    <row r="1918" spans="1:19" ht="15.75" customHeight="1" x14ac:dyDescent="0.3">
      <c r="A1918" s="4" t="s">
        <v>3833</v>
      </c>
      <c r="B1918" s="5" t="str">
        <f>TEXT(Patient_Data!$E1918,"mmmm")</f>
        <v>October</v>
      </c>
      <c r="C1918" s="6" t="str">
        <f t="shared" si="14"/>
        <v>Oct</v>
      </c>
      <c r="D1918" s="6">
        <f>MONTH(Patient_Data!$E1918)</f>
        <v>10</v>
      </c>
      <c r="E1918" s="7">
        <v>45933</v>
      </c>
      <c r="F1918" s="55" t="str">
        <f>TEXT(Patient_Data[[#This Row],[Admission_Date]],"YYYY")</f>
        <v>2025</v>
      </c>
      <c r="G1918" s="8" t="s">
        <v>3834</v>
      </c>
      <c r="H1918" s="8" t="s">
        <v>49</v>
      </c>
      <c r="I1918" s="4" t="s">
        <v>35</v>
      </c>
      <c r="J1918" s="4">
        <v>36</v>
      </c>
      <c r="K1918" s="4" t="s">
        <v>30</v>
      </c>
      <c r="L1918" s="8">
        <v>2</v>
      </c>
      <c r="M1918" s="9" t="s">
        <v>39</v>
      </c>
      <c r="N1918" s="9" t="str">
        <f t="shared" si="15"/>
        <v>GM</v>
      </c>
      <c r="O1918" s="10">
        <v>5362.73</v>
      </c>
      <c r="P1918" s="10">
        <v>3155.98</v>
      </c>
      <c r="Q1918" s="11">
        <v>5.7</v>
      </c>
      <c r="R1918" s="13" t="str">
        <f>IF(Patient_Data!$L1918&lt;2,"Low Risk",IF(Patient_Data!$L1918&lt;4,"Moderate Risk","High Risk"))</f>
        <v>Moderate Risk</v>
      </c>
      <c r="S1918" s="12" t="str">
        <f>IF(Patient_Data[[#This Row],[Age]]&lt;=18,"Pediatric",IF(Patient_Data[[#This Row],[Age]]&lt;=64,"Adult","Geriatric"))</f>
        <v>Adult</v>
      </c>
    </row>
    <row r="1919" spans="1:19" ht="15.75" customHeight="1" x14ac:dyDescent="0.3">
      <c r="A1919" s="4" t="s">
        <v>3835</v>
      </c>
      <c r="B1919" s="5" t="str">
        <f>TEXT(Patient_Data!$E1919,"mmmm")</f>
        <v>July</v>
      </c>
      <c r="C1919" s="6" t="str">
        <f t="shared" si="14"/>
        <v>Jul</v>
      </c>
      <c r="D1919" s="6">
        <f>MONTH(Patient_Data!$E1919)</f>
        <v>7</v>
      </c>
      <c r="E1919" s="7">
        <v>45855</v>
      </c>
      <c r="F1919" s="55" t="str">
        <f>TEXT(Patient_Data[[#This Row],[Admission_Date]],"YYYY")</f>
        <v>2025</v>
      </c>
      <c r="G1919" s="8" t="s">
        <v>3836</v>
      </c>
      <c r="H1919" s="8" t="s">
        <v>28</v>
      </c>
      <c r="I1919" s="4" t="s">
        <v>29</v>
      </c>
      <c r="J1919" s="4">
        <v>24</v>
      </c>
      <c r="K1919" s="4" t="s">
        <v>30</v>
      </c>
      <c r="L1919" s="8">
        <v>2</v>
      </c>
      <c r="M1919" s="9" t="s">
        <v>39</v>
      </c>
      <c r="N1919" s="9" t="str">
        <f t="shared" si="15"/>
        <v>GM</v>
      </c>
      <c r="O1919" s="10">
        <v>3425.56</v>
      </c>
      <c r="P1919" s="10">
        <v>2129.59</v>
      </c>
      <c r="Q1919" s="11">
        <v>5</v>
      </c>
      <c r="R1919" s="13" t="str">
        <f>IF(Patient_Data!$L1919&lt;2,"Low Risk",IF(Patient_Data!$L1919&lt;4,"Moderate Risk","High Risk"))</f>
        <v>Moderate Risk</v>
      </c>
      <c r="S1919" s="12" t="str">
        <f>IF(Patient_Data[[#This Row],[Age]]&lt;=18,"Pediatric",IF(Patient_Data[[#This Row],[Age]]&lt;=64,"Adult","Geriatric"))</f>
        <v>Adult</v>
      </c>
    </row>
    <row r="1920" spans="1:19" ht="15.75" customHeight="1" x14ac:dyDescent="0.3">
      <c r="A1920" s="4" t="s">
        <v>3837</v>
      </c>
      <c r="B1920" s="5" t="str">
        <f>TEXT(Patient_Data!$E1920,"mmmm")</f>
        <v>March</v>
      </c>
      <c r="C1920" s="6" t="str">
        <f t="shared" si="14"/>
        <v>Mar</v>
      </c>
      <c r="D1920" s="6">
        <f>MONTH(Patient_Data!$E1920)</f>
        <v>3</v>
      </c>
      <c r="E1920" s="7">
        <v>45733</v>
      </c>
      <c r="F1920" s="55" t="str">
        <f>TEXT(Patient_Data[[#This Row],[Admission_Date]],"YYYY")</f>
        <v>2025</v>
      </c>
      <c r="G1920" s="8" t="s">
        <v>3838</v>
      </c>
      <c r="H1920" s="8" t="s">
        <v>49</v>
      </c>
      <c r="I1920" s="4" t="s">
        <v>35</v>
      </c>
      <c r="J1920" s="4">
        <v>76</v>
      </c>
      <c r="K1920" s="4" t="s">
        <v>54</v>
      </c>
      <c r="L1920" s="8">
        <v>4</v>
      </c>
      <c r="M1920" s="9" t="s">
        <v>72</v>
      </c>
      <c r="N1920" s="9" t="str">
        <f t="shared" si="15"/>
        <v>Surgery</v>
      </c>
      <c r="O1920" s="10">
        <v>23047.74</v>
      </c>
      <c r="P1920" s="10">
        <v>14773.75</v>
      </c>
      <c r="Q1920" s="11">
        <v>2.9</v>
      </c>
      <c r="R1920" s="13" t="str">
        <f>IF(Patient_Data!$L1920&lt;2,"Low Risk",IF(Patient_Data!$L1920&lt;4,"Moderate Risk","High Risk"))</f>
        <v>High Risk</v>
      </c>
      <c r="S1920" s="12" t="str">
        <f>IF(Patient_Data[[#This Row],[Age]]&lt;=18,"Pediatric",IF(Patient_Data[[#This Row],[Age]]&lt;=64,"Adult","Geriatric"))</f>
        <v>Geriatric</v>
      </c>
    </row>
    <row r="1921" spans="1:19" ht="15.75" customHeight="1" x14ac:dyDescent="0.3">
      <c r="A1921" s="4" t="s">
        <v>3839</v>
      </c>
      <c r="B1921" s="5" t="str">
        <f>TEXT(Patient_Data!$E1921,"mmmm")</f>
        <v>June</v>
      </c>
      <c r="C1921" s="6" t="str">
        <f t="shared" si="14"/>
        <v>Jun</v>
      </c>
      <c r="D1921" s="6">
        <f>MONTH(Patient_Data!$E1921)</f>
        <v>6</v>
      </c>
      <c r="E1921" s="7">
        <v>45832</v>
      </c>
      <c r="F1921" s="55" t="str">
        <f>TEXT(Patient_Data[[#This Row],[Admission_Date]],"YYYY")</f>
        <v>2025</v>
      </c>
      <c r="G1921" s="8" t="s">
        <v>3840</v>
      </c>
      <c r="H1921" s="8" t="s">
        <v>53</v>
      </c>
      <c r="I1921" s="4" t="s">
        <v>35</v>
      </c>
      <c r="J1921" s="4">
        <v>66</v>
      </c>
      <c r="K1921" s="4" t="s">
        <v>45</v>
      </c>
      <c r="L1921" s="8">
        <v>5</v>
      </c>
      <c r="M1921" s="9" t="s">
        <v>50</v>
      </c>
      <c r="N1921" s="9" t="str">
        <f t="shared" si="15"/>
        <v>ICU</v>
      </c>
      <c r="O1921" s="10">
        <v>13637.88</v>
      </c>
      <c r="P1921" s="10">
        <v>9254.98</v>
      </c>
      <c r="Q1921" s="11">
        <v>14.7</v>
      </c>
      <c r="R1921" s="13" t="str">
        <f>IF(Patient_Data!$L1921&lt;2,"Low Risk",IF(Patient_Data!$L1921&lt;4,"Moderate Risk","High Risk"))</f>
        <v>High Risk</v>
      </c>
      <c r="S1921" s="12" t="str">
        <f>IF(Patient_Data[[#This Row],[Age]]&lt;=18,"Pediatric",IF(Patient_Data[[#This Row],[Age]]&lt;=64,"Adult","Geriatric"))</f>
        <v>Geriatric</v>
      </c>
    </row>
    <row r="1922" spans="1:19" ht="15.75" customHeight="1" x14ac:dyDescent="0.3">
      <c r="A1922" s="4" t="s">
        <v>3841</v>
      </c>
      <c r="B1922" s="5" t="str">
        <f>TEXT(Patient_Data!$E1922,"mmmm")</f>
        <v>March</v>
      </c>
      <c r="C1922" s="6" t="str">
        <f t="shared" si="14"/>
        <v>Mar</v>
      </c>
      <c r="D1922" s="6">
        <f>MONTH(Patient_Data!$E1922)</f>
        <v>3</v>
      </c>
      <c r="E1922" s="7">
        <v>45734</v>
      </c>
      <c r="F1922" s="55" t="str">
        <f>TEXT(Patient_Data[[#This Row],[Admission_Date]],"YYYY")</f>
        <v>2025</v>
      </c>
      <c r="G1922" s="8" t="s">
        <v>3842</v>
      </c>
      <c r="H1922" s="8" t="s">
        <v>49</v>
      </c>
      <c r="I1922" s="4" t="s">
        <v>29</v>
      </c>
      <c r="J1922" s="4">
        <v>34</v>
      </c>
      <c r="K1922" s="4" t="s">
        <v>54</v>
      </c>
      <c r="L1922" s="8">
        <v>5</v>
      </c>
      <c r="M1922" s="9" t="s">
        <v>72</v>
      </c>
      <c r="N1922" s="9" t="str">
        <f t="shared" si="15"/>
        <v>Surgery</v>
      </c>
      <c r="O1922" s="10">
        <v>12702.01</v>
      </c>
      <c r="P1922" s="10">
        <v>8959.41</v>
      </c>
      <c r="Q1922" s="11">
        <v>8.5</v>
      </c>
      <c r="R1922" s="13" t="str">
        <f>IF(Patient_Data!$L1922&lt;2,"Low Risk",IF(Patient_Data!$L1922&lt;4,"Moderate Risk","High Risk"))</f>
        <v>High Risk</v>
      </c>
      <c r="S1922" s="12" t="str">
        <f>IF(Patient_Data[[#This Row],[Age]]&lt;=18,"Pediatric",IF(Patient_Data[[#This Row],[Age]]&lt;=64,"Adult","Geriatric"))</f>
        <v>Adult</v>
      </c>
    </row>
    <row r="1923" spans="1:19" ht="15.75" customHeight="1" x14ac:dyDescent="0.3">
      <c r="A1923" s="4" t="s">
        <v>3843</v>
      </c>
      <c r="B1923" s="5" t="str">
        <f>TEXT(Patient_Data!$E1923,"mmmm")</f>
        <v>February</v>
      </c>
      <c r="C1923" s="6" t="str">
        <f t="shared" si="14"/>
        <v>Feb</v>
      </c>
      <c r="D1923" s="6">
        <f>MONTH(Patient_Data!$E1923)</f>
        <v>2</v>
      </c>
      <c r="E1923" s="7">
        <v>45701</v>
      </c>
      <c r="F1923" s="55" t="str">
        <f>TEXT(Patient_Data[[#This Row],[Admission_Date]],"YYYY")</f>
        <v>2025</v>
      </c>
      <c r="G1923" s="8" t="s">
        <v>3844</v>
      </c>
      <c r="H1923" s="8" t="s">
        <v>28</v>
      </c>
      <c r="I1923" s="4" t="s">
        <v>29</v>
      </c>
      <c r="J1923" s="4">
        <v>86</v>
      </c>
      <c r="K1923" s="4" t="s">
        <v>54</v>
      </c>
      <c r="L1923" s="8">
        <v>3</v>
      </c>
      <c r="M1923" s="9" t="s">
        <v>72</v>
      </c>
      <c r="N1923" s="9" t="str">
        <f t="shared" si="15"/>
        <v>Surgery</v>
      </c>
      <c r="O1923" s="10">
        <v>19142.349999999999</v>
      </c>
      <c r="P1923" s="10">
        <v>14019.52</v>
      </c>
      <c r="Q1923" s="11">
        <v>5.7</v>
      </c>
      <c r="R1923" s="13" t="str">
        <f>IF(Patient_Data!$L1923&lt;2,"Low Risk",IF(Patient_Data!$L1923&lt;4,"Moderate Risk","High Risk"))</f>
        <v>Moderate Risk</v>
      </c>
      <c r="S1923" s="12" t="str">
        <f>IF(Patient_Data[[#This Row],[Age]]&lt;=18,"Pediatric",IF(Patient_Data[[#This Row],[Age]]&lt;=64,"Adult","Geriatric"))</f>
        <v>Geriatric</v>
      </c>
    </row>
    <row r="1924" spans="1:19" ht="15.75" customHeight="1" x14ac:dyDescent="0.3">
      <c r="A1924" s="4" t="s">
        <v>3845</v>
      </c>
      <c r="B1924" s="5" t="str">
        <f>TEXT(Patient_Data!$E1924,"mmmm")</f>
        <v>May</v>
      </c>
      <c r="C1924" s="6" t="str">
        <f t="shared" si="14"/>
        <v>May</v>
      </c>
      <c r="D1924" s="6">
        <f>MONTH(Patient_Data!$E1924)</f>
        <v>5</v>
      </c>
      <c r="E1924" s="7">
        <v>45778</v>
      </c>
      <c r="F1924" s="55" t="str">
        <f>TEXT(Patient_Data[[#This Row],[Admission_Date]],"YYYY")</f>
        <v>2025</v>
      </c>
      <c r="G1924" s="8" t="s">
        <v>3846</v>
      </c>
      <c r="H1924" s="8" t="s">
        <v>28</v>
      </c>
      <c r="I1924" s="4" t="s">
        <v>29</v>
      </c>
      <c r="J1924" s="4">
        <v>59</v>
      </c>
      <c r="K1924" s="4" t="s">
        <v>30</v>
      </c>
      <c r="L1924" s="8">
        <v>2</v>
      </c>
      <c r="M1924" s="9" t="s">
        <v>46</v>
      </c>
      <c r="N1924" s="9" t="str">
        <f t="shared" si="15"/>
        <v>Ortho</v>
      </c>
      <c r="O1924" s="10">
        <v>8214.65</v>
      </c>
      <c r="P1924" s="10">
        <v>6269.53</v>
      </c>
      <c r="Q1924" s="11">
        <v>3.3</v>
      </c>
      <c r="R1924" s="13" t="str">
        <f>IF(Patient_Data!$L1924&lt;2,"Low Risk",IF(Patient_Data!$L1924&lt;4,"Moderate Risk","High Risk"))</f>
        <v>Moderate Risk</v>
      </c>
      <c r="S1924" s="12" t="str">
        <f>IF(Patient_Data[[#This Row],[Age]]&lt;=18,"Pediatric",IF(Patient_Data[[#This Row],[Age]]&lt;=64,"Adult","Geriatric"))</f>
        <v>Adult</v>
      </c>
    </row>
    <row r="1925" spans="1:19" ht="15.75" customHeight="1" x14ac:dyDescent="0.3">
      <c r="A1925" s="4" t="s">
        <v>3847</v>
      </c>
      <c r="B1925" s="5" t="str">
        <f>TEXT(Patient_Data!$E1925,"mmmm")</f>
        <v>September</v>
      </c>
      <c r="C1925" s="6" t="str">
        <f t="shared" si="14"/>
        <v>Sep</v>
      </c>
      <c r="D1925" s="6">
        <f>MONTH(Patient_Data!$E1925)</f>
        <v>9</v>
      </c>
      <c r="E1925" s="7">
        <v>45552</v>
      </c>
      <c r="F1925" s="55" t="str">
        <f>TEXT(Patient_Data[[#This Row],[Admission_Date]],"YYYY")</f>
        <v>2024</v>
      </c>
      <c r="G1925" s="8" t="s">
        <v>3848</v>
      </c>
      <c r="H1925" s="8" t="s">
        <v>34</v>
      </c>
      <c r="I1925" s="4" t="s">
        <v>29</v>
      </c>
      <c r="J1925" s="4">
        <v>4</v>
      </c>
      <c r="K1925" s="4" t="s">
        <v>30</v>
      </c>
      <c r="L1925" s="8">
        <v>3</v>
      </c>
      <c r="M1925" s="9" t="s">
        <v>79</v>
      </c>
      <c r="N1925" s="9" t="str">
        <f t="shared" si="15"/>
        <v>PD</v>
      </c>
      <c r="O1925" s="10">
        <v>2881.08</v>
      </c>
      <c r="P1925" s="10">
        <v>1695.03</v>
      </c>
      <c r="Q1925" s="11">
        <v>3</v>
      </c>
      <c r="R1925" s="13" t="str">
        <f>IF(Patient_Data!$L1925&lt;2,"Low Risk",IF(Patient_Data!$L1925&lt;4,"Moderate Risk","High Risk"))</f>
        <v>Moderate Risk</v>
      </c>
      <c r="S1925" s="12" t="str">
        <f>IF(Patient_Data[[#This Row],[Age]]&lt;=18,"Pediatric",IF(Patient_Data[[#This Row],[Age]]&lt;=64,"Adult","Geriatric"))</f>
        <v>Pediatric</v>
      </c>
    </row>
    <row r="1926" spans="1:19" ht="15.75" customHeight="1" x14ac:dyDescent="0.3">
      <c r="A1926" s="4" t="s">
        <v>3849</v>
      </c>
      <c r="B1926" s="5" t="str">
        <f>TEXT(Patient_Data!$E1926,"mmmm")</f>
        <v>July</v>
      </c>
      <c r="C1926" s="6" t="str">
        <f t="shared" si="14"/>
        <v>Jul</v>
      </c>
      <c r="D1926" s="6">
        <f>MONTH(Patient_Data!$E1926)</f>
        <v>7</v>
      </c>
      <c r="E1926" s="7">
        <v>45474</v>
      </c>
      <c r="F1926" s="55" t="str">
        <f>TEXT(Patient_Data[[#This Row],[Admission_Date]],"YYYY")</f>
        <v>2024</v>
      </c>
      <c r="G1926" s="8" t="s">
        <v>3850</v>
      </c>
      <c r="H1926" s="8" t="s">
        <v>98</v>
      </c>
      <c r="I1926" s="4" t="s">
        <v>35</v>
      </c>
      <c r="J1926" s="4">
        <v>79</v>
      </c>
      <c r="K1926" s="4" t="s">
        <v>45</v>
      </c>
      <c r="L1926" s="8">
        <v>5</v>
      </c>
      <c r="M1926" s="9" t="s">
        <v>50</v>
      </c>
      <c r="N1926" s="9" t="str">
        <f t="shared" si="15"/>
        <v>ICU</v>
      </c>
      <c r="O1926" s="10">
        <v>16631.73</v>
      </c>
      <c r="P1926" s="10">
        <v>10214.959999999999</v>
      </c>
      <c r="Q1926" s="11">
        <v>8.6999999999999993</v>
      </c>
      <c r="R1926" s="13" t="str">
        <f>IF(Patient_Data!$L1926&lt;2,"Low Risk",IF(Patient_Data!$L1926&lt;4,"Moderate Risk","High Risk"))</f>
        <v>High Risk</v>
      </c>
      <c r="S1926" s="12" t="str">
        <f>IF(Patient_Data[[#This Row],[Age]]&lt;=18,"Pediatric",IF(Patient_Data[[#This Row],[Age]]&lt;=64,"Adult","Geriatric"))</f>
        <v>Geriatric</v>
      </c>
    </row>
    <row r="1927" spans="1:19" ht="15.75" customHeight="1" x14ac:dyDescent="0.3">
      <c r="A1927" s="4" t="s">
        <v>3851</v>
      </c>
      <c r="B1927" s="5" t="str">
        <f>TEXT(Patient_Data!$E1927,"mmmm")</f>
        <v>January</v>
      </c>
      <c r="C1927" s="6" t="str">
        <f t="shared" si="14"/>
        <v>Jan</v>
      </c>
      <c r="D1927" s="6">
        <f>MONTH(Patient_Data!$E1927)</f>
        <v>1</v>
      </c>
      <c r="E1927" s="7">
        <v>45659</v>
      </c>
      <c r="F1927" s="55" t="str">
        <f>TEXT(Patient_Data[[#This Row],[Admission_Date]],"YYYY")</f>
        <v>2025</v>
      </c>
      <c r="G1927" s="8" t="s">
        <v>3852</v>
      </c>
      <c r="H1927" s="8" t="s">
        <v>49</v>
      </c>
      <c r="I1927" s="4" t="s">
        <v>35</v>
      </c>
      <c r="J1927" s="4">
        <v>30</v>
      </c>
      <c r="K1927" s="4" t="s">
        <v>54</v>
      </c>
      <c r="L1927" s="8">
        <v>3</v>
      </c>
      <c r="M1927" s="9" t="s">
        <v>83</v>
      </c>
      <c r="N1927" s="9" t="str">
        <f t="shared" si="15"/>
        <v>ER</v>
      </c>
      <c r="O1927" s="10">
        <v>4759.17</v>
      </c>
      <c r="P1927" s="10">
        <v>3127.47</v>
      </c>
      <c r="Q1927" s="11">
        <v>10.199999999999999</v>
      </c>
      <c r="R1927" s="13" t="str">
        <f>IF(Patient_Data!$L1927&lt;2,"Low Risk",IF(Patient_Data!$L1927&lt;4,"Moderate Risk","High Risk"))</f>
        <v>Moderate Risk</v>
      </c>
      <c r="S1927" s="12" t="str">
        <f>IF(Patient_Data[[#This Row],[Age]]&lt;=18,"Pediatric",IF(Patient_Data[[#This Row],[Age]]&lt;=64,"Adult","Geriatric"))</f>
        <v>Adult</v>
      </c>
    </row>
    <row r="1928" spans="1:19" ht="15.75" customHeight="1" x14ac:dyDescent="0.3">
      <c r="A1928" s="4" t="s">
        <v>3853</v>
      </c>
      <c r="B1928" s="5" t="str">
        <f>TEXT(Patient_Data!$E1928,"mmmm")</f>
        <v>December</v>
      </c>
      <c r="C1928" s="6" t="str">
        <f t="shared" si="14"/>
        <v>Dec</v>
      </c>
      <c r="D1928" s="6">
        <f>MONTH(Patient_Data!$E1928)</f>
        <v>12</v>
      </c>
      <c r="E1928" s="7">
        <v>45994</v>
      </c>
      <c r="F1928" s="55" t="str">
        <f>TEXT(Patient_Data[[#This Row],[Admission_Date]],"YYYY")</f>
        <v>2025</v>
      </c>
      <c r="G1928" s="8" t="s">
        <v>3854</v>
      </c>
      <c r="H1928" s="8" t="s">
        <v>82</v>
      </c>
      <c r="I1928" s="4" t="s">
        <v>35</v>
      </c>
      <c r="J1928" s="4">
        <v>34</v>
      </c>
      <c r="K1928" s="4" t="s">
        <v>30</v>
      </c>
      <c r="L1928" s="8">
        <v>1</v>
      </c>
      <c r="M1928" s="9" t="s">
        <v>31</v>
      </c>
      <c r="N1928" s="9" t="str">
        <f t="shared" si="15"/>
        <v>Neuro</v>
      </c>
      <c r="O1928" s="10">
        <v>9790.16</v>
      </c>
      <c r="P1928" s="10">
        <v>6613.81</v>
      </c>
      <c r="Q1928" s="11">
        <v>6.8</v>
      </c>
      <c r="R1928" s="13" t="str">
        <f>IF(Patient_Data!$L1928&lt;2,"Low Risk",IF(Patient_Data!$L1928&lt;4,"Moderate Risk","High Risk"))</f>
        <v>Low Risk</v>
      </c>
      <c r="S1928" s="12" t="str">
        <f>IF(Patient_Data[[#This Row],[Age]]&lt;=18,"Pediatric",IF(Patient_Data[[#This Row],[Age]]&lt;=64,"Adult","Geriatric"))</f>
        <v>Adult</v>
      </c>
    </row>
    <row r="1929" spans="1:19" ht="15.75" customHeight="1" x14ac:dyDescent="0.3">
      <c r="A1929" s="4" t="s">
        <v>3855</v>
      </c>
      <c r="B1929" s="5" t="str">
        <f>TEXT(Patient_Data!$E1929,"mmmm")</f>
        <v>June</v>
      </c>
      <c r="C1929" s="6" t="str">
        <f t="shared" si="14"/>
        <v>Jun</v>
      </c>
      <c r="D1929" s="6">
        <f>MONTH(Patient_Data!$E1929)</f>
        <v>6</v>
      </c>
      <c r="E1929" s="7">
        <v>45821</v>
      </c>
      <c r="F1929" s="55" t="str">
        <f>TEXT(Patient_Data[[#This Row],[Admission_Date]],"YYYY")</f>
        <v>2025</v>
      </c>
      <c r="G1929" s="8" t="s">
        <v>3856</v>
      </c>
      <c r="H1929" s="8" t="s">
        <v>98</v>
      </c>
      <c r="I1929" s="4" t="s">
        <v>29</v>
      </c>
      <c r="J1929" s="4">
        <v>79</v>
      </c>
      <c r="K1929" s="4" t="s">
        <v>30</v>
      </c>
      <c r="L1929" s="8">
        <v>2</v>
      </c>
      <c r="M1929" s="9" t="s">
        <v>83</v>
      </c>
      <c r="N1929" s="9" t="str">
        <f t="shared" si="15"/>
        <v>ER</v>
      </c>
      <c r="O1929" s="10">
        <v>4906.08</v>
      </c>
      <c r="P1929" s="10">
        <v>3520.66</v>
      </c>
      <c r="Q1929" s="11">
        <v>10.8</v>
      </c>
      <c r="R1929" s="13" t="str">
        <f>IF(Patient_Data!$L1929&lt;2,"Low Risk",IF(Patient_Data!$L1929&lt;4,"Moderate Risk","High Risk"))</f>
        <v>Moderate Risk</v>
      </c>
      <c r="S1929" s="12" t="str">
        <f>IF(Patient_Data[[#This Row],[Age]]&lt;=18,"Pediatric",IF(Patient_Data[[#This Row],[Age]]&lt;=64,"Adult","Geriatric"))</f>
        <v>Geriatric</v>
      </c>
    </row>
    <row r="1930" spans="1:19" ht="15.75" customHeight="1" x14ac:dyDescent="0.3">
      <c r="A1930" s="4" t="s">
        <v>3857</v>
      </c>
      <c r="B1930" s="5" t="str">
        <f>TEXT(Patient_Data!$E1930,"mmmm")</f>
        <v>June</v>
      </c>
      <c r="C1930" s="6" t="str">
        <f t="shared" si="14"/>
        <v>Jun</v>
      </c>
      <c r="D1930" s="6">
        <f>MONTH(Patient_Data!$E1930)</f>
        <v>6</v>
      </c>
      <c r="E1930" s="7">
        <v>45453</v>
      </c>
      <c r="F1930" s="55" t="str">
        <f>TEXT(Patient_Data[[#This Row],[Admission_Date]],"YYYY")</f>
        <v>2024</v>
      </c>
      <c r="G1930" s="8" t="s">
        <v>3858</v>
      </c>
      <c r="H1930" s="8" t="s">
        <v>28</v>
      </c>
      <c r="I1930" s="4" t="s">
        <v>29</v>
      </c>
      <c r="J1930" s="4">
        <v>48</v>
      </c>
      <c r="K1930" s="4" t="s">
        <v>54</v>
      </c>
      <c r="L1930" s="8">
        <v>4</v>
      </c>
      <c r="M1930" s="9" t="s">
        <v>36</v>
      </c>
      <c r="N1930" s="9" t="str">
        <f t="shared" si="15"/>
        <v>Cardio</v>
      </c>
      <c r="O1930" s="10">
        <v>13661.86</v>
      </c>
      <c r="P1930" s="10">
        <v>10027.56</v>
      </c>
      <c r="Q1930" s="11">
        <v>6.8</v>
      </c>
      <c r="R1930" s="13" t="str">
        <f>IF(Patient_Data!$L1930&lt;2,"Low Risk",IF(Patient_Data!$L1930&lt;4,"Moderate Risk","High Risk"))</f>
        <v>High Risk</v>
      </c>
      <c r="S1930" s="12" t="str">
        <f>IF(Patient_Data[[#This Row],[Age]]&lt;=18,"Pediatric",IF(Patient_Data[[#This Row],[Age]]&lt;=64,"Adult","Geriatric"))</f>
        <v>Adult</v>
      </c>
    </row>
    <row r="1931" spans="1:19" ht="15.75" customHeight="1" x14ac:dyDescent="0.3">
      <c r="A1931" s="4" t="s">
        <v>3859</v>
      </c>
      <c r="B1931" s="5" t="str">
        <f>TEXT(Patient_Data!$E1931,"mmmm")</f>
        <v>October</v>
      </c>
      <c r="C1931" s="6" t="str">
        <f t="shared" si="14"/>
        <v>Oct</v>
      </c>
      <c r="D1931" s="6">
        <f>MONTH(Patient_Data!$E1931)</f>
        <v>10</v>
      </c>
      <c r="E1931" s="7">
        <v>45219</v>
      </c>
      <c r="F1931" s="55" t="str">
        <f>TEXT(Patient_Data[[#This Row],[Admission_Date]],"YYYY")</f>
        <v>2023</v>
      </c>
      <c r="G1931" s="8" t="s">
        <v>3860</v>
      </c>
      <c r="H1931" s="8" t="s">
        <v>98</v>
      </c>
      <c r="I1931" s="4" t="s">
        <v>29</v>
      </c>
      <c r="J1931" s="4">
        <v>88</v>
      </c>
      <c r="K1931" s="4" t="s">
        <v>54</v>
      </c>
      <c r="L1931" s="8">
        <v>4</v>
      </c>
      <c r="M1931" s="9" t="s">
        <v>50</v>
      </c>
      <c r="N1931" s="9" t="str">
        <f t="shared" si="15"/>
        <v>ICU</v>
      </c>
      <c r="O1931" s="10">
        <v>20243.669999999998</v>
      </c>
      <c r="P1931" s="10">
        <v>15501.99</v>
      </c>
      <c r="Q1931" s="11">
        <v>14.6</v>
      </c>
      <c r="R1931" s="13" t="str">
        <f>IF(Patient_Data!$L1931&lt;2,"Low Risk",IF(Patient_Data!$L1931&lt;4,"Moderate Risk","High Risk"))</f>
        <v>High Risk</v>
      </c>
      <c r="S1931" s="12" t="str">
        <f>IF(Patient_Data[[#This Row],[Age]]&lt;=18,"Pediatric",IF(Patient_Data[[#This Row],[Age]]&lt;=64,"Adult","Geriatric"))</f>
        <v>Geriatric</v>
      </c>
    </row>
    <row r="1932" spans="1:19" ht="15.75" customHeight="1" x14ac:dyDescent="0.3">
      <c r="A1932" s="4" t="s">
        <v>3861</v>
      </c>
      <c r="B1932" s="5" t="str">
        <f>TEXT(Patient_Data!$E1932,"mmmm")</f>
        <v>June</v>
      </c>
      <c r="C1932" s="6" t="str">
        <f t="shared" si="14"/>
        <v>Jun</v>
      </c>
      <c r="D1932" s="6">
        <f>MONTH(Patient_Data!$E1932)</f>
        <v>6</v>
      </c>
      <c r="E1932" s="7">
        <v>46185</v>
      </c>
      <c r="F1932" s="55" t="str">
        <f>TEXT(Patient_Data[[#This Row],[Admission_Date]],"YYYY")</f>
        <v>2026</v>
      </c>
      <c r="G1932" s="8" t="s">
        <v>3862</v>
      </c>
      <c r="H1932" s="8" t="s">
        <v>75</v>
      </c>
      <c r="I1932" s="4" t="s">
        <v>29</v>
      </c>
      <c r="J1932" s="4">
        <v>67</v>
      </c>
      <c r="K1932" s="4" t="s">
        <v>54</v>
      </c>
      <c r="L1932" s="8">
        <v>4</v>
      </c>
      <c r="M1932" s="9" t="s">
        <v>50</v>
      </c>
      <c r="N1932" s="9" t="str">
        <f t="shared" si="15"/>
        <v>ICU</v>
      </c>
      <c r="O1932" s="10">
        <v>19946.810000000001</v>
      </c>
      <c r="P1932" s="10">
        <v>11660.35</v>
      </c>
      <c r="Q1932" s="11">
        <v>11.4</v>
      </c>
      <c r="R1932" s="13" t="str">
        <f>IF(Patient_Data!$L1932&lt;2,"Low Risk",IF(Patient_Data!$L1932&lt;4,"Moderate Risk","High Risk"))</f>
        <v>High Risk</v>
      </c>
      <c r="S1932" s="12" t="str">
        <f>IF(Patient_Data[[#This Row],[Age]]&lt;=18,"Pediatric",IF(Patient_Data[[#This Row],[Age]]&lt;=64,"Adult","Geriatric"))</f>
        <v>Geriatric</v>
      </c>
    </row>
    <row r="1933" spans="1:19" ht="15.75" customHeight="1" x14ac:dyDescent="0.3">
      <c r="A1933" s="4" t="s">
        <v>3863</v>
      </c>
      <c r="B1933" s="5" t="str">
        <f>TEXT(Patient_Data!$E1933,"mmmm")</f>
        <v>April</v>
      </c>
      <c r="C1933" s="6" t="str">
        <f t="shared" si="14"/>
        <v>Apr</v>
      </c>
      <c r="D1933" s="6">
        <f>MONTH(Patient_Data!$E1933)</f>
        <v>4</v>
      </c>
      <c r="E1933" s="7">
        <v>45772</v>
      </c>
      <c r="F1933" s="55" t="str">
        <f>TEXT(Patient_Data[[#This Row],[Admission_Date]],"YYYY")</f>
        <v>2025</v>
      </c>
      <c r="G1933" s="8" t="s">
        <v>3864</v>
      </c>
      <c r="H1933" s="8" t="s">
        <v>98</v>
      </c>
      <c r="I1933" s="4" t="s">
        <v>29</v>
      </c>
      <c r="J1933" s="4">
        <v>22</v>
      </c>
      <c r="K1933" s="4" t="s">
        <v>30</v>
      </c>
      <c r="L1933" s="8">
        <v>1</v>
      </c>
      <c r="M1933" s="9" t="s">
        <v>39</v>
      </c>
      <c r="N1933" s="9" t="str">
        <f t="shared" si="15"/>
        <v>GM</v>
      </c>
      <c r="O1933" s="10">
        <v>1446.1</v>
      </c>
      <c r="P1933" s="10">
        <v>959.72</v>
      </c>
      <c r="Q1933" s="11">
        <v>9.6999999999999993</v>
      </c>
      <c r="R1933" s="13" t="str">
        <f>IF(Patient_Data!$L1933&lt;2,"Low Risk",IF(Patient_Data!$L1933&lt;4,"Moderate Risk","High Risk"))</f>
        <v>Low Risk</v>
      </c>
      <c r="S1933" s="12" t="str">
        <f>IF(Patient_Data[[#This Row],[Age]]&lt;=18,"Pediatric",IF(Patient_Data[[#This Row],[Age]]&lt;=64,"Adult","Geriatric"))</f>
        <v>Adult</v>
      </c>
    </row>
    <row r="1934" spans="1:19" ht="15.75" customHeight="1" x14ac:dyDescent="0.3">
      <c r="A1934" s="4" t="s">
        <v>3865</v>
      </c>
      <c r="B1934" s="5" t="str">
        <f>TEXT(Patient_Data!$E1934,"mmmm")</f>
        <v>February</v>
      </c>
      <c r="C1934" s="6" t="str">
        <f t="shared" si="14"/>
        <v>Feb</v>
      </c>
      <c r="D1934" s="6">
        <f>MONTH(Patient_Data!$E1934)</f>
        <v>2</v>
      </c>
      <c r="E1934" s="7">
        <v>45698</v>
      </c>
      <c r="F1934" s="55" t="str">
        <f>TEXT(Patient_Data[[#This Row],[Admission_Date]],"YYYY")</f>
        <v>2025</v>
      </c>
      <c r="G1934" s="8" t="s">
        <v>3866</v>
      </c>
      <c r="H1934" s="8" t="s">
        <v>34</v>
      </c>
      <c r="I1934" s="4" t="s">
        <v>29</v>
      </c>
      <c r="J1934" s="4">
        <v>66</v>
      </c>
      <c r="K1934" s="4" t="s">
        <v>54</v>
      </c>
      <c r="L1934" s="8">
        <v>3</v>
      </c>
      <c r="M1934" s="9" t="s">
        <v>31</v>
      </c>
      <c r="N1934" s="9" t="str">
        <f t="shared" si="15"/>
        <v>Neuro</v>
      </c>
      <c r="O1934" s="10">
        <v>9578.56</v>
      </c>
      <c r="P1934" s="10">
        <v>6187.88</v>
      </c>
      <c r="Q1934" s="11">
        <v>7.2</v>
      </c>
      <c r="R1934" s="13" t="str">
        <f>IF(Patient_Data!$L1934&lt;2,"Low Risk",IF(Patient_Data!$L1934&lt;4,"Moderate Risk","High Risk"))</f>
        <v>Moderate Risk</v>
      </c>
      <c r="S1934" s="12" t="str">
        <f>IF(Patient_Data[[#This Row],[Age]]&lt;=18,"Pediatric",IF(Patient_Data[[#This Row],[Age]]&lt;=64,"Adult","Geriatric"))</f>
        <v>Geriatric</v>
      </c>
    </row>
    <row r="1935" spans="1:19" ht="15.75" customHeight="1" x14ac:dyDescent="0.3">
      <c r="A1935" s="4" t="s">
        <v>3867</v>
      </c>
      <c r="B1935" s="5" t="str">
        <f>TEXT(Patient_Data!$E1935,"mmmm")</f>
        <v>January</v>
      </c>
      <c r="C1935" s="6" t="str">
        <f t="shared" si="14"/>
        <v>Jan</v>
      </c>
      <c r="D1935" s="6">
        <f>MONTH(Patient_Data!$E1935)</f>
        <v>1</v>
      </c>
      <c r="E1935" s="7">
        <v>46024</v>
      </c>
      <c r="F1935" s="55" t="str">
        <f>TEXT(Patient_Data[[#This Row],[Admission_Date]],"YYYY")</f>
        <v>2026</v>
      </c>
      <c r="G1935" s="8" t="s">
        <v>3868</v>
      </c>
      <c r="H1935" s="8" t="s">
        <v>82</v>
      </c>
      <c r="I1935" s="4" t="s">
        <v>29</v>
      </c>
      <c r="J1935" s="4">
        <v>47</v>
      </c>
      <c r="K1935" s="4" t="s">
        <v>54</v>
      </c>
      <c r="L1935" s="8">
        <v>4</v>
      </c>
      <c r="M1935" s="9" t="s">
        <v>72</v>
      </c>
      <c r="N1935" s="9" t="str">
        <f t="shared" si="15"/>
        <v>Surgery</v>
      </c>
      <c r="O1935" s="10">
        <v>15591.62</v>
      </c>
      <c r="P1935" s="10">
        <v>10500.79</v>
      </c>
      <c r="Q1935" s="11">
        <v>6.8</v>
      </c>
      <c r="R1935" s="13" t="str">
        <f>IF(Patient_Data!$L1935&lt;2,"Low Risk",IF(Patient_Data!$L1935&lt;4,"Moderate Risk","High Risk"))</f>
        <v>High Risk</v>
      </c>
      <c r="S1935" s="12" t="str">
        <f>IF(Patient_Data[[#This Row],[Age]]&lt;=18,"Pediatric",IF(Patient_Data[[#This Row],[Age]]&lt;=64,"Adult","Geriatric"))</f>
        <v>Adult</v>
      </c>
    </row>
    <row r="1936" spans="1:19" ht="15.75" customHeight="1" x14ac:dyDescent="0.3">
      <c r="A1936" s="4" t="s">
        <v>3869</v>
      </c>
      <c r="B1936" s="5" t="str">
        <f>TEXT(Patient_Data!$E1936,"mmmm")</f>
        <v>December</v>
      </c>
      <c r="C1936" s="6" t="str">
        <f t="shared" si="14"/>
        <v>Dec</v>
      </c>
      <c r="D1936" s="6">
        <f>MONTH(Patient_Data!$E1936)</f>
        <v>12</v>
      </c>
      <c r="E1936" s="7">
        <v>45995</v>
      </c>
      <c r="F1936" s="55" t="str">
        <f>TEXT(Patient_Data[[#This Row],[Admission_Date]],"YYYY")</f>
        <v>2025</v>
      </c>
      <c r="G1936" s="8" t="s">
        <v>3870</v>
      </c>
      <c r="H1936" s="8" t="s">
        <v>49</v>
      </c>
      <c r="I1936" s="4" t="s">
        <v>29</v>
      </c>
      <c r="J1936" s="4">
        <v>64</v>
      </c>
      <c r="K1936" s="4" t="s">
        <v>45</v>
      </c>
      <c r="L1936" s="8">
        <v>4</v>
      </c>
      <c r="M1936" s="9" t="s">
        <v>31</v>
      </c>
      <c r="N1936" s="9" t="str">
        <f t="shared" si="15"/>
        <v>Neuro</v>
      </c>
      <c r="O1936" s="10">
        <v>7017.79</v>
      </c>
      <c r="P1936" s="10">
        <v>4974.8500000000004</v>
      </c>
      <c r="Q1936" s="11">
        <v>7.8</v>
      </c>
      <c r="R1936" s="13" t="str">
        <f>IF(Patient_Data!$L1936&lt;2,"Low Risk",IF(Patient_Data!$L1936&lt;4,"Moderate Risk","High Risk"))</f>
        <v>High Risk</v>
      </c>
      <c r="S1936" s="12" t="str">
        <f>IF(Patient_Data[[#This Row],[Age]]&lt;=18,"Pediatric",IF(Patient_Data[[#This Row],[Age]]&lt;=64,"Adult","Geriatric"))</f>
        <v>Adult</v>
      </c>
    </row>
    <row r="1937" spans="1:19" ht="15.75" customHeight="1" x14ac:dyDescent="0.3">
      <c r="A1937" s="4" t="s">
        <v>3871</v>
      </c>
      <c r="B1937" s="5" t="str">
        <f>TEXT(Patient_Data!$E1937,"mmmm")</f>
        <v>September</v>
      </c>
      <c r="C1937" s="6" t="str">
        <f t="shared" si="14"/>
        <v>Sep</v>
      </c>
      <c r="D1937" s="6">
        <f>MONTH(Patient_Data!$E1937)</f>
        <v>9</v>
      </c>
      <c r="E1937" s="7">
        <v>45555</v>
      </c>
      <c r="F1937" s="55" t="str">
        <f>TEXT(Patient_Data[[#This Row],[Admission_Date]],"YYYY")</f>
        <v>2024</v>
      </c>
      <c r="G1937" s="8" t="s">
        <v>3872</v>
      </c>
      <c r="H1937" s="8" t="s">
        <v>132</v>
      </c>
      <c r="I1937" s="4" t="s">
        <v>35</v>
      </c>
      <c r="J1937" s="4">
        <v>36</v>
      </c>
      <c r="K1937" s="4" t="s">
        <v>54</v>
      </c>
      <c r="L1937" s="8">
        <v>3</v>
      </c>
      <c r="M1937" s="9" t="s">
        <v>36</v>
      </c>
      <c r="N1937" s="9" t="str">
        <f t="shared" si="15"/>
        <v>Cardio</v>
      </c>
      <c r="O1937" s="10">
        <v>7284.34</v>
      </c>
      <c r="P1937" s="10">
        <v>5363.17</v>
      </c>
      <c r="Q1937" s="11">
        <v>5.7</v>
      </c>
      <c r="R1937" s="13" t="str">
        <f>IF(Patient_Data!$L1937&lt;2,"Low Risk",IF(Patient_Data!$L1937&lt;4,"Moderate Risk","High Risk"))</f>
        <v>Moderate Risk</v>
      </c>
      <c r="S1937" s="12" t="str">
        <f>IF(Patient_Data[[#This Row],[Age]]&lt;=18,"Pediatric",IF(Patient_Data[[#This Row],[Age]]&lt;=64,"Adult","Geriatric"))</f>
        <v>Adult</v>
      </c>
    </row>
    <row r="1938" spans="1:19" ht="15.75" customHeight="1" x14ac:dyDescent="0.3">
      <c r="A1938" s="4" t="s">
        <v>3873</v>
      </c>
      <c r="B1938" s="5" t="str">
        <f>TEXT(Patient_Data!$E1938,"mmmm")</f>
        <v>July</v>
      </c>
      <c r="C1938" s="6" t="str">
        <f t="shared" si="14"/>
        <v>Jul</v>
      </c>
      <c r="D1938" s="6">
        <f>MONTH(Patient_Data!$E1938)</f>
        <v>7</v>
      </c>
      <c r="E1938" s="7">
        <v>45869</v>
      </c>
      <c r="F1938" s="55" t="str">
        <f>TEXT(Patient_Data[[#This Row],[Admission_Date]],"YYYY")</f>
        <v>2025</v>
      </c>
      <c r="G1938" s="8" t="s">
        <v>3874</v>
      </c>
      <c r="H1938" s="8" t="s">
        <v>34</v>
      </c>
      <c r="I1938" s="4" t="s">
        <v>35</v>
      </c>
      <c r="J1938" s="4">
        <v>89</v>
      </c>
      <c r="K1938" s="4" t="s">
        <v>30</v>
      </c>
      <c r="L1938" s="8">
        <v>2</v>
      </c>
      <c r="M1938" s="9" t="s">
        <v>46</v>
      </c>
      <c r="N1938" s="9" t="str">
        <f t="shared" si="15"/>
        <v>Ortho</v>
      </c>
      <c r="O1938" s="10">
        <v>6957.77</v>
      </c>
      <c r="P1938" s="10">
        <v>5327.91</v>
      </c>
      <c r="Q1938" s="11">
        <v>5</v>
      </c>
      <c r="R1938" s="13" t="str">
        <f>IF(Patient_Data!$L1938&lt;2,"Low Risk",IF(Patient_Data!$L1938&lt;4,"Moderate Risk","High Risk"))</f>
        <v>Moderate Risk</v>
      </c>
      <c r="S1938" s="12" t="str">
        <f>IF(Patient_Data[[#This Row],[Age]]&lt;=18,"Pediatric",IF(Patient_Data[[#This Row],[Age]]&lt;=64,"Adult","Geriatric"))</f>
        <v>Geriatric</v>
      </c>
    </row>
    <row r="1939" spans="1:19" ht="15.75" customHeight="1" x14ac:dyDescent="0.3">
      <c r="A1939" s="4" t="s">
        <v>3875</v>
      </c>
      <c r="B1939" s="5" t="str">
        <f>TEXT(Patient_Data!$E1939,"mmmm")</f>
        <v>November</v>
      </c>
      <c r="C1939" s="6" t="str">
        <f t="shared" si="14"/>
        <v>Nov</v>
      </c>
      <c r="D1939" s="6">
        <f>MONTH(Patient_Data!$E1939)</f>
        <v>11</v>
      </c>
      <c r="E1939" s="7">
        <v>45622</v>
      </c>
      <c r="F1939" s="55" t="str">
        <f>TEXT(Patient_Data[[#This Row],[Admission_Date]],"YYYY")</f>
        <v>2024</v>
      </c>
      <c r="G1939" s="8" t="s">
        <v>3876</v>
      </c>
      <c r="H1939" s="8" t="s">
        <v>53</v>
      </c>
      <c r="I1939" s="4" t="s">
        <v>29</v>
      </c>
      <c r="J1939" s="4">
        <v>39</v>
      </c>
      <c r="K1939" s="4" t="s">
        <v>45</v>
      </c>
      <c r="L1939" s="8">
        <v>1</v>
      </c>
      <c r="M1939" s="9" t="s">
        <v>83</v>
      </c>
      <c r="N1939" s="9" t="str">
        <f t="shared" si="15"/>
        <v>ER</v>
      </c>
      <c r="O1939" s="10">
        <v>4589.51</v>
      </c>
      <c r="P1939" s="10">
        <v>2827.52</v>
      </c>
      <c r="Q1939" s="11">
        <v>20.7</v>
      </c>
      <c r="R1939" s="13" t="str">
        <f>IF(Patient_Data!$L1939&lt;2,"Low Risk",IF(Patient_Data!$L1939&lt;4,"Moderate Risk","High Risk"))</f>
        <v>Low Risk</v>
      </c>
      <c r="S1939" s="12" t="str">
        <f>IF(Patient_Data[[#This Row],[Age]]&lt;=18,"Pediatric",IF(Patient_Data[[#This Row],[Age]]&lt;=64,"Adult","Geriatric"))</f>
        <v>Adult</v>
      </c>
    </row>
    <row r="1940" spans="1:19" ht="15.75" customHeight="1" x14ac:dyDescent="0.3">
      <c r="A1940" s="4" t="s">
        <v>3877</v>
      </c>
      <c r="B1940" s="5" t="str">
        <f>TEXT(Patient_Data!$E1940,"mmmm")</f>
        <v>April</v>
      </c>
      <c r="C1940" s="6" t="str">
        <f t="shared" si="14"/>
        <v>Apr</v>
      </c>
      <c r="D1940" s="6">
        <f>MONTH(Patient_Data!$E1940)</f>
        <v>4</v>
      </c>
      <c r="E1940" s="7">
        <v>46141</v>
      </c>
      <c r="F1940" s="55" t="str">
        <f>TEXT(Patient_Data[[#This Row],[Admission_Date]],"YYYY")</f>
        <v>2026</v>
      </c>
      <c r="G1940" s="8" t="s">
        <v>3878</v>
      </c>
      <c r="H1940" s="8" t="s">
        <v>82</v>
      </c>
      <c r="I1940" s="4" t="s">
        <v>29</v>
      </c>
      <c r="J1940" s="4">
        <v>22</v>
      </c>
      <c r="K1940" s="4" t="s">
        <v>30</v>
      </c>
      <c r="L1940" s="8">
        <v>4</v>
      </c>
      <c r="M1940" s="9" t="s">
        <v>31</v>
      </c>
      <c r="N1940" s="9" t="str">
        <f t="shared" si="15"/>
        <v>Neuro</v>
      </c>
      <c r="O1940" s="10">
        <v>15626.24</v>
      </c>
      <c r="P1940" s="10">
        <v>9620.01</v>
      </c>
      <c r="Q1940" s="11">
        <v>11</v>
      </c>
      <c r="R1940" s="13" t="str">
        <f>IF(Patient_Data!$L1940&lt;2,"Low Risk",IF(Patient_Data!$L1940&lt;4,"Moderate Risk","High Risk"))</f>
        <v>High Risk</v>
      </c>
      <c r="S1940" s="12" t="str">
        <f>IF(Patient_Data[[#This Row],[Age]]&lt;=18,"Pediatric",IF(Patient_Data[[#This Row],[Age]]&lt;=64,"Adult","Geriatric"))</f>
        <v>Adult</v>
      </c>
    </row>
    <row r="1941" spans="1:19" ht="15.75" customHeight="1" x14ac:dyDescent="0.3">
      <c r="A1941" s="4" t="s">
        <v>3879</v>
      </c>
      <c r="B1941" s="5" t="str">
        <f>TEXT(Patient_Data!$E1941,"mmmm")</f>
        <v>September</v>
      </c>
      <c r="C1941" s="6" t="str">
        <f t="shared" si="14"/>
        <v>Sep</v>
      </c>
      <c r="D1941" s="6">
        <f>MONTH(Patient_Data!$E1941)</f>
        <v>9</v>
      </c>
      <c r="E1941" s="7">
        <v>45901</v>
      </c>
      <c r="F1941" s="55" t="str">
        <f>TEXT(Patient_Data[[#This Row],[Admission_Date]],"YYYY")</f>
        <v>2025</v>
      </c>
      <c r="G1941" s="8" t="s">
        <v>3880</v>
      </c>
      <c r="H1941" s="8" t="s">
        <v>98</v>
      </c>
      <c r="I1941" s="4" t="s">
        <v>29</v>
      </c>
      <c r="J1941" s="4">
        <v>54</v>
      </c>
      <c r="K1941" s="4" t="s">
        <v>30</v>
      </c>
      <c r="L1941" s="8">
        <v>1</v>
      </c>
      <c r="M1941" s="9" t="s">
        <v>83</v>
      </c>
      <c r="N1941" s="9" t="str">
        <f t="shared" si="15"/>
        <v>ER</v>
      </c>
      <c r="O1941" s="10">
        <v>7227.76</v>
      </c>
      <c r="P1941" s="10">
        <v>4760.17</v>
      </c>
      <c r="Q1941" s="11">
        <v>16.8</v>
      </c>
      <c r="R1941" s="13" t="str">
        <f>IF(Patient_Data!$L1941&lt;2,"Low Risk",IF(Patient_Data!$L1941&lt;4,"Moderate Risk","High Risk"))</f>
        <v>Low Risk</v>
      </c>
      <c r="S1941" s="12" t="str">
        <f>IF(Patient_Data[[#This Row],[Age]]&lt;=18,"Pediatric",IF(Patient_Data[[#This Row],[Age]]&lt;=64,"Adult","Geriatric"))</f>
        <v>Adult</v>
      </c>
    </row>
    <row r="1942" spans="1:19" ht="15.75" customHeight="1" x14ac:dyDescent="0.3">
      <c r="A1942" s="4" t="s">
        <v>3881</v>
      </c>
      <c r="B1942" s="5" t="str">
        <f>TEXT(Patient_Data!$E1942,"mmmm")</f>
        <v>July</v>
      </c>
      <c r="C1942" s="6" t="str">
        <f t="shared" si="14"/>
        <v>Jul</v>
      </c>
      <c r="D1942" s="6">
        <f>MONTH(Patient_Data!$E1942)</f>
        <v>7</v>
      </c>
      <c r="E1942" s="7">
        <v>46205</v>
      </c>
      <c r="F1942" s="55" t="str">
        <f>TEXT(Patient_Data[[#This Row],[Admission_Date]],"YYYY")</f>
        <v>2026</v>
      </c>
      <c r="G1942" s="8" t="s">
        <v>3882</v>
      </c>
      <c r="H1942" s="8" t="s">
        <v>28</v>
      </c>
      <c r="I1942" s="4" t="s">
        <v>29</v>
      </c>
      <c r="J1942" s="4">
        <v>83</v>
      </c>
      <c r="K1942" s="4" t="s">
        <v>54</v>
      </c>
      <c r="L1942" s="8">
        <v>2</v>
      </c>
      <c r="M1942" s="9" t="s">
        <v>46</v>
      </c>
      <c r="N1942" s="9" t="str">
        <f t="shared" si="15"/>
        <v>Ortho</v>
      </c>
      <c r="O1942" s="10">
        <v>6811.45</v>
      </c>
      <c r="P1942" s="10">
        <v>4633.2700000000004</v>
      </c>
      <c r="Q1942" s="11">
        <v>8.6999999999999993</v>
      </c>
      <c r="R1942" s="13" t="str">
        <f>IF(Patient_Data!$L1942&lt;2,"Low Risk",IF(Patient_Data!$L1942&lt;4,"Moderate Risk","High Risk"))</f>
        <v>Moderate Risk</v>
      </c>
      <c r="S1942" s="12" t="str">
        <f>IF(Patient_Data[[#This Row],[Age]]&lt;=18,"Pediatric",IF(Patient_Data[[#This Row],[Age]]&lt;=64,"Adult","Geriatric"))</f>
        <v>Geriatric</v>
      </c>
    </row>
    <row r="1943" spans="1:19" ht="15.75" customHeight="1" x14ac:dyDescent="0.3">
      <c r="A1943" s="4" t="s">
        <v>3883</v>
      </c>
      <c r="B1943" s="5" t="str">
        <f>TEXT(Patient_Data!$E1943,"mmmm")</f>
        <v>September</v>
      </c>
      <c r="C1943" s="6" t="str">
        <f t="shared" si="14"/>
        <v>Sep</v>
      </c>
      <c r="D1943" s="6">
        <f>MONTH(Patient_Data!$E1943)</f>
        <v>9</v>
      </c>
      <c r="E1943" s="7">
        <v>45537</v>
      </c>
      <c r="F1943" s="55" t="str">
        <f>TEXT(Patient_Data[[#This Row],[Admission_Date]],"YYYY")</f>
        <v>2024</v>
      </c>
      <c r="G1943" s="8" t="s">
        <v>3884</v>
      </c>
      <c r="H1943" s="8" t="s">
        <v>82</v>
      </c>
      <c r="I1943" s="4" t="s">
        <v>29</v>
      </c>
      <c r="J1943" s="4">
        <v>27</v>
      </c>
      <c r="K1943" s="4" t="s">
        <v>45</v>
      </c>
      <c r="L1943" s="8">
        <v>4</v>
      </c>
      <c r="M1943" s="9" t="s">
        <v>72</v>
      </c>
      <c r="N1943" s="9" t="str">
        <f t="shared" si="15"/>
        <v>Surgery</v>
      </c>
      <c r="O1943" s="10">
        <v>20676.849999999999</v>
      </c>
      <c r="P1943" s="10">
        <v>14531.39</v>
      </c>
      <c r="Q1943" s="11">
        <v>7.2</v>
      </c>
      <c r="R1943" s="13" t="str">
        <f>IF(Patient_Data!$L1943&lt;2,"Low Risk",IF(Patient_Data!$L1943&lt;4,"Moderate Risk","High Risk"))</f>
        <v>High Risk</v>
      </c>
      <c r="S1943" s="12" t="str">
        <f>IF(Patient_Data[[#This Row],[Age]]&lt;=18,"Pediatric",IF(Patient_Data[[#This Row],[Age]]&lt;=64,"Adult","Geriatric"))</f>
        <v>Adult</v>
      </c>
    </row>
    <row r="1944" spans="1:19" ht="15.75" customHeight="1" x14ac:dyDescent="0.3">
      <c r="A1944" s="4" t="s">
        <v>3885</v>
      </c>
      <c r="B1944" s="5" t="str">
        <f>TEXT(Patient_Data!$E1944,"mmmm")</f>
        <v>April</v>
      </c>
      <c r="C1944" s="6" t="str">
        <f t="shared" si="14"/>
        <v>Apr</v>
      </c>
      <c r="D1944" s="6">
        <f>MONTH(Patient_Data!$E1944)</f>
        <v>4</v>
      </c>
      <c r="E1944" s="7">
        <v>45768</v>
      </c>
      <c r="F1944" s="55" t="str">
        <f>TEXT(Patient_Data[[#This Row],[Admission_Date]],"YYYY")</f>
        <v>2025</v>
      </c>
      <c r="G1944" s="8" t="s">
        <v>3886</v>
      </c>
      <c r="H1944" s="8" t="s">
        <v>132</v>
      </c>
      <c r="I1944" s="4" t="s">
        <v>29</v>
      </c>
      <c r="J1944" s="4">
        <v>5</v>
      </c>
      <c r="K1944" s="4" t="s">
        <v>30</v>
      </c>
      <c r="L1944" s="8">
        <v>3</v>
      </c>
      <c r="M1944" s="9" t="s">
        <v>79</v>
      </c>
      <c r="N1944" s="9" t="str">
        <f t="shared" si="15"/>
        <v>PD</v>
      </c>
      <c r="O1944" s="10">
        <v>2972.57</v>
      </c>
      <c r="P1944" s="10">
        <v>2196.38</v>
      </c>
      <c r="Q1944" s="11">
        <v>3.3</v>
      </c>
      <c r="R1944" s="13" t="str">
        <f>IF(Patient_Data!$L1944&lt;2,"Low Risk",IF(Patient_Data!$L1944&lt;4,"Moderate Risk","High Risk"))</f>
        <v>Moderate Risk</v>
      </c>
      <c r="S1944" s="12" t="str">
        <f>IF(Patient_Data[[#This Row],[Age]]&lt;=18,"Pediatric",IF(Patient_Data[[#This Row],[Age]]&lt;=64,"Adult","Geriatric"))</f>
        <v>Pediatric</v>
      </c>
    </row>
    <row r="1945" spans="1:19" ht="15.75" customHeight="1" x14ac:dyDescent="0.3">
      <c r="A1945" s="4" t="s">
        <v>3887</v>
      </c>
      <c r="B1945" s="5" t="str">
        <f>TEXT(Patient_Data!$E1945,"mmmm")</f>
        <v>March</v>
      </c>
      <c r="C1945" s="6" t="str">
        <f t="shared" si="14"/>
        <v>Mar</v>
      </c>
      <c r="D1945" s="6">
        <f>MONTH(Patient_Data!$E1945)</f>
        <v>3</v>
      </c>
      <c r="E1945" s="7">
        <v>45366</v>
      </c>
      <c r="F1945" s="55" t="str">
        <f>TEXT(Patient_Data[[#This Row],[Admission_Date]],"YYYY")</f>
        <v>2024</v>
      </c>
      <c r="G1945" s="8" t="s">
        <v>3888</v>
      </c>
      <c r="H1945" s="8" t="s">
        <v>28</v>
      </c>
      <c r="I1945" s="4" t="s">
        <v>35</v>
      </c>
      <c r="J1945" s="4">
        <v>0</v>
      </c>
      <c r="K1945" s="4" t="s">
        <v>30</v>
      </c>
      <c r="L1945" s="8">
        <v>2</v>
      </c>
      <c r="M1945" s="9" t="s">
        <v>79</v>
      </c>
      <c r="N1945" s="9" t="str">
        <f t="shared" si="15"/>
        <v>PD</v>
      </c>
      <c r="O1945" s="10">
        <v>2687.24</v>
      </c>
      <c r="P1945" s="10">
        <v>2060.6999999999998</v>
      </c>
      <c r="Q1945" s="11">
        <v>2.2999999999999998</v>
      </c>
      <c r="R1945" s="13" t="str">
        <f>IF(Patient_Data!$L1945&lt;2,"Low Risk",IF(Patient_Data!$L1945&lt;4,"Moderate Risk","High Risk"))</f>
        <v>Moderate Risk</v>
      </c>
      <c r="S1945" s="12" t="str">
        <f>IF(Patient_Data[[#This Row],[Age]]&lt;=18,"Pediatric",IF(Patient_Data[[#This Row],[Age]]&lt;=64,"Adult","Geriatric"))</f>
        <v>Pediatric</v>
      </c>
    </row>
    <row r="1946" spans="1:19" ht="15.75" customHeight="1" x14ac:dyDescent="0.3">
      <c r="A1946" s="4" t="s">
        <v>3889</v>
      </c>
      <c r="B1946" s="5" t="str">
        <f>TEXT(Patient_Data!$E1946,"mmmm")</f>
        <v>April</v>
      </c>
      <c r="C1946" s="6" t="str">
        <f t="shared" si="14"/>
        <v>Apr</v>
      </c>
      <c r="D1946" s="6">
        <f>MONTH(Patient_Data!$E1946)</f>
        <v>4</v>
      </c>
      <c r="E1946" s="7">
        <v>46131</v>
      </c>
      <c r="F1946" s="55" t="str">
        <f>TEXT(Patient_Data[[#This Row],[Admission_Date]],"YYYY")</f>
        <v>2026</v>
      </c>
      <c r="G1946" s="8" t="s">
        <v>3890</v>
      </c>
      <c r="H1946" s="8" t="s">
        <v>42</v>
      </c>
      <c r="I1946" s="4" t="s">
        <v>29</v>
      </c>
      <c r="J1946" s="4">
        <v>32</v>
      </c>
      <c r="K1946" s="4" t="s">
        <v>30</v>
      </c>
      <c r="L1946" s="8">
        <v>1</v>
      </c>
      <c r="M1946" s="9" t="s">
        <v>36</v>
      </c>
      <c r="N1946" s="9" t="str">
        <f t="shared" si="15"/>
        <v>Cardio</v>
      </c>
      <c r="O1946" s="10">
        <v>5239.91</v>
      </c>
      <c r="P1946" s="10">
        <v>3090.35</v>
      </c>
      <c r="Q1946" s="11">
        <v>6.4</v>
      </c>
      <c r="R1946" s="13" t="str">
        <f>IF(Patient_Data!$L1946&lt;2,"Low Risk",IF(Patient_Data!$L1946&lt;4,"Moderate Risk","High Risk"))</f>
        <v>Low Risk</v>
      </c>
      <c r="S1946" s="12" t="str">
        <f>IF(Patient_Data[[#This Row],[Age]]&lt;=18,"Pediatric",IF(Patient_Data[[#This Row],[Age]]&lt;=64,"Adult","Geriatric"))</f>
        <v>Adult</v>
      </c>
    </row>
    <row r="1947" spans="1:19" ht="15.75" customHeight="1" x14ac:dyDescent="0.3">
      <c r="A1947" s="4" t="s">
        <v>3891</v>
      </c>
      <c r="B1947" s="5" t="str">
        <f>TEXT(Patient_Data!$E1947,"mmmm")</f>
        <v>September</v>
      </c>
      <c r="C1947" s="6" t="str">
        <f t="shared" si="14"/>
        <v>Sep</v>
      </c>
      <c r="D1947" s="6">
        <f>MONTH(Patient_Data!$E1947)</f>
        <v>9</v>
      </c>
      <c r="E1947" s="7">
        <v>45541</v>
      </c>
      <c r="F1947" s="55" t="str">
        <f>TEXT(Patient_Data[[#This Row],[Admission_Date]],"YYYY")</f>
        <v>2024</v>
      </c>
      <c r="G1947" s="8" t="s">
        <v>3892</v>
      </c>
      <c r="H1947" s="8" t="s">
        <v>34</v>
      </c>
      <c r="I1947" s="4" t="s">
        <v>29</v>
      </c>
      <c r="J1947" s="4">
        <v>52</v>
      </c>
      <c r="K1947" s="4" t="s">
        <v>30</v>
      </c>
      <c r="L1947" s="8">
        <v>1</v>
      </c>
      <c r="M1947" s="9" t="s">
        <v>83</v>
      </c>
      <c r="N1947" s="9" t="str">
        <f t="shared" si="15"/>
        <v>ER</v>
      </c>
      <c r="O1947" s="10">
        <v>5770.95</v>
      </c>
      <c r="P1947" s="10">
        <v>3685.88</v>
      </c>
      <c r="Q1947" s="11">
        <v>20.7</v>
      </c>
      <c r="R1947" s="13" t="str">
        <f>IF(Patient_Data!$L1947&lt;2,"Low Risk",IF(Patient_Data!$L1947&lt;4,"Moderate Risk","High Risk"))</f>
        <v>Low Risk</v>
      </c>
      <c r="S1947" s="12" t="str">
        <f>IF(Patient_Data[[#This Row],[Age]]&lt;=18,"Pediatric",IF(Patient_Data[[#This Row],[Age]]&lt;=64,"Adult","Geriatric"))</f>
        <v>Adult</v>
      </c>
    </row>
    <row r="1948" spans="1:19" ht="15.75" customHeight="1" x14ac:dyDescent="0.3">
      <c r="A1948" s="4" t="s">
        <v>3893</v>
      </c>
      <c r="B1948" s="5" t="str">
        <f>TEXT(Patient_Data!$E1948,"mmmm")</f>
        <v>July</v>
      </c>
      <c r="C1948" s="6" t="str">
        <f t="shared" si="14"/>
        <v>Jul</v>
      </c>
      <c r="D1948" s="6">
        <f>MONTH(Patient_Data!$E1948)</f>
        <v>7</v>
      </c>
      <c r="E1948" s="7">
        <v>45854</v>
      </c>
      <c r="F1948" s="55" t="str">
        <f>TEXT(Patient_Data[[#This Row],[Admission_Date]],"YYYY")</f>
        <v>2025</v>
      </c>
      <c r="G1948" s="8" t="s">
        <v>3894</v>
      </c>
      <c r="H1948" s="8" t="s">
        <v>132</v>
      </c>
      <c r="I1948" s="4" t="s">
        <v>35</v>
      </c>
      <c r="J1948" s="4">
        <v>73</v>
      </c>
      <c r="K1948" s="4" t="s">
        <v>30</v>
      </c>
      <c r="L1948" s="8">
        <v>2</v>
      </c>
      <c r="M1948" s="9" t="s">
        <v>46</v>
      </c>
      <c r="N1948" s="9" t="str">
        <f t="shared" si="15"/>
        <v>Ortho</v>
      </c>
      <c r="O1948" s="10">
        <v>5796.32</v>
      </c>
      <c r="P1948" s="10">
        <v>3738.44</v>
      </c>
      <c r="Q1948" s="11">
        <v>3.6</v>
      </c>
      <c r="R1948" s="13" t="str">
        <f>IF(Patient_Data!$L1948&lt;2,"Low Risk",IF(Patient_Data!$L1948&lt;4,"Moderate Risk","High Risk"))</f>
        <v>Moderate Risk</v>
      </c>
      <c r="S1948" s="12" t="str">
        <f>IF(Patient_Data[[#This Row],[Age]]&lt;=18,"Pediatric",IF(Patient_Data[[#This Row],[Age]]&lt;=64,"Adult","Geriatric"))</f>
        <v>Geriatric</v>
      </c>
    </row>
    <row r="1949" spans="1:19" ht="15.75" customHeight="1" x14ac:dyDescent="0.3">
      <c r="A1949" s="4" t="s">
        <v>3895</v>
      </c>
      <c r="B1949" s="5" t="str">
        <f>TEXT(Patient_Data!$E1949,"mmmm")</f>
        <v>February</v>
      </c>
      <c r="C1949" s="6" t="str">
        <f t="shared" si="14"/>
        <v>Feb</v>
      </c>
      <c r="D1949" s="6">
        <f>MONTH(Patient_Data!$E1949)</f>
        <v>2</v>
      </c>
      <c r="E1949" s="7">
        <v>45349</v>
      </c>
      <c r="F1949" s="55" t="str">
        <f>TEXT(Patient_Data[[#This Row],[Admission_Date]],"YYYY")</f>
        <v>2024</v>
      </c>
      <c r="G1949" s="8" t="s">
        <v>3896</v>
      </c>
      <c r="H1949" s="8" t="s">
        <v>28</v>
      </c>
      <c r="I1949" s="4" t="s">
        <v>29</v>
      </c>
      <c r="J1949" s="4">
        <v>92</v>
      </c>
      <c r="K1949" s="4" t="s">
        <v>54</v>
      </c>
      <c r="L1949" s="8">
        <v>5</v>
      </c>
      <c r="M1949" s="9" t="s">
        <v>50</v>
      </c>
      <c r="N1949" s="9" t="str">
        <f t="shared" si="15"/>
        <v>ICU</v>
      </c>
      <c r="O1949" s="10">
        <v>12119</v>
      </c>
      <c r="P1949" s="10">
        <v>8194.1299999999992</v>
      </c>
      <c r="Q1949" s="11">
        <v>9.3000000000000007</v>
      </c>
      <c r="R1949" s="13" t="str">
        <f>IF(Patient_Data!$L1949&lt;2,"Low Risk",IF(Patient_Data!$L1949&lt;4,"Moderate Risk","High Risk"))</f>
        <v>High Risk</v>
      </c>
      <c r="S1949" s="12" t="str">
        <f>IF(Patient_Data[[#This Row],[Age]]&lt;=18,"Pediatric",IF(Patient_Data[[#This Row],[Age]]&lt;=64,"Adult","Geriatric"))</f>
        <v>Geriatric</v>
      </c>
    </row>
    <row r="1950" spans="1:19" ht="15.75" customHeight="1" x14ac:dyDescent="0.3">
      <c r="A1950" s="4" t="s">
        <v>3897</v>
      </c>
      <c r="B1950" s="5" t="str">
        <f>TEXT(Patient_Data!$E1950,"mmmm")</f>
        <v>November</v>
      </c>
      <c r="C1950" s="6" t="str">
        <f t="shared" si="14"/>
        <v>Nov</v>
      </c>
      <c r="D1950" s="6">
        <f>MONTH(Patient_Data!$E1950)</f>
        <v>11</v>
      </c>
      <c r="E1950" s="7">
        <v>45622</v>
      </c>
      <c r="F1950" s="55" t="str">
        <f>TEXT(Patient_Data[[#This Row],[Admission_Date]],"YYYY")</f>
        <v>2024</v>
      </c>
      <c r="G1950" s="8" t="s">
        <v>3898</v>
      </c>
      <c r="H1950" s="8" t="s">
        <v>132</v>
      </c>
      <c r="I1950" s="4" t="s">
        <v>35</v>
      </c>
      <c r="J1950" s="4">
        <v>44</v>
      </c>
      <c r="K1950" s="4" t="s">
        <v>54</v>
      </c>
      <c r="L1950" s="8">
        <v>5</v>
      </c>
      <c r="M1950" s="9" t="s">
        <v>72</v>
      </c>
      <c r="N1950" s="9" t="str">
        <f t="shared" si="15"/>
        <v>Surgery</v>
      </c>
      <c r="O1950" s="10">
        <v>16104.87</v>
      </c>
      <c r="P1950" s="10">
        <v>11367.01</v>
      </c>
      <c r="Q1950" s="11">
        <v>11.7</v>
      </c>
      <c r="R1950" s="13" t="str">
        <f>IF(Patient_Data!$L1950&lt;2,"Low Risk",IF(Patient_Data!$L1950&lt;4,"Moderate Risk","High Risk"))</f>
        <v>High Risk</v>
      </c>
      <c r="S1950" s="12" t="str">
        <f>IF(Patient_Data[[#This Row],[Age]]&lt;=18,"Pediatric",IF(Patient_Data[[#This Row],[Age]]&lt;=64,"Adult","Geriatric"))</f>
        <v>Adult</v>
      </c>
    </row>
    <row r="1951" spans="1:19" ht="15.75" customHeight="1" x14ac:dyDescent="0.3">
      <c r="A1951" s="4" t="s">
        <v>3899</v>
      </c>
      <c r="B1951" s="5" t="str">
        <f>TEXT(Patient_Data!$E1951,"mmmm")</f>
        <v>August</v>
      </c>
      <c r="C1951" s="6" t="str">
        <f t="shared" si="14"/>
        <v>Aug</v>
      </c>
      <c r="D1951" s="6">
        <f>MONTH(Patient_Data!$E1951)</f>
        <v>8</v>
      </c>
      <c r="E1951" s="7">
        <v>45894</v>
      </c>
      <c r="F1951" s="55" t="str">
        <f>TEXT(Patient_Data[[#This Row],[Admission_Date]],"YYYY")</f>
        <v>2025</v>
      </c>
      <c r="G1951" s="8" t="s">
        <v>3900</v>
      </c>
      <c r="H1951" s="8" t="s">
        <v>28</v>
      </c>
      <c r="I1951" s="4" t="s">
        <v>29</v>
      </c>
      <c r="J1951" s="4">
        <v>46</v>
      </c>
      <c r="K1951" s="4" t="s">
        <v>30</v>
      </c>
      <c r="L1951" s="8">
        <v>2</v>
      </c>
      <c r="M1951" s="9" t="s">
        <v>46</v>
      </c>
      <c r="N1951" s="9" t="str">
        <f t="shared" si="15"/>
        <v>Ortho</v>
      </c>
      <c r="O1951" s="10">
        <v>5866.92</v>
      </c>
      <c r="P1951" s="10">
        <v>4337.25</v>
      </c>
      <c r="Q1951" s="11">
        <v>6.8</v>
      </c>
      <c r="R1951" s="13" t="str">
        <f>IF(Patient_Data!$L1951&lt;2,"Low Risk",IF(Patient_Data!$L1951&lt;4,"Moderate Risk","High Risk"))</f>
        <v>Moderate Risk</v>
      </c>
      <c r="S1951" s="12" t="str">
        <f>IF(Patient_Data[[#This Row],[Age]]&lt;=18,"Pediatric",IF(Patient_Data[[#This Row],[Age]]&lt;=64,"Adult","Geriatric"))</f>
        <v>Adult</v>
      </c>
    </row>
    <row r="1952" spans="1:19" ht="15.75" customHeight="1" x14ac:dyDescent="0.3">
      <c r="A1952" s="4" t="s">
        <v>3901</v>
      </c>
      <c r="B1952" s="5" t="str">
        <f>TEXT(Patient_Data!$E1952,"mmmm")</f>
        <v>November</v>
      </c>
      <c r="C1952" s="6" t="str">
        <f t="shared" si="14"/>
        <v>Nov</v>
      </c>
      <c r="D1952" s="6">
        <f>MONTH(Patient_Data!$E1952)</f>
        <v>11</v>
      </c>
      <c r="E1952" s="7">
        <v>45624</v>
      </c>
      <c r="F1952" s="55" t="str">
        <f>TEXT(Patient_Data[[#This Row],[Admission_Date]],"YYYY")</f>
        <v>2024</v>
      </c>
      <c r="G1952" s="8" t="s">
        <v>3902</v>
      </c>
      <c r="H1952" s="8" t="s">
        <v>49</v>
      </c>
      <c r="I1952" s="4" t="s">
        <v>29</v>
      </c>
      <c r="J1952" s="4">
        <v>8</v>
      </c>
      <c r="K1952" s="4" t="s">
        <v>54</v>
      </c>
      <c r="L1952" s="8">
        <v>5</v>
      </c>
      <c r="M1952" s="9" t="s">
        <v>79</v>
      </c>
      <c r="N1952" s="9" t="str">
        <f t="shared" si="15"/>
        <v>PD</v>
      </c>
      <c r="O1952" s="10">
        <v>3614.85</v>
      </c>
      <c r="P1952" s="10">
        <v>2755.29</v>
      </c>
      <c r="Q1952" s="11">
        <v>1</v>
      </c>
      <c r="R1952" s="13" t="str">
        <f>IF(Patient_Data!$L1952&lt;2,"Low Risk",IF(Patient_Data!$L1952&lt;4,"Moderate Risk","High Risk"))</f>
        <v>High Risk</v>
      </c>
      <c r="S1952" s="12" t="str">
        <f>IF(Patient_Data[[#This Row],[Age]]&lt;=18,"Pediatric",IF(Patient_Data[[#This Row],[Age]]&lt;=64,"Adult","Geriatric"))</f>
        <v>Pediatric</v>
      </c>
    </row>
    <row r="1953" spans="1:19" ht="15.75" customHeight="1" x14ac:dyDescent="0.3">
      <c r="A1953" s="4" t="s">
        <v>3903</v>
      </c>
      <c r="B1953" s="5" t="str">
        <f>TEXT(Patient_Data!$E1953,"mmmm")</f>
        <v>July</v>
      </c>
      <c r="C1953" s="6" t="str">
        <f t="shared" si="14"/>
        <v>Jul</v>
      </c>
      <c r="D1953" s="6">
        <f>MONTH(Patient_Data!$E1953)</f>
        <v>7</v>
      </c>
      <c r="E1953" s="7">
        <v>45845</v>
      </c>
      <c r="F1953" s="55" t="str">
        <f>TEXT(Patient_Data[[#This Row],[Admission_Date]],"YYYY")</f>
        <v>2025</v>
      </c>
      <c r="G1953" s="8" t="s">
        <v>3904</v>
      </c>
      <c r="H1953" s="8" t="s">
        <v>53</v>
      </c>
      <c r="I1953" s="4" t="s">
        <v>29</v>
      </c>
      <c r="J1953" s="4">
        <v>50</v>
      </c>
      <c r="K1953" s="4" t="s">
        <v>30</v>
      </c>
      <c r="L1953" s="8">
        <v>1</v>
      </c>
      <c r="M1953" s="9" t="s">
        <v>46</v>
      </c>
      <c r="N1953" s="9" t="str">
        <f t="shared" si="15"/>
        <v>Ortho</v>
      </c>
      <c r="O1953" s="10">
        <v>7590.46</v>
      </c>
      <c r="P1953" s="10">
        <v>4496.07</v>
      </c>
      <c r="Q1953" s="11">
        <v>11.7</v>
      </c>
      <c r="R1953" s="13" t="str">
        <f>IF(Patient_Data!$L1953&lt;2,"Low Risk",IF(Patient_Data!$L1953&lt;4,"Moderate Risk","High Risk"))</f>
        <v>Low Risk</v>
      </c>
      <c r="S1953" s="12" t="str">
        <f>IF(Patient_Data[[#This Row],[Age]]&lt;=18,"Pediatric",IF(Patient_Data[[#This Row],[Age]]&lt;=64,"Adult","Geriatric"))</f>
        <v>Adult</v>
      </c>
    </row>
    <row r="1954" spans="1:19" ht="15.75" customHeight="1" x14ac:dyDescent="0.3">
      <c r="A1954" s="4" t="s">
        <v>3905</v>
      </c>
      <c r="B1954" s="5" t="str">
        <f>TEXT(Patient_Data!$E1954,"mmmm")</f>
        <v>April</v>
      </c>
      <c r="C1954" s="6" t="str">
        <f t="shared" si="14"/>
        <v>Apr</v>
      </c>
      <c r="D1954" s="6">
        <f>MONTH(Patient_Data!$E1954)</f>
        <v>4</v>
      </c>
      <c r="E1954" s="7">
        <v>45769</v>
      </c>
      <c r="F1954" s="55" t="str">
        <f>TEXT(Patient_Data[[#This Row],[Admission_Date]],"YYYY")</f>
        <v>2025</v>
      </c>
      <c r="G1954" s="8" t="s">
        <v>3906</v>
      </c>
      <c r="H1954" s="8" t="s">
        <v>42</v>
      </c>
      <c r="I1954" s="4" t="s">
        <v>29</v>
      </c>
      <c r="J1954" s="4">
        <v>38</v>
      </c>
      <c r="K1954" s="4" t="s">
        <v>30</v>
      </c>
      <c r="L1954" s="8">
        <v>2</v>
      </c>
      <c r="M1954" s="9" t="s">
        <v>31</v>
      </c>
      <c r="N1954" s="9" t="str">
        <f t="shared" si="15"/>
        <v>Neuro</v>
      </c>
      <c r="O1954" s="10">
        <v>9777.7199999999993</v>
      </c>
      <c r="P1954" s="10">
        <v>5985.21</v>
      </c>
      <c r="Q1954" s="11">
        <v>2.6</v>
      </c>
      <c r="R1954" s="13" t="str">
        <f>IF(Patient_Data!$L1954&lt;2,"Low Risk",IF(Patient_Data!$L1954&lt;4,"Moderate Risk","High Risk"))</f>
        <v>Moderate Risk</v>
      </c>
      <c r="S1954" s="12" t="str">
        <f>IF(Patient_Data[[#This Row],[Age]]&lt;=18,"Pediatric",IF(Patient_Data[[#This Row],[Age]]&lt;=64,"Adult","Geriatric"))</f>
        <v>Adult</v>
      </c>
    </row>
    <row r="1955" spans="1:19" ht="15.75" customHeight="1" x14ac:dyDescent="0.3">
      <c r="A1955" s="4" t="s">
        <v>3907</v>
      </c>
      <c r="B1955" s="5" t="str">
        <f>TEXT(Patient_Data!$E1955,"mmmm")</f>
        <v>April</v>
      </c>
      <c r="C1955" s="6" t="str">
        <f t="shared" si="14"/>
        <v>Apr</v>
      </c>
      <c r="D1955" s="6">
        <f>MONTH(Patient_Data!$E1955)</f>
        <v>4</v>
      </c>
      <c r="E1955" s="7">
        <v>46130</v>
      </c>
      <c r="F1955" s="55" t="str">
        <f>TEXT(Patient_Data[[#This Row],[Admission_Date]],"YYYY")</f>
        <v>2026</v>
      </c>
      <c r="G1955" s="8" t="s">
        <v>3908</v>
      </c>
      <c r="H1955" s="8" t="s">
        <v>82</v>
      </c>
      <c r="I1955" s="4" t="s">
        <v>35</v>
      </c>
      <c r="J1955" s="4">
        <v>35</v>
      </c>
      <c r="K1955" s="4" t="s">
        <v>30</v>
      </c>
      <c r="L1955" s="8">
        <v>2</v>
      </c>
      <c r="M1955" s="9" t="s">
        <v>83</v>
      </c>
      <c r="N1955" s="9" t="str">
        <f t="shared" si="15"/>
        <v>ER</v>
      </c>
      <c r="O1955" s="10">
        <v>5392.43</v>
      </c>
      <c r="P1955" s="10">
        <v>3554.36</v>
      </c>
      <c r="Q1955" s="11">
        <v>12.9</v>
      </c>
      <c r="R1955" s="13" t="str">
        <f>IF(Patient_Data!$L1955&lt;2,"Low Risk",IF(Patient_Data!$L1955&lt;4,"Moderate Risk","High Risk"))</f>
        <v>Moderate Risk</v>
      </c>
      <c r="S1955" s="12" t="str">
        <f>IF(Patient_Data[[#This Row],[Age]]&lt;=18,"Pediatric",IF(Patient_Data[[#This Row],[Age]]&lt;=64,"Adult","Geriatric"))</f>
        <v>Adult</v>
      </c>
    </row>
    <row r="1956" spans="1:19" ht="15.75" customHeight="1" x14ac:dyDescent="0.3">
      <c r="A1956" s="4" t="s">
        <v>3909</v>
      </c>
      <c r="B1956" s="5" t="str">
        <f>TEXT(Patient_Data!$E1956,"mmmm")</f>
        <v>September</v>
      </c>
      <c r="C1956" s="6" t="str">
        <f t="shared" si="14"/>
        <v>Sep</v>
      </c>
      <c r="D1956" s="6">
        <f>MONTH(Patient_Data!$E1956)</f>
        <v>9</v>
      </c>
      <c r="E1956" s="7">
        <v>45565</v>
      </c>
      <c r="F1956" s="55" t="str">
        <f>TEXT(Patient_Data[[#This Row],[Admission_Date]],"YYYY")</f>
        <v>2024</v>
      </c>
      <c r="G1956" s="8" t="s">
        <v>3910</v>
      </c>
      <c r="H1956" s="8" t="s">
        <v>34</v>
      </c>
      <c r="I1956" s="4" t="s">
        <v>29</v>
      </c>
      <c r="J1956" s="4">
        <v>23</v>
      </c>
      <c r="K1956" s="4" t="s">
        <v>30</v>
      </c>
      <c r="L1956" s="8">
        <v>2</v>
      </c>
      <c r="M1956" s="9" t="s">
        <v>39</v>
      </c>
      <c r="N1956" s="9" t="str">
        <f t="shared" si="15"/>
        <v>GM</v>
      </c>
      <c r="O1956" s="10">
        <v>4591.7700000000004</v>
      </c>
      <c r="P1956" s="10">
        <v>3132.49</v>
      </c>
      <c r="Q1956" s="11">
        <v>7</v>
      </c>
      <c r="R1956" s="13" t="str">
        <f>IF(Patient_Data!$L1956&lt;2,"Low Risk",IF(Patient_Data!$L1956&lt;4,"Moderate Risk","High Risk"))</f>
        <v>Moderate Risk</v>
      </c>
      <c r="S1956" s="12" t="str">
        <f>IF(Patient_Data[[#This Row],[Age]]&lt;=18,"Pediatric",IF(Patient_Data[[#This Row],[Age]]&lt;=64,"Adult","Geriatric"))</f>
        <v>Adult</v>
      </c>
    </row>
    <row r="1957" spans="1:19" ht="15.75" customHeight="1" x14ac:dyDescent="0.3">
      <c r="A1957" s="4" t="s">
        <v>3911</v>
      </c>
      <c r="B1957" s="5" t="str">
        <f>TEXT(Patient_Data!$E1957,"mmmm")</f>
        <v>June</v>
      </c>
      <c r="C1957" s="6" t="str">
        <f t="shared" si="14"/>
        <v>Jun</v>
      </c>
      <c r="D1957" s="6">
        <f>MONTH(Patient_Data!$E1957)</f>
        <v>6</v>
      </c>
      <c r="E1957" s="7">
        <v>46191</v>
      </c>
      <c r="F1957" s="55" t="str">
        <f>TEXT(Patient_Data[[#This Row],[Admission_Date]],"YYYY")</f>
        <v>2026</v>
      </c>
      <c r="G1957" s="8" t="s">
        <v>186</v>
      </c>
      <c r="H1957" s="8" t="s">
        <v>132</v>
      </c>
      <c r="I1957" s="4" t="s">
        <v>35</v>
      </c>
      <c r="J1957" s="4">
        <v>13</v>
      </c>
      <c r="K1957" s="4" t="s">
        <v>45</v>
      </c>
      <c r="L1957" s="8">
        <v>4</v>
      </c>
      <c r="M1957" s="9" t="s">
        <v>79</v>
      </c>
      <c r="N1957" s="9" t="str">
        <f t="shared" si="15"/>
        <v>PD</v>
      </c>
      <c r="O1957" s="10">
        <v>895.26</v>
      </c>
      <c r="P1957" s="10">
        <v>673.88</v>
      </c>
      <c r="Q1957" s="11">
        <v>5.9</v>
      </c>
      <c r="R1957" s="13" t="str">
        <f>IF(Patient_Data!$L1957&lt;2,"Low Risk",IF(Patient_Data!$L1957&lt;4,"Moderate Risk","High Risk"))</f>
        <v>High Risk</v>
      </c>
      <c r="S1957" s="12" t="str">
        <f>IF(Patient_Data[[#This Row],[Age]]&lt;=18,"Pediatric",IF(Patient_Data[[#This Row],[Age]]&lt;=64,"Adult","Geriatric"))</f>
        <v>Pediatric</v>
      </c>
    </row>
    <row r="1958" spans="1:19" ht="15.75" customHeight="1" x14ac:dyDescent="0.3">
      <c r="A1958" s="4" t="s">
        <v>3912</v>
      </c>
      <c r="B1958" s="5" t="str">
        <f>TEXT(Patient_Data!$E1958,"mmmm")</f>
        <v>April</v>
      </c>
      <c r="C1958" s="6" t="str">
        <f t="shared" si="14"/>
        <v>Apr</v>
      </c>
      <c r="D1958" s="6">
        <f>MONTH(Patient_Data!$E1958)</f>
        <v>4</v>
      </c>
      <c r="E1958" s="7">
        <v>45412</v>
      </c>
      <c r="F1958" s="55" t="str">
        <f>TEXT(Patient_Data[[#This Row],[Admission_Date]],"YYYY")</f>
        <v>2024</v>
      </c>
      <c r="G1958" s="8" t="s">
        <v>3913</v>
      </c>
      <c r="H1958" s="8" t="s">
        <v>132</v>
      </c>
      <c r="I1958" s="4" t="s">
        <v>35</v>
      </c>
      <c r="J1958" s="4">
        <v>69</v>
      </c>
      <c r="K1958" s="4" t="s">
        <v>30</v>
      </c>
      <c r="L1958" s="8">
        <v>2</v>
      </c>
      <c r="M1958" s="9" t="s">
        <v>46</v>
      </c>
      <c r="N1958" s="9" t="str">
        <f t="shared" si="15"/>
        <v>Ortho</v>
      </c>
      <c r="O1958" s="10">
        <v>7667.82</v>
      </c>
      <c r="P1958" s="10">
        <v>5683.91</v>
      </c>
      <c r="Q1958" s="11">
        <v>10.8</v>
      </c>
      <c r="R1958" s="13" t="str">
        <f>IF(Patient_Data!$L1958&lt;2,"Low Risk",IF(Patient_Data!$L1958&lt;4,"Moderate Risk","High Risk"))</f>
        <v>Moderate Risk</v>
      </c>
      <c r="S1958" s="12" t="str">
        <f>IF(Patient_Data[[#This Row],[Age]]&lt;=18,"Pediatric",IF(Patient_Data[[#This Row],[Age]]&lt;=64,"Adult","Geriatric"))</f>
        <v>Geriatric</v>
      </c>
    </row>
    <row r="1959" spans="1:19" ht="15.75" customHeight="1" x14ac:dyDescent="0.3">
      <c r="A1959" s="4" t="s">
        <v>3914</v>
      </c>
      <c r="B1959" s="5" t="str">
        <f>TEXT(Patient_Data!$E1959,"mmmm")</f>
        <v>December</v>
      </c>
      <c r="C1959" s="6" t="str">
        <f t="shared" si="14"/>
        <v>Dec</v>
      </c>
      <c r="D1959" s="6">
        <f>MONTH(Patient_Data!$E1959)</f>
        <v>12</v>
      </c>
      <c r="E1959" s="7">
        <v>46013</v>
      </c>
      <c r="F1959" s="55" t="str">
        <f>TEXT(Patient_Data[[#This Row],[Admission_Date]],"YYYY")</f>
        <v>2025</v>
      </c>
      <c r="G1959" s="8" t="s">
        <v>3915</v>
      </c>
      <c r="H1959" s="8" t="s">
        <v>53</v>
      </c>
      <c r="I1959" s="4" t="s">
        <v>29</v>
      </c>
      <c r="J1959" s="4">
        <v>76</v>
      </c>
      <c r="K1959" s="4" t="s">
        <v>30</v>
      </c>
      <c r="L1959" s="8">
        <v>2</v>
      </c>
      <c r="M1959" s="9" t="s">
        <v>83</v>
      </c>
      <c r="N1959" s="9" t="str">
        <f t="shared" si="15"/>
        <v>ER</v>
      </c>
      <c r="O1959" s="10">
        <v>5171.6499999999996</v>
      </c>
      <c r="P1959" s="10">
        <v>4020.05</v>
      </c>
      <c r="Q1959" s="11">
        <v>11.2</v>
      </c>
      <c r="R1959" s="13" t="str">
        <f>IF(Patient_Data!$L1959&lt;2,"Low Risk",IF(Patient_Data!$L1959&lt;4,"Moderate Risk","High Risk"))</f>
        <v>Moderate Risk</v>
      </c>
      <c r="S1959" s="12" t="str">
        <f>IF(Patient_Data[[#This Row],[Age]]&lt;=18,"Pediatric",IF(Patient_Data[[#This Row],[Age]]&lt;=64,"Adult","Geriatric"))</f>
        <v>Geriatric</v>
      </c>
    </row>
    <row r="1960" spans="1:19" ht="15.75" customHeight="1" x14ac:dyDescent="0.3">
      <c r="A1960" s="4" t="s">
        <v>3916</v>
      </c>
      <c r="B1960" s="5" t="str">
        <f>TEXT(Patient_Data!$E1960,"mmmm")</f>
        <v>July</v>
      </c>
      <c r="C1960" s="6" t="str">
        <f t="shared" si="14"/>
        <v>Jul</v>
      </c>
      <c r="D1960" s="6">
        <f>MONTH(Patient_Data!$E1960)</f>
        <v>7</v>
      </c>
      <c r="E1960" s="7">
        <v>45475</v>
      </c>
      <c r="F1960" s="55" t="str">
        <f>TEXT(Patient_Data[[#This Row],[Admission_Date]],"YYYY")</f>
        <v>2024</v>
      </c>
      <c r="G1960" s="8" t="s">
        <v>3917</v>
      </c>
      <c r="H1960" s="8" t="s">
        <v>49</v>
      </c>
      <c r="I1960" s="4" t="s">
        <v>29</v>
      </c>
      <c r="J1960" s="4">
        <v>93</v>
      </c>
      <c r="K1960" s="4" t="s">
        <v>45</v>
      </c>
      <c r="L1960" s="8">
        <v>5</v>
      </c>
      <c r="M1960" s="9" t="s">
        <v>50</v>
      </c>
      <c r="N1960" s="9" t="str">
        <f t="shared" si="15"/>
        <v>ICU</v>
      </c>
      <c r="O1960" s="10">
        <v>20798.96</v>
      </c>
      <c r="P1960" s="10">
        <v>12138.6</v>
      </c>
      <c r="Q1960" s="11">
        <v>9.4</v>
      </c>
      <c r="R1960" s="13" t="str">
        <f>IF(Patient_Data!$L1960&lt;2,"Low Risk",IF(Patient_Data!$L1960&lt;4,"Moderate Risk","High Risk"))</f>
        <v>High Risk</v>
      </c>
      <c r="S1960" s="12" t="str">
        <f>IF(Patient_Data[[#This Row],[Age]]&lt;=18,"Pediatric",IF(Patient_Data[[#This Row],[Age]]&lt;=64,"Adult","Geriatric"))</f>
        <v>Geriatric</v>
      </c>
    </row>
    <row r="1961" spans="1:19" ht="15.75" customHeight="1" x14ac:dyDescent="0.3">
      <c r="A1961" s="4" t="s">
        <v>3918</v>
      </c>
      <c r="B1961" s="5" t="str">
        <f>TEXT(Patient_Data!$E1961,"mmmm")</f>
        <v>June</v>
      </c>
      <c r="C1961" s="6" t="str">
        <f t="shared" si="14"/>
        <v>Jun</v>
      </c>
      <c r="D1961" s="6">
        <f>MONTH(Patient_Data!$E1961)</f>
        <v>6</v>
      </c>
      <c r="E1961" s="7">
        <v>45448</v>
      </c>
      <c r="F1961" s="55" t="str">
        <f>TEXT(Patient_Data[[#This Row],[Admission_Date]],"YYYY")</f>
        <v>2024</v>
      </c>
      <c r="G1961" s="8" t="s">
        <v>3919</v>
      </c>
      <c r="H1961" s="8" t="s">
        <v>28</v>
      </c>
      <c r="I1961" s="4" t="s">
        <v>35</v>
      </c>
      <c r="J1961" s="4">
        <v>79</v>
      </c>
      <c r="K1961" s="4" t="s">
        <v>30</v>
      </c>
      <c r="L1961" s="8">
        <v>5</v>
      </c>
      <c r="M1961" s="9" t="s">
        <v>50</v>
      </c>
      <c r="N1961" s="9" t="str">
        <f t="shared" si="15"/>
        <v>ICU</v>
      </c>
      <c r="O1961" s="10">
        <v>22165.24</v>
      </c>
      <c r="P1961" s="10">
        <v>13637.6</v>
      </c>
      <c r="Q1961" s="11">
        <v>14.6</v>
      </c>
      <c r="R1961" s="13" t="str">
        <f>IF(Patient_Data!$L1961&lt;2,"Low Risk",IF(Patient_Data!$L1961&lt;4,"Moderate Risk","High Risk"))</f>
        <v>High Risk</v>
      </c>
      <c r="S1961" s="12" t="str">
        <f>IF(Patient_Data[[#This Row],[Age]]&lt;=18,"Pediatric",IF(Patient_Data[[#This Row],[Age]]&lt;=64,"Adult","Geriatric"))</f>
        <v>Geriatric</v>
      </c>
    </row>
    <row r="1962" spans="1:19" ht="15.75" customHeight="1" x14ac:dyDescent="0.3">
      <c r="A1962" s="4" t="s">
        <v>3920</v>
      </c>
      <c r="B1962" s="5" t="str">
        <f>TEXT(Patient_Data!$E1962,"mmmm")</f>
        <v>March</v>
      </c>
      <c r="C1962" s="6" t="str">
        <f t="shared" si="14"/>
        <v>Mar</v>
      </c>
      <c r="D1962" s="6">
        <f>MONTH(Patient_Data!$E1962)</f>
        <v>3</v>
      </c>
      <c r="E1962" s="7">
        <v>46104</v>
      </c>
      <c r="F1962" s="55" t="str">
        <f>TEXT(Patient_Data[[#This Row],[Admission_Date]],"YYYY")</f>
        <v>2026</v>
      </c>
      <c r="G1962" s="8" t="s">
        <v>3921</v>
      </c>
      <c r="H1962" s="8" t="s">
        <v>34</v>
      </c>
      <c r="I1962" s="4" t="s">
        <v>29</v>
      </c>
      <c r="J1962" s="4">
        <v>57</v>
      </c>
      <c r="K1962" s="4" t="s">
        <v>30</v>
      </c>
      <c r="L1962" s="8">
        <v>1</v>
      </c>
      <c r="M1962" s="9" t="s">
        <v>46</v>
      </c>
      <c r="N1962" s="9" t="str">
        <f t="shared" si="15"/>
        <v>Ortho</v>
      </c>
      <c r="O1962" s="10">
        <v>5741.63</v>
      </c>
      <c r="P1962" s="10">
        <v>3733.04</v>
      </c>
      <c r="Q1962" s="11">
        <v>7.3</v>
      </c>
      <c r="R1962" s="13" t="str">
        <f>IF(Patient_Data!$L1962&lt;2,"Low Risk",IF(Patient_Data!$L1962&lt;4,"Moderate Risk","High Risk"))</f>
        <v>Low Risk</v>
      </c>
      <c r="S1962" s="12" t="str">
        <f>IF(Patient_Data[[#This Row],[Age]]&lt;=18,"Pediatric",IF(Patient_Data[[#This Row],[Age]]&lt;=64,"Adult","Geriatric"))</f>
        <v>Adult</v>
      </c>
    </row>
    <row r="1963" spans="1:19" ht="15.75" customHeight="1" x14ac:dyDescent="0.3">
      <c r="A1963" s="4" t="s">
        <v>3922</v>
      </c>
      <c r="B1963" s="5" t="str">
        <f>TEXT(Patient_Data!$E1963,"mmmm")</f>
        <v>June</v>
      </c>
      <c r="C1963" s="6" t="str">
        <f t="shared" si="14"/>
        <v>Jun</v>
      </c>
      <c r="D1963" s="6">
        <f>MONTH(Patient_Data!$E1963)</f>
        <v>6</v>
      </c>
      <c r="E1963" s="7">
        <v>45460</v>
      </c>
      <c r="F1963" s="55" t="str">
        <f>TEXT(Patient_Data[[#This Row],[Admission_Date]],"YYYY")</f>
        <v>2024</v>
      </c>
      <c r="G1963" s="8" t="s">
        <v>3923</v>
      </c>
      <c r="H1963" s="8" t="s">
        <v>53</v>
      </c>
      <c r="I1963" s="4" t="s">
        <v>29</v>
      </c>
      <c r="J1963" s="4">
        <v>56</v>
      </c>
      <c r="K1963" s="4" t="s">
        <v>54</v>
      </c>
      <c r="L1963" s="8">
        <v>4</v>
      </c>
      <c r="M1963" s="9" t="s">
        <v>72</v>
      </c>
      <c r="N1963" s="9" t="str">
        <f t="shared" si="15"/>
        <v>Surgery</v>
      </c>
      <c r="O1963" s="10">
        <v>18877.87</v>
      </c>
      <c r="P1963" s="10">
        <v>12686.57</v>
      </c>
      <c r="Q1963" s="11">
        <v>4.8</v>
      </c>
      <c r="R1963" s="13" t="str">
        <f>IF(Patient_Data!$L1963&lt;2,"Low Risk",IF(Patient_Data!$L1963&lt;4,"Moderate Risk","High Risk"))</f>
        <v>High Risk</v>
      </c>
      <c r="S1963" s="12" t="str">
        <f>IF(Patient_Data[[#This Row],[Age]]&lt;=18,"Pediatric",IF(Patient_Data[[#This Row],[Age]]&lt;=64,"Adult","Geriatric"))</f>
        <v>Adult</v>
      </c>
    </row>
    <row r="1964" spans="1:19" ht="15.75" customHeight="1" x14ac:dyDescent="0.3">
      <c r="A1964" s="4" t="s">
        <v>3924</v>
      </c>
      <c r="B1964" s="5" t="str">
        <f>TEXT(Patient_Data!$E1964,"mmmm")</f>
        <v>June</v>
      </c>
      <c r="C1964" s="6" t="str">
        <f t="shared" si="14"/>
        <v>Jun</v>
      </c>
      <c r="D1964" s="6">
        <f>MONTH(Patient_Data!$E1964)</f>
        <v>6</v>
      </c>
      <c r="E1964" s="7">
        <v>45814</v>
      </c>
      <c r="F1964" s="55" t="str">
        <f>TEXT(Patient_Data[[#This Row],[Admission_Date]],"YYYY")</f>
        <v>2025</v>
      </c>
      <c r="G1964" s="8" t="s">
        <v>3925</v>
      </c>
      <c r="H1964" s="8" t="s">
        <v>34</v>
      </c>
      <c r="I1964" s="4" t="s">
        <v>29</v>
      </c>
      <c r="J1964" s="4">
        <v>65</v>
      </c>
      <c r="K1964" s="4" t="s">
        <v>30</v>
      </c>
      <c r="L1964" s="8">
        <v>1</v>
      </c>
      <c r="M1964" s="9" t="s">
        <v>46</v>
      </c>
      <c r="N1964" s="9" t="str">
        <f t="shared" si="15"/>
        <v>Ortho</v>
      </c>
      <c r="O1964" s="10">
        <v>6598.8</v>
      </c>
      <c r="P1964" s="10">
        <v>4647.16</v>
      </c>
      <c r="Q1964" s="11">
        <v>3.5</v>
      </c>
      <c r="R1964" s="13" t="str">
        <f>IF(Patient_Data!$L1964&lt;2,"Low Risk",IF(Patient_Data!$L1964&lt;4,"Moderate Risk","High Risk"))</f>
        <v>Low Risk</v>
      </c>
      <c r="S1964" s="12" t="str">
        <f>IF(Patient_Data[[#This Row],[Age]]&lt;=18,"Pediatric",IF(Patient_Data[[#This Row],[Age]]&lt;=64,"Adult","Geriatric"))</f>
        <v>Geriatric</v>
      </c>
    </row>
    <row r="1965" spans="1:19" ht="15.75" customHeight="1" x14ac:dyDescent="0.3">
      <c r="A1965" s="4" t="s">
        <v>3926</v>
      </c>
      <c r="B1965" s="5" t="str">
        <f>TEXT(Patient_Data!$E1965,"mmmm")</f>
        <v>December</v>
      </c>
      <c r="C1965" s="6" t="str">
        <f t="shared" si="14"/>
        <v>Dec</v>
      </c>
      <c r="D1965" s="6">
        <f>MONTH(Patient_Data!$E1965)</f>
        <v>12</v>
      </c>
      <c r="E1965" s="7">
        <v>45285</v>
      </c>
      <c r="F1965" s="55" t="str">
        <f>TEXT(Patient_Data[[#This Row],[Admission_Date]],"YYYY")</f>
        <v>2023</v>
      </c>
      <c r="G1965" s="8" t="s">
        <v>3927</v>
      </c>
      <c r="H1965" s="8" t="s">
        <v>49</v>
      </c>
      <c r="I1965" s="4" t="s">
        <v>35</v>
      </c>
      <c r="J1965" s="4">
        <v>77</v>
      </c>
      <c r="K1965" s="4" t="s">
        <v>30</v>
      </c>
      <c r="L1965" s="8">
        <v>3</v>
      </c>
      <c r="M1965" s="9" t="s">
        <v>72</v>
      </c>
      <c r="N1965" s="9" t="str">
        <f t="shared" si="15"/>
        <v>Surgery</v>
      </c>
      <c r="O1965" s="10">
        <v>16336.83</v>
      </c>
      <c r="P1965" s="10">
        <v>11994.69</v>
      </c>
      <c r="Q1965" s="11">
        <v>8.6</v>
      </c>
      <c r="R1965" s="13" t="str">
        <f>IF(Patient_Data!$L1965&lt;2,"Low Risk",IF(Patient_Data!$L1965&lt;4,"Moderate Risk","High Risk"))</f>
        <v>Moderate Risk</v>
      </c>
      <c r="S1965" s="12" t="str">
        <f>IF(Patient_Data[[#This Row],[Age]]&lt;=18,"Pediatric",IF(Patient_Data[[#This Row],[Age]]&lt;=64,"Adult","Geriatric"))</f>
        <v>Geriatric</v>
      </c>
    </row>
    <row r="1966" spans="1:19" ht="15.75" customHeight="1" x14ac:dyDescent="0.3">
      <c r="A1966" s="4" t="s">
        <v>3928</v>
      </c>
      <c r="B1966" s="5" t="str">
        <f>TEXT(Patient_Data!$E1966,"mmmm")</f>
        <v>September</v>
      </c>
      <c r="C1966" s="6" t="str">
        <f t="shared" si="14"/>
        <v>Sep</v>
      </c>
      <c r="D1966" s="6">
        <f>MONTH(Patient_Data!$E1966)</f>
        <v>9</v>
      </c>
      <c r="E1966" s="7">
        <v>45176</v>
      </c>
      <c r="F1966" s="55" t="str">
        <f>TEXT(Patient_Data[[#This Row],[Admission_Date]],"YYYY")</f>
        <v>2023</v>
      </c>
      <c r="G1966" s="8" t="s">
        <v>3929</v>
      </c>
      <c r="H1966" s="8" t="s">
        <v>49</v>
      </c>
      <c r="I1966" s="4" t="s">
        <v>35</v>
      </c>
      <c r="J1966" s="4">
        <v>94</v>
      </c>
      <c r="K1966" s="4" t="s">
        <v>30</v>
      </c>
      <c r="L1966" s="8">
        <v>1</v>
      </c>
      <c r="M1966" s="9" t="s">
        <v>46</v>
      </c>
      <c r="N1966" s="9" t="str">
        <f t="shared" si="15"/>
        <v>Ortho</v>
      </c>
      <c r="O1966" s="10">
        <v>8426.8700000000008</v>
      </c>
      <c r="P1966" s="10">
        <v>6462.82</v>
      </c>
      <c r="Q1966" s="11">
        <v>7.3</v>
      </c>
      <c r="R1966" s="13" t="str">
        <f>IF(Patient_Data!$L1966&lt;2,"Low Risk",IF(Patient_Data!$L1966&lt;4,"Moderate Risk","High Risk"))</f>
        <v>Low Risk</v>
      </c>
      <c r="S1966" s="12" t="str">
        <f>IF(Patient_Data[[#This Row],[Age]]&lt;=18,"Pediatric",IF(Patient_Data[[#This Row],[Age]]&lt;=64,"Adult","Geriatric"))</f>
        <v>Geriatric</v>
      </c>
    </row>
    <row r="1967" spans="1:19" ht="15.75" customHeight="1" x14ac:dyDescent="0.3">
      <c r="A1967" s="4" t="s">
        <v>3930</v>
      </c>
      <c r="B1967" s="5" t="str">
        <f>TEXT(Patient_Data!$E1967,"mmmm")</f>
        <v>March</v>
      </c>
      <c r="C1967" s="6" t="str">
        <f t="shared" si="14"/>
        <v>Mar</v>
      </c>
      <c r="D1967" s="6">
        <f>MONTH(Patient_Data!$E1967)</f>
        <v>3</v>
      </c>
      <c r="E1967" s="7">
        <v>46092</v>
      </c>
      <c r="F1967" s="55" t="str">
        <f>TEXT(Patient_Data[[#This Row],[Admission_Date]],"YYYY")</f>
        <v>2026</v>
      </c>
      <c r="G1967" s="8" t="s">
        <v>3931</v>
      </c>
      <c r="H1967" s="8" t="s">
        <v>98</v>
      </c>
      <c r="I1967" s="4" t="s">
        <v>29</v>
      </c>
      <c r="J1967" s="4">
        <v>68</v>
      </c>
      <c r="K1967" s="4" t="s">
        <v>30</v>
      </c>
      <c r="L1967" s="8">
        <v>2</v>
      </c>
      <c r="M1967" s="9" t="s">
        <v>39</v>
      </c>
      <c r="N1967" s="9" t="str">
        <f t="shared" si="15"/>
        <v>GM</v>
      </c>
      <c r="O1967" s="10">
        <v>4008.9</v>
      </c>
      <c r="P1967" s="10">
        <v>2388.36</v>
      </c>
      <c r="Q1967" s="11">
        <v>7.9</v>
      </c>
      <c r="R1967" s="13" t="str">
        <f>IF(Patient_Data!$L1967&lt;2,"Low Risk",IF(Patient_Data!$L1967&lt;4,"Moderate Risk","High Risk"))</f>
        <v>Moderate Risk</v>
      </c>
      <c r="S1967" s="12" t="str">
        <f>IF(Patient_Data[[#This Row],[Age]]&lt;=18,"Pediatric",IF(Patient_Data[[#This Row],[Age]]&lt;=64,"Adult","Geriatric"))</f>
        <v>Geriatric</v>
      </c>
    </row>
    <row r="1968" spans="1:19" ht="15.75" customHeight="1" x14ac:dyDescent="0.3">
      <c r="A1968" s="4" t="s">
        <v>3932</v>
      </c>
      <c r="B1968" s="5" t="str">
        <f>TEXT(Patient_Data!$E1968,"mmmm")</f>
        <v>March</v>
      </c>
      <c r="C1968" s="6" t="str">
        <f t="shared" si="14"/>
        <v>Mar</v>
      </c>
      <c r="D1968" s="6">
        <f>MONTH(Patient_Data!$E1968)</f>
        <v>3</v>
      </c>
      <c r="E1968" s="7">
        <v>45727</v>
      </c>
      <c r="F1968" s="55" t="str">
        <f>TEXT(Patient_Data[[#This Row],[Admission_Date]],"YYYY")</f>
        <v>2025</v>
      </c>
      <c r="G1968" s="8" t="s">
        <v>3933</v>
      </c>
      <c r="H1968" s="8" t="s">
        <v>42</v>
      </c>
      <c r="I1968" s="4" t="s">
        <v>35</v>
      </c>
      <c r="J1968" s="4">
        <v>83</v>
      </c>
      <c r="K1968" s="4" t="s">
        <v>45</v>
      </c>
      <c r="L1968" s="8">
        <v>5</v>
      </c>
      <c r="M1968" s="9" t="s">
        <v>72</v>
      </c>
      <c r="N1968" s="9" t="str">
        <f t="shared" si="15"/>
        <v>Surgery</v>
      </c>
      <c r="O1968" s="10">
        <v>19481.189999999999</v>
      </c>
      <c r="P1968" s="10">
        <v>11953.93</v>
      </c>
      <c r="Q1968" s="11">
        <v>8.8000000000000007</v>
      </c>
      <c r="R1968" s="13" t="str">
        <f>IF(Patient_Data!$L1968&lt;2,"Low Risk",IF(Patient_Data!$L1968&lt;4,"Moderate Risk","High Risk"))</f>
        <v>High Risk</v>
      </c>
      <c r="S1968" s="12" t="str">
        <f>IF(Patient_Data[[#This Row],[Age]]&lt;=18,"Pediatric",IF(Patient_Data[[#This Row],[Age]]&lt;=64,"Adult","Geriatric"))</f>
        <v>Geriatric</v>
      </c>
    </row>
    <row r="1969" spans="1:19" ht="15.75" customHeight="1" x14ac:dyDescent="0.3">
      <c r="A1969" s="4" t="s">
        <v>3934</v>
      </c>
      <c r="B1969" s="5" t="str">
        <f>TEXT(Patient_Data!$E1969,"mmmm")</f>
        <v>October</v>
      </c>
      <c r="C1969" s="6" t="str">
        <f t="shared" si="14"/>
        <v>Oct</v>
      </c>
      <c r="D1969" s="6">
        <f>MONTH(Patient_Data!$E1969)</f>
        <v>10</v>
      </c>
      <c r="E1969" s="7">
        <v>45595</v>
      </c>
      <c r="F1969" s="55" t="str">
        <f>TEXT(Patient_Data[[#This Row],[Admission_Date]],"YYYY")</f>
        <v>2024</v>
      </c>
      <c r="G1969" s="8" t="s">
        <v>3935</v>
      </c>
      <c r="H1969" s="8" t="s">
        <v>28</v>
      </c>
      <c r="I1969" s="4" t="s">
        <v>29</v>
      </c>
      <c r="J1969" s="4">
        <v>58</v>
      </c>
      <c r="K1969" s="4" t="s">
        <v>30</v>
      </c>
      <c r="L1969" s="8">
        <v>1</v>
      </c>
      <c r="M1969" s="9" t="s">
        <v>36</v>
      </c>
      <c r="N1969" s="9" t="str">
        <f t="shared" si="15"/>
        <v>Cardio</v>
      </c>
      <c r="O1969" s="10">
        <v>9184.81</v>
      </c>
      <c r="P1969" s="10">
        <v>5940.68</v>
      </c>
      <c r="Q1969" s="11">
        <v>7.8</v>
      </c>
      <c r="R1969" s="13" t="str">
        <f>IF(Patient_Data!$L1969&lt;2,"Low Risk",IF(Patient_Data!$L1969&lt;4,"Moderate Risk","High Risk"))</f>
        <v>Low Risk</v>
      </c>
      <c r="S1969" s="12" t="str">
        <f>IF(Patient_Data[[#This Row],[Age]]&lt;=18,"Pediatric",IF(Patient_Data[[#This Row],[Age]]&lt;=64,"Adult","Geriatric"))</f>
        <v>Adult</v>
      </c>
    </row>
    <row r="1970" spans="1:19" ht="15.75" customHeight="1" x14ac:dyDescent="0.3">
      <c r="A1970" s="4" t="s">
        <v>3936</v>
      </c>
      <c r="B1970" s="5" t="str">
        <f>TEXT(Patient_Data!$E1970,"mmmm")</f>
        <v>August</v>
      </c>
      <c r="C1970" s="6" t="str">
        <f t="shared" si="14"/>
        <v>Aug</v>
      </c>
      <c r="D1970" s="6">
        <f>MONTH(Patient_Data!$E1970)</f>
        <v>8</v>
      </c>
      <c r="E1970" s="7">
        <v>45512</v>
      </c>
      <c r="F1970" s="55" t="str">
        <f>TEXT(Patient_Data[[#This Row],[Admission_Date]],"YYYY")</f>
        <v>2024</v>
      </c>
      <c r="G1970" s="8" t="s">
        <v>3937</v>
      </c>
      <c r="H1970" s="8" t="s">
        <v>53</v>
      </c>
      <c r="I1970" s="4" t="s">
        <v>35</v>
      </c>
      <c r="J1970" s="4">
        <v>22</v>
      </c>
      <c r="K1970" s="4" t="s">
        <v>30</v>
      </c>
      <c r="L1970" s="8">
        <v>3</v>
      </c>
      <c r="M1970" s="9" t="s">
        <v>31</v>
      </c>
      <c r="N1970" s="9" t="str">
        <f t="shared" si="15"/>
        <v>Neuro</v>
      </c>
      <c r="O1970" s="10">
        <v>9305.81</v>
      </c>
      <c r="P1970" s="10">
        <v>6266.89</v>
      </c>
      <c r="Q1970" s="11">
        <v>4</v>
      </c>
      <c r="R1970" s="13" t="str">
        <f>IF(Patient_Data!$L1970&lt;2,"Low Risk",IF(Patient_Data!$L1970&lt;4,"Moderate Risk","High Risk"))</f>
        <v>Moderate Risk</v>
      </c>
      <c r="S1970" s="12" t="str">
        <f>IF(Patient_Data[[#This Row],[Age]]&lt;=18,"Pediatric",IF(Patient_Data[[#This Row],[Age]]&lt;=64,"Adult","Geriatric"))</f>
        <v>Adult</v>
      </c>
    </row>
    <row r="1971" spans="1:19" ht="15.75" customHeight="1" x14ac:dyDescent="0.3">
      <c r="A1971" s="4" t="s">
        <v>3938</v>
      </c>
      <c r="B1971" s="5" t="str">
        <f>TEXT(Patient_Data!$E1971,"mmmm")</f>
        <v>July</v>
      </c>
      <c r="C1971" s="6" t="str">
        <f t="shared" si="14"/>
        <v>Jul</v>
      </c>
      <c r="D1971" s="6">
        <f>MONTH(Patient_Data!$E1971)</f>
        <v>7</v>
      </c>
      <c r="E1971" s="7">
        <v>45491</v>
      </c>
      <c r="F1971" s="55" t="str">
        <f>TEXT(Patient_Data[[#This Row],[Admission_Date]],"YYYY")</f>
        <v>2024</v>
      </c>
      <c r="G1971" s="8" t="s">
        <v>3939</v>
      </c>
      <c r="H1971" s="8" t="s">
        <v>75</v>
      </c>
      <c r="I1971" s="4" t="s">
        <v>35</v>
      </c>
      <c r="J1971" s="4">
        <v>47</v>
      </c>
      <c r="K1971" s="4" t="s">
        <v>45</v>
      </c>
      <c r="L1971" s="8">
        <v>5</v>
      </c>
      <c r="M1971" s="9" t="s">
        <v>72</v>
      </c>
      <c r="N1971" s="9" t="str">
        <f t="shared" si="15"/>
        <v>Surgery</v>
      </c>
      <c r="O1971" s="10">
        <v>21843.98</v>
      </c>
      <c r="P1971" s="10">
        <v>15328.39</v>
      </c>
      <c r="Q1971" s="11">
        <v>4.7</v>
      </c>
      <c r="R1971" s="13" t="str">
        <f>IF(Patient_Data!$L1971&lt;2,"Low Risk",IF(Patient_Data!$L1971&lt;4,"Moderate Risk","High Risk"))</f>
        <v>High Risk</v>
      </c>
      <c r="S1971" s="12" t="str">
        <f>IF(Patient_Data[[#This Row],[Age]]&lt;=18,"Pediatric",IF(Patient_Data[[#This Row],[Age]]&lt;=64,"Adult","Geriatric"))</f>
        <v>Adult</v>
      </c>
    </row>
    <row r="1972" spans="1:19" ht="15.75" customHeight="1" x14ac:dyDescent="0.3">
      <c r="A1972" s="4" t="s">
        <v>3940</v>
      </c>
      <c r="B1972" s="5" t="str">
        <f>TEXT(Patient_Data!$E1972,"mmmm")</f>
        <v>May</v>
      </c>
      <c r="C1972" s="6" t="str">
        <f t="shared" si="14"/>
        <v>May</v>
      </c>
      <c r="D1972" s="6">
        <f>MONTH(Patient_Data!$E1972)</f>
        <v>5</v>
      </c>
      <c r="E1972" s="7">
        <v>46169</v>
      </c>
      <c r="F1972" s="55" t="str">
        <f>TEXT(Patient_Data[[#This Row],[Admission_Date]],"YYYY")</f>
        <v>2026</v>
      </c>
      <c r="G1972" s="8" t="s">
        <v>3941</v>
      </c>
      <c r="H1972" s="8" t="s">
        <v>98</v>
      </c>
      <c r="I1972" s="4" t="s">
        <v>35</v>
      </c>
      <c r="J1972" s="4">
        <v>23</v>
      </c>
      <c r="K1972" s="4" t="s">
        <v>54</v>
      </c>
      <c r="L1972" s="8">
        <v>4</v>
      </c>
      <c r="M1972" s="9" t="s">
        <v>36</v>
      </c>
      <c r="N1972" s="9" t="str">
        <f t="shared" si="15"/>
        <v>Cardio</v>
      </c>
      <c r="O1972" s="10">
        <v>10709.41</v>
      </c>
      <c r="P1972" s="10">
        <v>7817.87</v>
      </c>
      <c r="Q1972" s="11"/>
      <c r="R1972" s="13" t="str">
        <f>IF(Patient_Data!$L1972&lt;2,"Low Risk",IF(Patient_Data!$L1972&lt;4,"Moderate Risk","High Risk"))</f>
        <v>High Risk</v>
      </c>
      <c r="S1972" s="12" t="str">
        <f>IF(Patient_Data[[#This Row],[Age]]&lt;=18,"Pediatric",IF(Patient_Data[[#This Row],[Age]]&lt;=64,"Adult","Geriatric"))</f>
        <v>Adult</v>
      </c>
    </row>
    <row r="1973" spans="1:19" ht="15.75" customHeight="1" x14ac:dyDescent="0.3">
      <c r="A1973" s="4" t="s">
        <v>3942</v>
      </c>
      <c r="B1973" s="5" t="str">
        <f>TEXT(Patient_Data!$E1973,"mmmm")</f>
        <v>February</v>
      </c>
      <c r="C1973" s="6" t="str">
        <f t="shared" si="14"/>
        <v>Feb</v>
      </c>
      <c r="D1973" s="6">
        <f>MONTH(Patient_Data!$E1973)</f>
        <v>2</v>
      </c>
      <c r="E1973" s="7">
        <v>45347</v>
      </c>
      <c r="F1973" s="55" t="str">
        <f>TEXT(Patient_Data[[#This Row],[Admission_Date]],"YYYY")</f>
        <v>2024</v>
      </c>
      <c r="G1973" s="8" t="s">
        <v>3943</v>
      </c>
      <c r="H1973" s="8" t="s">
        <v>82</v>
      </c>
      <c r="I1973" s="4" t="s">
        <v>29</v>
      </c>
      <c r="J1973" s="4">
        <v>76</v>
      </c>
      <c r="K1973" s="4" t="s">
        <v>54</v>
      </c>
      <c r="L1973" s="8">
        <v>4</v>
      </c>
      <c r="M1973" s="9" t="s">
        <v>50</v>
      </c>
      <c r="N1973" s="9" t="str">
        <f t="shared" si="15"/>
        <v>ICU</v>
      </c>
      <c r="O1973" s="10">
        <v>18968.57</v>
      </c>
      <c r="P1973" s="10">
        <v>14495.31</v>
      </c>
      <c r="Q1973" s="11">
        <v>9.9</v>
      </c>
      <c r="R1973" s="13" t="str">
        <f>IF(Patient_Data!$L1973&lt;2,"Low Risk",IF(Patient_Data!$L1973&lt;4,"Moderate Risk","High Risk"))</f>
        <v>High Risk</v>
      </c>
      <c r="S1973" s="12" t="str">
        <f>IF(Patient_Data[[#This Row],[Age]]&lt;=18,"Pediatric",IF(Patient_Data[[#This Row],[Age]]&lt;=64,"Adult","Geriatric"))</f>
        <v>Geriatric</v>
      </c>
    </row>
    <row r="1974" spans="1:19" ht="15.75" customHeight="1" x14ac:dyDescent="0.3">
      <c r="A1974" s="4" t="s">
        <v>3944</v>
      </c>
      <c r="B1974" s="5" t="str">
        <f>TEXT(Patient_Data!$E1974,"mmmm")</f>
        <v>February</v>
      </c>
      <c r="C1974" s="6" t="str">
        <f t="shared" si="14"/>
        <v>Feb</v>
      </c>
      <c r="D1974" s="6">
        <f>MONTH(Patient_Data!$E1974)</f>
        <v>2</v>
      </c>
      <c r="E1974" s="7">
        <v>46055</v>
      </c>
      <c r="F1974" s="55" t="str">
        <f>TEXT(Patient_Data[[#This Row],[Admission_Date]],"YYYY")</f>
        <v>2026</v>
      </c>
      <c r="G1974" s="8" t="s">
        <v>3945</v>
      </c>
      <c r="H1974" s="8" t="s">
        <v>132</v>
      </c>
      <c r="I1974" s="4" t="s">
        <v>29</v>
      </c>
      <c r="J1974" s="4">
        <v>55</v>
      </c>
      <c r="K1974" s="4" t="s">
        <v>30</v>
      </c>
      <c r="L1974" s="8">
        <v>2</v>
      </c>
      <c r="M1974" s="9" t="s">
        <v>36</v>
      </c>
      <c r="N1974" s="9" t="str">
        <f t="shared" si="15"/>
        <v>Cardio</v>
      </c>
      <c r="O1974" s="10">
        <v>7825.28</v>
      </c>
      <c r="P1974" s="10">
        <v>4625.8599999999997</v>
      </c>
      <c r="Q1974" s="11">
        <v>10.9</v>
      </c>
      <c r="R1974" s="13" t="str">
        <f>IF(Patient_Data!$L1974&lt;2,"Low Risk",IF(Patient_Data!$L1974&lt;4,"Moderate Risk","High Risk"))</f>
        <v>Moderate Risk</v>
      </c>
      <c r="S1974" s="12" t="str">
        <f>IF(Patient_Data[[#This Row],[Age]]&lt;=18,"Pediatric",IF(Patient_Data[[#This Row],[Age]]&lt;=64,"Adult","Geriatric"))</f>
        <v>Adult</v>
      </c>
    </row>
    <row r="1975" spans="1:19" ht="15.75" customHeight="1" x14ac:dyDescent="0.3">
      <c r="A1975" s="4" t="s">
        <v>3946</v>
      </c>
      <c r="B1975" s="5" t="str">
        <f>TEXT(Patient_Data!$E1975,"mmmm")</f>
        <v>November</v>
      </c>
      <c r="C1975" s="6" t="str">
        <f t="shared" si="14"/>
        <v>Nov</v>
      </c>
      <c r="D1975" s="6">
        <f>MONTH(Patient_Data!$E1975)</f>
        <v>11</v>
      </c>
      <c r="E1975" s="7">
        <v>45244</v>
      </c>
      <c r="F1975" s="55" t="str">
        <f>TEXT(Patient_Data[[#This Row],[Admission_Date]],"YYYY")</f>
        <v>2023</v>
      </c>
      <c r="G1975" s="8" t="s">
        <v>3947</v>
      </c>
      <c r="H1975" s="8" t="s">
        <v>98</v>
      </c>
      <c r="I1975" s="4" t="s">
        <v>29</v>
      </c>
      <c r="J1975" s="4">
        <v>73</v>
      </c>
      <c r="K1975" s="4" t="s">
        <v>54</v>
      </c>
      <c r="L1975" s="8">
        <v>4</v>
      </c>
      <c r="M1975" s="9" t="s">
        <v>50</v>
      </c>
      <c r="N1975" s="9" t="str">
        <f t="shared" si="15"/>
        <v>ICU</v>
      </c>
      <c r="O1975" s="10">
        <v>16610.57</v>
      </c>
      <c r="P1975" s="10">
        <v>10231.65</v>
      </c>
      <c r="Q1975" s="11">
        <v>12.4</v>
      </c>
      <c r="R1975" s="13" t="str">
        <f>IF(Patient_Data!$L1975&lt;2,"Low Risk",IF(Patient_Data!$L1975&lt;4,"Moderate Risk","High Risk"))</f>
        <v>High Risk</v>
      </c>
      <c r="S1975" s="12" t="str">
        <f>IF(Patient_Data[[#This Row],[Age]]&lt;=18,"Pediatric",IF(Patient_Data[[#This Row],[Age]]&lt;=64,"Adult","Geriatric"))</f>
        <v>Geriatric</v>
      </c>
    </row>
    <row r="1976" spans="1:19" ht="15.75" customHeight="1" x14ac:dyDescent="0.3">
      <c r="A1976" s="4" t="s">
        <v>3948</v>
      </c>
      <c r="B1976" s="5" t="str">
        <f>TEXT(Patient_Data!$E1976,"mmmm")</f>
        <v>October</v>
      </c>
      <c r="C1976" s="6" t="str">
        <f t="shared" si="14"/>
        <v>Oct</v>
      </c>
      <c r="D1976" s="6">
        <f>MONTH(Patient_Data!$E1976)</f>
        <v>10</v>
      </c>
      <c r="E1976" s="7">
        <v>45575</v>
      </c>
      <c r="F1976" s="55" t="str">
        <f>TEXT(Patient_Data[[#This Row],[Admission_Date]],"YYYY")</f>
        <v>2024</v>
      </c>
      <c r="G1976" s="8" t="s">
        <v>3949</v>
      </c>
      <c r="H1976" s="8" t="s">
        <v>132</v>
      </c>
      <c r="I1976" s="4" t="s">
        <v>29</v>
      </c>
      <c r="J1976" s="4">
        <v>11</v>
      </c>
      <c r="K1976" s="4" t="s">
        <v>45</v>
      </c>
      <c r="L1976" s="8">
        <v>2</v>
      </c>
      <c r="M1976" s="9" t="s">
        <v>79</v>
      </c>
      <c r="N1976" s="9" t="str">
        <f t="shared" si="15"/>
        <v>PD</v>
      </c>
      <c r="O1976" s="10">
        <v>2722.32</v>
      </c>
      <c r="P1976" s="10">
        <v>1766.28</v>
      </c>
      <c r="Q1976" s="11">
        <v>3</v>
      </c>
      <c r="R1976" s="13" t="str">
        <f>IF(Patient_Data!$L1976&lt;2,"Low Risk",IF(Patient_Data!$L1976&lt;4,"Moderate Risk","High Risk"))</f>
        <v>Moderate Risk</v>
      </c>
      <c r="S1976" s="12" t="str">
        <f>IF(Patient_Data[[#This Row],[Age]]&lt;=18,"Pediatric",IF(Patient_Data[[#This Row],[Age]]&lt;=64,"Adult","Geriatric"))</f>
        <v>Pediatric</v>
      </c>
    </row>
    <row r="1977" spans="1:19" ht="15.75" customHeight="1" x14ac:dyDescent="0.3">
      <c r="A1977" s="4" t="s">
        <v>3950</v>
      </c>
      <c r="B1977" s="5" t="str">
        <f>TEXT(Patient_Data!$E1977,"mmmm")</f>
        <v>October</v>
      </c>
      <c r="C1977" s="6" t="str">
        <f t="shared" si="14"/>
        <v>Oct</v>
      </c>
      <c r="D1977" s="6">
        <f>MONTH(Patient_Data!$E1977)</f>
        <v>10</v>
      </c>
      <c r="E1977" s="7">
        <v>45931</v>
      </c>
      <c r="F1977" s="55" t="str">
        <f>TEXT(Patient_Data[[#This Row],[Admission_Date]],"YYYY")</f>
        <v>2025</v>
      </c>
      <c r="G1977" s="8" t="s">
        <v>3951</v>
      </c>
      <c r="H1977" s="8" t="s">
        <v>75</v>
      </c>
      <c r="I1977" s="4" t="s">
        <v>35</v>
      </c>
      <c r="J1977" s="4">
        <v>30</v>
      </c>
      <c r="K1977" s="4" t="s">
        <v>30</v>
      </c>
      <c r="L1977" s="8">
        <v>1</v>
      </c>
      <c r="M1977" s="9" t="s">
        <v>31</v>
      </c>
      <c r="N1977" s="9" t="str">
        <f t="shared" si="15"/>
        <v>Neuro</v>
      </c>
      <c r="O1977" s="10">
        <v>8415.1299999999992</v>
      </c>
      <c r="P1977" s="10">
        <v>5688.54</v>
      </c>
      <c r="Q1977" s="11">
        <v>6.3</v>
      </c>
      <c r="R1977" s="13" t="str">
        <f>IF(Patient_Data!$L1977&lt;2,"Low Risk",IF(Patient_Data!$L1977&lt;4,"Moderate Risk","High Risk"))</f>
        <v>Low Risk</v>
      </c>
      <c r="S1977" s="12" t="str">
        <f>IF(Patient_Data[[#This Row],[Age]]&lt;=18,"Pediatric",IF(Patient_Data[[#This Row],[Age]]&lt;=64,"Adult","Geriatric"))</f>
        <v>Adult</v>
      </c>
    </row>
    <row r="1978" spans="1:19" ht="15.75" customHeight="1" x14ac:dyDescent="0.3">
      <c r="A1978" s="4" t="s">
        <v>3952</v>
      </c>
      <c r="B1978" s="5" t="str">
        <f>TEXT(Patient_Data!$E1978,"mmmm")</f>
        <v>September</v>
      </c>
      <c r="C1978" s="6" t="str">
        <f t="shared" si="14"/>
        <v>Sep</v>
      </c>
      <c r="D1978" s="6">
        <f>MONTH(Patient_Data!$E1978)</f>
        <v>9</v>
      </c>
      <c r="E1978" s="7">
        <v>45195</v>
      </c>
      <c r="F1978" s="55" t="str">
        <f>TEXT(Patient_Data[[#This Row],[Admission_Date]],"YYYY")</f>
        <v>2023</v>
      </c>
      <c r="G1978" s="8" t="s">
        <v>3953</v>
      </c>
      <c r="H1978" s="8" t="s">
        <v>132</v>
      </c>
      <c r="I1978" s="4" t="s">
        <v>35</v>
      </c>
      <c r="J1978" s="4">
        <v>65</v>
      </c>
      <c r="K1978" s="4" t="s">
        <v>54</v>
      </c>
      <c r="L1978" s="8">
        <v>3</v>
      </c>
      <c r="M1978" s="9" t="s">
        <v>83</v>
      </c>
      <c r="N1978" s="9" t="str">
        <f t="shared" si="15"/>
        <v>ER</v>
      </c>
      <c r="O1978" s="10">
        <v>5187.45</v>
      </c>
      <c r="P1978" s="10">
        <v>3631.21</v>
      </c>
      <c r="Q1978" s="11"/>
      <c r="R1978" s="13" t="str">
        <f>IF(Patient_Data!$L1978&lt;2,"Low Risk",IF(Patient_Data!$L1978&lt;4,"Moderate Risk","High Risk"))</f>
        <v>Moderate Risk</v>
      </c>
      <c r="S1978" s="12" t="str">
        <f>IF(Patient_Data[[#This Row],[Age]]&lt;=18,"Pediatric",IF(Patient_Data[[#This Row],[Age]]&lt;=64,"Adult","Geriatric"))</f>
        <v>Geriatric</v>
      </c>
    </row>
    <row r="1979" spans="1:19" ht="15.75" customHeight="1" x14ac:dyDescent="0.3">
      <c r="A1979" s="4" t="s">
        <v>3954</v>
      </c>
      <c r="B1979" s="5" t="str">
        <f>TEXT(Patient_Data!$E1979,"mmmm")</f>
        <v>June</v>
      </c>
      <c r="C1979" s="6" t="str">
        <f t="shared" si="14"/>
        <v>Jun</v>
      </c>
      <c r="D1979" s="6">
        <f>MONTH(Patient_Data!$E1979)</f>
        <v>6</v>
      </c>
      <c r="E1979" s="7">
        <v>45826</v>
      </c>
      <c r="F1979" s="55" t="str">
        <f>TEXT(Patient_Data[[#This Row],[Admission_Date]],"YYYY")</f>
        <v>2025</v>
      </c>
      <c r="G1979" s="8" t="s">
        <v>3955</v>
      </c>
      <c r="H1979" s="8" t="s">
        <v>28</v>
      </c>
      <c r="I1979" s="4" t="s">
        <v>35</v>
      </c>
      <c r="J1979" s="4">
        <v>53</v>
      </c>
      <c r="K1979" s="4" t="s">
        <v>30</v>
      </c>
      <c r="L1979" s="8">
        <v>1</v>
      </c>
      <c r="M1979" s="9" t="s">
        <v>83</v>
      </c>
      <c r="N1979" s="9" t="str">
        <f t="shared" si="15"/>
        <v>ER</v>
      </c>
      <c r="O1979" s="10">
        <v>3252.33</v>
      </c>
      <c r="P1979" s="10">
        <v>2515.8000000000002</v>
      </c>
      <c r="Q1979" s="11">
        <v>17.7</v>
      </c>
      <c r="R1979" s="13" t="str">
        <f>IF(Patient_Data!$L1979&lt;2,"Low Risk",IF(Patient_Data!$L1979&lt;4,"Moderate Risk","High Risk"))</f>
        <v>Low Risk</v>
      </c>
      <c r="S1979" s="12" t="str">
        <f>IF(Patient_Data[[#This Row],[Age]]&lt;=18,"Pediatric",IF(Patient_Data[[#This Row],[Age]]&lt;=64,"Adult","Geriatric"))</f>
        <v>Adult</v>
      </c>
    </row>
    <row r="1980" spans="1:19" ht="15.75" customHeight="1" x14ac:dyDescent="0.3">
      <c r="A1980" s="4" t="s">
        <v>3956</v>
      </c>
      <c r="B1980" s="5" t="str">
        <f>TEXT(Patient_Data!$E1980,"mmmm")</f>
        <v>September</v>
      </c>
      <c r="C1980" s="6" t="str">
        <f t="shared" si="14"/>
        <v>Sep</v>
      </c>
      <c r="D1980" s="6">
        <f>MONTH(Patient_Data!$E1980)</f>
        <v>9</v>
      </c>
      <c r="E1980" s="7">
        <v>45557</v>
      </c>
      <c r="F1980" s="55" t="str">
        <f>TEXT(Patient_Data[[#This Row],[Admission_Date]],"YYYY")</f>
        <v>2024</v>
      </c>
      <c r="G1980" s="8" t="s">
        <v>3957</v>
      </c>
      <c r="H1980" s="8" t="s">
        <v>34</v>
      </c>
      <c r="I1980" s="4" t="s">
        <v>29</v>
      </c>
      <c r="J1980" s="4">
        <v>73</v>
      </c>
      <c r="K1980" s="4" t="s">
        <v>54</v>
      </c>
      <c r="L1980" s="8">
        <v>4</v>
      </c>
      <c r="M1980" s="9" t="s">
        <v>50</v>
      </c>
      <c r="N1980" s="9" t="str">
        <f t="shared" si="15"/>
        <v>ICU</v>
      </c>
      <c r="O1980" s="10">
        <v>19868.03</v>
      </c>
      <c r="P1980" s="10">
        <v>15209.3</v>
      </c>
      <c r="Q1980" s="11">
        <v>13.7</v>
      </c>
      <c r="R1980" s="13" t="str">
        <f>IF(Patient_Data!$L1980&lt;2,"Low Risk",IF(Patient_Data!$L1980&lt;4,"Moderate Risk","High Risk"))</f>
        <v>High Risk</v>
      </c>
      <c r="S1980" s="12" t="str">
        <f>IF(Patient_Data[[#This Row],[Age]]&lt;=18,"Pediatric",IF(Patient_Data[[#This Row],[Age]]&lt;=64,"Adult","Geriatric"))</f>
        <v>Geriatric</v>
      </c>
    </row>
    <row r="1981" spans="1:19" ht="15.75" customHeight="1" x14ac:dyDescent="0.3">
      <c r="A1981" s="4" t="s">
        <v>3958</v>
      </c>
      <c r="B1981" s="5" t="str">
        <f>TEXT(Patient_Data!$E1981,"mmmm")</f>
        <v>September</v>
      </c>
      <c r="C1981" s="6" t="str">
        <f t="shared" si="14"/>
        <v>Sep</v>
      </c>
      <c r="D1981" s="6">
        <f>MONTH(Patient_Data!$E1981)</f>
        <v>9</v>
      </c>
      <c r="E1981" s="7">
        <v>45175</v>
      </c>
      <c r="F1981" s="55" t="str">
        <f>TEXT(Patient_Data[[#This Row],[Admission_Date]],"YYYY")</f>
        <v>2023</v>
      </c>
      <c r="G1981" s="8" t="s">
        <v>3959</v>
      </c>
      <c r="H1981" s="8" t="s">
        <v>53</v>
      </c>
      <c r="I1981" s="4" t="s">
        <v>35</v>
      </c>
      <c r="J1981" s="4">
        <v>48</v>
      </c>
      <c r="K1981" s="4" t="s">
        <v>54</v>
      </c>
      <c r="L1981" s="8">
        <v>4</v>
      </c>
      <c r="M1981" s="9" t="s">
        <v>72</v>
      </c>
      <c r="N1981" s="9" t="str">
        <f t="shared" si="15"/>
        <v>Surgery</v>
      </c>
      <c r="O1981" s="10">
        <v>22962.04</v>
      </c>
      <c r="P1981" s="10">
        <v>13409.98</v>
      </c>
      <c r="Q1981" s="11">
        <v>11.5</v>
      </c>
      <c r="R1981" s="13" t="str">
        <f>IF(Patient_Data!$L1981&lt;2,"Low Risk",IF(Patient_Data!$L1981&lt;4,"Moderate Risk","High Risk"))</f>
        <v>High Risk</v>
      </c>
      <c r="S1981" s="12" t="str">
        <f>IF(Patient_Data[[#This Row],[Age]]&lt;=18,"Pediatric",IF(Patient_Data[[#This Row],[Age]]&lt;=64,"Adult","Geriatric"))</f>
        <v>Adult</v>
      </c>
    </row>
    <row r="1982" spans="1:19" ht="15.75" customHeight="1" x14ac:dyDescent="0.3">
      <c r="A1982" s="4" t="s">
        <v>3960</v>
      </c>
      <c r="B1982" s="5" t="str">
        <f>TEXT(Patient_Data!$E1982,"mmmm")</f>
        <v>March</v>
      </c>
      <c r="C1982" s="6" t="str">
        <f t="shared" si="14"/>
        <v>Mar</v>
      </c>
      <c r="D1982" s="6">
        <f>MONTH(Patient_Data!$E1982)</f>
        <v>3</v>
      </c>
      <c r="E1982" s="7">
        <v>45377</v>
      </c>
      <c r="F1982" s="55" t="str">
        <f>TEXT(Patient_Data[[#This Row],[Admission_Date]],"YYYY")</f>
        <v>2024</v>
      </c>
      <c r="G1982" s="8" t="s">
        <v>3961</v>
      </c>
      <c r="H1982" s="8" t="s">
        <v>49</v>
      </c>
      <c r="I1982" s="4" t="s">
        <v>35</v>
      </c>
      <c r="J1982" s="4">
        <v>83</v>
      </c>
      <c r="K1982" s="4" t="s">
        <v>30</v>
      </c>
      <c r="L1982" s="8">
        <v>3</v>
      </c>
      <c r="M1982" s="9" t="s">
        <v>83</v>
      </c>
      <c r="N1982" s="9" t="str">
        <f t="shared" si="15"/>
        <v>ER</v>
      </c>
      <c r="O1982" s="10">
        <v>10781.1</v>
      </c>
      <c r="P1982" s="10">
        <v>6752.47</v>
      </c>
      <c r="Q1982" s="11">
        <v>22</v>
      </c>
      <c r="R1982" s="13" t="str">
        <f>IF(Patient_Data!$L1982&lt;2,"Low Risk",IF(Patient_Data!$L1982&lt;4,"Moderate Risk","High Risk"))</f>
        <v>Moderate Risk</v>
      </c>
      <c r="S1982" s="12" t="str">
        <f>IF(Patient_Data[[#This Row],[Age]]&lt;=18,"Pediatric",IF(Patient_Data[[#This Row],[Age]]&lt;=64,"Adult","Geriatric"))</f>
        <v>Geriatric</v>
      </c>
    </row>
    <row r="1983" spans="1:19" ht="15.75" customHeight="1" x14ac:dyDescent="0.3">
      <c r="A1983" s="4" t="s">
        <v>3962</v>
      </c>
      <c r="B1983" s="5" t="str">
        <f>TEXT(Patient_Data!$E1983,"mmmm")</f>
        <v>October</v>
      </c>
      <c r="C1983" s="6" t="str">
        <f t="shared" si="14"/>
        <v>Oct</v>
      </c>
      <c r="D1983" s="6">
        <f>MONTH(Patient_Data!$E1983)</f>
        <v>10</v>
      </c>
      <c r="E1983" s="7">
        <v>45952</v>
      </c>
      <c r="F1983" s="55" t="str">
        <f>TEXT(Patient_Data[[#This Row],[Admission_Date]],"YYYY")</f>
        <v>2025</v>
      </c>
      <c r="G1983" s="8" t="s">
        <v>3963</v>
      </c>
      <c r="H1983" s="8" t="s">
        <v>34</v>
      </c>
      <c r="I1983" s="4" t="s">
        <v>29</v>
      </c>
      <c r="J1983" s="4">
        <v>76</v>
      </c>
      <c r="K1983" s="4" t="s">
        <v>54</v>
      </c>
      <c r="L1983" s="8">
        <v>5</v>
      </c>
      <c r="M1983" s="9" t="s">
        <v>50</v>
      </c>
      <c r="N1983" s="9" t="str">
        <f t="shared" si="15"/>
        <v>ICU</v>
      </c>
      <c r="O1983" s="10">
        <v>15226.9</v>
      </c>
      <c r="P1983" s="10">
        <v>9845.2199999999993</v>
      </c>
      <c r="Q1983" s="11">
        <v>12.5</v>
      </c>
      <c r="R1983" s="13" t="str">
        <f>IF(Patient_Data!$L1983&lt;2,"Low Risk",IF(Patient_Data!$L1983&lt;4,"Moderate Risk","High Risk"))</f>
        <v>High Risk</v>
      </c>
      <c r="S1983" s="12" t="str">
        <f>IF(Patient_Data[[#This Row],[Age]]&lt;=18,"Pediatric",IF(Patient_Data[[#This Row],[Age]]&lt;=64,"Adult","Geriatric"))</f>
        <v>Geriatric</v>
      </c>
    </row>
    <row r="1984" spans="1:19" ht="15.75" customHeight="1" x14ac:dyDescent="0.3">
      <c r="A1984" s="4" t="s">
        <v>3964</v>
      </c>
      <c r="B1984" s="5" t="str">
        <f>TEXT(Patient_Data!$E1984,"mmmm")</f>
        <v>June</v>
      </c>
      <c r="C1984" s="6" t="str">
        <f t="shared" si="14"/>
        <v>Jun</v>
      </c>
      <c r="D1984" s="6">
        <f>MONTH(Patient_Data!$E1984)</f>
        <v>6</v>
      </c>
      <c r="E1984" s="7">
        <v>46197</v>
      </c>
      <c r="F1984" s="55" t="str">
        <f>TEXT(Patient_Data[[#This Row],[Admission_Date]],"YYYY")</f>
        <v>2026</v>
      </c>
      <c r="G1984" s="8" t="s">
        <v>3965</v>
      </c>
      <c r="H1984" s="8" t="s">
        <v>28</v>
      </c>
      <c r="I1984" s="4" t="s">
        <v>35</v>
      </c>
      <c r="J1984" s="4">
        <v>42</v>
      </c>
      <c r="K1984" s="4" t="s">
        <v>30</v>
      </c>
      <c r="L1984" s="8">
        <v>1</v>
      </c>
      <c r="M1984" s="9" t="s">
        <v>83</v>
      </c>
      <c r="N1984" s="9" t="str">
        <f t="shared" si="15"/>
        <v>ER</v>
      </c>
      <c r="O1984" s="10">
        <v>6266.91</v>
      </c>
      <c r="P1984" s="10">
        <v>4385.2299999999996</v>
      </c>
      <c r="Q1984" s="11">
        <v>23.3</v>
      </c>
      <c r="R1984" s="13" t="str">
        <f>IF(Patient_Data!$L1984&lt;2,"Low Risk",IF(Patient_Data!$L1984&lt;4,"Moderate Risk","High Risk"))</f>
        <v>Low Risk</v>
      </c>
      <c r="S1984" s="12" t="str">
        <f>IF(Patient_Data[[#This Row],[Age]]&lt;=18,"Pediatric",IF(Patient_Data[[#This Row],[Age]]&lt;=64,"Adult","Geriatric"))</f>
        <v>Adult</v>
      </c>
    </row>
    <row r="1985" spans="1:19" ht="15.75" customHeight="1" x14ac:dyDescent="0.3">
      <c r="A1985" s="4" t="s">
        <v>3966</v>
      </c>
      <c r="B1985" s="5" t="str">
        <f>TEXT(Patient_Data!$E1985,"mmmm")</f>
        <v>May</v>
      </c>
      <c r="C1985" s="6" t="str">
        <f t="shared" si="14"/>
        <v>May</v>
      </c>
      <c r="D1985" s="6">
        <f>MONTH(Patient_Data!$E1985)</f>
        <v>5</v>
      </c>
      <c r="E1985" s="7">
        <v>45793</v>
      </c>
      <c r="F1985" s="55" t="str">
        <f>TEXT(Patient_Data[[#This Row],[Admission_Date]],"YYYY")</f>
        <v>2025</v>
      </c>
      <c r="G1985" s="8" t="s">
        <v>3967</v>
      </c>
      <c r="H1985" s="8" t="s">
        <v>49</v>
      </c>
      <c r="I1985" s="4" t="s">
        <v>29</v>
      </c>
      <c r="J1985" s="4">
        <v>64</v>
      </c>
      <c r="K1985" s="4" t="s">
        <v>45</v>
      </c>
      <c r="L1985" s="8">
        <v>3</v>
      </c>
      <c r="M1985" s="9" t="s">
        <v>50</v>
      </c>
      <c r="N1985" s="9" t="str">
        <f t="shared" si="15"/>
        <v>ICU</v>
      </c>
      <c r="O1985" s="10">
        <v>18469.990000000002</v>
      </c>
      <c r="P1985" s="10">
        <v>13012.19</v>
      </c>
      <c r="Q1985" s="11">
        <v>10.4</v>
      </c>
      <c r="R1985" s="13" t="str">
        <f>IF(Patient_Data!$L1985&lt;2,"Low Risk",IF(Patient_Data!$L1985&lt;4,"Moderate Risk","High Risk"))</f>
        <v>Moderate Risk</v>
      </c>
      <c r="S1985" s="12" t="str">
        <f>IF(Patient_Data[[#This Row],[Age]]&lt;=18,"Pediatric",IF(Patient_Data[[#This Row],[Age]]&lt;=64,"Adult","Geriatric"))</f>
        <v>Adult</v>
      </c>
    </row>
    <row r="1986" spans="1:19" ht="15.75" customHeight="1" x14ac:dyDescent="0.3">
      <c r="A1986" s="4" t="s">
        <v>3968</v>
      </c>
      <c r="B1986" s="5" t="str">
        <f>TEXT(Patient_Data!$E1986,"mmmm")</f>
        <v>August</v>
      </c>
      <c r="C1986" s="6" t="str">
        <f t="shared" si="14"/>
        <v>Aug</v>
      </c>
      <c r="D1986" s="6">
        <f>MONTH(Patient_Data!$E1986)</f>
        <v>8</v>
      </c>
      <c r="E1986" s="7">
        <v>45509</v>
      </c>
      <c r="F1986" s="55" t="str">
        <f>TEXT(Patient_Data[[#This Row],[Admission_Date]],"YYYY")</f>
        <v>2024</v>
      </c>
      <c r="G1986" s="8" t="s">
        <v>3969</v>
      </c>
      <c r="H1986" s="8" t="s">
        <v>28</v>
      </c>
      <c r="I1986" s="4" t="s">
        <v>29</v>
      </c>
      <c r="J1986" s="4">
        <v>34</v>
      </c>
      <c r="K1986" s="4" t="s">
        <v>30</v>
      </c>
      <c r="L1986" s="8">
        <v>3</v>
      </c>
      <c r="M1986" s="9" t="s">
        <v>83</v>
      </c>
      <c r="N1986" s="9" t="str">
        <f t="shared" si="15"/>
        <v>ER</v>
      </c>
      <c r="O1986" s="10">
        <v>10460.11</v>
      </c>
      <c r="P1986" s="10">
        <v>7760.68</v>
      </c>
      <c r="Q1986" s="11">
        <v>15.6</v>
      </c>
      <c r="R1986" s="13" t="str">
        <f>IF(Patient_Data!$L1986&lt;2,"Low Risk",IF(Patient_Data!$L1986&lt;4,"Moderate Risk","High Risk"))</f>
        <v>Moderate Risk</v>
      </c>
      <c r="S1986" s="12" t="str">
        <f>IF(Patient_Data[[#This Row],[Age]]&lt;=18,"Pediatric",IF(Patient_Data[[#This Row],[Age]]&lt;=64,"Adult","Geriatric"))</f>
        <v>Adult</v>
      </c>
    </row>
    <row r="1987" spans="1:19" ht="15.75" customHeight="1" x14ac:dyDescent="0.3">
      <c r="A1987" s="4" t="s">
        <v>3970</v>
      </c>
      <c r="B1987" s="5" t="str">
        <f>TEXT(Patient_Data!$E1987,"mmmm")</f>
        <v>January</v>
      </c>
      <c r="C1987" s="6" t="str">
        <f t="shared" si="14"/>
        <v>Jan</v>
      </c>
      <c r="D1987" s="6">
        <f>MONTH(Patient_Data!$E1987)</f>
        <v>1</v>
      </c>
      <c r="E1987" s="7">
        <v>45300</v>
      </c>
      <c r="F1987" s="55" t="str">
        <f>TEXT(Patient_Data[[#This Row],[Admission_Date]],"YYYY")</f>
        <v>2024</v>
      </c>
      <c r="G1987" s="8" t="s">
        <v>3971</v>
      </c>
      <c r="H1987" s="8" t="s">
        <v>28</v>
      </c>
      <c r="I1987" s="4" t="s">
        <v>35</v>
      </c>
      <c r="J1987" s="4">
        <v>39</v>
      </c>
      <c r="K1987" s="4" t="s">
        <v>30</v>
      </c>
      <c r="L1987" s="8">
        <v>1</v>
      </c>
      <c r="M1987" s="9" t="s">
        <v>39</v>
      </c>
      <c r="N1987" s="9" t="str">
        <f t="shared" si="15"/>
        <v>GM</v>
      </c>
      <c r="O1987" s="10">
        <v>1443.15</v>
      </c>
      <c r="P1987" s="10">
        <v>1137.5899999999999</v>
      </c>
      <c r="Q1987" s="11">
        <v>5.0999999999999996</v>
      </c>
      <c r="R1987" s="13" t="str">
        <f>IF(Patient_Data!$L1987&lt;2,"Low Risk",IF(Patient_Data!$L1987&lt;4,"Moderate Risk","High Risk"))</f>
        <v>Low Risk</v>
      </c>
      <c r="S1987" s="12" t="str">
        <f>IF(Patient_Data[[#This Row],[Age]]&lt;=18,"Pediatric",IF(Patient_Data[[#This Row],[Age]]&lt;=64,"Adult","Geriatric"))</f>
        <v>Adult</v>
      </c>
    </row>
    <row r="1988" spans="1:19" ht="15.75" customHeight="1" x14ac:dyDescent="0.3">
      <c r="A1988" s="4" t="s">
        <v>3972</v>
      </c>
      <c r="B1988" s="5" t="str">
        <f>TEXT(Patient_Data!$E1988,"mmmm")</f>
        <v>November</v>
      </c>
      <c r="C1988" s="6" t="str">
        <f t="shared" si="14"/>
        <v>Nov</v>
      </c>
      <c r="D1988" s="6">
        <f>MONTH(Patient_Data!$E1988)</f>
        <v>11</v>
      </c>
      <c r="E1988" s="7">
        <v>45260</v>
      </c>
      <c r="F1988" s="55" t="str">
        <f>TEXT(Patient_Data[[#This Row],[Admission_Date]],"YYYY")</f>
        <v>2023</v>
      </c>
      <c r="G1988" s="8" t="s">
        <v>3973</v>
      </c>
      <c r="H1988" s="8" t="s">
        <v>34</v>
      </c>
      <c r="I1988" s="4" t="s">
        <v>29</v>
      </c>
      <c r="J1988" s="4">
        <v>60</v>
      </c>
      <c r="K1988" s="4" t="s">
        <v>30</v>
      </c>
      <c r="L1988" s="8">
        <v>2</v>
      </c>
      <c r="M1988" s="9" t="s">
        <v>36</v>
      </c>
      <c r="N1988" s="9" t="str">
        <f t="shared" si="15"/>
        <v>Cardio</v>
      </c>
      <c r="O1988" s="10">
        <v>6220</v>
      </c>
      <c r="P1988" s="10">
        <v>3652.4</v>
      </c>
      <c r="Q1988" s="11">
        <v>5.6</v>
      </c>
      <c r="R1988" s="13" t="str">
        <f>IF(Patient_Data!$L1988&lt;2,"Low Risk",IF(Patient_Data!$L1988&lt;4,"Moderate Risk","High Risk"))</f>
        <v>Moderate Risk</v>
      </c>
      <c r="S1988" s="12" t="str">
        <f>IF(Patient_Data[[#This Row],[Age]]&lt;=18,"Pediatric",IF(Patient_Data[[#This Row],[Age]]&lt;=64,"Adult","Geriatric"))</f>
        <v>Adult</v>
      </c>
    </row>
    <row r="1989" spans="1:19" ht="15.75" customHeight="1" x14ac:dyDescent="0.3">
      <c r="A1989" s="4" t="s">
        <v>3974</v>
      </c>
      <c r="B1989" s="5" t="str">
        <f>TEXT(Patient_Data!$E1989,"mmmm")</f>
        <v>April</v>
      </c>
      <c r="C1989" s="6" t="str">
        <f t="shared" si="14"/>
        <v>Apr</v>
      </c>
      <c r="D1989" s="6">
        <f>MONTH(Patient_Data!$E1989)</f>
        <v>4</v>
      </c>
      <c r="E1989" s="7">
        <v>45777</v>
      </c>
      <c r="F1989" s="55" t="str">
        <f>TEXT(Patient_Data[[#This Row],[Admission_Date]],"YYYY")</f>
        <v>2025</v>
      </c>
      <c r="G1989" s="8" t="s">
        <v>3975</v>
      </c>
      <c r="H1989" s="8" t="s">
        <v>28</v>
      </c>
      <c r="I1989" s="4" t="s">
        <v>35</v>
      </c>
      <c r="J1989" s="4">
        <v>77</v>
      </c>
      <c r="K1989" s="4" t="s">
        <v>54</v>
      </c>
      <c r="L1989" s="8">
        <v>4</v>
      </c>
      <c r="M1989" s="9" t="s">
        <v>50</v>
      </c>
      <c r="N1989" s="9" t="str">
        <f t="shared" si="15"/>
        <v>ICU</v>
      </c>
      <c r="O1989" s="10">
        <v>21382.91</v>
      </c>
      <c r="P1989" s="10">
        <v>13185.98</v>
      </c>
      <c r="Q1989" s="11">
        <v>17.8</v>
      </c>
      <c r="R1989" s="13" t="str">
        <f>IF(Patient_Data!$L1989&lt;2,"Low Risk",IF(Patient_Data!$L1989&lt;4,"Moderate Risk","High Risk"))</f>
        <v>High Risk</v>
      </c>
      <c r="S1989" s="12" t="str">
        <f>IF(Patient_Data[[#This Row],[Age]]&lt;=18,"Pediatric",IF(Patient_Data[[#This Row],[Age]]&lt;=64,"Adult","Geriatric"))</f>
        <v>Geriatric</v>
      </c>
    </row>
    <row r="1990" spans="1:19" ht="15.75" customHeight="1" x14ac:dyDescent="0.3">
      <c r="A1990" s="4" t="s">
        <v>3976</v>
      </c>
      <c r="B1990" s="5" t="str">
        <f>TEXT(Patient_Data!$E1990,"mmmm")</f>
        <v>April</v>
      </c>
      <c r="C1990" s="6" t="str">
        <f t="shared" si="14"/>
        <v>Apr</v>
      </c>
      <c r="D1990" s="6">
        <f>MONTH(Patient_Data!$E1990)</f>
        <v>4</v>
      </c>
      <c r="E1990" s="7">
        <v>45762</v>
      </c>
      <c r="F1990" s="55" t="str">
        <f>TEXT(Patient_Data[[#This Row],[Admission_Date]],"YYYY")</f>
        <v>2025</v>
      </c>
      <c r="G1990" s="8" t="s">
        <v>279</v>
      </c>
      <c r="H1990" s="8" t="s">
        <v>132</v>
      </c>
      <c r="I1990" s="4" t="s">
        <v>29</v>
      </c>
      <c r="J1990" s="4">
        <v>59</v>
      </c>
      <c r="K1990" s="4" t="s">
        <v>30</v>
      </c>
      <c r="L1990" s="8">
        <v>5</v>
      </c>
      <c r="M1990" s="9" t="s">
        <v>50</v>
      </c>
      <c r="N1990" s="9" t="str">
        <f t="shared" si="15"/>
        <v>ICU</v>
      </c>
      <c r="O1990" s="10">
        <v>14486.43</v>
      </c>
      <c r="P1990" s="10">
        <v>9408.92</v>
      </c>
      <c r="Q1990" s="11">
        <v>17.2</v>
      </c>
      <c r="R1990" s="13" t="str">
        <f>IF(Patient_Data!$L1990&lt;2,"Low Risk",IF(Patient_Data!$L1990&lt;4,"Moderate Risk","High Risk"))</f>
        <v>High Risk</v>
      </c>
      <c r="S1990" s="12" t="str">
        <f>IF(Patient_Data[[#This Row],[Age]]&lt;=18,"Pediatric",IF(Patient_Data[[#This Row],[Age]]&lt;=64,"Adult","Geriatric"))</f>
        <v>Adult</v>
      </c>
    </row>
    <row r="1991" spans="1:19" ht="15.75" customHeight="1" x14ac:dyDescent="0.3">
      <c r="A1991" s="4" t="s">
        <v>3977</v>
      </c>
      <c r="B1991" s="5" t="str">
        <f>TEXT(Patient_Data!$E1991,"mmmm")</f>
        <v>March</v>
      </c>
      <c r="C1991" s="6" t="str">
        <f t="shared" si="14"/>
        <v>Mar</v>
      </c>
      <c r="D1991" s="6">
        <f>MONTH(Patient_Data!$E1991)</f>
        <v>3</v>
      </c>
      <c r="E1991" s="7">
        <v>46100</v>
      </c>
      <c r="F1991" s="55" t="str">
        <f>TEXT(Patient_Data[[#This Row],[Admission_Date]],"YYYY")</f>
        <v>2026</v>
      </c>
      <c r="G1991" s="8" t="s">
        <v>3978</v>
      </c>
      <c r="H1991" s="8" t="s">
        <v>49</v>
      </c>
      <c r="I1991" s="4" t="s">
        <v>35</v>
      </c>
      <c r="J1991" s="4">
        <v>80</v>
      </c>
      <c r="K1991" s="4" t="s">
        <v>30</v>
      </c>
      <c r="L1991" s="8">
        <v>2</v>
      </c>
      <c r="M1991" s="9" t="s">
        <v>46</v>
      </c>
      <c r="N1991" s="9" t="str">
        <f t="shared" si="15"/>
        <v>Ortho</v>
      </c>
      <c r="O1991" s="10">
        <v>5906.61</v>
      </c>
      <c r="P1991" s="10">
        <v>4000.63</v>
      </c>
      <c r="Q1991" s="11">
        <v>5.4</v>
      </c>
      <c r="R1991" s="13" t="str">
        <f>IF(Patient_Data!$L1991&lt;2,"Low Risk",IF(Patient_Data!$L1991&lt;4,"Moderate Risk","High Risk"))</f>
        <v>Moderate Risk</v>
      </c>
      <c r="S1991" s="12" t="str">
        <f>IF(Patient_Data[[#This Row],[Age]]&lt;=18,"Pediatric",IF(Patient_Data[[#This Row],[Age]]&lt;=64,"Adult","Geriatric"))</f>
        <v>Geriatric</v>
      </c>
    </row>
    <row r="1992" spans="1:19" ht="15.75" customHeight="1" x14ac:dyDescent="0.3">
      <c r="A1992" s="4" t="s">
        <v>3979</v>
      </c>
      <c r="B1992" s="5" t="str">
        <f>TEXT(Patient_Data!$E1992,"mmmm")</f>
        <v>May</v>
      </c>
      <c r="C1992" s="6" t="str">
        <f t="shared" si="14"/>
        <v>May</v>
      </c>
      <c r="D1992" s="6">
        <f>MONTH(Patient_Data!$E1992)</f>
        <v>5</v>
      </c>
      <c r="E1992" s="7">
        <v>45441</v>
      </c>
      <c r="F1992" s="55" t="str">
        <f>TEXT(Patient_Data[[#This Row],[Admission_Date]],"YYYY")</f>
        <v>2024</v>
      </c>
      <c r="G1992" s="8" t="s">
        <v>3980</v>
      </c>
      <c r="H1992" s="8" t="s">
        <v>28</v>
      </c>
      <c r="I1992" s="4" t="s">
        <v>35</v>
      </c>
      <c r="J1992" s="4">
        <v>78</v>
      </c>
      <c r="K1992" s="4" t="s">
        <v>54</v>
      </c>
      <c r="L1992" s="8">
        <v>5</v>
      </c>
      <c r="M1992" s="9" t="s">
        <v>46</v>
      </c>
      <c r="N1992" s="9" t="str">
        <f t="shared" si="15"/>
        <v>Ortho</v>
      </c>
      <c r="O1992" s="10">
        <v>6267.11</v>
      </c>
      <c r="P1992" s="10">
        <v>4417.38</v>
      </c>
      <c r="Q1992" s="11">
        <v>3.8</v>
      </c>
      <c r="R1992" s="13" t="str">
        <f>IF(Patient_Data!$L1992&lt;2,"Low Risk",IF(Patient_Data!$L1992&lt;4,"Moderate Risk","High Risk"))</f>
        <v>High Risk</v>
      </c>
      <c r="S1992" s="12" t="str">
        <f>IF(Patient_Data[[#This Row],[Age]]&lt;=18,"Pediatric",IF(Patient_Data[[#This Row],[Age]]&lt;=64,"Adult","Geriatric"))</f>
        <v>Geriatric</v>
      </c>
    </row>
    <row r="1993" spans="1:19" ht="15.75" customHeight="1" x14ac:dyDescent="0.3">
      <c r="A1993" s="4" t="s">
        <v>3981</v>
      </c>
      <c r="B1993" s="5" t="str">
        <f>TEXT(Patient_Data!$E1993,"mmmm")</f>
        <v>July</v>
      </c>
      <c r="C1993" s="6" t="str">
        <f t="shared" si="14"/>
        <v>Jul</v>
      </c>
      <c r="D1993" s="6">
        <f>MONTH(Patient_Data!$E1993)</f>
        <v>7</v>
      </c>
      <c r="E1993" s="7">
        <v>45868</v>
      </c>
      <c r="F1993" s="55" t="str">
        <f>TEXT(Patient_Data[[#This Row],[Admission_Date]],"YYYY")</f>
        <v>2025</v>
      </c>
      <c r="G1993" s="8" t="s">
        <v>3982</v>
      </c>
      <c r="H1993" s="8" t="s">
        <v>28</v>
      </c>
      <c r="I1993" s="4" t="s">
        <v>29</v>
      </c>
      <c r="J1993" s="4">
        <v>49</v>
      </c>
      <c r="K1993" s="4" t="s">
        <v>54</v>
      </c>
      <c r="L1993" s="8">
        <v>3</v>
      </c>
      <c r="M1993" s="9" t="s">
        <v>46</v>
      </c>
      <c r="N1993" s="9" t="str">
        <f t="shared" si="15"/>
        <v>Ortho</v>
      </c>
      <c r="O1993" s="10">
        <v>9130.19</v>
      </c>
      <c r="P1993" s="10">
        <v>6758.64</v>
      </c>
      <c r="Q1993" s="11">
        <v>11.7</v>
      </c>
      <c r="R1993" s="13" t="str">
        <f>IF(Patient_Data!$L1993&lt;2,"Low Risk",IF(Patient_Data!$L1993&lt;4,"Moderate Risk","High Risk"))</f>
        <v>Moderate Risk</v>
      </c>
      <c r="S1993" s="12" t="str">
        <f>IF(Patient_Data[[#This Row],[Age]]&lt;=18,"Pediatric",IF(Patient_Data[[#This Row],[Age]]&lt;=64,"Adult","Geriatric"))</f>
        <v>Adult</v>
      </c>
    </row>
    <row r="1994" spans="1:19" ht="15.75" customHeight="1" x14ac:dyDescent="0.3">
      <c r="A1994" s="4" t="s">
        <v>3983</v>
      </c>
      <c r="B1994" s="5" t="str">
        <f>TEXT(Patient_Data!$E1994,"mmmm")</f>
        <v>May</v>
      </c>
      <c r="C1994" s="6" t="str">
        <f t="shared" si="14"/>
        <v>May</v>
      </c>
      <c r="D1994" s="6">
        <f>MONTH(Patient_Data!$E1994)</f>
        <v>5</v>
      </c>
      <c r="E1994" s="7">
        <v>46170</v>
      </c>
      <c r="F1994" s="55" t="str">
        <f>TEXT(Patient_Data[[#This Row],[Admission_Date]],"YYYY")</f>
        <v>2026</v>
      </c>
      <c r="G1994" s="8" t="s">
        <v>3984</v>
      </c>
      <c r="H1994" s="8" t="s">
        <v>132</v>
      </c>
      <c r="I1994" s="4" t="s">
        <v>29</v>
      </c>
      <c r="J1994" s="4">
        <v>57</v>
      </c>
      <c r="K1994" s="4" t="s">
        <v>30</v>
      </c>
      <c r="L1994" s="8">
        <v>2</v>
      </c>
      <c r="M1994" s="9" t="s">
        <v>46</v>
      </c>
      <c r="N1994" s="9" t="str">
        <f t="shared" si="15"/>
        <v>Ortho</v>
      </c>
      <c r="O1994" s="10">
        <v>6510.3</v>
      </c>
      <c r="P1994" s="10">
        <v>5036.63</v>
      </c>
      <c r="Q1994" s="11">
        <v>11.1</v>
      </c>
      <c r="R1994" s="13" t="str">
        <f>IF(Patient_Data!$L1994&lt;2,"Low Risk",IF(Patient_Data!$L1994&lt;4,"Moderate Risk","High Risk"))</f>
        <v>Moderate Risk</v>
      </c>
      <c r="S1994" s="12" t="str">
        <f>IF(Patient_Data[[#This Row],[Age]]&lt;=18,"Pediatric",IF(Patient_Data[[#This Row],[Age]]&lt;=64,"Adult","Geriatric"))</f>
        <v>Adult</v>
      </c>
    </row>
    <row r="1995" spans="1:19" ht="15.75" customHeight="1" x14ac:dyDescent="0.3">
      <c r="A1995" s="4" t="s">
        <v>3985</v>
      </c>
      <c r="B1995" s="5" t="str">
        <f>TEXT(Patient_Data!$E1995,"mmmm")</f>
        <v>September</v>
      </c>
      <c r="C1995" s="6" t="str">
        <f t="shared" si="14"/>
        <v>Sep</v>
      </c>
      <c r="D1995" s="6">
        <f>MONTH(Patient_Data!$E1995)</f>
        <v>9</v>
      </c>
      <c r="E1995" s="7">
        <v>45902</v>
      </c>
      <c r="F1995" s="55" t="str">
        <f>TEXT(Patient_Data[[#This Row],[Admission_Date]],"YYYY")</f>
        <v>2025</v>
      </c>
      <c r="G1995" s="8" t="s">
        <v>3986</v>
      </c>
      <c r="H1995" s="8" t="s">
        <v>28</v>
      </c>
      <c r="I1995" s="4" t="s">
        <v>35</v>
      </c>
      <c r="J1995" s="4">
        <v>48</v>
      </c>
      <c r="K1995" s="4" t="s">
        <v>45</v>
      </c>
      <c r="L1995" s="8">
        <v>3</v>
      </c>
      <c r="M1995" s="9" t="s">
        <v>72</v>
      </c>
      <c r="N1995" s="9" t="str">
        <f t="shared" si="15"/>
        <v>Surgery</v>
      </c>
      <c r="O1995" s="10">
        <v>19751.66</v>
      </c>
      <c r="P1995" s="10">
        <v>11515.96</v>
      </c>
      <c r="Q1995" s="11">
        <v>7.5</v>
      </c>
      <c r="R1995" s="13" t="str">
        <f>IF(Patient_Data!$L1995&lt;2,"Low Risk",IF(Patient_Data!$L1995&lt;4,"Moderate Risk","High Risk"))</f>
        <v>Moderate Risk</v>
      </c>
      <c r="S1995" s="12" t="str">
        <f>IF(Patient_Data[[#This Row],[Age]]&lt;=18,"Pediatric",IF(Patient_Data[[#This Row],[Age]]&lt;=64,"Adult","Geriatric"))</f>
        <v>Adult</v>
      </c>
    </row>
    <row r="1996" spans="1:19" ht="15.75" customHeight="1" x14ac:dyDescent="0.3">
      <c r="A1996" s="4" t="s">
        <v>3987</v>
      </c>
      <c r="B1996" s="5" t="str">
        <f>TEXT(Patient_Data!$E1996,"mmmm")</f>
        <v>September</v>
      </c>
      <c r="C1996" s="6" t="str">
        <f t="shared" si="14"/>
        <v>Sep</v>
      </c>
      <c r="D1996" s="6">
        <f>MONTH(Patient_Data!$E1996)</f>
        <v>9</v>
      </c>
      <c r="E1996" s="7">
        <v>45552</v>
      </c>
      <c r="F1996" s="55" t="str">
        <f>TEXT(Patient_Data[[#This Row],[Admission_Date]],"YYYY")</f>
        <v>2024</v>
      </c>
      <c r="G1996" s="8" t="s">
        <v>2958</v>
      </c>
      <c r="H1996" s="8" t="s">
        <v>49</v>
      </c>
      <c r="I1996" s="4" t="s">
        <v>29</v>
      </c>
      <c r="J1996" s="4">
        <v>72</v>
      </c>
      <c r="K1996" s="4" t="s">
        <v>45</v>
      </c>
      <c r="L1996" s="8">
        <v>4</v>
      </c>
      <c r="M1996" s="9" t="s">
        <v>39</v>
      </c>
      <c r="N1996" s="9" t="str">
        <f t="shared" si="15"/>
        <v>GM</v>
      </c>
      <c r="O1996" s="10">
        <v>6268.89</v>
      </c>
      <c r="P1996" s="10">
        <v>3863.22</v>
      </c>
      <c r="Q1996" s="11">
        <v>4.9000000000000004</v>
      </c>
      <c r="R1996" s="13" t="str">
        <f>IF(Patient_Data!$L1996&lt;2,"Low Risk",IF(Patient_Data!$L1996&lt;4,"Moderate Risk","High Risk"))</f>
        <v>High Risk</v>
      </c>
      <c r="S1996" s="12" t="str">
        <f>IF(Patient_Data[[#This Row],[Age]]&lt;=18,"Pediatric",IF(Patient_Data[[#This Row],[Age]]&lt;=64,"Adult","Geriatric"))</f>
        <v>Geriatric</v>
      </c>
    </row>
    <row r="1997" spans="1:19" ht="15.75" customHeight="1" x14ac:dyDescent="0.3">
      <c r="A1997" s="4" t="s">
        <v>3988</v>
      </c>
      <c r="B1997" s="5" t="str">
        <f>TEXT(Patient_Data!$E1997,"mmmm")</f>
        <v>July</v>
      </c>
      <c r="C1997" s="6" t="str">
        <f t="shared" si="14"/>
        <v>Jul</v>
      </c>
      <c r="D1997" s="6">
        <f>MONTH(Patient_Data!$E1997)</f>
        <v>7</v>
      </c>
      <c r="E1997" s="7">
        <v>45504</v>
      </c>
      <c r="F1997" s="55" t="str">
        <f>TEXT(Patient_Data[[#This Row],[Admission_Date]],"YYYY")</f>
        <v>2024</v>
      </c>
      <c r="G1997" s="8" t="s">
        <v>3989</v>
      </c>
      <c r="H1997" s="8" t="s">
        <v>82</v>
      </c>
      <c r="I1997" s="4" t="s">
        <v>29</v>
      </c>
      <c r="J1997" s="4">
        <v>45</v>
      </c>
      <c r="K1997" s="4" t="s">
        <v>54</v>
      </c>
      <c r="L1997" s="8">
        <v>4</v>
      </c>
      <c r="M1997" s="9" t="s">
        <v>72</v>
      </c>
      <c r="N1997" s="9" t="str">
        <f t="shared" si="15"/>
        <v>Surgery</v>
      </c>
      <c r="O1997" s="10">
        <v>16705.669999999998</v>
      </c>
      <c r="P1997" s="10">
        <v>10759.63</v>
      </c>
      <c r="Q1997" s="11">
        <v>8.5</v>
      </c>
      <c r="R1997" s="13" t="str">
        <f>IF(Patient_Data!$L1997&lt;2,"Low Risk",IF(Patient_Data!$L1997&lt;4,"Moderate Risk","High Risk"))</f>
        <v>High Risk</v>
      </c>
      <c r="S1997" s="12" t="str">
        <f>IF(Patient_Data[[#This Row],[Age]]&lt;=18,"Pediatric",IF(Patient_Data[[#This Row],[Age]]&lt;=64,"Adult","Geriatric"))</f>
        <v>Adult</v>
      </c>
    </row>
    <row r="1998" spans="1:19" ht="15.75" customHeight="1" x14ac:dyDescent="0.3">
      <c r="A1998" s="4" t="s">
        <v>3990</v>
      </c>
      <c r="B1998" s="5" t="str">
        <f>TEXT(Patient_Data!$E1998,"mmmm")</f>
        <v>December</v>
      </c>
      <c r="C1998" s="6" t="str">
        <f t="shared" si="14"/>
        <v>Dec</v>
      </c>
      <c r="D1998" s="6">
        <f>MONTH(Patient_Data!$E1998)</f>
        <v>12</v>
      </c>
      <c r="E1998" s="7">
        <v>45993</v>
      </c>
      <c r="F1998" s="55" t="str">
        <f>TEXT(Patient_Data[[#This Row],[Admission_Date]],"YYYY")</f>
        <v>2025</v>
      </c>
      <c r="G1998" s="8" t="s">
        <v>3991</v>
      </c>
      <c r="H1998" s="8" t="s">
        <v>53</v>
      </c>
      <c r="I1998" s="4" t="s">
        <v>35</v>
      </c>
      <c r="J1998" s="4">
        <v>73</v>
      </c>
      <c r="K1998" s="4" t="s">
        <v>45</v>
      </c>
      <c r="L1998" s="8">
        <v>3</v>
      </c>
      <c r="M1998" s="9" t="s">
        <v>50</v>
      </c>
      <c r="N1998" s="9" t="str">
        <f t="shared" si="15"/>
        <v>ICU</v>
      </c>
      <c r="O1998" s="10">
        <v>15937.6</v>
      </c>
      <c r="P1998" s="10">
        <v>10815.79</v>
      </c>
      <c r="Q1998" s="11">
        <v>17.2</v>
      </c>
      <c r="R1998" s="13" t="str">
        <f>IF(Patient_Data!$L1998&lt;2,"Low Risk",IF(Patient_Data!$L1998&lt;4,"Moderate Risk","High Risk"))</f>
        <v>Moderate Risk</v>
      </c>
      <c r="S1998" s="12" t="str">
        <f>IF(Patient_Data[[#This Row],[Age]]&lt;=18,"Pediatric",IF(Patient_Data[[#This Row],[Age]]&lt;=64,"Adult","Geriatric"))</f>
        <v>Geriatric</v>
      </c>
    </row>
    <row r="1999" spans="1:19" ht="15.75" customHeight="1" x14ac:dyDescent="0.3">
      <c r="A1999" s="4" t="s">
        <v>3992</v>
      </c>
      <c r="B1999" s="5" t="str">
        <f>TEXT(Patient_Data!$E1999,"mmmm")</f>
        <v>May</v>
      </c>
      <c r="C1999" s="6" t="str">
        <f t="shared" si="14"/>
        <v>May</v>
      </c>
      <c r="D1999" s="6">
        <f>MONTH(Patient_Data!$E1999)</f>
        <v>5</v>
      </c>
      <c r="E1999" s="7">
        <v>45435</v>
      </c>
      <c r="F1999" s="55" t="str">
        <f>TEXT(Patient_Data[[#This Row],[Admission_Date]],"YYYY")</f>
        <v>2024</v>
      </c>
      <c r="G1999" s="8" t="s">
        <v>3993</v>
      </c>
      <c r="H1999" s="8" t="s">
        <v>82</v>
      </c>
      <c r="I1999" s="4" t="s">
        <v>29</v>
      </c>
      <c r="J1999" s="4">
        <v>63</v>
      </c>
      <c r="K1999" s="4" t="s">
        <v>54</v>
      </c>
      <c r="L1999" s="8">
        <v>3</v>
      </c>
      <c r="M1999" s="9" t="s">
        <v>36</v>
      </c>
      <c r="N1999" s="9" t="str">
        <f t="shared" si="15"/>
        <v>Cardio</v>
      </c>
      <c r="O1999" s="10">
        <v>11045.35</v>
      </c>
      <c r="P1999" s="10">
        <v>7787.74</v>
      </c>
      <c r="Q1999" s="11">
        <v>7</v>
      </c>
      <c r="R1999" s="13" t="str">
        <f>IF(Patient_Data!$L1999&lt;2,"Low Risk",IF(Patient_Data!$L1999&lt;4,"Moderate Risk","High Risk"))</f>
        <v>Moderate Risk</v>
      </c>
      <c r="S1999" s="12" t="str">
        <f>IF(Patient_Data[[#This Row],[Age]]&lt;=18,"Pediatric",IF(Patient_Data[[#This Row],[Age]]&lt;=64,"Adult","Geriatric"))</f>
        <v>Adult</v>
      </c>
    </row>
    <row r="2000" spans="1:19" ht="15.75" customHeight="1" x14ac:dyDescent="0.3">
      <c r="A2000" s="4" t="s">
        <v>3994</v>
      </c>
      <c r="B2000" s="5" t="str">
        <f>TEXT(Patient_Data!$E2000,"mmmm")</f>
        <v>September</v>
      </c>
      <c r="C2000" s="6" t="str">
        <f t="shared" si="14"/>
        <v>Sep</v>
      </c>
      <c r="D2000" s="6">
        <f>MONTH(Patient_Data!$E2000)</f>
        <v>9</v>
      </c>
      <c r="E2000" s="7">
        <v>45917</v>
      </c>
      <c r="F2000" s="55" t="str">
        <f>TEXT(Patient_Data[[#This Row],[Admission_Date]],"YYYY")</f>
        <v>2025</v>
      </c>
      <c r="G2000" s="8" t="s">
        <v>3995</v>
      </c>
      <c r="H2000" s="8" t="s">
        <v>34</v>
      </c>
      <c r="I2000" s="4" t="s">
        <v>29</v>
      </c>
      <c r="J2000" s="4">
        <v>62</v>
      </c>
      <c r="K2000" s="4" t="s">
        <v>30</v>
      </c>
      <c r="L2000" s="8">
        <v>3</v>
      </c>
      <c r="M2000" s="9" t="s">
        <v>83</v>
      </c>
      <c r="N2000" s="9" t="str">
        <f t="shared" si="15"/>
        <v>ER</v>
      </c>
      <c r="O2000" s="10">
        <v>4951.07</v>
      </c>
      <c r="P2000" s="10">
        <v>3759.88</v>
      </c>
      <c r="Q2000" s="11">
        <v>18.2</v>
      </c>
      <c r="R2000" s="13" t="str">
        <f>IF(Patient_Data!$L2000&lt;2,"Low Risk",IF(Patient_Data!$L2000&lt;4,"Moderate Risk","High Risk"))</f>
        <v>Moderate Risk</v>
      </c>
      <c r="S2000" s="12" t="str">
        <f>IF(Patient_Data[[#This Row],[Age]]&lt;=18,"Pediatric",IF(Patient_Data[[#This Row],[Age]]&lt;=64,"Adult","Geriatric"))</f>
        <v>Adult</v>
      </c>
    </row>
    <row r="2001" spans="1:19" ht="15.75" customHeight="1" x14ac:dyDescent="0.3">
      <c r="A2001" s="4" t="s">
        <v>3996</v>
      </c>
      <c r="B2001" s="5" t="str">
        <f>TEXT(Patient_Data!$E2001,"mmmm")</f>
        <v>November</v>
      </c>
      <c r="C2001" s="6" t="str">
        <f t="shared" si="14"/>
        <v>Nov</v>
      </c>
      <c r="D2001" s="6">
        <f>MONTH(Patient_Data!$E2001)</f>
        <v>11</v>
      </c>
      <c r="E2001" s="7">
        <v>45243</v>
      </c>
      <c r="F2001" s="55" t="str">
        <f>TEXT(Patient_Data[[#This Row],[Admission_Date]],"YYYY")</f>
        <v>2023</v>
      </c>
      <c r="G2001" s="8" t="s">
        <v>3997</v>
      </c>
      <c r="H2001" s="8" t="s">
        <v>53</v>
      </c>
      <c r="I2001" s="4" t="s">
        <v>35</v>
      </c>
      <c r="J2001" s="4">
        <v>90</v>
      </c>
      <c r="K2001" s="4" t="s">
        <v>45</v>
      </c>
      <c r="L2001" s="8">
        <v>4</v>
      </c>
      <c r="M2001" s="9" t="s">
        <v>50</v>
      </c>
      <c r="N2001" s="9" t="str">
        <f t="shared" si="15"/>
        <v>ICU</v>
      </c>
      <c r="O2001" s="10">
        <v>18746.93</v>
      </c>
      <c r="P2001" s="10">
        <v>14358.87</v>
      </c>
      <c r="Q2001" s="11">
        <v>13.9</v>
      </c>
      <c r="R2001" s="13" t="str">
        <f>IF(Patient_Data!$L2001&lt;2,"Low Risk",IF(Patient_Data!$L2001&lt;4,"Moderate Risk","High Risk"))</f>
        <v>High Risk</v>
      </c>
      <c r="S2001" s="12" t="str">
        <f>IF(Patient_Data[[#This Row],[Age]]&lt;=18,"Pediatric",IF(Patient_Data[[#This Row],[Age]]&lt;=64,"Adult","Geriatric"))</f>
        <v>Geriatric</v>
      </c>
    </row>
    <row r="2002" spans="1:19" ht="15.75" customHeight="1" x14ac:dyDescent="0.3">
      <c r="A2002" s="4" t="s">
        <v>3998</v>
      </c>
      <c r="B2002" s="5" t="str">
        <f>TEXT(Patient_Data!$E2002,"mmmm")</f>
        <v>December</v>
      </c>
      <c r="C2002" s="6" t="str">
        <f t="shared" si="14"/>
        <v>Dec</v>
      </c>
      <c r="D2002" s="6">
        <f>MONTH(Patient_Data!$E2002)</f>
        <v>12</v>
      </c>
      <c r="E2002" s="7">
        <v>45266</v>
      </c>
      <c r="F2002" s="55" t="str">
        <f>TEXT(Patient_Data[[#This Row],[Admission_Date]],"YYYY")</f>
        <v>2023</v>
      </c>
      <c r="G2002" s="8" t="s">
        <v>3999</v>
      </c>
      <c r="H2002" s="8" t="s">
        <v>53</v>
      </c>
      <c r="I2002" s="4" t="s">
        <v>29</v>
      </c>
      <c r="J2002" s="4">
        <v>4</v>
      </c>
      <c r="K2002" s="4" t="s">
        <v>30</v>
      </c>
      <c r="L2002" s="8">
        <v>2</v>
      </c>
      <c r="M2002" s="9" t="s">
        <v>79</v>
      </c>
      <c r="N2002" s="9" t="str">
        <f t="shared" si="15"/>
        <v>PD</v>
      </c>
      <c r="O2002" s="10">
        <v>2647.76</v>
      </c>
      <c r="P2002" s="10">
        <v>1566.1</v>
      </c>
      <c r="Q2002" s="11">
        <v>3.8</v>
      </c>
      <c r="R2002" s="13" t="str">
        <f>IF(Patient_Data!$L2002&lt;2,"Low Risk",IF(Patient_Data!$L2002&lt;4,"Moderate Risk","High Risk"))</f>
        <v>Moderate Risk</v>
      </c>
      <c r="S2002" s="12" t="str">
        <f>IF(Patient_Data[[#This Row],[Age]]&lt;=18,"Pediatric",IF(Patient_Data[[#This Row],[Age]]&lt;=64,"Adult","Geriatric"))</f>
        <v>Pediatric</v>
      </c>
    </row>
    <row r="2003" spans="1:19" ht="15.75" customHeight="1" x14ac:dyDescent="0.3">
      <c r="A2003" s="4" t="s">
        <v>4000</v>
      </c>
      <c r="B2003" s="5" t="str">
        <f>TEXT(Patient_Data!$E2003,"mmmm")</f>
        <v>December</v>
      </c>
      <c r="C2003" s="6" t="str">
        <f t="shared" si="14"/>
        <v>Dec</v>
      </c>
      <c r="D2003" s="6">
        <f>MONTH(Patient_Data!$E2003)</f>
        <v>12</v>
      </c>
      <c r="E2003" s="7">
        <v>45265</v>
      </c>
      <c r="F2003" s="55" t="str">
        <f>TEXT(Patient_Data[[#This Row],[Admission_Date]],"YYYY")</f>
        <v>2023</v>
      </c>
      <c r="G2003" s="8" t="s">
        <v>4001</v>
      </c>
      <c r="H2003" s="8" t="s">
        <v>75</v>
      </c>
      <c r="I2003" s="4" t="s">
        <v>35</v>
      </c>
      <c r="J2003" s="4">
        <v>78</v>
      </c>
      <c r="K2003" s="4" t="s">
        <v>45</v>
      </c>
      <c r="L2003" s="8">
        <v>4</v>
      </c>
      <c r="M2003" s="9" t="s">
        <v>50</v>
      </c>
      <c r="N2003" s="9" t="str">
        <f t="shared" si="15"/>
        <v>ICU</v>
      </c>
      <c r="O2003" s="10">
        <v>17638.560000000001</v>
      </c>
      <c r="P2003" s="10">
        <v>10864.32</v>
      </c>
      <c r="Q2003" s="11">
        <v>13.1</v>
      </c>
      <c r="R2003" s="13" t="str">
        <f>IF(Patient_Data!$L2003&lt;2,"Low Risk",IF(Patient_Data!$L2003&lt;4,"Moderate Risk","High Risk"))</f>
        <v>High Risk</v>
      </c>
      <c r="S2003" s="12" t="str">
        <f>IF(Patient_Data[[#This Row],[Age]]&lt;=18,"Pediatric",IF(Patient_Data[[#This Row],[Age]]&lt;=64,"Adult","Geriatric"))</f>
        <v>Geriatric</v>
      </c>
    </row>
    <row r="2004" spans="1:19" ht="15.75" customHeight="1" x14ac:dyDescent="0.3">
      <c r="A2004" s="4" t="s">
        <v>4002</v>
      </c>
      <c r="B2004" s="5" t="str">
        <f>TEXT(Patient_Data!$E2004,"mmmm")</f>
        <v>October</v>
      </c>
      <c r="C2004" s="6" t="str">
        <f t="shared" si="14"/>
        <v>Oct</v>
      </c>
      <c r="D2004" s="6">
        <f>MONTH(Patient_Data!$E2004)</f>
        <v>10</v>
      </c>
      <c r="E2004" s="7">
        <v>45207</v>
      </c>
      <c r="F2004" s="55" t="str">
        <f>TEXT(Patient_Data[[#This Row],[Admission_Date]],"YYYY")</f>
        <v>2023</v>
      </c>
      <c r="G2004" s="8" t="s">
        <v>4003</v>
      </c>
      <c r="H2004" s="8" t="s">
        <v>34</v>
      </c>
      <c r="I2004" s="4" t="s">
        <v>29</v>
      </c>
      <c r="J2004" s="4">
        <v>68</v>
      </c>
      <c r="K2004" s="4" t="s">
        <v>45</v>
      </c>
      <c r="L2004" s="8">
        <v>4</v>
      </c>
      <c r="M2004" s="9" t="s">
        <v>46</v>
      </c>
      <c r="N2004" s="9" t="str">
        <f t="shared" si="15"/>
        <v>Ortho</v>
      </c>
      <c r="O2004" s="10">
        <v>6694.82</v>
      </c>
      <c r="P2004" s="10">
        <v>4369.4799999999996</v>
      </c>
      <c r="Q2004" s="11">
        <v>10.6</v>
      </c>
      <c r="R2004" s="13" t="str">
        <f>IF(Patient_Data!$L2004&lt;2,"Low Risk",IF(Patient_Data!$L2004&lt;4,"Moderate Risk","High Risk"))</f>
        <v>High Risk</v>
      </c>
      <c r="S2004" s="12" t="str">
        <f>IF(Patient_Data[[#This Row],[Age]]&lt;=18,"Pediatric",IF(Patient_Data[[#This Row],[Age]]&lt;=64,"Adult","Geriatric"))</f>
        <v>Geriatric</v>
      </c>
    </row>
    <row r="2005" spans="1:19" ht="15.75" customHeight="1" x14ac:dyDescent="0.3">
      <c r="A2005" s="4" t="s">
        <v>4004</v>
      </c>
      <c r="B2005" s="5" t="str">
        <f>TEXT(Patient_Data!$E2005,"mmmm")</f>
        <v>April</v>
      </c>
      <c r="C2005" s="6" t="str">
        <f t="shared" si="14"/>
        <v>Apr</v>
      </c>
      <c r="D2005" s="6">
        <f>MONTH(Patient_Data!$E2005)</f>
        <v>4</v>
      </c>
      <c r="E2005" s="7">
        <v>45404</v>
      </c>
      <c r="F2005" s="55" t="str">
        <f>TEXT(Patient_Data[[#This Row],[Admission_Date]],"YYYY")</f>
        <v>2024</v>
      </c>
      <c r="G2005" s="8" t="s">
        <v>4005</v>
      </c>
      <c r="H2005" s="8" t="s">
        <v>28</v>
      </c>
      <c r="I2005" s="4" t="s">
        <v>29</v>
      </c>
      <c r="J2005" s="4">
        <v>28</v>
      </c>
      <c r="K2005" s="4" t="s">
        <v>30</v>
      </c>
      <c r="L2005" s="8">
        <v>1</v>
      </c>
      <c r="M2005" s="9" t="s">
        <v>39</v>
      </c>
      <c r="N2005" s="9" t="str">
        <f t="shared" si="15"/>
        <v>GM</v>
      </c>
      <c r="O2005" s="10">
        <v>1740.21</v>
      </c>
      <c r="P2005" s="10">
        <v>1233.94</v>
      </c>
      <c r="Q2005" s="11">
        <v>8.5</v>
      </c>
      <c r="R2005" s="13" t="str">
        <f>IF(Patient_Data!$L2005&lt;2,"Low Risk",IF(Patient_Data!$L2005&lt;4,"Moderate Risk","High Risk"))</f>
        <v>Low Risk</v>
      </c>
      <c r="S2005" s="12" t="str">
        <f>IF(Patient_Data[[#This Row],[Age]]&lt;=18,"Pediatric",IF(Patient_Data[[#This Row],[Age]]&lt;=64,"Adult","Geriatric"))</f>
        <v>Adult</v>
      </c>
    </row>
    <row r="2006" spans="1:19" ht="15.75" customHeight="1" x14ac:dyDescent="0.3">
      <c r="A2006" s="4" t="s">
        <v>4006</v>
      </c>
      <c r="B2006" s="5" t="str">
        <f>TEXT(Patient_Data!$E2006,"mmmm")</f>
        <v>December</v>
      </c>
      <c r="C2006" s="6" t="str">
        <f t="shared" si="14"/>
        <v>Dec</v>
      </c>
      <c r="D2006" s="6">
        <f>MONTH(Patient_Data!$E2006)</f>
        <v>12</v>
      </c>
      <c r="E2006" s="7">
        <v>46020</v>
      </c>
      <c r="F2006" s="55" t="str">
        <f>TEXT(Patient_Data[[#This Row],[Admission_Date]],"YYYY")</f>
        <v>2025</v>
      </c>
      <c r="G2006" s="8" t="s">
        <v>4007</v>
      </c>
      <c r="H2006" s="8" t="s">
        <v>28</v>
      </c>
      <c r="I2006" s="4" t="s">
        <v>29</v>
      </c>
      <c r="J2006" s="4">
        <v>63</v>
      </c>
      <c r="K2006" s="4" t="s">
        <v>30</v>
      </c>
      <c r="L2006" s="8">
        <v>2</v>
      </c>
      <c r="M2006" s="9" t="s">
        <v>31</v>
      </c>
      <c r="N2006" s="9" t="str">
        <f t="shared" si="15"/>
        <v>Neuro</v>
      </c>
      <c r="O2006" s="10">
        <v>9420.5</v>
      </c>
      <c r="P2006" s="10">
        <v>6619.95</v>
      </c>
      <c r="Q2006" s="11">
        <v>3.2</v>
      </c>
      <c r="R2006" s="13" t="str">
        <f>IF(Patient_Data!$L2006&lt;2,"Low Risk",IF(Patient_Data!$L2006&lt;4,"Moderate Risk","High Risk"))</f>
        <v>Moderate Risk</v>
      </c>
      <c r="S2006" s="12" t="str">
        <f>IF(Patient_Data[[#This Row],[Age]]&lt;=18,"Pediatric",IF(Patient_Data[[#This Row],[Age]]&lt;=64,"Adult","Geriatric"))</f>
        <v>Adult</v>
      </c>
    </row>
    <row r="2007" spans="1:19" ht="15.75" customHeight="1" x14ac:dyDescent="0.3">
      <c r="A2007" s="4" t="s">
        <v>4008</v>
      </c>
      <c r="B2007" s="5" t="str">
        <f>TEXT(Patient_Data!$E2007,"mmmm")</f>
        <v>February</v>
      </c>
      <c r="C2007" s="6" t="str">
        <f t="shared" si="14"/>
        <v>Feb</v>
      </c>
      <c r="D2007" s="6">
        <f>MONTH(Patient_Data!$E2007)</f>
        <v>2</v>
      </c>
      <c r="E2007" s="7">
        <v>46076</v>
      </c>
      <c r="F2007" s="55" t="str">
        <f>TEXT(Patient_Data[[#This Row],[Admission_Date]],"YYYY")</f>
        <v>2026</v>
      </c>
      <c r="G2007" s="8" t="s">
        <v>4009</v>
      </c>
      <c r="H2007" s="8" t="s">
        <v>82</v>
      </c>
      <c r="I2007" s="4" t="s">
        <v>29</v>
      </c>
      <c r="J2007" s="4">
        <v>91</v>
      </c>
      <c r="K2007" s="4" t="s">
        <v>54</v>
      </c>
      <c r="L2007" s="8">
        <v>4</v>
      </c>
      <c r="M2007" s="9" t="s">
        <v>50</v>
      </c>
      <c r="N2007" s="9" t="str">
        <f t="shared" si="15"/>
        <v>ICU</v>
      </c>
      <c r="O2007" s="10">
        <v>12107.12</v>
      </c>
      <c r="P2007" s="10">
        <v>8961.4</v>
      </c>
      <c r="Q2007" s="11">
        <v>15.4</v>
      </c>
      <c r="R2007" s="13" t="str">
        <f>IF(Patient_Data!$L2007&lt;2,"Low Risk",IF(Patient_Data!$L2007&lt;4,"Moderate Risk","High Risk"))</f>
        <v>High Risk</v>
      </c>
      <c r="S2007" s="12" t="str">
        <f>IF(Patient_Data[[#This Row],[Age]]&lt;=18,"Pediatric",IF(Patient_Data[[#This Row],[Age]]&lt;=64,"Adult","Geriatric"))</f>
        <v>Geriatric</v>
      </c>
    </row>
    <row r="2008" spans="1:19" ht="15.75" customHeight="1" x14ac:dyDescent="0.3">
      <c r="A2008" s="4" t="s">
        <v>4010</v>
      </c>
      <c r="B2008" s="5" t="str">
        <f>TEXT(Patient_Data!$E2008,"mmmm")</f>
        <v>October</v>
      </c>
      <c r="C2008" s="6" t="str">
        <f t="shared" si="14"/>
        <v>Oct</v>
      </c>
      <c r="D2008" s="6">
        <f>MONTH(Patient_Data!$E2008)</f>
        <v>10</v>
      </c>
      <c r="E2008" s="7">
        <v>45945</v>
      </c>
      <c r="F2008" s="55" t="str">
        <f>TEXT(Patient_Data[[#This Row],[Admission_Date]],"YYYY")</f>
        <v>2025</v>
      </c>
      <c r="G2008" s="8" t="s">
        <v>4011</v>
      </c>
      <c r="H2008" s="8" t="s">
        <v>34</v>
      </c>
      <c r="I2008" s="4" t="s">
        <v>29</v>
      </c>
      <c r="J2008" s="4">
        <v>39</v>
      </c>
      <c r="K2008" s="4" t="s">
        <v>45</v>
      </c>
      <c r="L2008" s="8">
        <v>1</v>
      </c>
      <c r="M2008" s="9" t="s">
        <v>83</v>
      </c>
      <c r="N2008" s="9" t="str">
        <f t="shared" si="15"/>
        <v>ER</v>
      </c>
      <c r="O2008" s="10">
        <v>5599.63</v>
      </c>
      <c r="P2008" s="10">
        <v>4363.72</v>
      </c>
      <c r="Q2008" s="11">
        <v>13.5</v>
      </c>
      <c r="R2008" s="13" t="str">
        <f>IF(Patient_Data!$L2008&lt;2,"Low Risk",IF(Patient_Data!$L2008&lt;4,"Moderate Risk","High Risk"))</f>
        <v>Low Risk</v>
      </c>
      <c r="S2008" s="12" t="str">
        <f>IF(Patient_Data[[#This Row],[Age]]&lt;=18,"Pediatric",IF(Patient_Data[[#This Row],[Age]]&lt;=64,"Adult","Geriatric"))</f>
        <v>Adult</v>
      </c>
    </row>
    <row r="2009" spans="1:19" ht="15.75" customHeight="1" x14ac:dyDescent="0.3">
      <c r="A2009" s="4" t="s">
        <v>4012</v>
      </c>
      <c r="B2009" s="5" t="str">
        <f>TEXT(Patient_Data!$E2009,"mmmm")</f>
        <v>May</v>
      </c>
      <c r="C2009" s="6" t="str">
        <f t="shared" si="14"/>
        <v>May</v>
      </c>
      <c r="D2009" s="6">
        <f>MONTH(Patient_Data!$E2009)</f>
        <v>5</v>
      </c>
      <c r="E2009" s="7">
        <v>45420</v>
      </c>
      <c r="F2009" s="55" t="str">
        <f>TEXT(Patient_Data[[#This Row],[Admission_Date]],"YYYY")</f>
        <v>2024</v>
      </c>
      <c r="G2009" s="8" t="s">
        <v>4013</v>
      </c>
      <c r="H2009" s="8" t="s">
        <v>75</v>
      </c>
      <c r="I2009" s="4" t="s">
        <v>29</v>
      </c>
      <c r="J2009" s="4">
        <v>42</v>
      </c>
      <c r="K2009" s="4" t="s">
        <v>54</v>
      </c>
      <c r="L2009" s="8">
        <v>4</v>
      </c>
      <c r="M2009" s="9" t="s">
        <v>31</v>
      </c>
      <c r="N2009" s="9" t="str">
        <f t="shared" si="15"/>
        <v>Neuro</v>
      </c>
      <c r="O2009" s="10">
        <v>11729.42</v>
      </c>
      <c r="P2009" s="10">
        <v>6898.26</v>
      </c>
      <c r="Q2009" s="11">
        <v>11.9</v>
      </c>
      <c r="R2009" s="13" t="str">
        <f>IF(Patient_Data!$L2009&lt;2,"Low Risk",IF(Patient_Data!$L2009&lt;4,"Moderate Risk","High Risk"))</f>
        <v>High Risk</v>
      </c>
      <c r="S2009" s="12" t="str">
        <f>IF(Patient_Data[[#This Row],[Age]]&lt;=18,"Pediatric",IF(Patient_Data[[#This Row],[Age]]&lt;=64,"Adult","Geriatric"))</f>
        <v>Adult</v>
      </c>
    </row>
    <row r="2010" spans="1:19" ht="15.75" customHeight="1" x14ac:dyDescent="0.3">
      <c r="A2010" s="4" t="s">
        <v>4014</v>
      </c>
      <c r="B2010" s="5" t="str">
        <f>TEXT(Patient_Data!$E2010,"mmmm")</f>
        <v>January</v>
      </c>
      <c r="C2010" s="6" t="str">
        <f t="shared" si="14"/>
        <v>Jan</v>
      </c>
      <c r="D2010" s="6">
        <f>MONTH(Patient_Data!$E2010)</f>
        <v>1</v>
      </c>
      <c r="E2010" s="7">
        <v>45684</v>
      </c>
      <c r="F2010" s="55" t="str">
        <f>TEXT(Patient_Data[[#This Row],[Admission_Date]],"YYYY")</f>
        <v>2025</v>
      </c>
      <c r="G2010" s="8" t="s">
        <v>4015</v>
      </c>
      <c r="H2010" s="8" t="s">
        <v>28</v>
      </c>
      <c r="I2010" s="4" t="s">
        <v>29</v>
      </c>
      <c r="J2010" s="4">
        <v>62</v>
      </c>
      <c r="K2010" s="4" t="s">
        <v>30</v>
      </c>
      <c r="L2010" s="8">
        <v>1</v>
      </c>
      <c r="M2010" s="9" t="s">
        <v>39</v>
      </c>
      <c r="N2010" s="9" t="str">
        <f t="shared" si="15"/>
        <v>GM</v>
      </c>
      <c r="O2010" s="10">
        <v>1628.58</v>
      </c>
      <c r="P2010" s="10">
        <v>1037.43</v>
      </c>
      <c r="Q2010" s="11">
        <v>5.5</v>
      </c>
      <c r="R2010" s="13" t="str">
        <f>IF(Patient_Data!$L2010&lt;2,"Low Risk",IF(Patient_Data!$L2010&lt;4,"Moderate Risk","High Risk"))</f>
        <v>Low Risk</v>
      </c>
      <c r="S2010" s="12" t="str">
        <f>IF(Patient_Data[[#This Row],[Age]]&lt;=18,"Pediatric",IF(Patient_Data[[#This Row],[Age]]&lt;=64,"Adult","Geriatric"))</f>
        <v>Adult</v>
      </c>
    </row>
    <row r="2011" spans="1:19" ht="15.75" customHeight="1" x14ac:dyDescent="0.3">
      <c r="A2011" s="4" t="s">
        <v>4016</v>
      </c>
      <c r="B2011" s="5" t="str">
        <f>TEXT(Patient_Data!$E2011,"mmmm")</f>
        <v>October</v>
      </c>
      <c r="C2011" s="6" t="str">
        <f t="shared" si="14"/>
        <v>Oct</v>
      </c>
      <c r="D2011" s="6">
        <f>MONTH(Patient_Data!$E2011)</f>
        <v>10</v>
      </c>
      <c r="E2011" s="7">
        <v>45587</v>
      </c>
      <c r="F2011" s="55" t="str">
        <f>TEXT(Patient_Data[[#This Row],[Admission_Date]],"YYYY")</f>
        <v>2024</v>
      </c>
      <c r="G2011" s="8" t="s">
        <v>4017</v>
      </c>
      <c r="H2011" s="8" t="s">
        <v>34</v>
      </c>
      <c r="I2011" s="4" t="s">
        <v>29</v>
      </c>
      <c r="J2011" s="4">
        <v>64</v>
      </c>
      <c r="K2011" s="4" t="s">
        <v>54</v>
      </c>
      <c r="L2011" s="8">
        <v>2</v>
      </c>
      <c r="M2011" s="9" t="s">
        <v>83</v>
      </c>
      <c r="N2011" s="9" t="str">
        <f t="shared" si="15"/>
        <v>ER</v>
      </c>
      <c r="O2011" s="10">
        <v>7317.74</v>
      </c>
      <c r="P2011" s="10">
        <v>4792.1499999999996</v>
      </c>
      <c r="Q2011" s="11">
        <v>13.6</v>
      </c>
      <c r="R2011" s="13" t="str">
        <f>IF(Patient_Data!$L2011&lt;2,"Low Risk",IF(Patient_Data!$L2011&lt;4,"Moderate Risk","High Risk"))</f>
        <v>Moderate Risk</v>
      </c>
      <c r="S2011" s="12" t="str">
        <f>IF(Patient_Data[[#This Row],[Age]]&lt;=18,"Pediatric",IF(Patient_Data[[#This Row],[Age]]&lt;=64,"Adult","Geriatric"))</f>
        <v>Adult</v>
      </c>
    </row>
    <row r="2012" spans="1:19" ht="15.75" customHeight="1" x14ac:dyDescent="0.3">
      <c r="A2012" s="4" t="s">
        <v>4018</v>
      </c>
      <c r="B2012" s="5" t="str">
        <f>TEXT(Patient_Data!$E2012,"mmmm")</f>
        <v>March</v>
      </c>
      <c r="C2012" s="6" t="str">
        <f t="shared" si="14"/>
        <v>Mar</v>
      </c>
      <c r="D2012" s="6">
        <f>MONTH(Patient_Data!$E2012)</f>
        <v>3</v>
      </c>
      <c r="E2012" s="7">
        <v>45373</v>
      </c>
      <c r="F2012" s="55" t="str">
        <f>TEXT(Patient_Data[[#This Row],[Admission_Date]],"YYYY")</f>
        <v>2024</v>
      </c>
      <c r="G2012" s="8" t="s">
        <v>4019</v>
      </c>
      <c r="H2012" s="8" t="s">
        <v>82</v>
      </c>
      <c r="I2012" s="4" t="s">
        <v>29</v>
      </c>
      <c r="J2012" s="4">
        <v>67</v>
      </c>
      <c r="K2012" s="4" t="s">
        <v>54</v>
      </c>
      <c r="L2012" s="8">
        <v>4</v>
      </c>
      <c r="M2012" s="9" t="s">
        <v>36</v>
      </c>
      <c r="N2012" s="9" t="str">
        <f t="shared" si="15"/>
        <v>Cardio</v>
      </c>
      <c r="O2012" s="10">
        <v>12389.2</v>
      </c>
      <c r="P2012" s="10">
        <v>8327.9599999999991</v>
      </c>
      <c r="Q2012" s="11">
        <v>3.4</v>
      </c>
      <c r="R2012" s="13" t="str">
        <f>IF(Patient_Data!$L2012&lt;2,"Low Risk",IF(Patient_Data!$L2012&lt;4,"Moderate Risk","High Risk"))</f>
        <v>High Risk</v>
      </c>
      <c r="S2012" s="12" t="str">
        <f>IF(Patient_Data[[#This Row],[Age]]&lt;=18,"Pediatric",IF(Patient_Data[[#This Row],[Age]]&lt;=64,"Adult","Geriatric"))</f>
        <v>Geriatric</v>
      </c>
    </row>
    <row r="2013" spans="1:19" ht="15.75" customHeight="1" x14ac:dyDescent="0.3">
      <c r="A2013" s="4" t="s">
        <v>4020</v>
      </c>
      <c r="B2013" s="5" t="str">
        <f>TEXT(Patient_Data!$E2013,"mmmm")</f>
        <v>March</v>
      </c>
      <c r="C2013" s="6" t="str">
        <f t="shared" si="14"/>
        <v>Mar</v>
      </c>
      <c r="D2013" s="6">
        <f>MONTH(Patient_Data!$E2013)</f>
        <v>3</v>
      </c>
      <c r="E2013" s="7">
        <v>45719</v>
      </c>
      <c r="F2013" s="55" t="str">
        <f>TEXT(Patient_Data[[#This Row],[Admission_Date]],"YYYY")</f>
        <v>2025</v>
      </c>
      <c r="G2013" s="8" t="s">
        <v>4021</v>
      </c>
      <c r="H2013" s="8" t="s">
        <v>34</v>
      </c>
      <c r="I2013" s="4" t="s">
        <v>29</v>
      </c>
      <c r="J2013" s="4">
        <v>71</v>
      </c>
      <c r="K2013" s="4" t="s">
        <v>30</v>
      </c>
      <c r="L2013" s="8">
        <v>3</v>
      </c>
      <c r="M2013" s="9" t="s">
        <v>31</v>
      </c>
      <c r="N2013" s="9" t="str">
        <f t="shared" si="15"/>
        <v>Neuro</v>
      </c>
      <c r="O2013" s="10">
        <v>13483.34</v>
      </c>
      <c r="P2013" s="10">
        <v>9528.74</v>
      </c>
      <c r="Q2013" s="11">
        <v>11.3</v>
      </c>
      <c r="R2013" s="13" t="str">
        <f>IF(Patient_Data!$L2013&lt;2,"Low Risk",IF(Patient_Data!$L2013&lt;4,"Moderate Risk","High Risk"))</f>
        <v>Moderate Risk</v>
      </c>
      <c r="S2013" s="12" t="str">
        <f>IF(Patient_Data[[#This Row],[Age]]&lt;=18,"Pediatric",IF(Patient_Data[[#This Row],[Age]]&lt;=64,"Adult","Geriatric"))</f>
        <v>Geriatric</v>
      </c>
    </row>
    <row r="2014" spans="1:19" ht="15.75" customHeight="1" x14ac:dyDescent="0.3">
      <c r="A2014" s="4" t="s">
        <v>4022</v>
      </c>
      <c r="B2014" s="5" t="str">
        <f>TEXT(Patient_Data!$E2014,"mmmm")</f>
        <v>June</v>
      </c>
      <c r="C2014" s="6" t="str">
        <f t="shared" si="14"/>
        <v>Jun</v>
      </c>
      <c r="D2014" s="6">
        <f>MONTH(Patient_Data!$E2014)</f>
        <v>6</v>
      </c>
      <c r="E2014" s="7">
        <v>45447</v>
      </c>
      <c r="F2014" s="55" t="str">
        <f>TEXT(Patient_Data[[#This Row],[Admission_Date]],"YYYY")</f>
        <v>2024</v>
      </c>
      <c r="G2014" s="8" t="s">
        <v>4023</v>
      </c>
      <c r="H2014" s="8" t="s">
        <v>28</v>
      </c>
      <c r="I2014" s="4" t="s">
        <v>29</v>
      </c>
      <c r="J2014" s="4">
        <v>25</v>
      </c>
      <c r="K2014" s="4" t="s">
        <v>30</v>
      </c>
      <c r="L2014" s="8">
        <v>4</v>
      </c>
      <c r="M2014" s="9" t="s">
        <v>72</v>
      </c>
      <c r="N2014" s="9" t="str">
        <f t="shared" si="15"/>
        <v>Surgery</v>
      </c>
      <c r="O2014" s="10">
        <v>14890.14</v>
      </c>
      <c r="P2014" s="10">
        <v>10890.6</v>
      </c>
      <c r="Q2014" s="11">
        <v>2.6</v>
      </c>
      <c r="R2014" s="13" t="str">
        <f>IF(Patient_Data!$L2014&lt;2,"Low Risk",IF(Patient_Data!$L2014&lt;4,"Moderate Risk","High Risk"))</f>
        <v>High Risk</v>
      </c>
      <c r="S2014" s="12" t="str">
        <f>IF(Patient_Data[[#This Row],[Age]]&lt;=18,"Pediatric",IF(Patient_Data[[#This Row],[Age]]&lt;=64,"Adult","Geriatric"))</f>
        <v>Adult</v>
      </c>
    </row>
    <row r="2015" spans="1:19" ht="15.75" customHeight="1" x14ac:dyDescent="0.3">
      <c r="A2015" s="4" t="s">
        <v>4024</v>
      </c>
      <c r="B2015" s="5" t="str">
        <f>TEXT(Patient_Data!$E2015,"mmmm")</f>
        <v>January</v>
      </c>
      <c r="C2015" s="6" t="str">
        <f t="shared" si="14"/>
        <v>Jan</v>
      </c>
      <c r="D2015" s="6">
        <f>MONTH(Patient_Data!$E2015)</f>
        <v>1</v>
      </c>
      <c r="E2015" s="7">
        <v>46024</v>
      </c>
      <c r="F2015" s="55" t="str">
        <f>TEXT(Patient_Data[[#This Row],[Admission_Date]],"YYYY")</f>
        <v>2026</v>
      </c>
      <c r="G2015" s="8" t="s">
        <v>4025</v>
      </c>
      <c r="H2015" s="8" t="s">
        <v>53</v>
      </c>
      <c r="I2015" s="4" t="s">
        <v>35</v>
      </c>
      <c r="J2015" s="4">
        <v>5</v>
      </c>
      <c r="K2015" s="4" t="s">
        <v>30</v>
      </c>
      <c r="L2015" s="8">
        <v>1</v>
      </c>
      <c r="M2015" s="9" t="s">
        <v>79</v>
      </c>
      <c r="N2015" s="9" t="str">
        <f t="shared" si="15"/>
        <v>PD</v>
      </c>
      <c r="O2015" s="10">
        <v>1469.17</v>
      </c>
      <c r="P2015" s="10">
        <v>1126.17</v>
      </c>
      <c r="Q2015" s="11">
        <v>1.2</v>
      </c>
      <c r="R2015" s="13" t="str">
        <f>IF(Patient_Data!$L2015&lt;2,"Low Risk",IF(Patient_Data!$L2015&lt;4,"Moderate Risk","High Risk"))</f>
        <v>Low Risk</v>
      </c>
      <c r="S2015" s="12" t="str">
        <f>IF(Patient_Data[[#This Row],[Age]]&lt;=18,"Pediatric",IF(Patient_Data[[#This Row],[Age]]&lt;=64,"Adult","Geriatric"))</f>
        <v>Pediatric</v>
      </c>
    </row>
    <row r="2016" spans="1:19" ht="15.75" customHeight="1" x14ac:dyDescent="0.3">
      <c r="A2016" s="4" t="s">
        <v>4026</v>
      </c>
      <c r="B2016" s="5" t="str">
        <f>TEXT(Patient_Data!$E2016,"mmmm")</f>
        <v>April</v>
      </c>
      <c r="C2016" s="6" t="str">
        <f t="shared" si="14"/>
        <v>Apr</v>
      </c>
      <c r="D2016" s="6">
        <f>MONTH(Patient_Data!$E2016)</f>
        <v>4</v>
      </c>
      <c r="E2016" s="7">
        <v>45408</v>
      </c>
      <c r="F2016" s="55" t="str">
        <f>TEXT(Patient_Data[[#This Row],[Admission_Date]],"YYYY")</f>
        <v>2024</v>
      </c>
      <c r="G2016" s="8" t="s">
        <v>4027</v>
      </c>
      <c r="H2016" s="8" t="s">
        <v>98</v>
      </c>
      <c r="I2016" s="4" t="s">
        <v>35</v>
      </c>
      <c r="J2016" s="4">
        <v>74</v>
      </c>
      <c r="K2016" s="4" t="s">
        <v>30</v>
      </c>
      <c r="L2016" s="8">
        <v>3</v>
      </c>
      <c r="M2016" s="9" t="s">
        <v>46</v>
      </c>
      <c r="N2016" s="9" t="str">
        <f t="shared" si="15"/>
        <v>Ortho</v>
      </c>
      <c r="O2016" s="10">
        <v>8724.2199999999993</v>
      </c>
      <c r="P2016" s="10">
        <v>5140.8500000000004</v>
      </c>
      <c r="Q2016" s="11">
        <v>10.1</v>
      </c>
      <c r="R2016" s="13" t="str">
        <f>IF(Patient_Data!$L2016&lt;2,"Low Risk",IF(Patient_Data!$L2016&lt;4,"Moderate Risk","High Risk"))</f>
        <v>Moderate Risk</v>
      </c>
      <c r="S2016" s="12" t="str">
        <f>IF(Patient_Data[[#This Row],[Age]]&lt;=18,"Pediatric",IF(Patient_Data[[#This Row],[Age]]&lt;=64,"Adult","Geriatric"))</f>
        <v>Geriatric</v>
      </c>
    </row>
    <row r="2017" spans="1:19" ht="15.75" customHeight="1" x14ac:dyDescent="0.3">
      <c r="A2017" s="4" t="s">
        <v>4028</v>
      </c>
      <c r="B2017" s="5" t="str">
        <f>TEXT(Patient_Data!$E2017,"mmmm")</f>
        <v>March</v>
      </c>
      <c r="C2017" s="6" t="str">
        <f t="shared" si="14"/>
        <v>Mar</v>
      </c>
      <c r="D2017" s="6">
        <f>MONTH(Patient_Data!$E2017)</f>
        <v>3</v>
      </c>
      <c r="E2017" s="7">
        <v>45745</v>
      </c>
      <c r="F2017" s="55" t="str">
        <f>TEXT(Patient_Data[[#This Row],[Admission_Date]],"YYYY")</f>
        <v>2025</v>
      </c>
      <c r="G2017" s="8" t="s">
        <v>4029</v>
      </c>
      <c r="H2017" s="8" t="s">
        <v>28</v>
      </c>
      <c r="I2017" s="4" t="s">
        <v>35</v>
      </c>
      <c r="J2017" s="4">
        <v>34</v>
      </c>
      <c r="K2017" s="4" t="s">
        <v>30</v>
      </c>
      <c r="L2017" s="8">
        <v>2</v>
      </c>
      <c r="M2017" s="9" t="s">
        <v>83</v>
      </c>
      <c r="N2017" s="9" t="str">
        <f t="shared" si="15"/>
        <v>ER</v>
      </c>
      <c r="O2017" s="10">
        <v>8245.31</v>
      </c>
      <c r="P2017" s="10">
        <v>5196.84</v>
      </c>
      <c r="Q2017" s="11">
        <v>20.9</v>
      </c>
      <c r="R2017" s="13" t="str">
        <f>IF(Patient_Data!$L2017&lt;2,"Low Risk",IF(Patient_Data!$L2017&lt;4,"Moderate Risk","High Risk"))</f>
        <v>Moderate Risk</v>
      </c>
      <c r="S2017" s="12" t="str">
        <f>IF(Patient_Data[[#This Row],[Age]]&lt;=18,"Pediatric",IF(Patient_Data[[#This Row],[Age]]&lt;=64,"Adult","Geriatric"))</f>
        <v>Adult</v>
      </c>
    </row>
    <row r="2018" spans="1:19" ht="15.75" customHeight="1" x14ac:dyDescent="0.3">
      <c r="A2018" s="4" t="s">
        <v>4030</v>
      </c>
      <c r="B2018" s="5" t="str">
        <f>TEXT(Patient_Data!$E2018,"mmmm")</f>
        <v>April</v>
      </c>
      <c r="C2018" s="6" t="str">
        <f t="shared" si="14"/>
        <v>Apr</v>
      </c>
      <c r="D2018" s="6">
        <f>MONTH(Patient_Data!$E2018)</f>
        <v>4</v>
      </c>
      <c r="E2018" s="7">
        <v>45384</v>
      </c>
      <c r="F2018" s="55" t="str">
        <f>TEXT(Patient_Data[[#This Row],[Admission_Date]],"YYYY")</f>
        <v>2024</v>
      </c>
      <c r="G2018" s="8" t="s">
        <v>4031</v>
      </c>
      <c r="H2018" s="8" t="s">
        <v>28</v>
      </c>
      <c r="I2018" s="4" t="s">
        <v>35</v>
      </c>
      <c r="J2018" s="4">
        <v>90</v>
      </c>
      <c r="K2018" s="4" t="s">
        <v>45</v>
      </c>
      <c r="L2018" s="8">
        <v>4</v>
      </c>
      <c r="M2018" s="9" t="s">
        <v>50</v>
      </c>
      <c r="N2018" s="9" t="str">
        <f t="shared" si="15"/>
        <v>ICU</v>
      </c>
      <c r="O2018" s="10">
        <v>18591.400000000001</v>
      </c>
      <c r="P2018" s="10">
        <v>12032.9</v>
      </c>
      <c r="Q2018" s="11">
        <v>16.8</v>
      </c>
      <c r="R2018" s="13" t="str">
        <f>IF(Patient_Data!$L2018&lt;2,"Low Risk",IF(Patient_Data!$L2018&lt;4,"Moderate Risk","High Risk"))</f>
        <v>High Risk</v>
      </c>
      <c r="S2018" s="12" t="str">
        <f>IF(Patient_Data[[#This Row],[Age]]&lt;=18,"Pediatric",IF(Patient_Data[[#This Row],[Age]]&lt;=64,"Adult","Geriatric"))</f>
        <v>Geriatric</v>
      </c>
    </row>
    <row r="2019" spans="1:19" ht="15.75" customHeight="1" x14ac:dyDescent="0.3">
      <c r="A2019" s="4" t="s">
        <v>4032</v>
      </c>
      <c r="B2019" s="5" t="str">
        <f>TEXT(Patient_Data!$E2019,"mmmm")</f>
        <v>October</v>
      </c>
      <c r="C2019" s="6" t="str">
        <f t="shared" si="14"/>
        <v>Oct</v>
      </c>
      <c r="D2019" s="6">
        <f>MONTH(Patient_Data!$E2019)</f>
        <v>10</v>
      </c>
      <c r="E2019" s="7">
        <v>45576</v>
      </c>
      <c r="F2019" s="55" t="str">
        <f>TEXT(Patient_Data[[#This Row],[Admission_Date]],"YYYY")</f>
        <v>2024</v>
      </c>
      <c r="G2019" s="8" t="s">
        <v>3383</v>
      </c>
      <c r="H2019" s="8" t="s">
        <v>28</v>
      </c>
      <c r="I2019" s="4" t="s">
        <v>35</v>
      </c>
      <c r="J2019" s="4">
        <v>63</v>
      </c>
      <c r="K2019" s="4" t="s">
        <v>30</v>
      </c>
      <c r="L2019" s="8">
        <v>2</v>
      </c>
      <c r="M2019" s="9" t="s">
        <v>31</v>
      </c>
      <c r="N2019" s="9" t="str">
        <f t="shared" si="15"/>
        <v>Neuro</v>
      </c>
      <c r="O2019" s="10">
        <v>7526.53</v>
      </c>
      <c r="P2019" s="10">
        <v>5069.18</v>
      </c>
      <c r="Q2019" s="11">
        <v>3.3</v>
      </c>
      <c r="R2019" s="13" t="str">
        <f>IF(Patient_Data!$L2019&lt;2,"Low Risk",IF(Patient_Data!$L2019&lt;4,"Moderate Risk","High Risk"))</f>
        <v>Moderate Risk</v>
      </c>
      <c r="S2019" s="12" t="str">
        <f>IF(Patient_Data[[#This Row],[Age]]&lt;=18,"Pediatric",IF(Patient_Data[[#This Row],[Age]]&lt;=64,"Adult","Geriatric"))</f>
        <v>Adult</v>
      </c>
    </row>
    <row r="2020" spans="1:19" ht="15.75" customHeight="1" x14ac:dyDescent="0.3">
      <c r="A2020" s="4" t="s">
        <v>4033</v>
      </c>
      <c r="B2020" s="5" t="str">
        <f>TEXT(Patient_Data!$E2020,"mmmm")</f>
        <v>February</v>
      </c>
      <c r="C2020" s="6" t="str">
        <f t="shared" si="14"/>
        <v>Feb</v>
      </c>
      <c r="D2020" s="6">
        <f>MONTH(Patient_Data!$E2020)</f>
        <v>2</v>
      </c>
      <c r="E2020" s="7">
        <v>45705</v>
      </c>
      <c r="F2020" s="55" t="str">
        <f>TEXT(Patient_Data[[#This Row],[Admission_Date]],"YYYY")</f>
        <v>2025</v>
      </c>
      <c r="G2020" s="8" t="s">
        <v>4034</v>
      </c>
      <c r="H2020" s="8" t="s">
        <v>42</v>
      </c>
      <c r="I2020" s="4" t="s">
        <v>35</v>
      </c>
      <c r="J2020" s="4">
        <v>62</v>
      </c>
      <c r="K2020" s="4" t="s">
        <v>30</v>
      </c>
      <c r="L2020" s="8">
        <v>1</v>
      </c>
      <c r="M2020" s="9" t="s">
        <v>83</v>
      </c>
      <c r="N2020" s="9" t="str">
        <f t="shared" si="15"/>
        <v>ER</v>
      </c>
      <c r="O2020" s="10">
        <v>8898.0300000000007</v>
      </c>
      <c r="P2020" s="10">
        <v>6375.02</v>
      </c>
      <c r="Q2020" s="11">
        <v>18.3</v>
      </c>
      <c r="R2020" s="13" t="str">
        <f>IF(Patient_Data!$L2020&lt;2,"Low Risk",IF(Patient_Data!$L2020&lt;4,"Moderate Risk","High Risk"))</f>
        <v>Low Risk</v>
      </c>
      <c r="S2020" s="12" t="str">
        <f>IF(Patient_Data[[#This Row],[Age]]&lt;=18,"Pediatric",IF(Patient_Data[[#This Row],[Age]]&lt;=64,"Adult","Geriatric"))</f>
        <v>Adult</v>
      </c>
    </row>
    <row r="2021" spans="1:19" ht="15.75" customHeight="1" x14ac:dyDescent="0.3">
      <c r="A2021" s="4" t="s">
        <v>4035</v>
      </c>
      <c r="B2021" s="5" t="str">
        <f>TEXT(Patient_Data!$E2021,"mmmm")</f>
        <v>October</v>
      </c>
      <c r="C2021" s="6" t="str">
        <f t="shared" si="14"/>
        <v>Oct</v>
      </c>
      <c r="D2021" s="6">
        <f>MONTH(Patient_Data!$E2021)</f>
        <v>10</v>
      </c>
      <c r="E2021" s="7">
        <v>45580</v>
      </c>
      <c r="F2021" s="55" t="str">
        <f>TEXT(Patient_Data[[#This Row],[Admission_Date]],"YYYY")</f>
        <v>2024</v>
      </c>
      <c r="G2021" s="8" t="s">
        <v>4036</v>
      </c>
      <c r="H2021" s="8" t="s">
        <v>132</v>
      </c>
      <c r="I2021" s="4" t="s">
        <v>35</v>
      </c>
      <c r="J2021" s="4">
        <v>60</v>
      </c>
      <c r="K2021" s="4" t="s">
        <v>45</v>
      </c>
      <c r="L2021" s="8">
        <v>1</v>
      </c>
      <c r="M2021" s="9" t="s">
        <v>46</v>
      </c>
      <c r="N2021" s="9" t="str">
        <f t="shared" si="15"/>
        <v>Ortho</v>
      </c>
      <c r="O2021" s="10">
        <v>6464.12</v>
      </c>
      <c r="P2021" s="10">
        <v>4772.41</v>
      </c>
      <c r="Q2021" s="11">
        <v>6.7</v>
      </c>
      <c r="R2021" s="13" t="str">
        <f>IF(Patient_Data!$L2021&lt;2,"Low Risk",IF(Patient_Data!$L2021&lt;4,"Moderate Risk","High Risk"))</f>
        <v>Low Risk</v>
      </c>
      <c r="S2021" s="12" t="str">
        <f>IF(Patient_Data[[#This Row],[Age]]&lt;=18,"Pediatric",IF(Patient_Data[[#This Row],[Age]]&lt;=64,"Adult","Geriatric"))</f>
        <v>Adult</v>
      </c>
    </row>
    <row r="2022" spans="1:19" ht="15.75" customHeight="1" x14ac:dyDescent="0.3">
      <c r="A2022" s="4" t="s">
        <v>4037</v>
      </c>
      <c r="B2022" s="5" t="str">
        <f>TEXT(Patient_Data!$E2022,"mmmm")</f>
        <v>April</v>
      </c>
      <c r="C2022" s="6" t="str">
        <f t="shared" si="14"/>
        <v>Apr</v>
      </c>
      <c r="D2022" s="6">
        <f>MONTH(Patient_Data!$E2022)</f>
        <v>4</v>
      </c>
      <c r="E2022" s="7">
        <v>45771</v>
      </c>
      <c r="F2022" s="55" t="str">
        <f>TEXT(Patient_Data[[#This Row],[Admission_Date]],"YYYY")</f>
        <v>2025</v>
      </c>
      <c r="G2022" s="8" t="s">
        <v>4038</v>
      </c>
      <c r="H2022" s="8" t="s">
        <v>34</v>
      </c>
      <c r="I2022" s="4" t="s">
        <v>35</v>
      </c>
      <c r="J2022" s="4">
        <v>61</v>
      </c>
      <c r="K2022" s="4" t="s">
        <v>30</v>
      </c>
      <c r="L2022" s="8">
        <v>4</v>
      </c>
      <c r="M2022" s="9" t="s">
        <v>72</v>
      </c>
      <c r="N2022" s="9" t="str">
        <f t="shared" si="15"/>
        <v>Surgery</v>
      </c>
      <c r="O2022" s="10">
        <v>18590.46</v>
      </c>
      <c r="P2022" s="10">
        <v>14188.75</v>
      </c>
      <c r="Q2022" s="11">
        <v>7.5</v>
      </c>
      <c r="R2022" s="13" t="str">
        <f>IF(Patient_Data!$L2022&lt;2,"Low Risk",IF(Patient_Data!$L2022&lt;4,"Moderate Risk","High Risk"))</f>
        <v>High Risk</v>
      </c>
      <c r="S2022" s="12" t="str">
        <f>IF(Patient_Data[[#This Row],[Age]]&lt;=18,"Pediatric",IF(Patient_Data[[#This Row],[Age]]&lt;=64,"Adult","Geriatric"))</f>
        <v>Adult</v>
      </c>
    </row>
    <row r="2023" spans="1:19" ht="15.75" customHeight="1" x14ac:dyDescent="0.3">
      <c r="A2023" s="4" t="s">
        <v>4039</v>
      </c>
      <c r="B2023" s="5" t="str">
        <f>TEXT(Patient_Data!$E2023,"mmmm")</f>
        <v>July</v>
      </c>
      <c r="C2023" s="6" t="str">
        <f t="shared" si="14"/>
        <v>Jul</v>
      </c>
      <c r="D2023" s="6">
        <f>MONTH(Patient_Data!$E2023)</f>
        <v>7</v>
      </c>
      <c r="E2023" s="7">
        <v>45495</v>
      </c>
      <c r="F2023" s="55" t="str">
        <f>TEXT(Patient_Data[[#This Row],[Admission_Date]],"YYYY")</f>
        <v>2024</v>
      </c>
      <c r="G2023" s="8" t="s">
        <v>4040</v>
      </c>
      <c r="H2023" s="8" t="s">
        <v>28</v>
      </c>
      <c r="I2023" s="4" t="s">
        <v>35</v>
      </c>
      <c r="J2023" s="4">
        <v>10</v>
      </c>
      <c r="K2023" s="4" t="s">
        <v>30</v>
      </c>
      <c r="L2023" s="8">
        <v>2</v>
      </c>
      <c r="M2023" s="9" t="s">
        <v>79</v>
      </c>
      <c r="N2023" s="9" t="str">
        <f t="shared" si="15"/>
        <v>PD</v>
      </c>
      <c r="O2023" s="10">
        <v>2573.67</v>
      </c>
      <c r="P2023" s="10">
        <v>1493.53</v>
      </c>
      <c r="Q2023" s="11">
        <v>0.1</v>
      </c>
      <c r="R2023" s="13" t="str">
        <f>IF(Patient_Data!$L2023&lt;2,"Low Risk",IF(Patient_Data!$L2023&lt;4,"Moderate Risk","High Risk"))</f>
        <v>Moderate Risk</v>
      </c>
      <c r="S2023" s="12" t="str">
        <f>IF(Patient_Data[[#This Row],[Age]]&lt;=18,"Pediatric",IF(Patient_Data[[#This Row],[Age]]&lt;=64,"Adult","Geriatric"))</f>
        <v>Pediatric</v>
      </c>
    </row>
    <row r="2024" spans="1:19" ht="15.75" customHeight="1" x14ac:dyDescent="0.3">
      <c r="A2024" s="4" t="s">
        <v>4041</v>
      </c>
      <c r="B2024" s="5" t="str">
        <f>TEXT(Patient_Data!$E2024,"mmmm")</f>
        <v>November</v>
      </c>
      <c r="C2024" s="6" t="str">
        <f t="shared" si="14"/>
        <v>Nov</v>
      </c>
      <c r="D2024" s="6">
        <f>MONTH(Patient_Data!$E2024)</f>
        <v>11</v>
      </c>
      <c r="E2024" s="7">
        <v>45247</v>
      </c>
      <c r="F2024" s="55" t="str">
        <f>TEXT(Patient_Data[[#This Row],[Admission_Date]],"YYYY")</f>
        <v>2023</v>
      </c>
      <c r="G2024" s="8" t="s">
        <v>1416</v>
      </c>
      <c r="H2024" s="8" t="s">
        <v>82</v>
      </c>
      <c r="I2024" s="4" t="s">
        <v>29</v>
      </c>
      <c r="J2024" s="4">
        <v>4</v>
      </c>
      <c r="K2024" s="4" t="s">
        <v>30</v>
      </c>
      <c r="L2024" s="8">
        <v>1</v>
      </c>
      <c r="M2024" s="9" t="s">
        <v>79</v>
      </c>
      <c r="N2024" s="9" t="str">
        <f t="shared" si="15"/>
        <v>PD</v>
      </c>
      <c r="O2024" s="10">
        <v>852.29</v>
      </c>
      <c r="P2024" s="10">
        <v>559.1</v>
      </c>
      <c r="Q2024" s="11">
        <v>4.9000000000000004</v>
      </c>
      <c r="R2024" s="13" t="str">
        <f>IF(Patient_Data!$L2024&lt;2,"Low Risk",IF(Patient_Data!$L2024&lt;4,"Moderate Risk","High Risk"))</f>
        <v>Low Risk</v>
      </c>
      <c r="S2024" s="12" t="str">
        <f>IF(Patient_Data[[#This Row],[Age]]&lt;=18,"Pediatric",IF(Patient_Data[[#This Row],[Age]]&lt;=64,"Adult","Geriatric"))</f>
        <v>Pediatric</v>
      </c>
    </row>
    <row r="2025" spans="1:19" ht="15.75" customHeight="1" x14ac:dyDescent="0.3">
      <c r="A2025" s="4" t="s">
        <v>4042</v>
      </c>
      <c r="B2025" s="5" t="str">
        <f>TEXT(Patient_Data!$E2025,"mmmm")</f>
        <v>June</v>
      </c>
      <c r="C2025" s="6" t="str">
        <f t="shared" si="14"/>
        <v>Jun</v>
      </c>
      <c r="D2025" s="6">
        <f>MONTH(Patient_Data!$E2025)</f>
        <v>6</v>
      </c>
      <c r="E2025" s="7">
        <v>46183</v>
      </c>
      <c r="F2025" s="55" t="str">
        <f>TEXT(Patient_Data[[#This Row],[Admission_Date]],"YYYY")</f>
        <v>2026</v>
      </c>
      <c r="G2025" s="8" t="s">
        <v>4043</v>
      </c>
      <c r="H2025" s="8" t="s">
        <v>28</v>
      </c>
      <c r="I2025" s="4" t="s">
        <v>29</v>
      </c>
      <c r="J2025" s="4">
        <v>62</v>
      </c>
      <c r="K2025" s="4" t="s">
        <v>30</v>
      </c>
      <c r="L2025" s="8">
        <v>1</v>
      </c>
      <c r="M2025" s="9" t="s">
        <v>83</v>
      </c>
      <c r="N2025" s="9" t="str">
        <f t="shared" si="15"/>
        <v>ER</v>
      </c>
      <c r="O2025" s="10">
        <v>6235.67</v>
      </c>
      <c r="P2025" s="10">
        <v>4154.83</v>
      </c>
      <c r="Q2025" s="11">
        <v>20.5</v>
      </c>
      <c r="R2025" s="13" t="str">
        <f>IF(Patient_Data!$L2025&lt;2,"Low Risk",IF(Patient_Data!$L2025&lt;4,"Moderate Risk","High Risk"))</f>
        <v>Low Risk</v>
      </c>
      <c r="S2025" s="12" t="str">
        <f>IF(Patient_Data[[#This Row],[Age]]&lt;=18,"Pediatric",IF(Patient_Data[[#This Row],[Age]]&lt;=64,"Adult","Geriatric"))</f>
        <v>Adult</v>
      </c>
    </row>
    <row r="2026" spans="1:19" ht="15.75" customHeight="1" x14ac:dyDescent="0.3">
      <c r="A2026" s="4" t="s">
        <v>4044</v>
      </c>
      <c r="B2026" s="5" t="str">
        <f>TEXT(Patient_Data!$E2026,"mmmm")</f>
        <v>September</v>
      </c>
      <c r="C2026" s="6" t="str">
        <f t="shared" si="14"/>
        <v>Sep</v>
      </c>
      <c r="D2026" s="6">
        <f>MONTH(Patient_Data!$E2026)</f>
        <v>9</v>
      </c>
      <c r="E2026" s="7">
        <v>45172</v>
      </c>
      <c r="F2026" s="55" t="str">
        <f>TEXT(Patient_Data[[#This Row],[Admission_Date]],"YYYY")</f>
        <v>2023</v>
      </c>
      <c r="G2026" s="8" t="s">
        <v>1689</v>
      </c>
      <c r="H2026" s="8" t="s">
        <v>98</v>
      </c>
      <c r="I2026" s="4" t="s">
        <v>35</v>
      </c>
      <c r="J2026" s="4">
        <v>23</v>
      </c>
      <c r="K2026" s="4" t="s">
        <v>30</v>
      </c>
      <c r="L2026" s="8">
        <v>1</v>
      </c>
      <c r="M2026" s="9" t="s">
        <v>31</v>
      </c>
      <c r="N2026" s="9" t="str">
        <f t="shared" si="15"/>
        <v>Neuro</v>
      </c>
      <c r="O2026" s="10">
        <v>10431.77</v>
      </c>
      <c r="P2026" s="10">
        <v>7073.29</v>
      </c>
      <c r="Q2026" s="11">
        <v>10.5</v>
      </c>
      <c r="R2026" s="13" t="str">
        <f>IF(Patient_Data!$L2026&lt;2,"Low Risk",IF(Patient_Data!$L2026&lt;4,"Moderate Risk","High Risk"))</f>
        <v>Low Risk</v>
      </c>
      <c r="S2026" s="12" t="str">
        <f>IF(Patient_Data[[#This Row],[Age]]&lt;=18,"Pediatric",IF(Patient_Data[[#This Row],[Age]]&lt;=64,"Adult","Geriatric"))</f>
        <v>Adult</v>
      </c>
    </row>
    <row r="2027" spans="1:19" ht="15.75" customHeight="1" x14ac:dyDescent="0.3">
      <c r="A2027" s="4" t="s">
        <v>4045</v>
      </c>
      <c r="B2027" s="5" t="str">
        <f>TEXT(Patient_Data!$E2027,"mmmm")</f>
        <v>February</v>
      </c>
      <c r="C2027" s="6" t="str">
        <f t="shared" si="14"/>
        <v>Feb</v>
      </c>
      <c r="D2027" s="6">
        <f>MONTH(Patient_Data!$E2027)</f>
        <v>2</v>
      </c>
      <c r="E2027" s="7">
        <v>45349</v>
      </c>
      <c r="F2027" s="55" t="str">
        <f>TEXT(Patient_Data[[#This Row],[Admission_Date]],"YYYY")</f>
        <v>2024</v>
      </c>
      <c r="G2027" s="8" t="s">
        <v>4046</v>
      </c>
      <c r="H2027" s="8" t="s">
        <v>82</v>
      </c>
      <c r="I2027" s="4" t="s">
        <v>35</v>
      </c>
      <c r="J2027" s="4">
        <v>77</v>
      </c>
      <c r="K2027" s="4" t="s">
        <v>30</v>
      </c>
      <c r="L2027" s="8">
        <v>2</v>
      </c>
      <c r="M2027" s="9" t="s">
        <v>39</v>
      </c>
      <c r="N2027" s="9" t="str">
        <f t="shared" si="15"/>
        <v>GM</v>
      </c>
      <c r="O2027" s="10">
        <v>4500.9799999999996</v>
      </c>
      <c r="P2027" s="10">
        <v>3213.09</v>
      </c>
      <c r="Q2027" s="11">
        <v>7.8</v>
      </c>
      <c r="R2027" s="13" t="str">
        <f>IF(Patient_Data!$L2027&lt;2,"Low Risk",IF(Patient_Data!$L2027&lt;4,"Moderate Risk","High Risk"))</f>
        <v>Moderate Risk</v>
      </c>
      <c r="S2027" s="12" t="str">
        <f>IF(Patient_Data[[#This Row],[Age]]&lt;=18,"Pediatric",IF(Patient_Data[[#This Row],[Age]]&lt;=64,"Adult","Geriatric"))</f>
        <v>Geriatric</v>
      </c>
    </row>
    <row r="2028" spans="1:19" ht="15.75" customHeight="1" x14ac:dyDescent="0.3">
      <c r="A2028" s="4" t="s">
        <v>4047</v>
      </c>
      <c r="B2028" s="5" t="str">
        <f>TEXT(Patient_Data!$E2028,"mmmm")</f>
        <v>April</v>
      </c>
      <c r="C2028" s="6" t="str">
        <f t="shared" si="14"/>
        <v>Apr</v>
      </c>
      <c r="D2028" s="6">
        <f>MONTH(Patient_Data!$E2028)</f>
        <v>4</v>
      </c>
      <c r="E2028" s="7">
        <v>45393</v>
      </c>
      <c r="F2028" s="55" t="str">
        <f>TEXT(Patient_Data[[#This Row],[Admission_Date]],"YYYY")</f>
        <v>2024</v>
      </c>
      <c r="G2028" s="8" t="s">
        <v>4048</v>
      </c>
      <c r="H2028" s="8" t="s">
        <v>132</v>
      </c>
      <c r="I2028" s="4" t="s">
        <v>35</v>
      </c>
      <c r="J2028" s="4">
        <v>74</v>
      </c>
      <c r="K2028" s="4" t="s">
        <v>54</v>
      </c>
      <c r="L2028" s="8">
        <v>5</v>
      </c>
      <c r="M2028" s="9" t="s">
        <v>50</v>
      </c>
      <c r="N2028" s="9" t="str">
        <f t="shared" si="15"/>
        <v>ICU</v>
      </c>
      <c r="O2028" s="10">
        <v>14377.9</v>
      </c>
      <c r="P2028" s="10">
        <v>10620.67</v>
      </c>
      <c r="Q2028" s="11">
        <v>15.6</v>
      </c>
      <c r="R2028" s="13" t="str">
        <f>IF(Patient_Data!$L2028&lt;2,"Low Risk",IF(Patient_Data!$L2028&lt;4,"Moderate Risk","High Risk"))</f>
        <v>High Risk</v>
      </c>
      <c r="S2028" s="12" t="str">
        <f>IF(Patient_Data[[#This Row],[Age]]&lt;=18,"Pediatric",IF(Patient_Data[[#This Row],[Age]]&lt;=64,"Adult","Geriatric"))</f>
        <v>Geriatric</v>
      </c>
    </row>
    <row r="2029" spans="1:19" ht="15.75" customHeight="1" x14ac:dyDescent="0.3">
      <c r="A2029" s="4" t="s">
        <v>4049</v>
      </c>
      <c r="B2029" s="5" t="str">
        <f>TEXT(Patient_Data!$E2029,"mmmm")</f>
        <v>June</v>
      </c>
      <c r="C2029" s="6" t="str">
        <f t="shared" si="14"/>
        <v>Jun</v>
      </c>
      <c r="D2029" s="6">
        <f>MONTH(Patient_Data!$E2029)</f>
        <v>6</v>
      </c>
      <c r="E2029" s="7">
        <v>46178</v>
      </c>
      <c r="F2029" s="55" t="str">
        <f>TEXT(Patient_Data[[#This Row],[Admission_Date]],"YYYY")</f>
        <v>2026</v>
      </c>
      <c r="G2029" s="8" t="s">
        <v>4050</v>
      </c>
      <c r="H2029" s="8" t="s">
        <v>49</v>
      </c>
      <c r="I2029" s="4" t="s">
        <v>35</v>
      </c>
      <c r="J2029" s="4">
        <v>1</v>
      </c>
      <c r="K2029" s="4" t="s">
        <v>30</v>
      </c>
      <c r="L2029" s="8">
        <v>2</v>
      </c>
      <c r="M2029" s="9" t="s">
        <v>79</v>
      </c>
      <c r="N2029" s="9" t="str">
        <f t="shared" si="15"/>
        <v>PD</v>
      </c>
      <c r="O2029" s="10">
        <v>1965.07</v>
      </c>
      <c r="P2029" s="10">
        <v>1532.65</v>
      </c>
      <c r="Q2029" s="11">
        <v>4.9000000000000004</v>
      </c>
      <c r="R2029" s="13" t="str">
        <f>IF(Patient_Data!$L2029&lt;2,"Low Risk",IF(Patient_Data!$L2029&lt;4,"Moderate Risk","High Risk"))</f>
        <v>Moderate Risk</v>
      </c>
      <c r="S2029" s="12" t="str">
        <f>IF(Patient_Data[[#This Row],[Age]]&lt;=18,"Pediatric",IF(Patient_Data[[#This Row],[Age]]&lt;=64,"Adult","Geriatric"))</f>
        <v>Pediatric</v>
      </c>
    </row>
    <row r="2030" spans="1:19" ht="15.75" customHeight="1" x14ac:dyDescent="0.3">
      <c r="A2030" s="4" t="s">
        <v>4051</v>
      </c>
      <c r="B2030" s="5" t="str">
        <f>TEXT(Patient_Data!$E2030,"mmmm")</f>
        <v>July</v>
      </c>
      <c r="C2030" s="6" t="str">
        <f t="shared" si="14"/>
        <v>Jul</v>
      </c>
      <c r="D2030" s="6">
        <f>MONTH(Patient_Data!$E2030)</f>
        <v>7</v>
      </c>
      <c r="E2030" s="7">
        <v>46214</v>
      </c>
      <c r="F2030" s="55" t="str">
        <f>TEXT(Patient_Data[[#This Row],[Admission_Date]],"YYYY")</f>
        <v>2026</v>
      </c>
      <c r="G2030" s="8" t="s">
        <v>4052</v>
      </c>
      <c r="H2030" s="8" t="s">
        <v>28</v>
      </c>
      <c r="I2030" s="4" t="s">
        <v>35</v>
      </c>
      <c r="J2030" s="4">
        <v>56</v>
      </c>
      <c r="K2030" s="4" t="s">
        <v>54</v>
      </c>
      <c r="L2030" s="8">
        <v>1</v>
      </c>
      <c r="M2030" s="9" t="s">
        <v>39</v>
      </c>
      <c r="N2030" s="9" t="str">
        <f t="shared" si="15"/>
        <v>GM</v>
      </c>
      <c r="O2030" s="10">
        <v>4426.17</v>
      </c>
      <c r="P2030" s="10">
        <v>2616.7800000000002</v>
      </c>
      <c r="Q2030" s="11">
        <v>6.2</v>
      </c>
      <c r="R2030" s="13" t="str">
        <f>IF(Patient_Data!$L2030&lt;2,"Low Risk",IF(Patient_Data!$L2030&lt;4,"Moderate Risk","High Risk"))</f>
        <v>Low Risk</v>
      </c>
      <c r="S2030" s="12" t="str">
        <f>IF(Patient_Data[[#This Row],[Age]]&lt;=18,"Pediatric",IF(Patient_Data[[#This Row],[Age]]&lt;=64,"Adult","Geriatric"))</f>
        <v>Adult</v>
      </c>
    </row>
    <row r="2031" spans="1:19" ht="15.75" customHeight="1" x14ac:dyDescent="0.3">
      <c r="A2031" s="4" t="s">
        <v>4053</v>
      </c>
      <c r="B2031" s="5" t="str">
        <f>TEXT(Patient_Data!$E2031,"mmmm")</f>
        <v>December</v>
      </c>
      <c r="C2031" s="6" t="str">
        <f t="shared" si="14"/>
        <v>Dec</v>
      </c>
      <c r="D2031" s="6">
        <f>MONTH(Patient_Data!$E2031)</f>
        <v>12</v>
      </c>
      <c r="E2031" s="7">
        <v>45269</v>
      </c>
      <c r="F2031" s="55" t="str">
        <f>TEXT(Patient_Data[[#This Row],[Admission_Date]],"YYYY")</f>
        <v>2023</v>
      </c>
      <c r="G2031" s="8" t="s">
        <v>4054</v>
      </c>
      <c r="H2031" s="8" t="s">
        <v>82</v>
      </c>
      <c r="I2031" s="4" t="s">
        <v>29</v>
      </c>
      <c r="J2031" s="4">
        <v>84</v>
      </c>
      <c r="K2031" s="4" t="s">
        <v>30</v>
      </c>
      <c r="L2031" s="8">
        <v>4</v>
      </c>
      <c r="M2031" s="9" t="s">
        <v>46</v>
      </c>
      <c r="N2031" s="9" t="str">
        <f t="shared" si="15"/>
        <v>Ortho</v>
      </c>
      <c r="O2031" s="10">
        <v>9154.23</v>
      </c>
      <c r="P2031" s="10">
        <v>5648.08</v>
      </c>
      <c r="Q2031" s="11">
        <v>8</v>
      </c>
      <c r="R2031" s="13" t="str">
        <f>IF(Patient_Data!$L2031&lt;2,"Low Risk",IF(Patient_Data!$L2031&lt;4,"Moderate Risk","High Risk"))</f>
        <v>High Risk</v>
      </c>
      <c r="S2031" s="12" t="str">
        <f>IF(Patient_Data[[#This Row],[Age]]&lt;=18,"Pediatric",IF(Patient_Data[[#This Row],[Age]]&lt;=64,"Adult","Geriatric"))</f>
        <v>Geriatric</v>
      </c>
    </row>
    <row r="2032" spans="1:19" ht="15.75" customHeight="1" x14ac:dyDescent="0.3">
      <c r="A2032" s="4" t="s">
        <v>4055</v>
      </c>
      <c r="B2032" s="5" t="str">
        <f>TEXT(Patient_Data!$E2032,"mmmm")</f>
        <v>August</v>
      </c>
      <c r="C2032" s="6" t="str">
        <f t="shared" si="14"/>
        <v>Aug</v>
      </c>
      <c r="D2032" s="6">
        <f>MONTH(Patient_Data!$E2032)</f>
        <v>8</v>
      </c>
      <c r="E2032" s="7">
        <v>45524</v>
      </c>
      <c r="F2032" s="55" t="str">
        <f>TEXT(Patient_Data[[#This Row],[Admission_Date]],"YYYY")</f>
        <v>2024</v>
      </c>
      <c r="G2032" s="8" t="s">
        <v>4056</v>
      </c>
      <c r="H2032" s="8" t="s">
        <v>82</v>
      </c>
      <c r="I2032" s="4" t="s">
        <v>35</v>
      </c>
      <c r="J2032" s="4">
        <v>54</v>
      </c>
      <c r="K2032" s="4" t="s">
        <v>54</v>
      </c>
      <c r="L2032" s="8">
        <v>3</v>
      </c>
      <c r="M2032" s="9" t="s">
        <v>83</v>
      </c>
      <c r="N2032" s="9" t="str">
        <f t="shared" si="15"/>
        <v>ER</v>
      </c>
      <c r="O2032" s="10">
        <v>9286.2000000000007</v>
      </c>
      <c r="P2032" s="10">
        <v>6067.17</v>
      </c>
      <c r="Q2032" s="11">
        <v>15.5</v>
      </c>
      <c r="R2032" s="13" t="str">
        <f>IF(Patient_Data!$L2032&lt;2,"Low Risk",IF(Patient_Data!$L2032&lt;4,"Moderate Risk","High Risk"))</f>
        <v>Moderate Risk</v>
      </c>
      <c r="S2032" s="12" t="str">
        <f>IF(Patient_Data[[#This Row],[Age]]&lt;=18,"Pediatric",IF(Patient_Data[[#This Row],[Age]]&lt;=64,"Adult","Geriatric"))</f>
        <v>Adult</v>
      </c>
    </row>
    <row r="2033" spans="1:19" ht="15.75" customHeight="1" x14ac:dyDescent="0.3">
      <c r="A2033" s="4" t="s">
        <v>4057</v>
      </c>
      <c r="B2033" s="5" t="str">
        <f>TEXT(Patient_Data!$E2033,"mmmm")</f>
        <v>November</v>
      </c>
      <c r="C2033" s="6" t="str">
        <f t="shared" si="14"/>
        <v>Nov</v>
      </c>
      <c r="D2033" s="6">
        <f>MONTH(Patient_Data!$E2033)</f>
        <v>11</v>
      </c>
      <c r="E2033" s="7">
        <v>45247</v>
      </c>
      <c r="F2033" s="55" t="str">
        <f>TEXT(Patient_Data[[#This Row],[Admission_Date]],"YYYY")</f>
        <v>2023</v>
      </c>
      <c r="G2033" s="8" t="s">
        <v>4058</v>
      </c>
      <c r="H2033" s="8" t="s">
        <v>82</v>
      </c>
      <c r="I2033" s="4" t="s">
        <v>29</v>
      </c>
      <c r="J2033" s="4">
        <v>7</v>
      </c>
      <c r="K2033" s="4" t="s">
        <v>54</v>
      </c>
      <c r="L2033" s="8">
        <v>1</v>
      </c>
      <c r="M2033" s="9" t="s">
        <v>79</v>
      </c>
      <c r="N2033" s="9" t="str">
        <f t="shared" si="15"/>
        <v>PD</v>
      </c>
      <c r="O2033" s="10">
        <v>670.38</v>
      </c>
      <c r="P2033" s="10">
        <v>473.15</v>
      </c>
      <c r="Q2033" s="11">
        <v>3</v>
      </c>
      <c r="R2033" s="13" t="str">
        <f>IF(Patient_Data!$L2033&lt;2,"Low Risk",IF(Patient_Data!$L2033&lt;4,"Moderate Risk","High Risk"))</f>
        <v>Low Risk</v>
      </c>
      <c r="S2033" s="12" t="str">
        <f>IF(Patient_Data[[#This Row],[Age]]&lt;=18,"Pediatric",IF(Patient_Data[[#This Row],[Age]]&lt;=64,"Adult","Geriatric"))</f>
        <v>Pediatric</v>
      </c>
    </row>
    <row r="2034" spans="1:19" ht="15.75" customHeight="1" x14ac:dyDescent="0.3">
      <c r="A2034" s="4" t="s">
        <v>4059</v>
      </c>
      <c r="B2034" s="5" t="str">
        <f>TEXT(Patient_Data!$E2034,"mmmm")</f>
        <v>April</v>
      </c>
      <c r="C2034" s="6" t="str">
        <f t="shared" si="14"/>
        <v>Apr</v>
      </c>
      <c r="D2034" s="6">
        <f>MONTH(Patient_Data!$E2034)</f>
        <v>4</v>
      </c>
      <c r="E2034" s="7">
        <v>45762</v>
      </c>
      <c r="F2034" s="55" t="str">
        <f>TEXT(Patient_Data[[#This Row],[Admission_Date]],"YYYY")</f>
        <v>2025</v>
      </c>
      <c r="G2034" s="8" t="s">
        <v>4060</v>
      </c>
      <c r="H2034" s="8" t="s">
        <v>53</v>
      </c>
      <c r="I2034" s="4" t="s">
        <v>29</v>
      </c>
      <c r="J2034" s="4">
        <v>19</v>
      </c>
      <c r="K2034" s="4" t="s">
        <v>45</v>
      </c>
      <c r="L2034" s="8">
        <v>2</v>
      </c>
      <c r="M2034" s="9" t="s">
        <v>36</v>
      </c>
      <c r="N2034" s="9" t="str">
        <f t="shared" si="15"/>
        <v>Cardio</v>
      </c>
      <c r="O2034" s="10">
        <v>12653.39</v>
      </c>
      <c r="P2034" s="10">
        <v>8879.77</v>
      </c>
      <c r="Q2034" s="11">
        <v>2.8</v>
      </c>
      <c r="R2034" s="13" t="str">
        <f>IF(Patient_Data!$L2034&lt;2,"Low Risk",IF(Patient_Data!$L2034&lt;4,"Moderate Risk","High Risk"))</f>
        <v>Moderate Risk</v>
      </c>
      <c r="S2034" s="12" t="str">
        <f>IF(Patient_Data[[#This Row],[Age]]&lt;=18,"Pediatric",IF(Patient_Data[[#This Row],[Age]]&lt;=64,"Adult","Geriatric"))</f>
        <v>Adult</v>
      </c>
    </row>
    <row r="2035" spans="1:19" ht="15.75" customHeight="1" x14ac:dyDescent="0.3">
      <c r="A2035" s="4" t="s">
        <v>4061</v>
      </c>
      <c r="B2035" s="5" t="str">
        <f>TEXT(Patient_Data!$E2035,"mmmm")</f>
        <v>September</v>
      </c>
      <c r="C2035" s="6" t="str">
        <f t="shared" si="14"/>
        <v>Sep</v>
      </c>
      <c r="D2035" s="6">
        <f>MONTH(Patient_Data!$E2035)</f>
        <v>9</v>
      </c>
      <c r="E2035" s="7">
        <v>45904</v>
      </c>
      <c r="F2035" s="55" t="str">
        <f>TEXT(Patient_Data[[#This Row],[Admission_Date]],"YYYY")</f>
        <v>2025</v>
      </c>
      <c r="G2035" s="8" t="s">
        <v>4062</v>
      </c>
      <c r="H2035" s="8" t="s">
        <v>53</v>
      </c>
      <c r="I2035" s="4" t="s">
        <v>35</v>
      </c>
      <c r="J2035" s="4">
        <v>45</v>
      </c>
      <c r="K2035" s="4" t="s">
        <v>30</v>
      </c>
      <c r="L2035" s="8">
        <v>1</v>
      </c>
      <c r="M2035" s="9" t="s">
        <v>36</v>
      </c>
      <c r="N2035" s="9" t="str">
        <f t="shared" si="15"/>
        <v>Cardio</v>
      </c>
      <c r="O2035" s="10">
        <v>6979.71</v>
      </c>
      <c r="P2035" s="10">
        <v>5179.1899999999996</v>
      </c>
      <c r="Q2035" s="11">
        <v>10.5</v>
      </c>
      <c r="R2035" s="13" t="str">
        <f>IF(Patient_Data!$L2035&lt;2,"Low Risk",IF(Patient_Data!$L2035&lt;4,"Moderate Risk","High Risk"))</f>
        <v>Low Risk</v>
      </c>
      <c r="S2035" s="12" t="str">
        <f>IF(Patient_Data[[#This Row],[Age]]&lt;=18,"Pediatric",IF(Patient_Data[[#This Row],[Age]]&lt;=64,"Adult","Geriatric"))</f>
        <v>Adult</v>
      </c>
    </row>
    <row r="2036" spans="1:19" ht="15.75" customHeight="1" x14ac:dyDescent="0.3">
      <c r="A2036" s="4" t="s">
        <v>4063</v>
      </c>
      <c r="B2036" s="5" t="str">
        <f>TEXT(Patient_Data!$E2036,"mmmm")</f>
        <v>May</v>
      </c>
      <c r="C2036" s="6" t="str">
        <f t="shared" si="14"/>
        <v>May</v>
      </c>
      <c r="D2036" s="6">
        <f>MONTH(Patient_Data!$E2036)</f>
        <v>5</v>
      </c>
      <c r="E2036" s="7">
        <v>45807</v>
      </c>
      <c r="F2036" s="55" t="str">
        <f>TEXT(Patient_Data[[#This Row],[Admission_Date]],"YYYY")</f>
        <v>2025</v>
      </c>
      <c r="G2036" s="8" t="s">
        <v>4064</v>
      </c>
      <c r="H2036" s="8" t="s">
        <v>82</v>
      </c>
      <c r="I2036" s="4" t="s">
        <v>35</v>
      </c>
      <c r="J2036" s="4">
        <v>48</v>
      </c>
      <c r="K2036" s="4" t="s">
        <v>45</v>
      </c>
      <c r="L2036" s="8">
        <v>4</v>
      </c>
      <c r="M2036" s="9" t="s">
        <v>72</v>
      </c>
      <c r="N2036" s="9" t="str">
        <f t="shared" si="15"/>
        <v>Surgery</v>
      </c>
      <c r="O2036" s="10">
        <v>16252.72</v>
      </c>
      <c r="P2036" s="10">
        <v>12425.67</v>
      </c>
      <c r="Q2036" s="11">
        <v>9.1999999999999993</v>
      </c>
      <c r="R2036" s="13" t="str">
        <f>IF(Patient_Data!$L2036&lt;2,"Low Risk",IF(Patient_Data!$L2036&lt;4,"Moderate Risk","High Risk"))</f>
        <v>High Risk</v>
      </c>
      <c r="S2036" s="12" t="str">
        <f>IF(Patient_Data[[#This Row],[Age]]&lt;=18,"Pediatric",IF(Patient_Data[[#This Row],[Age]]&lt;=64,"Adult","Geriatric"))</f>
        <v>Adult</v>
      </c>
    </row>
    <row r="2037" spans="1:19" ht="15.75" customHeight="1" x14ac:dyDescent="0.3">
      <c r="A2037" s="4" t="s">
        <v>4065</v>
      </c>
      <c r="B2037" s="5" t="str">
        <f>TEXT(Patient_Data!$E2037,"mmmm")</f>
        <v>November</v>
      </c>
      <c r="C2037" s="6" t="str">
        <f t="shared" si="14"/>
        <v>Nov</v>
      </c>
      <c r="D2037" s="6">
        <f>MONTH(Patient_Data!$E2037)</f>
        <v>11</v>
      </c>
      <c r="E2037" s="7">
        <v>45260</v>
      </c>
      <c r="F2037" s="55" t="str">
        <f>TEXT(Patient_Data[[#This Row],[Admission_Date]],"YYYY")</f>
        <v>2023</v>
      </c>
      <c r="G2037" s="8" t="s">
        <v>4066</v>
      </c>
      <c r="H2037" s="8" t="s">
        <v>75</v>
      </c>
      <c r="I2037" s="4" t="s">
        <v>29</v>
      </c>
      <c r="J2037" s="4">
        <v>47</v>
      </c>
      <c r="K2037" s="4" t="s">
        <v>30</v>
      </c>
      <c r="L2037" s="8">
        <v>1</v>
      </c>
      <c r="M2037" s="9" t="s">
        <v>83</v>
      </c>
      <c r="N2037" s="9" t="str">
        <f t="shared" si="15"/>
        <v>ER</v>
      </c>
      <c r="O2037" s="10">
        <v>5065.12</v>
      </c>
      <c r="P2037" s="10">
        <v>3117.77</v>
      </c>
      <c r="Q2037" s="11">
        <v>22.5</v>
      </c>
      <c r="R2037" s="13" t="str">
        <f>IF(Patient_Data!$L2037&lt;2,"Low Risk",IF(Patient_Data!$L2037&lt;4,"Moderate Risk","High Risk"))</f>
        <v>Low Risk</v>
      </c>
      <c r="S2037" s="12" t="str">
        <f>IF(Patient_Data[[#This Row],[Age]]&lt;=18,"Pediatric",IF(Patient_Data[[#This Row],[Age]]&lt;=64,"Adult","Geriatric"))</f>
        <v>Adult</v>
      </c>
    </row>
    <row r="2038" spans="1:19" ht="15.75" customHeight="1" x14ac:dyDescent="0.3">
      <c r="A2038" s="4" t="s">
        <v>4067</v>
      </c>
      <c r="B2038" s="5" t="str">
        <f>TEXT(Patient_Data!$E2038,"mmmm")</f>
        <v>August</v>
      </c>
      <c r="C2038" s="6" t="str">
        <f t="shared" si="14"/>
        <v>Aug</v>
      </c>
      <c r="D2038" s="6">
        <f>MONTH(Patient_Data!$E2038)</f>
        <v>8</v>
      </c>
      <c r="E2038" s="7">
        <v>45516</v>
      </c>
      <c r="F2038" s="55" t="str">
        <f>TEXT(Patient_Data[[#This Row],[Admission_Date]],"YYYY")</f>
        <v>2024</v>
      </c>
      <c r="G2038" s="8" t="s">
        <v>4068</v>
      </c>
      <c r="H2038" s="8" t="s">
        <v>28</v>
      </c>
      <c r="I2038" s="4" t="s">
        <v>35</v>
      </c>
      <c r="J2038" s="4">
        <v>51</v>
      </c>
      <c r="K2038" s="4" t="s">
        <v>30</v>
      </c>
      <c r="L2038" s="8">
        <v>2</v>
      </c>
      <c r="M2038" s="9" t="s">
        <v>83</v>
      </c>
      <c r="N2038" s="9" t="str">
        <f t="shared" si="15"/>
        <v>ER</v>
      </c>
      <c r="O2038" s="10">
        <v>3264.34</v>
      </c>
      <c r="P2038" s="10">
        <v>2105.65</v>
      </c>
      <c r="Q2038" s="11">
        <v>14.3</v>
      </c>
      <c r="R2038" s="13" t="str">
        <f>IF(Patient_Data!$L2038&lt;2,"Low Risk",IF(Patient_Data!$L2038&lt;4,"Moderate Risk","High Risk"))</f>
        <v>Moderate Risk</v>
      </c>
      <c r="S2038" s="12" t="str">
        <f>IF(Patient_Data[[#This Row],[Age]]&lt;=18,"Pediatric",IF(Patient_Data[[#This Row],[Age]]&lt;=64,"Adult","Geriatric"))</f>
        <v>Adult</v>
      </c>
    </row>
    <row r="2039" spans="1:19" ht="15.75" customHeight="1" x14ac:dyDescent="0.3">
      <c r="A2039" s="4" t="s">
        <v>4069</v>
      </c>
      <c r="B2039" s="5" t="str">
        <f>TEXT(Patient_Data!$E2039,"mmmm")</f>
        <v>July</v>
      </c>
      <c r="C2039" s="6" t="str">
        <f t="shared" si="14"/>
        <v>Jul</v>
      </c>
      <c r="D2039" s="6">
        <f>MONTH(Patient_Data!$E2039)</f>
        <v>7</v>
      </c>
      <c r="E2039" s="7">
        <v>45840</v>
      </c>
      <c r="F2039" s="55" t="str">
        <f>TEXT(Patient_Data[[#This Row],[Admission_Date]],"YYYY")</f>
        <v>2025</v>
      </c>
      <c r="G2039" s="8" t="s">
        <v>4070</v>
      </c>
      <c r="H2039" s="8" t="s">
        <v>42</v>
      </c>
      <c r="I2039" s="4" t="s">
        <v>35</v>
      </c>
      <c r="J2039" s="4">
        <v>55</v>
      </c>
      <c r="K2039" s="4" t="s">
        <v>30</v>
      </c>
      <c r="L2039" s="8">
        <v>1</v>
      </c>
      <c r="M2039" s="9" t="s">
        <v>31</v>
      </c>
      <c r="N2039" s="9" t="str">
        <f t="shared" si="15"/>
        <v>Neuro</v>
      </c>
      <c r="O2039" s="10">
        <v>9401.7099999999991</v>
      </c>
      <c r="P2039" s="10">
        <v>6085.89</v>
      </c>
      <c r="Q2039" s="11">
        <v>8.6</v>
      </c>
      <c r="R2039" s="13" t="str">
        <f>IF(Patient_Data!$L2039&lt;2,"Low Risk",IF(Patient_Data!$L2039&lt;4,"Moderate Risk","High Risk"))</f>
        <v>Low Risk</v>
      </c>
      <c r="S2039" s="12" t="str">
        <f>IF(Patient_Data[[#This Row],[Age]]&lt;=18,"Pediatric",IF(Patient_Data[[#This Row],[Age]]&lt;=64,"Adult","Geriatric"))</f>
        <v>Adult</v>
      </c>
    </row>
    <row r="2040" spans="1:19" ht="15.75" customHeight="1" x14ac:dyDescent="0.3">
      <c r="A2040" s="4" t="s">
        <v>4071</v>
      </c>
      <c r="B2040" s="5" t="str">
        <f>TEXT(Patient_Data!$E2040,"mmmm")</f>
        <v>February</v>
      </c>
      <c r="C2040" s="6" t="str">
        <f t="shared" si="14"/>
        <v>Feb</v>
      </c>
      <c r="D2040" s="6">
        <f>MONTH(Patient_Data!$E2040)</f>
        <v>2</v>
      </c>
      <c r="E2040" s="7">
        <v>45716</v>
      </c>
      <c r="F2040" s="55" t="str">
        <f>TEXT(Patient_Data[[#This Row],[Admission_Date]],"YYYY")</f>
        <v>2025</v>
      </c>
      <c r="G2040" s="8" t="s">
        <v>4072</v>
      </c>
      <c r="H2040" s="8" t="s">
        <v>49</v>
      </c>
      <c r="I2040" s="4" t="s">
        <v>29</v>
      </c>
      <c r="J2040" s="4">
        <v>35</v>
      </c>
      <c r="K2040" s="4" t="s">
        <v>30</v>
      </c>
      <c r="L2040" s="8">
        <v>5</v>
      </c>
      <c r="M2040" s="9" t="s">
        <v>72</v>
      </c>
      <c r="N2040" s="9" t="str">
        <f t="shared" si="15"/>
        <v>Surgery</v>
      </c>
      <c r="O2040" s="10">
        <v>14811.13</v>
      </c>
      <c r="P2040" s="10">
        <v>9958.66</v>
      </c>
      <c r="Q2040" s="11">
        <v>4.4000000000000004</v>
      </c>
      <c r="R2040" s="13" t="str">
        <f>IF(Patient_Data!$L2040&lt;2,"Low Risk",IF(Patient_Data!$L2040&lt;4,"Moderate Risk","High Risk"))</f>
        <v>High Risk</v>
      </c>
      <c r="S2040" s="12" t="str">
        <f>IF(Patient_Data[[#This Row],[Age]]&lt;=18,"Pediatric",IF(Patient_Data[[#This Row],[Age]]&lt;=64,"Adult","Geriatric"))</f>
        <v>Adult</v>
      </c>
    </row>
    <row r="2041" spans="1:19" ht="15.75" customHeight="1" x14ac:dyDescent="0.3">
      <c r="A2041" s="4" t="s">
        <v>4073</v>
      </c>
      <c r="B2041" s="5" t="str">
        <f>TEXT(Patient_Data!$E2041,"mmmm")</f>
        <v>March</v>
      </c>
      <c r="C2041" s="6" t="str">
        <f t="shared" si="14"/>
        <v>Mar</v>
      </c>
      <c r="D2041" s="6">
        <f>MONTH(Patient_Data!$E2041)</f>
        <v>3</v>
      </c>
      <c r="E2041" s="7">
        <v>45357</v>
      </c>
      <c r="F2041" s="55" t="str">
        <f>TEXT(Patient_Data[[#This Row],[Admission_Date]],"YYYY")</f>
        <v>2024</v>
      </c>
      <c r="G2041" s="8" t="s">
        <v>3380</v>
      </c>
      <c r="H2041" s="8" t="s">
        <v>34</v>
      </c>
      <c r="I2041" s="4" t="s">
        <v>35</v>
      </c>
      <c r="J2041" s="4">
        <v>51</v>
      </c>
      <c r="K2041" s="4" t="s">
        <v>54</v>
      </c>
      <c r="L2041" s="8">
        <v>5</v>
      </c>
      <c r="M2041" s="9" t="s">
        <v>72</v>
      </c>
      <c r="N2041" s="9" t="str">
        <f t="shared" si="15"/>
        <v>Surgery</v>
      </c>
      <c r="O2041" s="10">
        <v>18622.39</v>
      </c>
      <c r="P2041" s="10">
        <v>13068.47</v>
      </c>
      <c r="Q2041" s="11">
        <v>4.0999999999999996</v>
      </c>
      <c r="R2041" s="13" t="str">
        <f>IF(Patient_Data!$L2041&lt;2,"Low Risk",IF(Patient_Data!$L2041&lt;4,"Moderate Risk","High Risk"))</f>
        <v>High Risk</v>
      </c>
      <c r="S2041" s="12" t="str">
        <f>IF(Patient_Data[[#This Row],[Age]]&lt;=18,"Pediatric",IF(Patient_Data[[#This Row],[Age]]&lt;=64,"Adult","Geriatric"))</f>
        <v>Adult</v>
      </c>
    </row>
    <row r="2042" spans="1:19" ht="15.75" customHeight="1" x14ac:dyDescent="0.3">
      <c r="A2042" s="4" t="s">
        <v>4074</v>
      </c>
      <c r="B2042" s="5" t="str">
        <f>TEXT(Patient_Data!$E2042,"mmmm")</f>
        <v>September</v>
      </c>
      <c r="C2042" s="6" t="str">
        <f t="shared" ref="C2042:C2296" si="16">LEFT(B2042,3)</f>
        <v>Sep</v>
      </c>
      <c r="D2042" s="6">
        <f>MONTH(Patient_Data!$E2042)</f>
        <v>9</v>
      </c>
      <c r="E2042" s="7">
        <v>45930</v>
      </c>
      <c r="F2042" s="55" t="str">
        <f>TEXT(Patient_Data[[#This Row],[Admission_Date]],"YYYY")</f>
        <v>2025</v>
      </c>
      <c r="G2042" s="8" t="s">
        <v>4075</v>
      </c>
      <c r="H2042" s="8" t="s">
        <v>34</v>
      </c>
      <c r="I2042" s="4" t="s">
        <v>29</v>
      </c>
      <c r="J2042" s="4">
        <v>92</v>
      </c>
      <c r="K2042" s="4" t="s">
        <v>54</v>
      </c>
      <c r="L2042" s="8">
        <v>4</v>
      </c>
      <c r="M2042" s="9" t="s">
        <v>50</v>
      </c>
      <c r="N2042" s="9" t="str">
        <f t="shared" ref="N2042:N2296" si="17">IF(M2042="Cardiology","Cardio",IF(M2042="Intensive Care Unit","ICU",IF(M2042="Neurology","Neuro",IF(M2042="Emergency Room","ER",IF(M2042="Pediatrics","PD",IF(M2042="Surgery","Surgery",IF(M2042="General Medicine","GM",IF(M2042="Orthopedics","Ortho",""))))))))</f>
        <v>ICU</v>
      </c>
      <c r="O2042" s="10">
        <v>11604.1</v>
      </c>
      <c r="P2042" s="10">
        <v>8605.39</v>
      </c>
      <c r="Q2042" s="11">
        <v>16.8</v>
      </c>
      <c r="R2042" s="13" t="str">
        <f>IF(Patient_Data!$L2042&lt;2,"Low Risk",IF(Patient_Data!$L2042&lt;4,"Moderate Risk","High Risk"))</f>
        <v>High Risk</v>
      </c>
      <c r="S2042" s="12" t="str">
        <f>IF(Patient_Data[[#This Row],[Age]]&lt;=18,"Pediatric",IF(Patient_Data[[#This Row],[Age]]&lt;=64,"Adult","Geriatric"))</f>
        <v>Geriatric</v>
      </c>
    </row>
    <row r="2043" spans="1:19" ht="15.75" customHeight="1" x14ac:dyDescent="0.3">
      <c r="A2043" s="4" t="s">
        <v>4076</v>
      </c>
      <c r="B2043" s="5" t="str">
        <f>TEXT(Patient_Data!$E2043,"mmmm")</f>
        <v>July</v>
      </c>
      <c r="C2043" s="6" t="str">
        <f t="shared" si="16"/>
        <v>Jul</v>
      </c>
      <c r="D2043" s="6">
        <f>MONTH(Patient_Data!$E2043)</f>
        <v>7</v>
      </c>
      <c r="E2043" s="7">
        <v>45868</v>
      </c>
      <c r="F2043" s="55" t="str">
        <f>TEXT(Patient_Data[[#This Row],[Admission_Date]],"YYYY")</f>
        <v>2025</v>
      </c>
      <c r="G2043" s="8" t="s">
        <v>4077</v>
      </c>
      <c r="H2043" s="8" t="s">
        <v>132</v>
      </c>
      <c r="I2043" s="4" t="s">
        <v>35</v>
      </c>
      <c r="J2043" s="4">
        <v>35</v>
      </c>
      <c r="K2043" s="4" t="s">
        <v>30</v>
      </c>
      <c r="L2043" s="8">
        <v>3</v>
      </c>
      <c r="M2043" s="9" t="s">
        <v>31</v>
      </c>
      <c r="N2043" s="9" t="str">
        <f t="shared" si="17"/>
        <v>Neuro</v>
      </c>
      <c r="O2043" s="10">
        <v>12093.8</v>
      </c>
      <c r="P2043" s="10">
        <v>9263.2900000000009</v>
      </c>
      <c r="Q2043" s="11">
        <v>9</v>
      </c>
      <c r="R2043" s="13" t="str">
        <f>IF(Patient_Data!$L2043&lt;2,"Low Risk",IF(Patient_Data!$L2043&lt;4,"Moderate Risk","High Risk"))</f>
        <v>Moderate Risk</v>
      </c>
      <c r="S2043" s="12" t="str">
        <f>IF(Patient_Data[[#This Row],[Age]]&lt;=18,"Pediatric",IF(Patient_Data[[#This Row],[Age]]&lt;=64,"Adult","Geriatric"))</f>
        <v>Adult</v>
      </c>
    </row>
    <row r="2044" spans="1:19" ht="15.75" customHeight="1" x14ac:dyDescent="0.3">
      <c r="A2044" s="4" t="s">
        <v>4078</v>
      </c>
      <c r="B2044" s="5" t="str">
        <f>TEXT(Patient_Data!$E2044,"mmmm")</f>
        <v>September</v>
      </c>
      <c r="C2044" s="6" t="str">
        <f t="shared" si="16"/>
        <v>Sep</v>
      </c>
      <c r="D2044" s="6">
        <f>MONTH(Patient_Data!$E2044)</f>
        <v>9</v>
      </c>
      <c r="E2044" s="7">
        <v>45541</v>
      </c>
      <c r="F2044" s="55" t="str">
        <f>TEXT(Patient_Data[[#This Row],[Admission_Date]],"YYYY")</f>
        <v>2024</v>
      </c>
      <c r="G2044" s="8" t="s">
        <v>2639</v>
      </c>
      <c r="H2044" s="8" t="s">
        <v>34</v>
      </c>
      <c r="I2044" s="4" t="s">
        <v>29</v>
      </c>
      <c r="J2044" s="4">
        <v>2</v>
      </c>
      <c r="K2044" s="4" t="s">
        <v>30</v>
      </c>
      <c r="L2044" s="8">
        <v>2</v>
      </c>
      <c r="M2044" s="9" t="s">
        <v>79</v>
      </c>
      <c r="N2044" s="9" t="str">
        <f t="shared" si="17"/>
        <v>PD</v>
      </c>
      <c r="O2044" s="10">
        <v>1145.6600000000001</v>
      </c>
      <c r="P2044" s="10">
        <v>712.48</v>
      </c>
      <c r="Q2044" s="11">
        <v>6</v>
      </c>
      <c r="R2044" s="13" t="str">
        <f>IF(Patient_Data!$L2044&lt;2,"Low Risk",IF(Patient_Data!$L2044&lt;4,"Moderate Risk","High Risk"))</f>
        <v>Moderate Risk</v>
      </c>
      <c r="S2044" s="12" t="str">
        <f>IF(Patient_Data[[#This Row],[Age]]&lt;=18,"Pediatric",IF(Patient_Data[[#This Row],[Age]]&lt;=64,"Adult","Geriatric"))</f>
        <v>Pediatric</v>
      </c>
    </row>
    <row r="2045" spans="1:19" ht="15.75" customHeight="1" x14ac:dyDescent="0.3">
      <c r="A2045" s="4" t="s">
        <v>4079</v>
      </c>
      <c r="B2045" s="5" t="str">
        <f>TEXT(Patient_Data!$E2045,"mmmm")</f>
        <v>April</v>
      </c>
      <c r="C2045" s="6" t="str">
        <f t="shared" si="16"/>
        <v>Apr</v>
      </c>
      <c r="D2045" s="6">
        <f>MONTH(Patient_Data!$E2045)</f>
        <v>4</v>
      </c>
      <c r="E2045" s="7">
        <v>45400</v>
      </c>
      <c r="F2045" s="55" t="str">
        <f>TEXT(Patient_Data[[#This Row],[Admission_Date]],"YYYY")</f>
        <v>2024</v>
      </c>
      <c r="G2045" s="8" t="s">
        <v>4080</v>
      </c>
      <c r="H2045" s="8" t="s">
        <v>53</v>
      </c>
      <c r="I2045" s="4" t="s">
        <v>35</v>
      </c>
      <c r="J2045" s="4">
        <v>69</v>
      </c>
      <c r="K2045" s="4" t="s">
        <v>45</v>
      </c>
      <c r="L2045" s="8">
        <v>5</v>
      </c>
      <c r="M2045" s="9" t="s">
        <v>72</v>
      </c>
      <c r="N2045" s="9" t="str">
        <f t="shared" si="17"/>
        <v>Surgery</v>
      </c>
      <c r="O2045" s="10">
        <v>22452.87</v>
      </c>
      <c r="P2045" s="10">
        <v>13752.25</v>
      </c>
      <c r="Q2045" s="11">
        <v>7</v>
      </c>
      <c r="R2045" s="13" t="str">
        <f>IF(Patient_Data!$L2045&lt;2,"Low Risk",IF(Patient_Data!$L2045&lt;4,"Moderate Risk","High Risk"))</f>
        <v>High Risk</v>
      </c>
      <c r="S2045" s="12" t="str">
        <f>IF(Patient_Data[[#This Row],[Age]]&lt;=18,"Pediatric",IF(Patient_Data[[#This Row],[Age]]&lt;=64,"Adult","Geriatric"))</f>
        <v>Geriatric</v>
      </c>
    </row>
    <row r="2046" spans="1:19" ht="15.75" customHeight="1" x14ac:dyDescent="0.3">
      <c r="A2046" s="4" t="s">
        <v>4081</v>
      </c>
      <c r="B2046" s="5" t="str">
        <f>TEXT(Patient_Data!$E2046,"mmmm")</f>
        <v>November</v>
      </c>
      <c r="C2046" s="6" t="str">
        <f t="shared" si="16"/>
        <v>Nov</v>
      </c>
      <c r="D2046" s="6">
        <f>MONTH(Patient_Data!$E2046)</f>
        <v>11</v>
      </c>
      <c r="E2046" s="7">
        <v>45987</v>
      </c>
      <c r="F2046" s="55" t="str">
        <f>TEXT(Patient_Data[[#This Row],[Admission_Date]],"YYYY")</f>
        <v>2025</v>
      </c>
      <c r="G2046" s="8" t="s">
        <v>4082</v>
      </c>
      <c r="H2046" s="8" t="s">
        <v>98</v>
      </c>
      <c r="I2046" s="4" t="s">
        <v>29</v>
      </c>
      <c r="J2046" s="4">
        <v>37</v>
      </c>
      <c r="K2046" s="4" t="s">
        <v>30</v>
      </c>
      <c r="L2046" s="8">
        <v>1</v>
      </c>
      <c r="M2046" s="9" t="s">
        <v>31</v>
      </c>
      <c r="N2046" s="9" t="str">
        <f t="shared" si="17"/>
        <v>Neuro</v>
      </c>
      <c r="O2046" s="10">
        <v>8272.7999999999993</v>
      </c>
      <c r="P2046" s="10">
        <v>5389.79</v>
      </c>
      <c r="Q2046" s="11">
        <v>11.9</v>
      </c>
      <c r="R2046" s="13" t="str">
        <f>IF(Patient_Data!$L2046&lt;2,"Low Risk",IF(Patient_Data!$L2046&lt;4,"Moderate Risk","High Risk"))</f>
        <v>Low Risk</v>
      </c>
      <c r="S2046" s="12" t="str">
        <f>IF(Patient_Data[[#This Row],[Age]]&lt;=18,"Pediatric",IF(Patient_Data[[#This Row],[Age]]&lt;=64,"Adult","Geriatric"))</f>
        <v>Adult</v>
      </c>
    </row>
    <row r="2047" spans="1:19" ht="15.75" customHeight="1" x14ac:dyDescent="0.3">
      <c r="A2047" s="4" t="s">
        <v>4083</v>
      </c>
      <c r="B2047" s="5" t="str">
        <f>TEXT(Patient_Data!$E2047,"mmmm")</f>
        <v>November</v>
      </c>
      <c r="C2047" s="6" t="str">
        <f t="shared" si="16"/>
        <v>Nov</v>
      </c>
      <c r="D2047" s="6">
        <f>MONTH(Patient_Data!$E2047)</f>
        <v>11</v>
      </c>
      <c r="E2047" s="7">
        <v>45986</v>
      </c>
      <c r="F2047" s="55" t="str">
        <f>TEXT(Patient_Data[[#This Row],[Admission_Date]],"YYYY")</f>
        <v>2025</v>
      </c>
      <c r="G2047" s="8" t="s">
        <v>4084</v>
      </c>
      <c r="H2047" s="8" t="s">
        <v>82</v>
      </c>
      <c r="I2047" s="4" t="s">
        <v>35</v>
      </c>
      <c r="J2047" s="4">
        <v>51</v>
      </c>
      <c r="K2047" s="4" t="s">
        <v>54</v>
      </c>
      <c r="L2047" s="8">
        <v>4</v>
      </c>
      <c r="M2047" s="9" t="s">
        <v>72</v>
      </c>
      <c r="N2047" s="9" t="str">
        <f t="shared" si="17"/>
        <v>Surgery</v>
      </c>
      <c r="O2047" s="10">
        <v>20154.37</v>
      </c>
      <c r="P2047" s="10">
        <v>13592.23</v>
      </c>
      <c r="Q2047" s="11">
        <v>11.1</v>
      </c>
      <c r="R2047" s="13" t="str">
        <f>IF(Patient_Data!$L2047&lt;2,"Low Risk",IF(Patient_Data!$L2047&lt;4,"Moderate Risk","High Risk"))</f>
        <v>High Risk</v>
      </c>
      <c r="S2047" s="12" t="str">
        <f>IF(Patient_Data[[#This Row],[Age]]&lt;=18,"Pediatric",IF(Patient_Data[[#This Row],[Age]]&lt;=64,"Adult","Geriatric"))</f>
        <v>Adult</v>
      </c>
    </row>
    <row r="2048" spans="1:19" ht="15.75" customHeight="1" x14ac:dyDescent="0.3">
      <c r="A2048" s="4" t="s">
        <v>4085</v>
      </c>
      <c r="B2048" s="5" t="str">
        <f>TEXT(Patient_Data!$E2048,"mmmm")</f>
        <v>March</v>
      </c>
      <c r="C2048" s="6" t="str">
        <f t="shared" si="16"/>
        <v>Mar</v>
      </c>
      <c r="D2048" s="6">
        <f>MONTH(Patient_Data!$E2048)</f>
        <v>3</v>
      </c>
      <c r="E2048" s="7">
        <v>46101</v>
      </c>
      <c r="F2048" s="55" t="str">
        <f>TEXT(Patient_Data[[#This Row],[Admission_Date]],"YYYY")</f>
        <v>2026</v>
      </c>
      <c r="G2048" s="8" t="s">
        <v>4086</v>
      </c>
      <c r="H2048" s="8" t="s">
        <v>82</v>
      </c>
      <c r="I2048" s="4" t="s">
        <v>35</v>
      </c>
      <c r="J2048" s="4">
        <v>0</v>
      </c>
      <c r="K2048" s="4" t="s">
        <v>30</v>
      </c>
      <c r="L2048" s="8">
        <v>1</v>
      </c>
      <c r="M2048" s="9" t="s">
        <v>79</v>
      </c>
      <c r="N2048" s="9" t="str">
        <f t="shared" si="17"/>
        <v>PD</v>
      </c>
      <c r="O2048" s="10">
        <v>674.93</v>
      </c>
      <c r="P2048" s="10">
        <v>506.85</v>
      </c>
      <c r="Q2048" s="11">
        <v>4.3</v>
      </c>
      <c r="R2048" s="13" t="str">
        <f>IF(Patient_Data!$L2048&lt;2,"Low Risk",IF(Patient_Data!$L2048&lt;4,"Moderate Risk","High Risk"))</f>
        <v>Low Risk</v>
      </c>
      <c r="S2048" s="12" t="str">
        <f>IF(Patient_Data[[#This Row],[Age]]&lt;=18,"Pediatric",IF(Patient_Data[[#This Row],[Age]]&lt;=64,"Adult","Geriatric"))</f>
        <v>Pediatric</v>
      </c>
    </row>
    <row r="2049" spans="1:19" ht="15.75" customHeight="1" x14ac:dyDescent="0.3">
      <c r="A2049" s="4" t="s">
        <v>4087</v>
      </c>
      <c r="B2049" s="5" t="str">
        <f>TEXT(Patient_Data!$E2049,"mmmm")</f>
        <v>March</v>
      </c>
      <c r="C2049" s="6" t="str">
        <f t="shared" si="16"/>
        <v>Mar</v>
      </c>
      <c r="D2049" s="6">
        <f>MONTH(Patient_Data!$E2049)</f>
        <v>3</v>
      </c>
      <c r="E2049" s="7">
        <v>45723</v>
      </c>
      <c r="F2049" s="55" t="str">
        <f>TEXT(Patient_Data[[#This Row],[Admission_Date]],"YYYY")</f>
        <v>2025</v>
      </c>
      <c r="G2049" s="8" t="s">
        <v>4088</v>
      </c>
      <c r="H2049" s="8" t="s">
        <v>28</v>
      </c>
      <c r="I2049" s="4" t="s">
        <v>35</v>
      </c>
      <c r="J2049" s="4">
        <v>57</v>
      </c>
      <c r="K2049" s="4" t="s">
        <v>30</v>
      </c>
      <c r="L2049" s="8">
        <v>4</v>
      </c>
      <c r="M2049" s="9" t="s">
        <v>50</v>
      </c>
      <c r="N2049" s="9" t="str">
        <f t="shared" si="17"/>
        <v>ICU</v>
      </c>
      <c r="O2049" s="10">
        <v>13279.36</v>
      </c>
      <c r="P2049" s="10">
        <v>9811.5300000000007</v>
      </c>
      <c r="Q2049" s="11">
        <v>14.7</v>
      </c>
      <c r="R2049" s="13" t="str">
        <f>IF(Patient_Data!$L2049&lt;2,"Low Risk",IF(Patient_Data!$L2049&lt;4,"Moderate Risk","High Risk"))</f>
        <v>High Risk</v>
      </c>
      <c r="S2049" s="12" t="str">
        <f>IF(Patient_Data[[#This Row],[Age]]&lt;=18,"Pediatric",IF(Patient_Data[[#This Row],[Age]]&lt;=64,"Adult","Geriatric"))</f>
        <v>Adult</v>
      </c>
    </row>
    <row r="2050" spans="1:19" ht="15.75" customHeight="1" x14ac:dyDescent="0.3">
      <c r="A2050" s="4" t="s">
        <v>4089</v>
      </c>
      <c r="B2050" s="5" t="str">
        <f>TEXT(Patient_Data!$E2050,"mmmm")</f>
        <v>May</v>
      </c>
      <c r="C2050" s="6" t="str">
        <f t="shared" si="16"/>
        <v>May</v>
      </c>
      <c r="D2050" s="6">
        <f>MONTH(Patient_Data!$E2050)</f>
        <v>5</v>
      </c>
      <c r="E2050" s="7">
        <v>46146</v>
      </c>
      <c r="F2050" s="55" t="str">
        <f>TEXT(Patient_Data[[#This Row],[Admission_Date]],"YYYY")</f>
        <v>2026</v>
      </c>
      <c r="G2050" s="8" t="s">
        <v>4090</v>
      </c>
      <c r="H2050" s="8" t="s">
        <v>53</v>
      </c>
      <c r="I2050" s="4" t="s">
        <v>29</v>
      </c>
      <c r="J2050" s="4">
        <v>37</v>
      </c>
      <c r="K2050" s="4" t="s">
        <v>54</v>
      </c>
      <c r="L2050" s="8">
        <v>3</v>
      </c>
      <c r="M2050" s="9" t="s">
        <v>36</v>
      </c>
      <c r="N2050" s="9" t="str">
        <f t="shared" si="17"/>
        <v>Cardio</v>
      </c>
      <c r="O2050" s="10">
        <v>8169.81</v>
      </c>
      <c r="P2050" s="10">
        <v>6292.26</v>
      </c>
      <c r="Q2050" s="11">
        <v>10.4</v>
      </c>
      <c r="R2050" s="13" t="str">
        <f>IF(Patient_Data!$L2050&lt;2,"Low Risk",IF(Patient_Data!$L2050&lt;4,"Moderate Risk","High Risk"))</f>
        <v>Moderate Risk</v>
      </c>
      <c r="S2050" s="12" t="str">
        <f>IF(Patient_Data[[#This Row],[Age]]&lt;=18,"Pediatric",IF(Patient_Data[[#This Row],[Age]]&lt;=64,"Adult","Geriatric"))</f>
        <v>Adult</v>
      </c>
    </row>
    <row r="2051" spans="1:19" ht="15.75" customHeight="1" x14ac:dyDescent="0.3">
      <c r="A2051" s="4" t="s">
        <v>4091</v>
      </c>
      <c r="B2051" s="5" t="str">
        <f>TEXT(Patient_Data!$E2051,"mmmm")</f>
        <v>January</v>
      </c>
      <c r="C2051" s="6" t="str">
        <f t="shared" si="16"/>
        <v>Jan</v>
      </c>
      <c r="D2051" s="6">
        <f>MONTH(Patient_Data!$E2051)</f>
        <v>1</v>
      </c>
      <c r="E2051" s="7">
        <v>46030</v>
      </c>
      <c r="F2051" s="55" t="str">
        <f>TEXT(Patient_Data[[#This Row],[Admission_Date]],"YYYY")</f>
        <v>2026</v>
      </c>
      <c r="G2051" s="8" t="s">
        <v>4092</v>
      </c>
      <c r="H2051" s="8" t="s">
        <v>28</v>
      </c>
      <c r="I2051" s="4" t="s">
        <v>29</v>
      </c>
      <c r="J2051" s="4">
        <v>81</v>
      </c>
      <c r="K2051" s="4" t="s">
        <v>45</v>
      </c>
      <c r="L2051" s="8">
        <v>5</v>
      </c>
      <c r="M2051" s="9" t="s">
        <v>50</v>
      </c>
      <c r="N2051" s="9" t="str">
        <f t="shared" si="17"/>
        <v>ICU</v>
      </c>
      <c r="O2051" s="10">
        <v>17008.04</v>
      </c>
      <c r="P2051" s="10">
        <v>9955.86</v>
      </c>
      <c r="Q2051" s="11">
        <v>11.4</v>
      </c>
      <c r="R2051" s="13" t="str">
        <f>IF(Patient_Data!$L2051&lt;2,"Low Risk",IF(Patient_Data!$L2051&lt;4,"Moderate Risk","High Risk"))</f>
        <v>High Risk</v>
      </c>
      <c r="S2051" s="12" t="str">
        <f>IF(Patient_Data[[#This Row],[Age]]&lt;=18,"Pediatric",IF(Patient_Data[[#This Row],[Age]]&lt;=64,"Adult","Geriatric"))</f>
        <v>Geriatric</v>
      </c>
    </row>
    <row r="2052" spans="1:19" ht="15.75" customHeight="1" x14ac:dyDescent="0.3">
      <c r="A2052" s="4" t="s">
        <v>4093</v>
      </c>
      <c r="B2052" s="5" t="str">
        <f>TEXT(Patient_Data!$E2052,"mmmm")</f>
        <v>August</v>
      </c>
      <c r="C2052" s="6" t="str">
        <f t="shared" si="16"/>
        <v>Aug</v>
      </c>
      <c r="D2052" s="6">
        <f>MONTH(Patient_Data!$E2052)</f>
        <v>8</v>
      </c>
      <c r="E2052" s="7">
        <v>45508</v>
      </c>
      <c r="F2052" s="55" t="str">
        <f>TEXT(Patient_Data[[#This Row],[Admission_Date]],"YYYY")</f>
        <v>2024</v>
      </c>
      <c r="G2052" s="8" t="s">
        <v>842</v>
      </c>
      <c r="H2052" s="8" t="s">
        <v>82</v>
      </c>
      <c r="I2052" s="4" t="s">
        <v>35</v>
      </c>
      <c r="J2052" s="4">
        <v>5</v>
      </c>
      <c r="K2052" s="4" t="s">
        <v>30</v>
      </c>
      <c r="L2052" s="8">
        <v>1</v>
      </c>
      <c r="M2052" s="9" t="s">
        <v>79</v>
      </c>
      <c r="N2052" s="9" t="str">
        <f t="shared" si="17"/>
        <v>PD</v>
      </c>
      <c r="O2052" s="10">
        <v>1828.78</v>
      </c>
      <c r="P2052" s="10">
        <v>1137.1600000000001</v>
      </c>
      <c r="Q2052" s="11">
        <v>2.7</v>
      </c>
      <c r="R2052" s="13" t="str">
        <f>IF(Patient_Data!$L2052&lt;2,"Low Risk",IF(Patient_Data!$L2052&lt;4,"Moderate Risk","High Risk"))</f>
        <v>Low Risk</v>
      </c>
      <c r="S2052" s="12" t="str">
        <f>IF(Patient_Data[[#This Row],[Age]]&lt;=18,"Pediatric",IF(Patient_Data[[#This Row],[Age]]&lt;=64,"Adult","Geriatric"))</f>
        <v>Pediatric</v>
      </c>
    </row>
    <row r="2053" spans="1:19" ht="15.75" customHeight="1" x14ac:dyDescent="0.3">
      <c r="A2053" s="4" t="s">
        <v>4094</v>
      </c>
      <c r="B2053" s="5" t="str">
        <f>TEXT(Patient_Data!$E2053,"mmmm")</f>
        <v>December</v>
      </c>
      <c r="C2053" s="6" t="str">
        <f t="shared" si="16"/>
        <v>Dec</v>
      </c>
      <c r="D2053" s="6">
        <f>MONTH(Patient_Data!$E2053)</f>
        <v>12</v>
      </c>
      <c r="E2053" s="7">
        <v>45287</v>
      </c>
      <c r="F2053" s="55" t="str">
        <f>TEXT(Patient_Data[[#This Row],[Admission_Date]],"YYYY")</f>
        <v>2023</v>
      </c>
      <c r="G2053" s="8" t="s">
        <v>4095</v>
      </c>
      <c r="H2053" s="8" t="s">
        <v>28</v>
      </c>
      <c r="I2053" s="4" t="s">
        <v>29</v>
      </c>
      <c r="J2053" s="4">
        <v>71</v>
      </c>
      <c r="K2053" s="4" t="s">
        <v>54</v>
      </c>
      <c r="L2053" s="8">
        <v>3</v>
      </c>
      <c r="M2053" s="9" t="s">
        <v>50</v>
      </c>
      <c r="N2053" s="9" t="str">
        <f t="shared" si="17"/>
        <v>ICU</v>
      </c>
      <c r="O2053" s="10">
        <v>12196.5</v>
      </c>
      <c r="P2053" s="10">
        <v>7916.16</v>
      </c>
      <c r="Q2053" s="11">
        <v>13.8</v>
      </c>
      <c r="R2053" s="13" t="str">
        <f>IF(Patient_Data!$L2053&lt;2,"Low Risk",IF(Patient_Data!$L2053&lt;4,"Moderate Risk","High Risk"))</f>
        <v>Moderate Risk</v>
      </c>
      <c r="S2053" s="12" t="str">
        <f>IF(Patient_Data[[#This Row],[Age]]&lt;=18,"Pediatric",IF(Patient_Data[[#This Row],[Age]]&lt;=64,"Adult","Geriatric"))</f>
        <v>Geriatric</v>
      </c>
    </row>
    <row r="2054" spans="1:19" ht="15.75" customHeight="1" x14ac:dyDescent="0.3">
      <c r="A2054" s="4" t="s">
        <v>4096</v>
      </c>
      <c r="B2054" s="5" t="str">
        <f>TEXT(Patient_Data!$E2054,"mmmm")</f>
        <v>July</v>
      </c>
      <c r="C2054" s="6" t="str">
        <f t="shared" si="16"/>
        <v>Jul</v>
      </c>
      <c r="D2054" s="6">
        <f>MONTH(Patient_Data!$E2054)</f>
        <v>7</v>
      </c>
      <c r="E2054" s="7">
        <v>45493</v>
      </c>
      <c r="F2054" s="55" t="str">
        <f>TEXT(Patient_Data[[#This Row],[Admission_Date]],"YYYY")</f>
        <v>2024</v>
      </c>
      <c r="G2054" s="8" t="s">
        <v>4097</v>
      </c>
      <c r="H2054" s="8" t="s">
        <v>98</v>
      </c>
      <c r="I2054" s="4" t="s">
        <v>35</v>
      </c>
      <c r="J2054" s="4">
        <v>44</v>
      </c>
      <c r="K2054" s="4" t="s">
        <v>45</v>
      </c>
      <c r="L2054" s="8">
        <v>4</v>
      </c>
      <c r="M2054" s="9" t="s">
        <v>83</v>
      </c>
      <c r="N2054" s="9" t="str">
        <f t="shared" si="17"/>
        <v>ER</v>
      </c>
      <c r="O2054" s="10">
        <v>8495.07</v>
      </c>
      <c r="P2054" s="10">
        <v>5875.7</v>
      </c>
      <c r="Q2054" s="11">
        <v>23</v>
      </c>
      <c r="R2054" s="13" t="str">
        <f>IF(Patient_Data!$L2054&lt;2,"Low Risk",IF(Patient_Data!$L2054&lt;4,"Moderate Risk","High Risk"))</f>
        <v>High Risk</v>
      </c>
      <c r="S2054" s="12" t="str">
        <f>IF(Patient_Data[[#This Row],[Age]]&lt;=18,"Pediatric",IF(Patient_Data[[#This Row],[Age]]&lt;=64,"Adult","Geriatric"))</f>
        <v>Adult</v>
      </c>
    </row>
    <row r="2055" spans="1:19" ht="15.75" customHeight="1" x14ac:dyDescent="0.3">
      <c r="A2055" s="4" t="s">
        <v>4098</v>
      </c>
      <c r="B2055" s="5" t="str">
        <f>TEXT(Patient_Data!$E2055,"mmmm")</f>
        <v>May</v>
      </c>
      <c r="C2055" s="6" t="str">
        <f t="shared" si="16"/>
        <v>May</v>
      </c>
      <c r="D2055" s="6">
        <f>MONTH(Patient_Data!$E2055)</f>
        <v>5</v>
      </c>
      <c r="E2055" s="7">
        <v>46155</v>
      </c>
      <c r="F2055" s="55" t="str">
        <f>TEXT(Patient_Data[[#This Row],[Admission_Date]],"YYYY")</f>
        <v>2026</v>
      </c>
      <c r="G2055" s="8" t="s">
        <v>4099</v>
      </c>
      <c r="H2055" s="8" t="s">
        <v>82</v>
      </c>
      <c r="I2055" s="4" t="s">
        <v>29</v>
      </c>
      <c r="J2055" s="4">
        <v>49</v>
      </c>
      <c r="K2055" s="4" t="s">
        <v>30</v>
      </c>
      <c r="L2055" s="8">
        <v>2</v>
      </c>
      <c r="M2055" s="9" t="s">
        <v>36</v>
      </c>
      <c r="N2055" s="9" t="str">
        <f t="shared" si="17"/>
        <v>Cardio</v>
      </c>
      <c r="O2055" s="10">
        <v>11798.82</v>
      </c>
      <c r="P2055" s="10">
        <v>8345.57</v>
      </c>
      <c r="Q2055" s="11">
        <v>10.8</v>
      </c>
      <c r="R2055" s="13" t="str">
        <f>IF(Patient_Data!$L2055&lt;2,"Low Risk",IF(Patient_Data!$L2055&lt;4,"Moderate Risk","High Risk"))</f>
        <v>Moderate Risk</v>
      </c>
      <c r="S2055" s="12" t="str">
        <f>IF(Patient_Data[[#This Row],[Age]]&lt;=18,"Pediatric",IF(Patient_Data[[#This Row],[Age]]&lt;=64,"Adult","Geriatric"))</f>
        <v>Adult</v>
      </c>
    </row>
    <row r="2056" spans="1:19" ht="15.75" customHeight="1" x14ac:dyDescent="0.3">
      <c r="A2056" s="4" t="s">
        <v>4100</v>
      </c>
      <c r="B2056" s="5" t="str">
        <f>TEXT(Patient_Data!$E2056,"mmmm")</f>
        <v>February</v>
      </c>
      <c r="C2056" s="6" t="str">
        <f t="shared" si="16"/>
        <v>Feb</v>
      </c>
      <c r="D2056" s="6">
        <f>MONTH(Patient_Data!$E2056)</f>
        <v>2</v>
      </c>
      <c r="E2056" s="7">
        <v>46064</v>
      </c>
      <c r="F2056" s="55" t="str">
        <f>TEXT(Patient_Data[[#This Row],[Admission_Date]],"YYYY")</f>
        <v>2026</v>
      </c>
      <c r="G2056" s="8" t="s">
        <v>4101</v>
      </c>
      <c r="H2056" s="8" t="s">
        <v>132</v>
      </c>
      <c r="I2056" s="4" t="s">
        <v>29</v>
      </c>
      <c r="J2056" s="4">
        <v>94</v>
      </c>
      <c r="K2056" s="4" t="s">
        <v>54</v>
      </c>
      <c r="L2056" s="8">
        <v>4</v>
      </c>
      <c r="M2056" s="9" t="s">
        <v>46</v>
      </c>
      <c r="N2056" s="9" t="str">
        <f t="shared" si="17"/>
        <v>Ortho</v>
      </c>
      <c r="O2056" s="10">
        <v>8025.45</v>
      </c>
      <c r="P2056" s="10">
        <v>5920.98</v>
      </c>
      <c r="Q2056" s="11">
        <v>7.8</v>
      </c>
      <c r="R2056" s="13" t="str">
        <f>IF(Patient_Data!$L2056&lt;2,"Low Risk",IF(Patient_Data!$L2056&lt;4,"Moderate Risk","High Risk"))</f>
        <v>High Risk</v>
      </c>
      <c r="S2056" s="12" t="str">
        <f>IF(Patient_Data[[#This Row],[Age]]&lt;=18,"Pediatric",IF(Patient_Data[[#This Row],[Age]]&lt;=64,"Adult","Geriatric"))</f>
        <v>Geriatric</v>
      </c>
    </row>
    <row r="2057" spans="1:19" ht="15.75" customHeight="1" x14ac:dyDescent="0.3">
      <c r="A2057" s="4" t="s">
        <v>4102</v>
      </c>
      <c r="B2057" s="5" t="str">
        <f>TEXT(Patient_Data!$E2057,"mmmm")</f>
        <v>September</v>
      </c>
      <c r="C2057" s="6" t="str">
        <f t="shared" si="16"/>
        <v>Sep</v>
      </c>
      <c r="D2057" s="6">
        <f>MONTH(Patient_Data!$E2057)</f>
        <v>9</v>
      </c>
      <c r="E2057" s="7">
        <v>45538</v>
      </c>
      <c r="F2057" s="55" t="str">
        <f>TEXT(Patient_Data[[#This Row],[Admission_Date]],"YYYY")</f>
        <v>2024</v>
      </c>
      <c r="G2057" s="8" t="s">
        <v>4103</v>
      </c>
      <c r="H2057" s="8" t="s">
        <v>28</v>
      </c>
      <c r="I2057" s="4" t="s">
        <v>29</v>
      </c>
      <c r="J2057" s="4">
        <v>92</v>
      </c>
      <c r="K2057" s="4" t="s">
        <v>54</v>
      </c>
      <c r="L2057" s="8">
        <v>5</v>
      </c>
      <c r="M2057" s="9" t="s">
        <v>50</v>
      </c>
      <c r="N2057" s="9" t="str">
        <f t="shared" si="17"/>
        <v>ICU</v>
      </c>
      <c r="O2057" s="10">
        <v>16785.28</v>
      </c>
      <c r="P2057" s="10">
        <v>12831.21</v>
      </c>
      <c r="Q2057" s="11">
        <v>9.3000000000000007</v>
      </c>
      <c r="R2057" s="13" t="str">
        <f>IF(Patient_Data!$L2057&lt;2,"Low Risk",IF(Patient_Data!$L2057&lt;4,"Moderate Risk","High Risk"))</f>
        <v>High Risk</v>
      </c>
      <c r="S2057" s="12" t="str">
        <f>IF(Patient_Data[[#This Row],[Age]]&lt;=18,"Pediatric",IF(Patient_Data[[#This Row],[Age]]&lt;=64,"Adult","Geriatric"))</f>
        <v>Geriatric</v>
      </c>
    </row>
    <row r="2058" spans="1:19" ht="15.75" customHeight="1" x14ac:dyDescent="0.3">
      <c r="A2058" s="4" t="s">
        <v>4104</v>
      </c>
      <c r="B2058" s="5" t="str">
        <f>TEXT(Patient_Data!$E2058,"mmmm")</f>
        <v>October</v>
      </c>
      <c r="C2058" s="6" t="str">
        <f t="shared" si="16"/>
        <v>Oct</v>
      </c>
      <c r="D2058" s="6">
        <f>MONTH(Patient_Data!$E2058)</f>
        <v>10</v>
      </c>
      <c r="E2058" s="7">
        <v>45944</v>
      </c>
      <c r="F2058" s="55" t="str">
        <f>TEXT(Patient_Data[[#This Row],[Admission_Date]],"YYYY")</f>
        <v>2025</v>
      </c>
      <c r="G2058" s="8" t="s">
        <v>4105</v>
      </c>
      <c r="H2058" s="8" t="s">
        <v>28</v>
      </c>
      <c r="I2058" s="4" t="s">
        <v>29</v>
      </c>
      <c r="J2058" s="4">
        <v>39</v>
      </c>
      <c r="K2058" s="4" t="s">
        <v>54</v>
      </c>
      <c r="L2058" s="8">
        <v>4</v>
      </c>
      <c r="M2058" s="9" t="s">
        <v>72</v>
      </c>
      <c r="N2058" s="9" t="str">
        <f t="shared" si="17"/>
        <v>Surgery</v>
      </c>
      <c r="O2058" s="10">
        <v>14195.68</v>
      </c>
      <c r="P2058" s="10">
        <v>8319.89</v>
      </c>
      <c r="Q2058" s="11">
        <v>10.8</v>
      </c>
      <c r="R2058" s="13" t="str">
        <f>IF(Patient_Data!$L2058&lt;2,"Low Risk",IF(Patient_Data!$L2058&lt;4,"Moderate Risk","High Risk"))</f>
        <v>High Risk</v>
      </c>
      <c r="S2058" s="12" t="str">
        <f>IF(Patient_Data[[#This Row],[Age]]&lt;=18,"Pediatric",IF(Patient_Data[[#This Row],[Age]]&lt;=64,"Adult","Geriatric"))</f>
        <v>Adult</v>
      </c>
    </row>
    <row r="2059" spans="1:19" ht="15.75" customHeight="1" x14ac:dyDescent="0.3">
      <c r="A2059" s="4" t="s">
        <v>4106</v>
      </c>
      <c r="B2059" s="5" t="str">
        <f>TEXT(Patient_Data!$E2059,"mmmm")</f>
        <v>September</v>
      </c>
      <c r="C2059" s="6" t="str">
        <f t="shared" si="16"/>
        <v>Sep</v>
      </c>
      <c r="D2059" s="6">
        <f>MONTH(Patient_Data!$E2059)</f>
        <v>9</v>
      </c>
      <c r="E2059" s="7">
        <v>45901</v>
      </c>
      <c r="F2059" s="55" t="str">
        <f>TEXT(Patient_Data[[#This Row],[Admission_Date]],"YYYY")</f>
        <v>2025</v>
      </c>
      <c r="G2059" s="8" t="s">
        <v>4107</v>
      </c>
      <c r="H2059" s="8" t="s">
        <v>82</v>
      </c>
      <c r="I2059" s="4" t="s">
        <v>35</v>
      </c>
      <c r="J2059" s="4">
        <v>18</v>
      </c>
      <c r="K2059" s="4" t="s">
        <v>54</v>
      </c>
      <c r="L2059" s="8">
        <v>5</v>
      </c>
      <c r="M2059" s="9" t="s">
        <v>31</v>
      </c>
      <c r="N2059" s="9" t="str">
        <f t="shared" si="17"/>
        <v>Neuro</v>
      </c>
      <c r="O2059" s="10">
        <v>13475.27</v>
      </c>
      <c r="P2059" s="10">
        <v>8255.91</v>
      </c>
      <c r="Q2059" s="11">
        <v>4.5</v>
      </c>
      <c r="R2059" s="13" t="str">
        <f>IF(Patient_Data!$L2059&lt;2,"Low Risk",IF(Patient_Data!$L2059&lt;4,"Moderate Risk","High Risk"))</f>
        <v>High Risk</v>
      </c>
      <c r="S2059" s="12" t="str">
        <f>IF(Patient_Data[[#This Row],[Age]]&lt;=18,"Pediatric",IF(Patient_Data[[#This Row],[Age]]&lt;=64,"Adult","Geriatric"))</f>
        <v>Pediatric</v>
      </c>
    </row>
    <row r="2060" spans="1:19" ht="15.75" customHeight="1" x14ac:dyDescent="0.3">
      <c r="A2060" s="4" t="s">
        <v>4108</v>
      </c>
      <c r="B2060" s="5" t="str">
        <f>TEXT(Patient_Data!$E2060,"mmmm")</f>
        <v>October</v>
      </c>
      <c r="C2060" s="6" t="str">
        <f t="shared" si="16"/>
        <v>Oct</v>
      </c>
      <c r="D2060" s="6">
        <f>MONTH(Patient_Data!$E2060)</f>
        <v>10</v>
      </c>
      <c r="E2060" s="7">
        <v>45226</v>
      </c>
      <c r="F2060" s="55" t="str">
        <f>TEXT(Patient_Data[[#This Row],[Admission_Date]],"YYYY")</f>
        <v>2023</v>
      </c>
      <c r="G2060" s="8" t="s">
        <v>4109</v>
      </c>
      <c r="H2060" s="8" t="s">
        <v>98</v>
      </c>
      <c r="I2060" s="4" t="s">
        <v>35</v>
      </c>
      <c r="J2060" s="4">
        <v>12</v>
      </c>
      <c r="K2060" s="4" t="s">
        <v>30</v>
      </c>
      <c r="L2060" s="8">
        <v>2</v>
      </c>
      <c r="M2060" s="9" t="s">
        <v>79</v>
      </c>
      <c r="N2060" s="9" t="str">
        <f t="shared" si="17"/>
        <v>PD</v>
      </c>
      <c r="O2060" s="10">
        <v>2021.81</v>
      </c>
      <c r="P2060" s="10">
        <v>1296.3599999999999</v>
      </c>
      <c r="Q2060" s="11">
        <v>0.3</v>
      </c>
      <c r="R2060" s="13" t="str">
        <f>IF(Patient_Data!$L2060&lt;2,"Low Risk",IF(Patient_Data!$L2060&lt;4,"Moderate Risk","High Risk"))</f>
        <v>Moderate Risk</v>
      </c>
      <c r="S2060" s="12" t="str">
        <f>IF(Patient_Data[[#This Row],[Age]]&lt;=18,"Pediatric",IF(Patient_Data[[#This Row],[Age]]&lt;=64,"Adult","Geriatric"))</f>
        <v>Pediatric</v>
      </c>
    </row>
    <row r="2061" spans="1:19" ht="15.75" customHeight="1" x14ac:dyDescent="0.3">
      <c r="A2061" s="4" t="s">
        <v>4110</v>
      </c>
      <c r="B2061" s="5" t="str">
        <f>TEXT(Patient_Data!$E2061,"mmmm")</f>
        <v>May</v>
      </c>
      <c r="C2061" s="6" t="str">
        <f t="shared" si="16"/>
        <v>May</v>
      </c>
      <c r="D2061" s="6">
        <f>MONTH(Patient_Data!$E2061)</f>
        <v>5</v>
      </c>
      <c r="E2061" s="7">
        <v>45434</v>
      </c>
      <c r="F2061" s="55" t="str">
        <f>TEXT(Patient_Data[[#This Row],[Admission_Date]],"YYYY")</f>
        <v>2024</v>
      </c>
      <c r="G2061" s="8" t="s">
        <v>4111</v>
      </c>
      <c r="H2061" s="8" t="s">
        <v>28</v>
      </c>
      <c r="I2061" s="4" t="s">
        <v>29</v>
      </c>
      <c r="J2061" s="4">
        <v>60</v>
      </c>
      <c r="K2061" s="4" t="s">
        <v>54</v>
      </c>
      <c r="L2061" s="8">
        <v>3</v>
      </c>
      <c r="M2061" s="9" t="s">
        <v>46</v>
      </c>
      <c r="N2061" s="9" t="str">
        <f t="shared" si="17"/>
        <v>Ortho</v>
      </c>
      <c r="O2061" s="10">
        <v>8556.26</v>
      </c>
      <c r="P2061" s="10">
        <v>5788.69</v>
      </c>
      <c r="Q2061" s="11">
        <v>7</v>
      </c>
      <c r="R2061" s="13" t="str">
        <f>IF(Patient_Data!$L2061&lt;2,"Low Risk",IF(Patient_Data!$L2061&lt;4,"Moderate Risk","High Risk"))</f>
        <v>Moderate Risk</v>
      </c>
      <c r="S2061" s="12" t="str">
        <f>IF(Patient_Data[[#This Row],[Age]]&lt;=18,"Pediatric",IF(Patient_Data[[#This Row],[Age]]&lt;=64,"Adult","Geriatric"))</f>
        <v>Adult</v>
      </c>
    </row>
    <row r="2062" spans="1:19" ht="15.75" customHeight="1" x14ac:dyDescent="0.3">
      <c r="A2062" s="4" t="s">
        <v>4112</v>
      </c>
      <c r="B2062" s="5" t="str">
        <f>TEXT(Patient_Data!$E2062,"mmmm")</f>
        <v>May</v>
      </c>
      <c r="C2062" s="6" t="str">
        <f t="shared" si="16"/>
        <v>May</v>
      </c>
      <c r="D2062" s="6">
        <f>MONTH(Patient_Data!$E2062)</f>
        <v>5</v>
      </c>
      <c r="E2062" s="7">
        <v>46156</v>
      </c>
      <c r="F2062" s="55" t="str">
        <f>TEXT(Patient_Data[[#This Row],[Admission_Date]],"YYYY")</f>
        <v>2026</v>
      </c>
      <c r="G2062" s="8" t="s">
        <v>4113</v>
      </c>
      <c r="H2062" s="8" t="s">
        <v>34</v>
      </c>
      <c r="I2062" s="4" t="s">
        <v>29</v>
      </c>
      <c r="J2062" s="4">
        <v>14</v>
      </c>
      <c r="K2062" s="4" t="s">
        <v>30</v>
      </c>
      <c r="L2062" s="8">
        <v>2</v>
      </c>
      <c r="M2062" s="9" t="s">
        <v>79</v>
      </c>
      <c r="N2062" s="9" t="str">
        <f t="shared" si="17"/>
        <v>PD</v>
      </c>
      <c r="O2062" s="10">
        <v>1568.08</v>
      </c>
      <c r="P2062" s="10">
        <v>1109.6600000000001</v>
      </c>
      <c r="Q2062" s="11">
        <v>1.5</v>
      </c>
      <c r="R2062" s="13" t="str">
        <f>IF(Patient_Data!$L2062&lt;2,"Low Risk",IF(Patient_Data!$L2062&lt;4,"Moderate Risk","High Risk"))</f>
        <v>Moderate Risk</v>
      </c>
      <c r="S2062" s="12" t="str">
        <f>IF(Patient_Data[[#This Row],[Age]]&lt;=18,"Pediatric",IF(Patient_Data[[#This Row],[Age]]&lt;=64,"Adult","Geriatric"))</f>
        <v>Pediatric</v>
      </c>
    </row>
    <row r="2063" spans="1:19" ht="15.75" customHeight="1" x14ac:dyDescent="0.3">
      <c r="A2063" s="4" t="s">
        <v>4114</v>
      </c>
      <c r="B2063" s="5" t="str">
        <f>TEXT(Patient_Data!$E2063,"mmmm")</f>
        <v>May</v>
      </c>
      <c r="C2063" s="6" t="str">
        <f t="shared" si="16"/>
        <v>May</v>
      </c>
      <c r="D2063" s="6">
        <f>MONTH(Patient_Data!$E2063)</f>
        <v>5</v>
      </c>
      <c r="E2063" s="7">
        <v>46166</v>
      </c>
      <c r="F2063" s="55" t="str">
        <f>TEXT(Patient_Data[[#This Row],[Admission_Date]],"YYYY")</f>
        <v>2026</v>
      </c>
      <c r="G2063" s="8" t="s">
        <v>4115</v>
      </c>
      <c r="H2063" s="8" t="s">
        <v>28</v>
      </c>
      <c r="I2063" s="4" t="s">
        <v>35</v>
      </c>
      <c r="J2063" s="4">
        <v>55</v>
      </c>
      <c r="K2063" s="4" t="s">
        <v>30</v>
      </c>
      <c r="L2063" s="8">
        <v>3</v>
      </c>
      <c r="M2063" s="9" t="s">
        <v>50</v>
      </c>
      <c r="N2063" s="9" t="str">
        <f t="shared" si="17"/>
        <v>ICU</v>
      </c>
      <c r="O2063" s="10">
        <v>19571.990000000002</v>
      </c>
      <c r="P2063" s="10">
        <v>14429.95</v>
      </c>
      <c r="Q2063" s="11">
        <v>17.8</v>
      </c>
      <c r="R2063" s="13" t="str">
        <f>IF(Patient_Data!$L2063&lt;2,"Low Risk",IF(Patient_Data!$L2063&lt;4,"Moderate Risk","High Risk"))</f>
        <v>Moderate Risk</v>
      </c>
      <c r="S2063" s="12" t="str">
        <f>IF(Patient_Data[[#This Row],[Age]]&lt;=18,"Pediatric",IF(Patient_Data[[#This Row],[Age]]&lt;=64,"Adult","Geriatric"))</f>
        <v>Adult</v>
      </c>
    </row>
    <row r="2064" spans="1:19" ht="15.75" customHeight="1" x14ac:dyDescent="0.3">
      <c r="A2064" s="4" t="s">
        <v>4116</v>
      </c>
      <c r="B2064" s="5" t="str">
        <f>TEXT(Patient_Data!$E2064,"mmmm")</f>
        <v>December</v>
      </c>
      <c r="C2064" s="6" t="str">
        <f t="shared" si="16"/>
        <v>Dec</v>
      </c>
      <c r="D2064" s="6">
        <f>MONTH(Patient_Data!$E2064)</f>
        <v>12</v>
      </c>
      <c r="E2064" s="7">
        <v>46009</v>
      </c>
      <c r="F2064" s="55" t="str">
        <f>TEXT(Patient_Data[[#This Row],[Admission_Date]],"YYYY")</f>
        <v>2025</v>
      </c>
      <c r="G2064" s="8" t="s">
        <v>4117</v>
      </c>
      <c r="H2064" s="8" t="s">
        <v>28</v>
      </c>
      <c r="I2064" s="4" t="s">
        <v>35</v>
      </c>
      <c r="J2064" s="4">
        <v>55</v>
      </c>
      <c r="K2064" s="4" t="s">
        <v>30</v>
      </c>
      <c r="L2064" s="8">
        <v>1</v>
      </c>
      <c r="M2064" s="9" t="s">
        <v>46</v>
      </c>
      <c r="N2064" s="9" t="str">
        <f t="shared" si="17"/>
        <v>Ortho</v>
      </c>
      <c r="O2064" s="10">
        <v>7592.66</v>
      </c>
      <c r="P2064" s="10">
        <v>5829.62</v>
      </c>
      <c r="Q2064" s="11">
        <v>7.4</v>
      </c>
      <c r="R2064" s="13" t="str">
        <f>IF(Patient_Data!$L2064&lt;2,"Low Risk",IF(Patient_Data!$L2064&lt;4,"Moderate Risk","High Risk"))</f>
        <v>Low Risk</v>
      </c>
      <c r="S2064" s="12" t="str">
        <f>IF(Patient_Data[[#This Row],[Age]]&lt;=18,"Pediatric",IF(Patient_Data[[#This Row],[Age]]&lt;=64,"Adult","Geriatric"))</f>
        <v>Adult</v>
      </c>
    </row>
    <row r="2065" spans="1:19" ht="15.75" customHeight="1" x14ac:dyDescent="0.3">
      <c r="A2065" s="4" t="s">
        <v>4118</v>
      </c>
      <c r="B2065" s="5" t="str">
        <f>TEXT(Patient_Data!$E2065,"mmmm")</f>
        <v>February</v>
      </c>
      <c r="C2065" s="6" t="str">
        <f t="shared" si="16"/>
        <v>Feb</v>
      </c>
      <c r="D2065" s="6">
        <f>MONTH(Patient_Data!$E2065)</f>
        <v>2</v>
      </c>
      <c r="E2065" s="7">
        <v>46069</v>
      </c>
      <c r="F2065" s="55" t="str">
        <f>TEXT(Patient_Data[[#This Row],[Admission_Date]],"YYYY")</f>
        <v>2026</v>
      </c>
      <c r="G2065" s="8" t="s">
        <v>4119</v>
      </c>
      <c r="H2065" s="8" t="s">
        <v>75</v>
      </c>
      <c r="I2065" s="4" t="s">
        <v>29</v>
      </c>
      <c r="J2065" s="4">
        <v>95</v>
      </c>
      <c r="K2065" s="4" t="s">
        <v>45</v>
      </c>
      <c r="L2065" s="8">
        <v>4</v>
      </c>
      <c r="M2065" s="9" t="s">
        <v>50</v>
      </c>
      <c r="N2065" s="9" t="str">
        <f t="shared" si="17"/>
        <v>ICU</v>
      </c>
      <c r="O2065" s="10">
        <v>11484.99</v>
      </c>
      <c r="P2065" s="10">
        <v>6733.29</v>
      </c>
      <c r="Q2065" s="11">
        <v>9</v>
      </c>
      <c r="R2065" s="13" t="str">
        <f>IF(Patient_Data!$L2065&lt;2,"Low Risk",IF(Patient_Data!$L2065&lt;4,"Moderate Risk","High Risk"))</f>
        <v>High Risk</v>
      </c>
      <c r="S2065" s="12" t="str">
        <f>IF(Patient_Data[[#This Row],[Age]]&lt;=18,"Pediatric",IF(Patient_Data[[#This Row],[Age]]&lt;=64,"Adult","Geriatric"))</f>
        <v>Geriatric</v>
      </c>
    </row>
    <row r="2066" spans="1:19" ht="15.75" customHeight="1" x14ac:dyDescent="0.3">
      <c r="A2066" s="4" t="s">
        <v>4120</v>
      </c>
      <c r="B2066" s="5" t="str">
        <f>TEXT(Patient_Data!$E2066,"mmmm")</f>
        <v>December</v>
      </c>
      <c r="C2066" s="6" t="str">
        <f t="shared" si="16"/>
        <v>Dec</v>
      </c>
      <c r="D2066" s="6">
        <f>MONTH(Patient_Data!$E2066)</f>
        <v>12</v>
      </c>
      <c r="E2066" s="7">
        <v>45261</v>
      </c>
      <c r="F2066" s="55" t="str">
        <f>TEXT(Patient_Data[[#This Row],[Admission_Date]],"YYYY")</f>
        <v>2023</v>
      </c>
      <c r="G2066" s="8" t="s">
        <v>2124</v>
      </c>
      <c r="H2066" s="8" t="s">
        <v>49</v>
      </c>
      <c r="I2066" s="4" t="s">
        <v>35</v>
      </c>
      <c r="J2066" s="4">
        <v>1</v>
      </c>
      <c r="K2066" s="4" t="s">
        <v>30</v>
      </c>
      <c r="L2066" s="8">
        <v>1</v>
      </c>
      <c r="M2066" s="9" t="s">
        <v>79</v>
      </c>
      <c r="N2066" s="9" t="str">
        <f t="shared" si="17"/>
        <v>PD</v>
      </c>
      <c r="O2066" s="10">
        <v>769.34</v>
      </c>
      <c r="P2066" s="10">
        <v>512.5</v>
      </c>
      <c r="Q2066" s="11">
        <v>5.4</v>
      </c>
      <c r="R2066" s="13" t="str">
        <f>IF(Patient_Data!$L2066&lt;2,"Low Risk",IF(Patient_Data!$L2066&lt;4,"Moderate Risk","High Risk"))</f>
        <v>Low Risk</v>
      </c>
      <c r="S2066" s="12" t="str">
        <f>IF(Patient_Data[[#This Row],[Age]]&lt;=18,"Pediatric",IF(Patient_Data[[#This Row],[Age]]&lt;=64,"Adult","Geriatric"))</f>
        <v>Pediatric</v>
      </c>
    </row>
    <row r="2067" spans="1:19" ht="15.75" customHeight="1" x14ac:dyDescent="0.3">
      <c r="A2067" s="4" t="s">
        <v>4121</v>
      </c>
      <c r="B2067" s="5" t="str">
        <f>TEXT(Patient_Data!$E2067,"mmmm")</f>
        <v>January</v>
      </c>
      <c r="C2067" s="6" t="str">
        <f t="shared" si="16"/>
        <v>Jan</v>
      </c>
      <c r="D2067" s="6">
        <f>MONTH(Patient_Data!$E2067)</f>
        <v>1</v>
      </c>
      <c r="E2067" s="7">
        <v>45296</v>
      </c>
      <c r="F2067" s="55" t="str">
        <f>TEXT(Patient_Data[[#This Row],[Admission_Date]],"YYYY")</f>
        <v>2024</v>
      </c>
      <c r="G2067" s="8" t="s">
        <v>4122</v>
      </c>
      <c r="H2067" s="8" t="s">
        <v>53</v>
      </c>
      <c r="I2067" s="4" t="s">
        <v>29</v>
      </c>
      <c r="J2067" s="4">
        <v>83</v>
      </c>
      <c r="K2067" s="4" t="s">
        <v>45</v>
      </c>
      <c r="L2067" s="8">
        <v>4</v>
      </c>
      <c r="M2067" s="9" t="s">
        <v>83</v>
      </c>
      <c r="N2067" s="9" t="str">
        <f t="shared" si="17"/>
        <v>ER</v>
      </c>
      <c r="O2067" s="10">
        <v>7580.84</v>
      </c>
      <c r="P2067" s="10">
        <v>4994.9399999999996</v>
      </c>
      <c r="Q2067" s="11">
        <v>17.899999999999999</v>
      </c>
      <c r="R2067" s="13" t="str">
        <f>IF(Patient_Data!$L2067&lt;2,"Low Risk",IF(Patient_Data!$L2067&lt;4,"Moderate Risk","High Risk"))</f>
        <v>High Risk</v>
      </c>
      <c r="S2067" s="12" t="str">
        <f>IF(Patient_Data[[#This Row],[Age]]&lt;=18,"Pediatric",IF(Patient_Data[[#This Row],[Age]]&lt;=64,"Adult","Geriatric"))</f>
        <v>Geriatric</v>
      </c>
    </row>
    <row r="2068" spans="1:19" ht="15.75" customHeight="1" x14ac:dyDescent="0.3">
      <c r="A2068" s="4" t="s">
        <v>4123</v>
      </c>
      <c r="B2068" s="5" t="str">
        <f>TEXT(Patient_Data!$E2068,"mmmm")</f>
        <v>February</v>
      </c>
      <c r="C2068" s="6" t="str">
        <f t="shared" si="16"/>
        <v>Feb</v>
      </c>
      <c r="D2068" s="6">
        <f>MONTH(Patient_Data!$E2068)</f>
        <v>2</v>
      </c>
      <c r="E2068" s="7">
        <v>45702</v>
      </c>
      <c r="F2068" s="55" t="str">
        <f>TEXT(Patient_Data[[#This Row],[Admission_Date]],"YYYY")</f>
        <v>2025</v>
      </c>
      <c r="G2068" s="8" t="s">
        <v>4124</v>
      </c>
      <c r="H2068" s="8" t="s">
        <v>28</v>
      </c>
      <c r="I2068" s="4" t="s">
        <v>29</v>
      </c>
      <c r="J2068" s="4">
        <v>82</v>
      </c>
      <c r="K2068" s="4" t="s">
        <v>45</v>
      </c>
      <c r="L2068" s="8">
        <v>5</v>
      </c>
      <c r="M2068" s="9" t="s">
        <v>50</v>
      </c>
      <c r="N2068" s="9" t="str">
        <f t="shared" si="17"/>
        <v>ICU</v>
      </c>
      <c r="O2068" s="10">
        <v>11416.96</v>
      </c>
      <c r="P2068" s="10">
        <v>7730.96</v>
      </c>
      <c r="Q2068" s="11">
        <v>10.199999999999999</v>
      </c>
      <c r="R2068" s="13" t="str">
        <f>IF(Patient_Data!$L2068&lt;2,"Low Risk",IF(Patient_Data!$L2068&lt;4,"Moderate Risk","High Risk"))</f>
        <v>High Risk</v>
      </c>
      <c r="S2068" s="12" t="str">
        <f>IF(Patient_Data[[#This Row],[Age]]&lt;=18,"Pediatric",IF(Patient_Data[[#This Row],[Age]]&lt;=64,"Adult","Geriatric"))</f>
        <v>Geriatric</v>
      </c>
    </row>
    <row r="2069" spans="1:19" ht="15.75" customHeight="1" x14ac:dyDescent="0.3">
      <c r="A2069" s="4" t="s">
        <v>4125</v>
      </c>
      <c r="B2069" s="5" t="str">
        <f>TEXT(Patient_Data!$E2069,"mmmm")</f>
        <v>June</v>
      </c>
      <c r="C2069" s="6" t="str">
        <f t="shared" si="16"/>
        <v>Jun</v>
      </c>
      <c r="D2069" s="6">
        <f>MONTH(Patient_Data!$E2069)</f>
        <v>6</v>
      </c>
      <c r="E2069" s="7">
        <v>45810</v>
      </c>
      <c r="F2069" s="55" t="str">
        <f>TEXT(Patient_Data[[#This Row],[Admission_Date]],"YYYY")</f>
        <v>2025</v>
      </c>
      <c r="G2069" s="8" t="s">
        <v>4126</v>
      </c>
      <c r="H2069" s="8" t="s">
        <v>75</v>
      </c>
      <c r="I2069" s="4" t="s">
        <v>35</v>
      </c>
      <c r="J2069" s="4">
        <v>69</v>
      </c>
      <c r="K2069" s="4" t="s">
        <v>54</v>
      </c>
      <c r="L2069" s="8">
        <v>4</v>
      </c>
      <c r="M2069" s="9" t="s">
        <v>72</v>
      </c>
      <c r="N2069" s="9" t="str">
        <f t="shared" si="17"/>
        <v>Surgery</v>
      </c>
      <c r="O2069" s="10">
        <v>13400.72</v>
      </c>
      <c r="P2069" s="10">
        <v>9418.9</v>
      </c>
      <c r="Q2069" s="11">
        <v>4.8</v>
      </c>
      <c r="R2069" s="13" t="str">
        <f>IF(Patient_Data!$L2069&lt;2,"Low Risk",IF(Patient_Data!$L2069&lt;4,"Moderate Risk","High Risk"))</f>
        <v>High Risk</v>
      </c>
      <c r="S2069" s="12" t="str">
        <f>IF(Patient_Data[[#This Row],[Age]]&lt;=18,"Pediatric",IF(Patient_Data[[#This Row],[Age]]&lt;=64,"Adult","Geriatric"))</f>
        <v>Geriatric</v>
      </c>
    </row>
    <row r="2070" spans="1:19" ht="15.75" customHeight="1" x14ac:dyDescent="0.3">
      <c r="A2070" s="4" t="s">
        <v>4127</v>
      </c>
      <c r="B2070" s="5" t="str">
        <f>TEXT(Patient_Data!$E2070,"mmmm")</f>
        <v>November</v>
      </c>
      <c r="C2070" s="6" t="str">
        <f t="shared" si="16"/>
        <v>Nov</v>
      </c>
      <c r="D2070" s="6">
        <f>MONTH(Patient_Data!$E2070)</f>
        <v>11</v>
      </c>
      <c r="E2070" s="7">
        <v>45625</v>
      </c>
      <c r="F2070" s="55" t="str">
        <f>TEXT(Patient_Data[[#This Row],[Admission_Date]],"YYYY")</f>
        <v>2024</v>
      </c>
      <c r="G2070" s="8" t="s">
        <v>4128</v>
      </c>
      <c r="H2070" s="8" t="s">
        <v>53</v>
      </c>
      <c r="I2070" s="4" t="s">
        <v>29</v>
      </c>
      <c r="J2070" s="4">
        <v>59</v>
      </c>
      <c r="K2070" s="4" t="s">
        <v>54</v>
      </c>
      <c r="L2070" s="8">
        <v>1</v>
      </c>
      <c r="M2070" s="9" t="s">
        <v>39</v>
      </c>
      <c r="N2070" s="9" t="str">
        <f t="shared" si="17"/>
        <v>GM</v>
      </c>
      <c r="O2070" s="10">
        <v>1799.99</v>
      </c>
      <c r="P2070" s="10">
        <v>1388.39</v>
      </c>
      <c r="Q2070" s="11">
        <v>9.3000000000000007</v>
      </c>
      <c r="R2070" s="13" t="str">
        <f>IF(Patient_Data!$L2070&lt;2,"Low Risk",IF(Patient_Data!$L2070&lt;4,"Moderate Risk","High Risk"))</f>
        <v>Low Risk</v>
      </c>
      <c r="S2070" s="12" t="str">
        <f>IF(Patient_Data[[#This Row],[Age]]&lt;=18,"Pediatric",IF(Patient_Data[[#This Row],[Age]]&lt;=64,"Adult","Geriatric"))</f>
        <v>Adult</v>
      </c>
    </row>
    <row r="2071" spans="1:19" ht="15.75" customHeight="1" x14ac:dyDescent="0.3">
      <c r="A2071" s="4" t="s">
        <v>4129</v>
      </c>
      <c r="B2071" s="5" t="str">
        <f>TEXT(Patient_Data!$E2071,"mmmm")</f>
        <v>July</v>
      </c>
      <c r="C2071" s="6" t="str">
        <f t="shared" si="16"/>
        <v>Jul</v>
      </c>
      <c r="D2071" s="6">
        <f>MONTH(Patient_Data!$E2071)</f>
        <v>7</v>
      </c>
      <c r="E2071" s="7">
        <v>45859</v>
      </c>
      <c r="F2071" s="55" t="str">
        <f>TEXT(Patient_Data[[#This Row],[Admission_Date]],"YYYY")</f>
        <v>2025</v>
      </c>
      <c r="G2071" s="8" t="s">
        <v>4130</v>
      </c>
      <c r="H2071" s="8" t="s">
        <v>42</v>
      </c>
      <c r="I2071" s="4" t="s">
        <v>35</v>
      </c>
      <c r="J2071" s="4">
        <v>48</v>
      </c>
      <c r="K2071" s="4" t="s">
        <v>30</v>
      </c>
      <c r="L2071" s="8">
        <v>1</v>
      </c>
      <c r="M2071" s="9" t="s">
        <v>36</v>
      </c>
      <c r="N2071" s="9" t="str">
        <f t="shared" si="17"/>
        <v>Cardio</v>
      </c>
      <c r="O2071" s="10">
        <v>6980.5</v>
      </c>
      <c r="P2071" s="10">
        <v>5321.98</v>
      </c>
      <c r="Q2071" s="11">
        <v>2.1</v>
      </c>
      <c r="R2071" s="13" t="str">
        <f>IF(Patient_Data!$L2071&lt;2,"Low Risk",IF(Patient_Data!$L2071&lt;4,"Moderate Risk","High Risk"))</f>
        <v>Low Risk</v>
      </c>
      <c r="S2071" s="12" t="str">
        <f>IF(Patient_Data[[#This Row],[Age]]&lt;=18,"Pediatric",IF(Patient_Data[[#This Row],[Age]]&lt;=64,"Adult","Geriatric"))</f>
        <v>Adult</v>
      </c>
    </row>
    <row r="2072" spans="1:19" ht="15.75" customHeight="1" x14ac:dyDescent="0.3">
      <c r="A2072" s="4" t="s">
        <v>4131</v>
      </c>
      <c r="B2072" s="5" t="str">
        <f>TEXT(Patient_Data!$E2072,"mmmm")</f>
        <v>March</v>
      </c>
      <c r="C2072" s="6" t="str">
        <f t="shared" si="16"/>
        <v>Mar</v>
      </c>
      <c r="D2072" s="6">
        <f>MONTH(Patient_Data!$E2072)</f>
        <v>3</v>
      </c>
      <c r="E2072" s="7">
        <v>45362</v>
      </c>
      <c r="F2072" s="55" t="str">
        <f>TEXT(Patient_Data[[#This Row],[Admission_Date]],"YYYY")</f>
        <v>2024</v>
      </c>
      <c r="G2072" s="8" t="s">
        <v>4132</v>
      </c>
      <c r="H2072" s="8" t="s">
        <v>82</v>
      </c>
      <c r="I2072" s="4" t="s">
        <v>35</v>
      </c>
      <c r="J2072" s="4">
        <v>55</v>
      </c>
      <c r="K2072" s="4" t="s">
        <v>30</v>
      </c>
      <c r="L2072" s="8">
        <v>1</v>
      </c>
      <c r="M2072" s="9" t="s">
        <v>31</v>
      </c>
      <c r="N2072" s="9" t="str">
        <f t="shared" si="17"/>
        <v>Neuro</v>
      </c>
      <c r="O2072" s="10">
        <v>9107.02</v>
      </c>
      <c r="P2072" s="10">
        <v>5350.87</v>
      </c>
      <c r="Q2072" s="11">
        <v>8.6</v>
      </c>
      <c r="R2072" s="13" t="str">
        <f>IF(Patient_Data!$L2072&lt;2,"Low Risk",IF(Patient_Data!$L2072&lt;4,"Moderate Risk","High Risk"))</f>
        <v>Low Risk</v>
      </c>
      <c r="S2072" s="12" t="str">
        <f>IF(Patient_Data[[#This Row],[Age]]&lt;=18,"Pediatric",IF(Patient_Data[[#This Row],[Age]]&lt;=64,"Adult","Geriatric"))</f>
        <v>Adult</v>
      </c>
    </row>
    <row r="2073" spans="1:19" ht="15.75" customHeight="1" x14ac:dyDescent="0.3">
      <c r="A2073" s="4" t="s">
        <v>4133</v>
      </c>
      <c r="B2073" s="5" t="str">
        <f>TEXT(Patient_Data!$E2073,"mmmm")</f>
        <v>October</v>
      </c>
      <c r="C2073" s="6" t="str">
        <f t="shared" si="16"/>
        <v>Oct</v>
      </c>
      <c r="D2073" s="6">
        <f>MONTH(Patient_Data!$E2073)</f>
        <v>10</v>
      </c>
      <c r="E2073" s="7">
        <v>45955</v>
      </c>
      <c r="F2073" s="55" t="str">
        <f>TEXT(Patient_Data[[#This Row],[Admission_Date]],"YYYY")</f>
        <v>2025</v>
      </c>
      <c r="G2073" s="8" t="s">
        <v>4134</v>
      </c>
      <c r="H2073" s="8" t="s">
        <v>53</v>
      </c>
      <c r="I2073" s="4" t="s">
        <v>35</v>
      </c>
      <c r="J2073" s="4">
        <v>54</v>
      </c>
      <c r="K2073" s="4" t="s">
        <v>30</v>
      </c>
      <c r="L2073" s="8">
        <v>1</v>
      </c>
      <c r="M2073" s="9" t="s">
        <v>39</v>
      </c>
      <c r="N2073" s="9" t="str">
        <f t="shared" si="17"/>
        <v>GM</v>
      </c>
      <c r="O2073" s="10">
        <v>3085.15</v>
      </c>
      <c r="P2073" s="10">
        <v>1945.94</v>
      </c>
      <c r="Q2073" s="11">
        <v>8</v>
      </c>
      <c r="R2073" s="13" t="str">
        <f>IF(Patient_Data!$L2073&lt;2,"Low Risk",IF(Patient_Data!$L2073&lt;4,"Moderate Risk","High Risk"))</f>
        <v>Low Risk</v>
      </c>
      <c r="S2073" s="12" t="str">
        <f>IF(Patient_Data[[#This Row],[Age]]&lt;=18,"Pediatric",IF(Patient_Data[[#This Row],[Age]]&lt;=64,"Adult","Geriatric"))</f>
        <v>Adult</v>
      </c>
    </row>
    <row r="2074" spans="1:19" ht="15.75" customHeight="1" x14ac:dyDescent="0.3">
      <c r="A2074" s="4" t="s">
        <v>4135</v>
      </c>
      <c r="B2074" s="5" t="str">
        <f>TEXT(Patient_Data!$E2074,"mmmm")</f>
        <v>December</v>
      </c>
      <c r="C2074" s="6" t="str">
        <f t="shared" si="16"/>
        <v>Dec</v>
      </c>
      <c r="D2074" s="6">
        <f>MONTH(Patient_Data!$E2074)</f>
        <v>12</v>
      </c>
      <c r="E2074" s="7">
        <v>45278</v>
      </c>
      <c r="F2074" s="55" t="str">
        <f>TEXT(Patient_Data[[#This Row],[Admission_Date]],"YYYY")</f>
        <v>2023</v>
      </c>
      <c r="G2074" s="8" t="s">
        <v>4136</v>
      </c>
      <c r="H2074" s="8" t="s">
        <v>49</v>
      </c>
      <c r="I2074" s="4" t="s">
        <v>29</v>
      </c>
      <c r="J2074" s="4">
        <v>55</v>
      </c>
      <c r="K2074" s="4" t="s">
        <v>30</v>
      </c>
      <c r="L2074" s="8">
        <v>2</v>
      </c>
      <c r="M2074" s="9" t="s">
        <v>46</v>
      </c>
      <c r="N2074" s="9" t="str">
        <f t="shared" si="17"/>
        <v>Ortho</v>
      </c>
      <c r="O2074" s="10">
        <v>4226.68</v>
      </c>
      <c r="P2074" s="10">
        <v>2730.68</v>
      </c>
      <c r="Q2074" s="11">
        <v>3.2</v>
      </c>
      <c r="R2074" s="13" t="str">
        <f>IF(Patient_Data!$L2074&lt;2,"Low Risk",IF(Patient_Data!$L2074&lt;4,"Moderate Risk","High Risk"))</f>
        <v>Moderate Risk</v>
      </c>
      <c r="S2074" s="12" t="str">
        <f>IF(Patient_Data[[#This Row],[Age]]&lt;=18,"Pediatric",IF(Patient_Data[[#This Row],[Age]]&lt;=64,"Adult","Geriatric"))</f>
        <v>Adult</v>
      </c>
    </row>
    <row r="2075" spans="1:19" ht="15.75" customHeight="1" x14ac:dyDescent="0.3">
      <c r="A2075" s="4" t="s">
        <v>4137</v>
      </c>
      <c r="B2075" s="5" t="str">
        <f>TEXT(Patient_Data!$E2075,"mmmm")</f>
        <v>September</v>
      </c>
      <c r="C2075" s="6" t="str">
        <f t="shared" si="16"/>
        <v>Sep</v>
      </c>
      <c r="D2075" s="6">
        <f>MONTH(Patient_Data!$E2075)</f>
        <v>9</v>
      </c>
      <c r="E2075" s="7">
        <v>45190</v>
      </c>
      <c r="F2075" s="55" t="str">
        <f>TEXT(Patient_Data[[#This Row],[Admission_Date]],"YYYY")</f>
        <v>2023</v>
      </c>
      <c r="G2075" s="8" t="s">
        <v>4138</v>
      </c>
      <c r="H2075" s="8" t="s">
        <v>42</v>
      </c>
      <c r="I2075" s="4" t="s">
        <v>35</v>
      </c>
      <c r="J2075" s="4">
        <v>39</v>
      </c>
      <c r="K2075" s="4" t="s">
        <v>30</v>
      </c>
      <c r="L2075" s="8">
        <v>1</v>
      </c>
      <c r="M2075" s="9" t="s">
        <v>36</v>
      </c>
      <c r="N2075" s="9" t="str">
        <f t="shared" si="17"/>
        <v>Cardio</v>
      </c>
      <c r="O2075" s="10">
        <v>6241.55</v>
      </c>
      <c r="P2075" s="10">
        <v>4181.84</v>
      </c>
      <c r="Q2075" s="11"/>
      <c r="R2075" s="13" t="str">
        <f>IF(Patient_Data!$L2075&lt;2,"Low Risk",IF(Patient_Data!$L2075&lt;4,"Moderate Risk","High Risk"))</f>
        <v>Low Risk</v>
      </c>
      <c r="S2075" s="12" t="str">
        <f>IF(Patient_Data[[#This Row],[Age]]&lt;=18,"Pediatric",IF(Patient_Data[[#This Row],[Age]]&lt;=64,"Adult","Geriatric"))</f>
        <v>Adult</v>
      </c>
    </row>
    <row r="2076" spans="1:19" ht="15.75" customHeight="1" x14ac:dyDescent="0.3">
      <c r="A2076" s="4" t="s">
        <v>4139</v>
      </c>
      <c r="B2076" s="5" t="str">
        <f>TEXT(Patient_Data!$E2076,"mmmm")</f>
        <v>July</v>
      </c>
      <c r="C2076" s="6" t="str">
        <f t="shared" si="16"/>
        <v>Jul</v>
      </c>
      <c r="D2076" s="6">
        <f>MONTH(Patient_Data!$E2076)</f>
        <v>7</v>
      </c>
      <c r="E2076" s="7">
        <v>45488</v>
      </c>
      <c r="F2076" s="55" t="str">
        <f>TEXT(Patient_Data[[#This Row],[Admission_Date]],"YYYY")</f>
        <v>2024</v>
      </c>
      <c r="G2076" s="8" t="s">
        <v>4140</v>
      </c>
      <c r="H2076" s="8" t="s">
        <v>53</v>
      </c>
      <c r="I2076" s="4" t="s">
        <v>35</v>
      </c>
      <c r="J2076" s="4">
        <v>60</v>
      </c>
      <c r="K2076" s="4" t="s">
        <v>54</v>
      </c>
      <c r="L2076" s="8">
        <v>1</v>
      </c>
      <c r="M2076" s="9" t="s">
        <v>31</v>
      </c>
      <c r="N2076" s="9" t="str">
        <f t="shared" si="17"/>
        <v>Neuro</v>
      </c>
      <c r="O2076" s="10">
        <v>7498.9</v>
      </c>
      <c r="P2076" s="10">
        <v>5343.63</v>
      </c>
      <c r="Q2076" s="11">
        <v>11.8</v>
      </c>
      <c r="R2076" s="13" t="str">
        <f>IF(Patient_Data!$L2076&lt;2,"Low Risk",IF(Patient_Data!$L2076&lt;4,"Moderate Risk","High Risk"))</f>
        <v>Low Risk</v>
      </c>
      <c r="S2076" s="12" t="str">
        <f>IF(Patient_Data[[#This Row],[Age]]&lt;=18,"Pediatric",IF(Patient_Data[[#This Row],[Age]]&lt;=64,"Adult","Geriatric"))</f>
        <v>Adult</v>
      </c>
    </row>
    <row r="2077" spans="1:19" ht="15.75" customHeight="1" x14ac:dyDescent="0.3">
      <c r="A2077" s="4" t="s">
        <v>4141</v>
      </c>
      <c r="B2077" s="5" t="str">
        <f>TEXT(Patient_Data!$E2077,"mmmm")</f>
        <v>June</v>
      </c>
      <c r="C2077" s="6" t="str">
        <f t="shared" si="16"/>
        <v>Jun</v>
      </c>
      <c r="D2077" s="6">
        <f>MONTH(Patient_Data!$E2077)</f>
        <v>6</v>
      </c>
      <c r="E2077" s="7">
        <v>46202</v>
      </c>
      <c r="F2077" s="55" t="str">
        <f>TEXT(Patient_Data[[#This Row],[Admission_Date]],"YYYY")</f>
        <v>2026</v>
      </c>
      <c r="G2077" s="8" t="s">
        <v>4142</v>
      </c>
      <c r="H2077" s="8" t="s">
        <v>132</v>
      </c>
      <c r="I2077" s="4" t="s">
        <v>29</v>
      </c>
      <c r="J2077" s="4">
        <v>42</v>
      </c>
      <c r="K2077" s="4" t="s">
        <v>54</v>
      </c>
      <c r="L2077" s="8">
        <v>3</v>
      </c>
      <c r="M2077" s="9" t="s">
        <v>36</v>
      </c>
      <c r="N2077" s="9" t="str">
        <f t="shared" si="17"/>
        <v>Cardio</v>
      </c>
      <c r="O2077" s="10">
        <v>12044.43</v>
      </c>
      <c r="P2077" s="10">
        <v>8876.43</v>
      </c>
      <c r="Q2077" s="11">
        <v>10.5</v>
      </c>
      <c r="R2077" s="13" t="str">
        <f>IF(Patient_Data!$L2077&lt;2,"Low Risk",IF(Patient_Data!$L2077&lt;4,"Moderate Risk","High Risk"))</f>
        <v>Moderate Risk</v>
      </c>
      <c r="S2077" s="12" t="str">
        <f>IF(Patient_Data[[#This Row],[Age]]&lt;=18,"Pediatric",IF(Patient_Data[[#This Row],[Age]]&lt;=64,"Adult","Geriatric"))</f>
        <v>Adult</v>
      </c>
    </row>
    <row r="2078" spans="1:19" ht="15.75" customHeight="1" x14ac:dyDescent="0.3">
      <c r="A2078" s="4" t="s">
        <v>4143</v>
      </c>
      <c r="B2078" s="5" t="str">
        <f>TEXT(Patient_Data!$E2078,"mmmm")</f>
        <v>April</v>
      </c>
      <c r="C2078" s="6" t="str">
        <f t="shared" si="16"/>
        <v>Apr</v>
      </c>
      <c r="D2078" s="6">
        <f>MONTH(Patient_Data!$E2078)</f>
        <v>4</v>
      </c>
      <c r="E2078" s="7">
        <v>46128</v>
      </c>
      <c r="F2078" s="55" t="str">
        <f>TEXT(Patient_Data[[#This Row],[Admission_Date]],"YYYY")</f>
        <v>2026</v>
      </c>
      <c r="G2078" s="8" t="s">
        <v>4144</v>
      </c>
      <c r="H2078" s="8" t="s">
        <v>34</v>
      </c>
      <c r="I2078" s="4" t="s">
        <v>35</v>
      </c>
      <c r="J2078" s="4">
        <v>74</v>
      </c>
      <c r="K2078" s="4" t="s">
        <v>54</v>
      </c>
      <c r="L2078" s="8">
        <v>3</v>
      </c>
      <c r="M2078" s="9" t="s">
        <v>83</v>
      </c>
      <c r="N2078" s="9" t="str">
        <f t="shared" si="17"/>
        <v>ER</v>
      </c>
      <c r="O2078" s="10">
        <v>8213.25</v>
      </c>
      <c r="P2078" s="10">
        <v>6330.87</v>
      </c>
      <c r="Q2078" s="11">
        <v>11.1</v>
      </c>
      <c r="R2078" s="13" t="str">
        <f>IF(Patient_Data!$L2078&lt;2,"Low Risk",IF(Patient_Data!$L2078&lt;4,"Moderate Risk","High Risk"))</f>
        <v>Moderate Risk</v>
      </c>
      <c r="S2078" s="12" t="str">
        <f>IF(Patient_Data[[#This Row],[Age]]&lt;=18,"Pediatric",IF(Patient_Data[[#This Row],[Age]]&lt;=64,"Adult","Geriatric"))</f>
        <v>Geriatric</v>
      </c>
    </row>
    <row r="2079" spans="1:19" ht="15.75" customHeight="1" x14ac:dyDescent="0.3">
      <c r="A2079" s="4" t="s">
        <v>4145</v>
      </c>
      <c r="B2079" s="5" t="str">
        <f>TEXT(Patient_Data!$E2079,"mmmm")</f>
        <v>June</v>
      </c>
      <c r="C2079" s="6" t="str">
        <f t="shared" si="16"/>
        <v>Jun</v>
      </c>
      <c r="D2079" s="6">
        <f>MONTH(Patient_Data!$E2079)</f>
        <v>6</v>
      </c>
      <c r="E2079" s="7">
        <v>46182</v>
      </c>
      <c r="F2079" s="55" t="str">
        <f>TEXT(Patient_Data[[#This Row],[Admission_Date]],"YYYY")</f>
        <v>2026</v>
      </c>
      <c r="G2079" s="8" t="s">
        <v>4146</v>
      </c>
      <c r="H2079" s="8" t="s">
        <v>34</v>
      </c>
      <c r="I2079" s="4" t="s">
        <v>35</v>
      </c>
      <c r="J2079" s="4">
        <v>89</v>
      </c>
      <c r="K2079" s="4" t="s">
        <v>30</v>
      </c>
      <c r="L2079" s="8">
        <v>2</v>
      </c>
      <c r="M2079" s="9" t="s">
        <v>46</v>
      </c>
      <c r="N2079" s="9" t="str">
        <f t="shared" si="17"/>
        <v>Ortho</v>
      </c>
      <c r="O2079" s="10">
        <v>7833.34</v>
      </c>
      <c r="P2079" s="10">
        <v>4628.9399999999996</v>
      </c>
      <c r="Q2079" s="11">
        <v>10.7</v>
      </c>
      <c r="R2079" s="13" t="str">
        <f>IF(Patient_Data!$L2079&lt;2,"Low Risk",IF(Patient_Data!$L2079&lt;4,"Moderate Risk","High Risk"))</f>
        <v>Moderate Risk</v>
      </c>
      <c r="S2079" s="12" t="str">
        <f>IF(Patient_Data[[#This Row],[Age]]&lt;=18,"Pediatric",IF(Patient_Data[[#This Row],[Age]]&lt;=64,"Adult","Geriatric"))</f>
        <v>Geriatric</v>
      </c>
    </row>
    <row r="2080" spans="1:19" ht="15.75" customHeight="1" x14ac:dyDescent="0.3">
      <c r="A2080" s="4" t="s">
        <v>4147</v>
      </c>
      <c r="B2080" s="5" t="str">
        <f>TEXT(Patient_Data!$E2080,"mmmm")</f>
        <v>August</v>
      </c>
      <c r="C2080" s="6" t="str">
        <f t="shared" si="16"/>
        <v>Aug</v>
      </c>
      <c r="D2080" s="6">
        <f>MONTH(Patient_Data!$E2080)</f>
        <v>8</v>
      </c>
      <c r="E2080" s="7">
        <v>45505</v>
      </c>
      <c r="F2080" s="55" t="str">
        <f>TEXT(Patient_Data[[#This Row],[Admission_Date]],"YYYY")</f>
        <v>2024</v>
      </c>
      <c r="G2080" s="8" t="s">
        <v>4148</v>
      </c>
      <c r="H2080" s="8" t="s">
        <v>34</v>
      </c>
      <c r="I2080" s="4" t="s">
        <v>29</v>
      </c>
      <c r="J2080" s="4">
        <v>57</v>
      </c>
      <c r="K2080" s="4" t="s">
        <v>45</v>
      </c>
      <c r="L2080" s="8">
        <v>3</v>
      </c>
      <c r="M2080" s="9" t="s">
        <v>50</v>
      </c>
      <c r="N2080" s="9" t="str">
        <f t="shared" si="17"/>
        <v>ICU</v>
      </c>
      <c r="O2080" s="10">
        <v>16760.900000000001</v>
      </c>
      <c r="P2080" s="10">
        <v>10317.75</v>
      </c>
      <c r="Q2080" s="11">
        <v>11.7</v>
      </c>
      <c r="R2080" s="13" t="str">
        <f>IF(Patient_Data!$L2080&lt;2,"Low Risk",IF(Patient_Data!$L2080&lt;4,"Moderate Risk","High Risk"))</f>
        <v>Moderate Risk</v>
      </c>
      <c r="S2080" s="12" t="str">
        <f>IF(Patient_Data[[#This Row],[Age]]&lt;=18,"Pediatric",IF(Patient_Data[[#This Row],[Age]]&lt;=64,"Adult","Geriatric"))</f>
        <v>Adult</v>
      </c>
    </row>
    <row r="2081" spans="1:19" ht="15.75" customHeight="1" x14ac:dyDescent="0.3">
      <c r="A2081" s="4" t="s">
        <v>4149</v>
      </c>
      <c r="B2081" s="5" t="str">
        <f>TEXT(Patient_Data!$E2081,"mmmm")</f>
        <v>January</v>
      </c>
      <c r="C2081" s="6" t="str">
        <f t="shared" si="16"/>
        <v>Jan</v>
      </c>
      <c r="D2081" s="6">
        <f>MONTH(Patient_Data!$E2081)</f>
        <v>1</v>
      </c>
      <c r="E2081" s="7">
        <v>45320</v>
      </c>
      <c r="F2081" s="55" t="str">
        <f>TEXT(Patient_Data[[#This Row],[Admission_Date]],"YYYY")</f>
        <v>2024</v>
      </c>
      <c r="G2081" s="8" t="s">
        <v>4150</v>
      </c>
      <c r="H2081" s="8" t="s">
        <v>82</v>
      </c>
      <c r="I2081" s="4" t="s">
        <v>35</v>
      </c>
      <c r="J2081" s="4">
        <v>90</v>
      </c>
      <c r="K2081" s="4" t="s">
        <v>30</v>
      </c>
      <c r="L2081" s="8">
        <v>1</v>
      </c>
      <c r="M2081" s="9" t="s">
        <v>46</v>
      </c>
      <c r="N2081" s="9" t="str">
        <f t="shared" si="17"/>
        <v>Ortho</v>
      </c>
      <c r="O2081" s="10">
        <v>7836.63</v>
      </c>
      <c r="P2081" s="10">
        <v>5073.84</v>
      </c>
      <c r="Q2081" s="11">
        <v>7.3</v>
      </c>
      <c r="R2081" s="13" t="str">
        <f>IF(Patient_Data!$L2081&lt;2,"Low Risk",IF(Patient_Data!$L2081&lt;4,"Moderate Risk","High Risk"))</f>
        <v>Low Risk</v>
      </c>
      <c r="S2081" s="12" t="str">
        <f>IF(Patient_Data[[#This Row],[Age]]&lt;=18,"Pediatric",IF(Patient_Data[[#This Row],[Age]]&lt;=64,"Adult","Geriatric"))</f>
        <v>Geriatric</v>
      </c>
    </row>
    <row r="2082" spans="1:19" ht="15.75" customHeight="1" x14ac:dyDescent="0.3">
      <c r="A2082" s="4" t="s">
        <v>4151</v>
      </c>
      <c r="B2082" s="5" t="str">
        <f>TEXT(Patient_Data!$E2082,"mmmm")</f>
        <v>December</v>
      </c>
      <c r="C2082" s="6" t="str">
        <f t="shared" si="16"/>
        <v>Dec</v>
      </c>
      <c r="D2082" s="6">
        <f>MONTH(Patient_Data!$E2082)</f>
        <v>12</v>
      </c>
      <c r="E2082" s="7">
        <v>45648</v>
      </c>
      <c r="F2082" s="55" t="str">
        <f>TEXT(Patient_Data[[#This Row],[Admission_Date]],"YYYY")</f>
        <v>2024</v>
      </c>
      <c r="G2082" s="8" t="s">
        <v>4152</v>
      </c>
      <c r="H2082" s="8" t="s">
        <v>132</v>
      </c>
      <c r="I2082" s="4" t="s">
        <v>29</v>
      </c>
      <c r="J2082" s="4">
        <v>69</v>
      </c>
      <c r="K2082" s="4" t="s">
        <v>54</v>
      </c>
      <c r="L2082" s="8">
        <v>5</v>
      </c>
      <c r="M2082" s="9" t="s">
        <v>39</v>
      </c>
      <c r="N2082" s="9" t="str">
        <f t="shared" si="17"/>
        <v>GM</v>
      </c>
      <c r="O2082" s="10">
        <v>5600.06</v>
      </c>
      <c r="P2082" s="10">
        <v>3831.24</v>
      </c>
      <c r="Q2082" s="11">
        <v>9.9</v>
      </c>
      <c r="R2082" s="13" t="str">
        <f>IF(Patient_Data!$L2082&lt;2,"Low Risk",IF(Patient_Data!$L2082&lt;4,"Moderate Risk","High Risk"))</f>
        <v>High Risk</v>
      </c>
      <c r="S2082" s="12" t="str">
        <f>IF(Patient_Data[[#This Row],[Age]]&lt;=18,"Pediatric",IF(Patient_Data[[#This Row],[Age]]&lt;=64,"Adult","Geriatric"))</f>
        <v>Geriatric</v>
      </c>
    </row>
    <row r="2083" spans="1:19" ht="15.75" customHeight="1" x14ac:dyDescent="0.3">
      <c r="A2083" s="4" t="s">
        <v>4153</v>
      </c>
      <c r="B2083" s="5" t="str">
        <f>TEXT(Patient_Data!$E2083,"mmmm")</f>
        <v>February</v>
      </c>
      <c r="C2083" s="6" t="str">
        <f t="shared" si="16"/>
        <v>Feb</v>
      </c>
      <c r="D2083" s="6">
        <f>MONTH(Patient_Data!$E2083)</f>
        <v>2</v>
      </c>
      <c r="E2083" s="7">
        <v>46076</v>
      </c>
      <c r="F2083" s="55" t="str">
        <f>TEXT(Patient_Data[[#This Row],[Admission_Date]],"YYYY")</f>
        <v>2026</v>
      </c>
      <c r="G2083" s="8" t="s">
        <v>4154</v>
      </c>
      <c r="H2083" s="8" t="s">
        <v>53</v>
      </c>
      <c r="I2083" s="4" t="s">
        <v>29</v>
      </c>
      <c r="J2083" s="4">
        <v>8</v>
      </c>
      <c r="K2083" s="4" t="s">
        <v>30</v>
      </c>
      <c r="L2083" s="8">
        <v>3</v>
      </c>
      <c r="M2083" s="9" t="s">
        <v>79</v>
      </c>
      <c r="N2083" s="9" t="str">
        <f t="shared" si="17"/>
        <v>PD</v>
      </c>
      <c r="O2083" s="10">
        <v>2751.91</v>
      </c>
      <c r="P2083" s="10">
        <v>1947.94</v>
      </c>
      <c r="Q2083" s="11">
        <v>2.7</v>
      </c>
      <c r="R2083" s="13" t="str">
        <f>IF(Patient_Data!$L2083&lt;2,"Low Risk",IF(Patient_Data!$L2083&lt;4,"Moderate Risk","High Risk"))</f>
        <v>Moderate Risk</v>
      </c>
      <c r="S2083" s="12" t="str">
        <f>IF(Patient_Data[[#This Row],[Age]]&lt;=18,"Pediatric",IF(Patient_Data[[#This Row],[Age]]&lt;=64,"Adult","Geriatric"))</f>
        <v>Pediatric</v>
      </c>
    </row>
    <row r="2084" spans="1:19" ht="15.75" customHeight="1" x14ac:dyDescent="0.3">
      <c r="A2084" s="4" t="s">
        <v>4155</v>
      </c>
      <c r="B2084" s="5" t="str">
        <f>TEXT(Patient_Data!$E2084,"mmmm")</f>
        <v>March</v>
      </c>
      <c r="C2084" s="6" t="str">
        <f t="shared" si="16"/>
        <v>Mar</v>
      </c>
      <c r="D2084" s="6">
        <f>MONTH(Patient_Data!$E2084)</f>
        <v>3</v>
      </c>
      <c r="E2084" s="7">
        <v>46084</v>
      </c>
      <c r="F2084" s="55" t="str">
        <f>TEXT(Patient_Data[[#This Row],[Admission_Date]],"YYYY")</f>
        <v>2026</v>
      </c>
      <c r="G2084" s="8" t="s">
        <v>4156</v>
      </c>
      <c r="H2084" s="8" t="s">
        <v>34</v>
      </c>
      <c r="I2084" s="4" t="s">
        <v>35</v>
      </c>
      <c r="J2084" s="4">
        <v>19</v>
      </c>
      <c r="K2084" s="4" t="s">
        <v>30</v>
      </c>
      <c r="L2084" s="8">
        <v>2</v>
      </c>
      <c r="M2084" s="9" t="s">
        <v>39</v>
      </c>
      <c r="N2084" s="9" t="str">
        <f t="shared" si="17"/>
        <v>GM</v>
      </c>
      <c r="O2084" s="10">
        <v>1417.55</v>
      </c>
      <c r="P2084" s="10">
        <v>1102.81</v>
      </c>
      <c r="Q2084" s="11">
        <v>8.5</v>
      </c>
      <c r="R2084" s="13" t="str">
        <f>IF(Patient_Data!$L2084&lt;2,"Low Risk",IF(Patient_Data!$L2084&lt;4,"Moderate Risk","High Risk"))</f>
        <v>Moderate Risk</v>
      </c>
      <c r="S2084" s="12" t="str">
        <f>IF(Patient_Data[[#This Row],[Age]]&lt;=18,"Pediatric",IF(Patient_Data[[#This Row],[Age]]&lt;=64,"Adult","Geriatric"))</f>
        <v>Adult</v>
      </c>
    </row>
    <row r="2085" spans="1:19" ht="15.75" customHeight="1" x14ac:dyDescent="0.3">
      <c r="A2085" s="4" t="s">
        <v>4157</v>
      </c>
      <c r="B2085" s="5" t="str">
        <f>TEXT(Patient_Data!$E2085,"mmmm")</f>
        <v>June</v>
      </c>
      <c r="C2085" s="6" t="str">
        <f t="shared" si="16"/>
        <v>Jun</v>
      </c>
      <c r="D2085" s="6">
        <f>MONTH(Patient_Data!$E2085)</f>
        <v>6</v>
      </c>
      <c r="E2085" s="7">
        <v>46185</v>
      </c>
      <c r="F2085" s="55" t="str">
        <f>TEXT(Patient_Data[[#This Row],[Admission_Date]],"YYYY")</f>
        <v>2026</v>
      </c>
      <c r="G2085" s="8" t="s">
        <v>4158</v>
      </c>
      <c r="H2085" s="8" t="s">
        <v>53</v>
      </c>
      <c r="I2085" s="4" t="s">
        <v>35</v>
      </c>
      <c r="J2085" s="4">
        <v>13</v>
      </c>
      <c r="K2085" s="4" t="s">
        <v>30</v>
      </c>
      <c r="L2085" s="8">
        <v>2</v>
      </c>
      <c r="M2085" s="9" t="s">
        <v>79</v>
      </c>
      <c r="N2085" s="9" t="str">
        <f t="shared" si="17"/>
        <v>PD</v>
      </c>
      <c r="O2085" s="10">
        <v>2484.29</v>
      </c>
      <c r="P2085" s="10">
        <v>1902.46</v>
      </c>
      <c r="Q2085" s="11">
        <v>1.8</v>
      </c>
      <c r="R2085" s="13" t="str">
        <f>IF(Patient_Data!$L2085&lt;2,"Low Risk",IF(Patient_Data!$L2085&lt;4,"Moderate Risk","High Risk"))</f>
        <v>Moderate Risk</v>
      </c>
      <c r="S2085" s="12" t="str">
        <f>IF(Patient_Data[[#This Row],[Age]]&lt;=18,"Pediatric",IF(Patient_Data[[#This Row],[Age]]&lt;=64,"Adult","Geriatric"))</f>
        <v>Pediatric</v>
      </c>
    </row>
    <row r="2086" spans="1:19" ht="15.75" customHeight="1" x14ac:dyDescent="0.3">
      <c r="A2086" s="4" t="s">
        <v>4159</v>
      </c>
      <c r="B2086" s="5" t="str">
        <f>TEXT(Patient_Data!$E2086,"mmmm")</f>
        <v>October</v>
      </c>
      <c r="C2086" s="6" t="str">
        <f t="shared" si="16"/>
        <v>Oct</v>
      </c>
      <c r="D2086" s="6">
        <f>MONTH(Patient_Data!$E2086)</f>
        <v>10</v>
      </c>
      <c r="E2086" s="7">
        <v>45203</v>
      </c>
      <c r="F2086" s="55" t="str">
        <f>TEXT(Patient_Data[[#This Row],[Admission_Date]],"YYYY")</f>
        <v>2023</v>
      </c>
      <c r="G2086" s="8" t="s">
        <v>4160</v>
      </c>
      <c r="H2086" s="8" t="s">
        <v>132</v>
      </c>
      <c r="I2086" s="4" t="s">
        <v>29</v>
      </c>
      <c r="J2086" s="4">
        <v>86</v>
      </c>
      <c r="K2086" s="4" t="s">
        <v>30</v>
      </c>
      <c r="L2086" s="8">
        <v>5</v>
      </c>
      <c r="M2086" s="9" t="s">
        <v>50</v>
      </c>
      <c r="N2086" s="9" t="str">
        <f t="shared" si="17"/>
        <v>ICU</v>
      </c>
      <c r="O2086" s="10">
        <v>13944.22</v>
      </c>
      <c r="P2086" s="10">
        <v>8221.25</v>
      </c>
      <c r="Q2086" s="11">
        <v>16.7</v>
      </c>
      <c r="R2086" s="13" t="str">
        <f>IF(Patient_Data!$L2086&lt;2,"Low Risk",IF(Patient_Data!$L2086&lt;4,"Moderate Risk","High Risk"))</f>
        <v>High Risk</v>
      </c>
      <c r="S2086" s="12" t="str">
        <f>IF(Patient_Data[[#This Row],[Age]]&lt;=18,"Pediatric",IF(Patient_Data[[#This Row],[Age]]&lt;=64,"Adult","Geriatric"))</f>
        <v>Geriatric</v>
      </c>
    </row>
    <row r="2087" spans="1:19" ht="15.75" customHeight="1" x14ac:dyDescent="0.3">
      <c r="A2087" s="4" t="s">
        <v>4161</v>
      </c>
      <c r="B2087" s="5" t="str">
        <f>TEXT(Patient_Data!$E2087,"mmmm")</f>
        <v>March</v>
      </c>
      <c r="C2087" s="6" t="str">
        <f t="shared" si="16"/>
        <v>Mar</v>
      </c>
      <c r="D2087" s="6">
        <f>MONTH(Patient_Data!$E2087)</f>
        <v>3</v>
      </c>
      <c r="E2087" s="7">
        <v>45377</v>
      </c>
      <c r="F2087" s="55" t="str">
        <f>TEXT(Patient_Data[[#This Row],[Admission_Date]],"YYYY")</f>
        <v>2024</v>
      </c>
      <c r="G2087" s="8" t="s">
        <v>4162</v>
      </c>
      <c r="H2087" s="8" t="s">
        <v>82</v>
      </c>
      <c r="I2087" s="4" t="s">
        <v>35</v>
      </c>
      <c r="J2087" s="4">
        <v>3</v>
      </c>
      <c r="K2087" s="4" t="s">
        <v>30</v>
      </c>
      <c r="L2087" s="8">
        <v>2</v>
      </c>
      <c r="M2087" s="9" t="s">
        <v>79</v>
      </c>
      <c r="N2087" s="9" t="str">
        <f t="shared" si="17"/>
        <v>PD</v>
      </c>
      <c r="O2087" s="10">
        <v>2679.89</v>
      </c>
      <c r="P2087" s="10">
        <v>1643.53</v>
      </c>
      <c r="Q2087" s="11">
        <v>1.1000000000000001</v>
      </c>
      <c r="R2087" s="13" t="str">
        <f>IF(Patient_Data!$L2087&lt;2,"Low Risk",IF(Patient_Data!$L2087&lt;4,"Moderate Risk","High Risk"))</f>
        <v>Moderate Risk</v>
      </c>
      <c r="S2087" s="12" t="str">
        <f>IF(Patient_Data[[#This Row],[Age]]&lt;=18,"Pediatric",IF(Patient_Data[[#This Row],[Age]]&lt;=64,"Adult","Geriatric"))</f>
        <v>Pediatric</v>
      </c>
    </row>
    <row r="2088" spans="1:19" ht="15.75" customHeight="1" x14ac:dyDescent="0.3">
      <c r="A2088" s="4" t="s">
        <v>4163</v>
      </c>
      <c r="B2088" s="5" t="str">
        <f>TEXT(Patient_Data!$E2088,"mmmm")</f>
        <v>December</v>
      </c>
      <c r="C2088" s="6" t="str">
        <f t="shared" si="16"/>
        <v>Dec</v>
      </c>
      <c r="D2088" s="6">
        <f>MONTH(Patient_Data!$E2088)</f>
        <v>12</v>
      </c>
      <c r="E2088" s="7">
        <v>45993</v>
      </c>
      <c r="F2088" s="55" t="str">
        <f>TEXT(Patient_Data[[#This Row],[Admission_Date]],"YYYY")</f>
        <v>2025</v>
      </c>
      <c r="G2088" s="8" t="s">
        <v>4164</v>
      </c>
      <c r="H2088" s="8" t="s">
        <v>53</v>
      </c>
      <c r="I2088" s="4" t="s">
        <v>35</v>
      </c>
      <c r="J2088" s="4">
        <v>39</v>
      </c>
      <c r="K2088" s="4" t="s">
        <v>30</v>
      </c>
      <c r="L2088" s="8">
        <v>1</v>
      </c>
      <c r="M2088" s="9" t="s">
        <v>39</v>
      </c>
      <c r="N2088" s="9" t="str">
        <f t="shared" si="17"/>
        <v>GM</v>
      </c>
      <c r="O2088" s="10">
        <v>1715.98</v>
      </c>
      <c r="P2088" s="10">
        <v>1155.03</v>
      </c>
      <c r="Q2088" s="11">
        <v>7.1</v>
      </c>
      <c r="R2088" s="13" t="str">
        <f>IF(Patient_Data!$L2088&lt;2,"Low Risk",IF(Patient_Data!$L2088&lt;4,"Moderate Risk","High Risk"))</f>
        <v>Low Risk</v>
      </c>
      <c r="S2088" s="12" t="str">
        <f>IF(Patient_Data[[#This Row],[Age]]&lt;=18,"Pediatric",IF(Patient_Data[[#This Row],[Age]]&lt;=64,"Adult","Geriatric"))</f>
        <v>Adult</v>
      </c>
    </row>
    <row r="2089" spans="1:19" ht="15.75" customHeight="1" x14ac:dyDescent="0.3">
      <c r="A2089" s="4" t="s">
        <v>4165</v>
      </c>
      <c r="B2089" s="5" t="str">
        <f>TEXT(Patient_Data!$E2089,"mmmm")</f>
        <v>December</v>
      </c>
      <c r="C2089" s="6" t="str">
        <f t="shared" si="16"/>
        <v>Dec</v>
      </c>
      <c r="D2089" s="6">
        <f>MONTH(Patient_Data!$E2089)</f>
        <v>12</v>
      </c>
      <c r="E2089" s="7">
        <v>46011</v>
      </c>
      <c r="F2089" s="55" t="str">
        <f>TEXT(Patient_Data[[#This Row],[Admission_Date]],"YYYY")</f>
        <v>2025</v>
      </c>
      <c r="G2089" s="8" t="s">
        <v>4166</v>
      </c>
      <c r="H2089" s="8" t="s">
        <v>34</v>
      </c>
      <c r="I2089" s="4" t="s">
        <v>35</v>
      </c>
      <c r="J2089" s="4">
        <v>55</v>
      </c>
      <c r="K2089" s="4" t="s">
        <v>45</v>
      </c>
      <c r="L2089" s="8">
        <v>4</v>
      </c>
      <c r="M2089" s="9" t="s">
        <v>50</v>
      </c>
      <c r="N2089" s="9" t="str">
        <f t="shared" si="17"/>
        <v>ICU</v>
      </c>
      <c r="O2089" s="10">
        <v>16894.95</v>
      </c>
      <c r="P2089" s="10">
        <v>11460.42</v>
      </c>
      <c r="Q2089" s="11">
        <v>17.600000000000001</v>
      </c>
      <c r="R2089" s="13" t="str">
        <f>IF(Patient_Data!$L2089&lt;2,"Low Risk",IF(Patient_Data!$L2089&lt;4,"Moderate Risk","High Risk"))</f>
        <v>High Risk</v>
      </c>
      <c r="S2089" s="12" t="str">
        <f>IF(Patient_Data[[#This Row],[Age]]&lt;=18,"Pediatric",IF(Patient_Data[[#This Row],[Age]]&lt;=64,"Adult","Geriatric"))</f>
        <v>Adult</v>
      </c>
    </row>
    <row r="2090" spans="1:19" ht="15.75" customHeight="1" x14ac:dyDescent="0.3">
      <c r="A2090" s="4" t="s">
        <v>4167</v>
      </c>
      <c r="B2090" s="5" t="str">
        <f>TEXT(Patient_Data!$E2090,"mmmm")</f>
        <v>August</v>
      </c>
      <c r="C2090" s="6" t="str">
        <f t="shared" si="16"/>
        <v>Aug</v>
      </c>
      <c r="D2090" s="6">
        <f>MONTH(Patient_Data!$E2090)</f>
        <v>8</v>
      </c>
      <c r="E2090" s="7">
        <v>45167</v>
      </c>
      <c r="F2090" s="55" t="str">
        <f>TEXT(Patient_Data[[#This Row],[Admission_Date]],"YYYY")</f>
        <v>2023</v>
      </c>
      <c r="G2090" s="8" t="s">
        <v>4168</v>
      </c>
      <c r="H2090" s="8" t="s">
        <v>132</v>
      </c>
      <c r="I2090" s="4" t="s">
        <v>29</v>
      </c>
      <c r="J2090" s="4">
        <v>80</v>
      </c>
      <c r="K2090" s="4" t="s">
        <v>54</v>
      </c>
      <c r="L2090" s="8">
        <v>2</v>
      </c>
      <c r="M2090" s="9" t="s">
        <v>36</v>
      </c>
      <c r="N2090" s="9" t="str">
        <f t="shared" si="17"/>
        <v>Cardio</v>
      </c>
      <c r="O2090" s="10">
        <v>5899.64</v>
      </c>
      <c r="P2090" s="10">
        <v>4147.3500000000004</v>
      </c>
      <c r="Q2090" s="11">
        <v>2.2000000000000002</v>
      </c>
      <c r="R2090" s="13" t="str">
        <f>IF(Patient_Data!$L2090&lt;2,"Low Risk",IF(Patient_Data!$L2090&lt;4,"Moderate Risk","High Risk"))</f>
        <v>Moderate Risk</v>
      </c>
      <c r="S2090" s="12" t="str">
        <f>IF(Patient_Data[[#This Row],[Age]]&lt;=18,"Pediatric",IF(Patient_Data[[#This Row],[Age]]&lt;=64,"Adult","Geriatric"))</f>
        <v>Geriatric</v>
      </c>
    </row>
    <row r="2091" spans="1:19" ht="15.75" customHeight="1" x14ac:dyDescent="0.3">
      <c r="A2091" s="4" t="s">
        <v>4169</v>
      </c>
      <c r="B2091" s="5" t="str">
        <f>TEXT(Patient_Data!$E2091,"mmmm")</f>
        <v>May</v>
      </c>
      <c r="C2091" s="6" t="str">
        <f t="shared" si="16"/>
        <v>May</v>
      </c>
      <c r="D2091" s="6">
        <f>MONTH(Patient_Data!$E2091)</f>
        <v>5</v>
      </c>
      <c r="E2091" s="7">
        <v>45790</v>
      </c>
      <c r="F2091" s="55" t="str">
        <f>TEXT(Patient_Data[[#This Row],[Admission_Date]],"YYYY")</f>
        <v>2025</v>
      </c>
      <c r="G2091" s="8" t="s">
        <v>4170</v>
      </c>
      <c r="H2091" s="8" t="s">
        <v>28</v>
      </c>
      <c r="I2091" s="4" t="s">
        <v>35</v>
      </c>
      <c r="J2091" s="4">
        <v>75</v>
      </c>
      <c r="K2091" s="4" t="s">
        <v>45</v>
      </c>
      <c r="L2091" s="8">
        <v>5</v>
      </c>
      <c r="M2091" s="9" t="s">
        <v>72</v>
      </c>
      <c r="N2091" s="9" t="str">
        <f t="shared" si="17"/>
        <v>Surgery</v>
      </c>
      <c r="O2091" s="10">
        <v>15354.11</v>
      </c>
      <c r="P2091" s="10">
        <v>11254.1</v>
      </c>
      <c r="Q2091" s="11">
        <v>5.7</v>
      </c>
      <c r="R2091" s="13" t="str">
        <f>IF(Patient_Data!$L2091&lt;2,"Low Risk",IF(Patient_Data!$L2091&lt;4,"Moderate Risk","High Risk"))</f>
        <v>High Risk</v>
      </c>
      <c r="S2091" s="12" t="str">
        <f>IF(Patient_Data[[#This Row],[Age]]&lt;=18,"Pediatric",IF(Patient_Data[[#This Row],[Age]]&lt;=64,"Adult","Geriatric"))</f>
        <v>Geriatric</v>
      </c>
    </row>
    <row r="2092" spans="1:19" ht="15.75" customHeight="1" x14ac:dyDescent="0.3">
      <c r="A2092" s="4" t="s">
        <v>4171</v>
      </c>
      <c r="B2092" s="5" t="str">
        <f>TEXT(Patient_Data!$E2092,"mmmm")</f>
        <v>March</v>
      </c>
      <c r="C2092" s="6" t="str">
        <f t="shared" si="16"/>
        <v>Mar</v>
      </c>
      <c r="D2092" s="6">
        <f>MONTH(Patient_Data!$E2092)</f>
        <v>3</v>
      </c>
      <c r="E2092" s="7">
        <v>46101</v>
      </c>
      <c r="F2092" s="55" t="str">
        <f>TEXT(Patient_Data[[#This Row],[Admission_Date]],"YYYY")</f>
        <v>2026</v>
      </c>
      <c r="G2092" s="8" t="s">
        <v>4172</v>
      </c>
      <c r="H2092" s="8" t="s">
        <v>82</v>
      </c>
      <c r="I2092" s="4" t="s">
        <v>35</v>
      </c>
      <c r="J2092" s="4">
        <v>54</v>
      </c>
      <c r="K2092" s="4" t="s">
        <v>30</v>
      </c>
      <c r="L2092" s="8">
        <v>2</v>
      </c>
      <c r="M2092" s="9" t="s">
        <v>83</v>
      </c>
      <c r="N2092" s="9" t="str">
        <f t="shared" si="17"/>
        <v>ER</v>
      </c>
      <c r="O2092" s="10">
        <v>10392.26</v>
      </c>
      <c r="P2092" s="10">
        <v>7986.92</v>
      </c>
      <c r="Q2092" s="11">
        <v>11.1</v>
      </c>
      <c r="R2092" s="13" t="str">
        <f>IF(Patient_Data!$L2092&lt;2,"Low Risk",IF(Patient_Data!$L2092&lt;4,"Moderate Risk","High Risk"))</f>
        <v>Moderate Risk</v>
      </c>
      <c r="S2092" s="12" t="str">
        <f>IF(Patient_Data[[#This Row],[Age]]&lt;=18,"Pediatric",IF(Patient_Data[[#This Row],[Age]]&lt;=64,"Adult","Geriatric"))</f>
        <v>Adult</v>
      </c>
    </row>
    <row r="2093" spans="1:19" ht="15.75" customHeight="1" x14ac:dyDescent="0.3">
      <c r="A2093" s="4" t="s">
        <v>4173</v>
      </c>
      <c r="B2093" s="5" t="str">
        <f>TEXT(Patient_Data!$E2093,"mmmm")</f>
        <v>December</v>
      </c>
      <c r="C2093" s="6" t="str">
        <f t="shared" si="16"/>
        <v>Dec</v>
      </c>
      <c r="D2093" s="6">
        <f>MONTH(Patient_Data!$E2093)</f>
        <v>12</v>
      </c>
      <c r="E2093" s="7">
        <v>45278</v>
      </c>
      <c r="F2093" s="55" t="str">
        <f>TEXT(Patient_Data[[#This Row],[Admission_Date]],"YYYY")</f>
        <v>2023</v>
      </c>
      <c r="G2093" s="8" t="s">
        <v>4174</v>
      </c>
      <c r="H2093" s="8" t="s">
        <v>82</v>
      </c>
      <c r="I2093" s="4" t="s">
        <v>29</v>
      </c>
      <c r="J2093" s="4">
        <v>57</v>
      </c>
      <c r="K2093" s="4" t="s">
        <v>54</v>
      </c>
      <c r="L2093" s="8">
        <v>2</v>
      </c>
      <c r="M2093" s="9" t="s">
        <v>46</v>
      </c>
      <c r="N2093" s="9" t="str">
        <f t="shared" si="17"/>
        <v>Ortho</v>
      </c>
      <c r="O2093" s="10">
        <v>6306.54</v>
      </c>
      <c r="P2093" s="10">
        <v>3710.59</v>
      </c>
      <c r="Q2093" s="11">
        <v>6.6</v>
      </c>
      <c r="R2093" s="13" t="str">
        <f>IF(Patient_Data!$L2093&lt;2,"Low Risk",IF(Patient_Data!$L2093&lt;4,"Moderate Risk","High Risk"))</f>
        <v>Moderate Risk</v>
      </c>
      <c r="S2093" s="12" t="str">
        <f>IF(Patient_Data[[#This Row],[Age]]&lt;=18,"Pediatric",IF(Patient_Data[[#This Row],[Age]]&lt;=64,"Adult","Geriatric"))</f>
        <v>Adult</v>
      </c>
    </row>
    <row r="2094" spans="1:19" ht="15.75" customHeight="1" x14ac:dyDescent="0.3">
      <c r="A2094" s="4" t="s">
        <v>4175</v>
      </c>
      <c r="B2094" s="5" t="str">
        <f>TEXT(Patient_Data!$E2094,"mmmm")</f>
        <v>November</v>
      </c>
      <c r="C2094" s="6" t="str">
        <f t="shared" si="16"/>
        <v>Nov</v>
      </c>
      <c r="D2094" s="6">
        <f>MONTH(Patient_Data!$E2094)</f>
        <v>11</v>
      </c>
      <c r="E2094" s="7">
        <v>45623</v>
      </c>
      <c r="F2094" s="55" t="str">
        <f>TEXT(Patient_Data[[#This Row],[Admission_Date]],"YYYY")</f>
        <v>2024</v>
      </c>
      <c r="G2094" s="8" t="s">
        <v>4176</v>
      </c>
      <c r="H2094" s="8" t="s">
        <v>53</v>
      </c>
      <c r="I2094" s="4" t="s">
        <v>35</v>
      </c>
      <c r="J2094" s="4">
        <v>39</v>
      </c>
      <c r="K2094" s="4" t="s">
        <v>45</v>
      </c>
      <c r="L2094" s="8">
        <v>4</v>
      </c>
      <c r="M2094" s="9" t="s">
        <v>31</v>
      </c>
      <c r="N2094" s="9" t="str">
        <f t="shared" si="17"/>
        <v>Neuro</v>
      </c>
      <c r="O2094" s="10">
        <v>12656.24</v>
      </c>
      <c r="P2094" s="10">
        <v>7790.71</v>
      </c>
      <c r="Q2094" s="11">
        <v>8.8000000000000007</v>
      </c>
      <c r="R2094" s="13" t="str">
        <f>IF(Patient_Data!$L2094&lt;2,"Low Risk",IF(Patient_Data!$L2094&lt;4,"Moderate Risk","High Risk"))</f>
        <v>High Risk</v>
      </c>
      <c r="S2094" s="12" t="str">
        <f>IF(Patient_Data[[#This Row],[Age]]&lt;=18,"Pediatric",IF(Patient_Data[[#This Row],[Age]]&lt;=64,"Adult","Geriatric"))</f>
        <v>Adult</v>
      </c>
    </row>
    <row r="2095" spans="1:19" ht="15.75" customHeight="1" x14ac:dyDescent="0.3">
      <c r="A2095" s="4" t="s">
        <v>4177</v>
      </c>
      <c r="B2095" s="5" t="str">
        <f>TEXT(Patient_Data!$E2095,"mmmm")</f>
        <v>March</v>
      </c>
      <c r="C2095" s="6" t="str">
        <f t="shared" si="16"/>
        <v>Mar</v>
      </c>
      <c r="D2095" s="6">
        <f>MONTH(Patient_Data!$E2095)</f>
        <v>3</v>
      </c>
      <c r="E2095" s="7">
        <v>46097</v>
      </c>
      <c r="F2095" s="55" t="str">
        <f>TEXT(Patient_Data[[#This Row],[Admission_Date]],"YYYY")</f>
        <v>2026</v>
      </c>
      <c r="G2095" s="8" t="s">
        <v>4178</v>
      </c>
      <c r="H2095" s="8" t="s">
        <v>34</v>
      </c>
      <c r="I2095" s="4" t="s">
        <v>35</v>
      </c>
      <c r="J2095" s="4">
        <v>88</v>
      </c>
      <c r="K2095" s="4" t="s">
        <v>45</v>
      </c>
      <c r="L2095" s="8">
        <v>4</v>
      </c>
      <c r="M2095" s="9" t="s">
        <v>50</v>
      </c>
      <c r="N2095" s="9" t="str">
        <f t="shared" si="17"/>
        <v>ICU</v>
      </c>
      <c r="O2095" s="10">
        <v>19256.11</v>
      </c>
      <c r="P2095" s="10">
        <v>12414.31</v>
      </c>
      <c r="Q2095" s="11">
        <v>11.3</v>
      </c>
      <c r="R2095" s="13" t="str">
        <f>IF(Patient_Data!$L2095&lt;2,"Low Risk",IF(Patient_Data!$L2095&lt;4,"Moderate Risk","High Risk"))</f>
        <v>High Risk</v>
      </c>
      <c r="S2095" s="12" t="str">
        <f>IF(Patient_Data[[#This Row],[Age]]&lt;=18,"Pediatric",IF(Patient_Data[[#This Row],[Age]]&lt;=64,"Adult","Geriatric"))</f>
        <v>Geriatric</v>
      </c>
    </row>
    <row r="2096" spans="1:19" ht="15.75" customHeight="1" x14ac:dyDescent="0.3">
      <c r="A2096" s="4" t="s">
        <v>4179</v>
      </c>
      <c r="B2096" s="5" t="str">
        <f>TEXT(Patient_Data!$E2096,"mmmm")</f>
        <v>July</v>
      </c>
      <c r="C2096" s="6" t="str">
        <f t="shared" si="16"/>
        <v>Jul</v>
      </c>
      <c r="D2096" s="6">
        <f>MONTH(Patient_Data!$E2096)</f>
        <v>7</v>
      </c>
      <c r="E2096" s="7">
        <v>45846</v>
      </c>
      <c r="F2096" s="55" t="str">
        <f>TEXT(Patient_Data[[#This Row],[Admission_Date]],"YYYY")</f>
        <v>2025</v>
      </c>
      <c r="G2096" s="8" t="s">
        <v>4180</v>
      </c>
      <c r="H2096" s="8" t="s">
        <v>34</v>
      </c>
      <c r="I2096" s="4" t="s">
        <v>35</v>
      </c>
      <c r="J2096" s="4">
        <v>31</v>
      </c>
      <c r="K2096" s="4" t="s">
        <v>30</v>
      </c>
      <c r="L2096" s="8">
        <v>1</v>
      </c>
      <c r="M2096" s="9" t="s">
        <v>39</v>
      </c>
      <c r="N2096" s="9" t="str">
        <f t="shared" si="17"/>
        <v>GM</v>
      </c>
      <c r="O2096" s="10">
        <v>2853.91</v>
      </c>
      <c r="P2096" s="10">
        <v>1980.12</v>
      </c>
      <c r="Q2096" s="11">
        <v>8.5</v>
      </c>
      <c r="R2096" s="13" t="str">
        <f>IF(Patient_Data!$L2096&lt;2,"Low Risk",IF(Patient_Data!$L2096&lt;4,"Moderate Risk","High Risk"))</f>
        <v>Low Risk</v>
      </c>
      <c r="S2096" s="12" t="str">
        <f>IF(Patient_Data[[#This Row],[Age]]&lt;=18,"Pediatric",IF(Patient_Data[[#This Row],[Age]]&lt;=64,"Adult","Geriatric"))</f>
        <v>Adult</v>
      </c>
    </row>
    <row r="2097" spans="1:19" ht="15.75" customHeight="1" x14ac:dyDescent="0.3">
      <c r="A2097" s="4" t="s">
        <v>4181</v>
      </c>
      <c r="B2097" s="5" t="str">
        <f>TEXT(Patient_Data!$E2097,"mmmm")</f>
        <v>April</v>
      </c>
      <c r="C2097" s="6" t="str">
        <f t="shared" si="16"/>
        <v>Apr</v>
      </c>
      <c r="D2097" s="6">
        <f>MONTH(Patient_Data!$E2097)</f>
        <v>4</v>
      </c>
      <c r="E2097" s="7">
        <v>46135</v>
      </c>
      <c r="F2097" s="55" t="str">
        <f>TEXT(Patient_Data[[#This Row],[Admission_Date]],"YYYY")</f>
        <v>2026</v>
      </c>
      <c r="G2097" s="8" t="s">
        <v>4182</v>
      </c>
      <c r="H2097" s="8" t="s">
        <v>53</v>
      </c>
      <c r="I2097" s="4" t="s">
        <v>29</v>
      </c>
      <c r="J2097" s="4">
        <v>76</v>
      </c>
      <c r="K2097" s="4" t="s">
        <v>30</v>
      </c>
      <c r="L2097" s="8">
        <v>3</v>
      </c>
      <c r="M2097" s="9" t="s">
        <v>83</v>
      </c>
      <c r="N2097" s="9" t="str">
        <f t="shared" si="17"/>
        <v>ER</v>
      </c>
      <c r="O2097" s="10">
        <v>9818.9699999999993</v>
      </c>
      <c r="P2097" s="10">
        <v>7061.28</v>
      </c>
      <c r="Q2097" s="11">
        <v>23.5</v>
      </c>
      <c r="R2097" s="13" t="str">
        <f>IF(Patient_Data!$L2097&lt;2,"Low Risk",IF(Patient_Data!$L2097&lt;4,"Moderate Risk","High Risk"))</f>
        <v>Moderate Risk</v>
      </c>
      <c r="S2097" s="12" t="str">
        <f>IF(Patient_Data[[#This Row],[Age]]&lt;=18,"Pediatric",IF(Patient_Data[[#This Row],[Age]]&lt;=64,"Adult","Geriatric"))</f>
        <v>Geriatric</v>
      </c>
    </row>
    <row r="2098" spans="1:19" ht="15.75" customHeight="1" x14ac:dyDescent="0.3">
      <c r="A2098" s="4" t="s">
        <v>4183</v>
      </c>
      <c r="B2098" s="5" t="str">
        <f>TEXT(Patient_Data!$E2098,"mmmm")</f>
        <v>September</v>
      </c>
      <c r="C2098" s="6" t="str">
        <f t="shared" si="16"/>
        <v>Sep</v>
      </c>
      <c r="D2098" s="6">
        <f>MONTH(Patient_Data!$E2098)</f>
        <v>9</v>
      </c>
      <c r="E2098" s="7">
        <v>45911</v>
      </c>
      <c r="F2098" s="55" t="str">
        <f>TEXT(Patient_Data[[#This Row],[Admission_Date]],"YYYY")</f>
        <v>2025</v>
      </c>
      <c r="G2098" s="8" t="s">
        <v>4184</v>
      </c>
      <c r="H2098" s="8" t="s">
        <v>28</v>
      </c>
      <c r="I2098" s="4" t="s">
        <v>35</v>
      </c>
      <c r="J2098" s="4">
        <v>59</v>
      </c>
      <c r="K2098" s="4" t="s">
        <v>30</v>
      </c>
      <c r="L2098" s="8">
        <v>2</v>
      </c>
      <c r="M2098" s="9" t="s">
        <v>46</v>
      </c>
      <c r="N2098" s="9" t="str">
        <f t="shared" si="17"/>
        <v>Ortho</v>
      </c>
      <c r="O2098" s="10">
        <v>9476.48</v>
      </c>
      <c r="P2098" s="10">
        <v>6945.03</v>
      </c>
      <c r="Q2098" s="11">
        <v>3.4</v>
      </c>
      <c r="R2098" s="13" t="str">
        <f>IF(Patient_Data!$L2098&lt;2,"Low Risk",IF(Patient_Data!$L2098&lt;4,"Moderate Risk","High Risk"))</f>
        <v>Moderate Risk</v>
      </c>
      <c r="S2098" s="12" t="str">
        <f>IF(Patient_Data[[#This Row],[Age]]&lt;=18,"Pediatric",IF(Patient_Data[[#This Row],[Age]]&lt;=64,"Adult","Geriatric"))</f>
        <v>Adult</v>
      </c>
    </row>
    <row r="2099" spans="1:19" ht="15.75" customHeight="1" x14ac:dyDescent="0.3">
      <c r="A2099" s="4" t="s">
        <v>4185</v>
      </c>
      <c r="B2099" s="5" t="str">
        <f>TEXT(Patient_Data!$E2099,"mmmm")</f>
        <v>March</v>
      </c>
      <c r="C2099" s="6" t="str">
        <f t="shared" si="16"/>
        <v>Mar</v>
      </c>
      <c r="D2099" s="6">
        <f>MONTH(Patient_Data!$E2099)</f>
        <v>3</v>
      </c>
      <c r="E2099" s="7">
        <v>46093</v>
      </c>
      <c r="F2099" s="55" t="str">
        <f>TEXT(Patient_Data[[#This Row],[Admission_Date]],"YYYY")</f>
        <v>2026</v>
      </c>
      <c r="G2099" s="8" t="s">
        <v>4186</v>
      </c>
      <c r="H2099" s="8" t="s">
        <v>49</v>
      </c>
      <c r="I2099" s="4" t="s">
        <v>35</v>
      </c>
      <c r="J2099" s="4">
        <v>29</v>
      </c>
      <c r="K2099" s="4" t="s">
        <v>30</v>
      </c>
      <c r="L2099" s="8">
        <v>1</v>
      </c>
      <c r="M2099" s="9" t="s">
        <v>83</v>
      </c>
      <c r="N2099" s="9" t="str">
        <f t="shared" si="17"/>
        <v>ER</v>
      </c>
      <c r="O2099" s="10">
        <v>3550.91</v>
      </c>
      <c r="P2099" s="10">
        <v>2803.49</v>
      </c>
      <c r="Q2099" s="11">
        <v>13.1</v>
      </c>
      <c r="R2099" s="13" t="str">
        <f>IF(Patient_Data!$L2099&lt;2,"Low Risk",IF(Patient_Data!$L2099&lt;4,"Moderate Risk","High Risk"))</f>
        <v>Low Risk</v>
      </c>
      <c r="S2099" s="12" t="str">
        <f>IF(Patient_Data[[#This Row],[Age]]&lt;=18,"Pediatric",IF(Patient_Data[[#This Row],[Age]]&lt;=64,"Adult","Geriatric"))</f>
        <v>Adult</v>
      </c>
    </row>
    <row r="2100" spans="1:19" ht="15.75" customHeight="1" x14ac:dyDescent="0.3">
      <c r="A2100" s="4" t="s">
        <v>4187</v>
      </c>
      <c r="B2100" s="5" t="str">
        <f>TEXT(Patient_Data!$E2100,"mmmm")</f>
        <v>April</v>
      </c>
      <c r="C2100" s="6" t="str">
        <f t="shared" si="16"/>
        <v>Apr</v>
      </c>
      <c r="D2100" s="6">
        <f>MONTH(Patient_Data!$E2100)</f>
        <v>4</v>
      </c>
      <c r="E2100" s="7">
        <v>45400</v>
      </c>
      <c r="F2100" s="55" t="str">
        <f>TEXT(Patient_Data[[#This Row],[Admission_Date]],"YYYY")</f>
        <v>2024</v>
      </c>
      <c r="G2100" s="8" t="s">
        <v>4188</v>
      </c>
      <c r="H2100" s="8" t="s">
        <v>132</v>
      </c>
      <c r="I2100" s="4" t="s">
        <v>35</v>
      </c>
      <c r="J2100" s="4">
        <v>66</v>
      </c>
      <c r="K2100" s="4" t="s">
        <v>54</v>
      </c>
      <c r="L2100" s="8">
        <v>4</v>
      </c>
      <c r="M2100" s="9" t="s">
        <v>50</v>
      </c>
      <c r="N2100" s="9" t="str">
        <f t="shared" si="17"/>
        <v>ICU</v>
      </c>
      <c r="O2100" s="10">
        <v>12332.29</v>
      </c>
      <c r="P2100" s="10">
        <v>7264.73</v>
      </c>
      <c r="Q2100" s="11">
        <v>14</v>
      </c>
      <c r="R2100" s="13" t="str">
        <f>IF(Patient_Data!$L2100&lt;2,"Low Risk",IF(Patient_Data!$L2100&lt;4,"Moderate Risk","High Risk"))</f>
        <v>High Risk</v>
      </c>
      <c r="S2100" s="12" t="str">
        <f>IF(Patient_Data[[#This Row],[Age]]&lt;=18,"Pediatric",IF(Patient_Data[[#This Row],[Age]]&lt;=64,"Adult","Geriatric"))</f>
        <v>Geriatric</v>
      </c>
    </row>
    <row r="2101" spans="1:19" ht="15.75" customHeight="1" x14ac:dyDescent="0.3">
      <c r="A2101" s="4" t="s">
        <v>4189</v>
      </c>
      <c r="B2101" s="5" t="str">
        <f>TEXT(Patient_Data!$E2101,"mmmm")</f>
        <v>March</v>
      </c>
      <c r="C2101" s="6" t="str">
        <f t="shared" si="16"/>
        <v>Mar</v>
      </c>
      <c r="D2101" s="6">
        <f>MONTH(Patient_Data!$E2101)</f>
        <v>3</v>
      </c>
      <c r="E2101" s="7">
        <v>45366</v>
      </c>
      <c r="F2101" s="55" t="str">
        <f>TEXT(Patient_Data[[#This Row],[Admission_Date]],"YYYY")</f>
        <v>2024</v>
      </c>
      <c r="G2101" s="8" t="s">
        <v>4190</v>
      </c>
      <c r="H2101" s="8" t="s">
        <v>49</v>
      </c>
      <c r="I2101" s="4" t="s">
        <v>29</v>
      </c>
      <c r="J2101" s="4">
        <v>27</v>
      </c>
      <c r="K2101" s="4" t="s">
        <v>30</v>
      </c>
      <c r="L2101" s="8">
        <v>3</v>
      </c>
      <c r="M2101" s="9" t="s">
        <v>72</v>
      </c>
      <c r="N2101" s="9" t="str">
        <f t="shared" si="17"/>
        <v>Surgery</v>
      </c>
      <c r="O2101" s="10">
        <v>18358.22</v>
      </c>
      <c r="P2101" s="10">
        <v>11220.11</v>
      </c>
      <c r="Q2101" s="11">
        <v>2.7</v>
      </c>
      <c r="R2101" s="13" t="str">
        <f>IF(Patient_Data!$L2101&lt;2,"Low Risk",IF(Patient_Data!$L2101&lt;4,"Moderate Risk","High Risk"))</f>
        <v>Moderate Risk</v>
      </c>
      <c r="S2101" s="12" t="str">
        <f>IF(Patient_Data[[#This Row],[Age]]&lt;=18,"Pediatric",IF(Patient_Data[[#This Row],[Age]]&lt;=64,"Adult","Geriatric"))</f>
        <v>Adult</v>
      </c>
    </row>
    <row r="2102" spans="1:19" ht="15.75" customHeight="1" x14ac:dyDescent="0.3">
      <c r="A2102" s="4" t="s">
        <v>4191</v>
      </c>
      <c r="B2102" s="5" t="str">
        <f>TEXT(Patient_Data!$E2102,"mmmm")</f>
        <v>November</v>
      </c>
      <c r="C2102" s="6" t="str">
        <f t="shared" si="16"/>
        <v>Nov</v>
      </c>
      <c r="D2102" s="6">
        <f>MONTH(Patient_Data!$E2102)</f>
        <v>11</v>
      </c>
      <c r="E2102" s="7">
        <v>45621</v>
      </c>
      <c r="F2102" s="55" t="str">
        <f>TEXT(Patient_Data[[#This Row],[Admission_Date]],"YYYY")</f>
        <v>2024</v>
      </c>
      <c r="G2102" s="8" t="s">
        <v>4192</v>
      </c>
      <c r="H2102" s="8" t="s">
        <v>34</v>
      </c>
      <c r="I2102" s="4" t="s">
        <v>35</v>
      </c>
      <c r="J2102" s="4">
        <v>54</v>
      </c>
      <c r="K2102" s="4" t="s">
        <v>54</v>
      </c>
      <c r="L2102" s="8">
        <v>2</v>
      </c>
      <c r="M2102" s="9" t="s">
        <v>31</v>
      </c>
      <c r="N2102" s="9" t="str">
        <f t="shared" si="17"/>
        <v>Neuro</v>
      </c>
      <c r="O2102" s="10">
        <v>9055.3700000000008</v>
      </c>
      <c r="P2102" s="10">
        <v>5860.24</v>
      </c>
      <c r="Q2102" s="11">
        <v>8.1</v>
      </c>
      <c r="R2102" s="13" t="str">
        <f>IF(Patient_Data!$L2102&lt;2,"Low Risk",IF(Patient_Data!$L2102&lt;4,"Moderate Risk","High Risk"))</f>
        <v>Moderate Risk</v>
      </c>
      <c r="S2102" s="12" t="str">
        <f>IF(Patient_Data[[#This Row],[Age]]&lt;=18,"Pediatric",IF(Patient_Data[[#This Row],[Age]]&lt;=64,"Adult","Geriatric"))</f>
        <v>Adult</v>
      </c>
    </row>
    <row r="2103" spans="1:19" ht="15.75" customHeight="1" x14ac:dyDescent="0.3">
      <c r="A2103" s="4" t="s">
        <v>4193</v>
      </c>
      <c r="B2103" s="5" t="str">
        <f>TEXT(Patient_Data!$E2103,"mmmm")</f>
        <v>April</v>
      </c>
      <c r="C2103" s="6" t="str">
        <f t="shared" si="16"/>
        <v>Apr</v>
      </c>
      <c r="D2103" s="6">
        <f>MONTH(Patient_Data!$E2103)</f>
        <v>4</v>
      </c>
      <c r="E2103" s="7">
        <v>45764</v>
      </c>
      <c r="F2103" s="55" t="str">
        <f>TEXT(Patient_Data[[#This Row],[Admission_Date]],"YYYY")</f>
        <v>2025</v>
      </c>
      <c r="G2103" s="8" t="s">
        <v>4194</v>
      </c>
      <c r="H2103" s="8" t="s">
        <v>53</v>
      </c>
      <c r="I2103" s="4" t="s">
        <v>29</v>
      </c>
      <c r="J2103" s="4">
        <v>72</v>
      </c>
      <c r="K2103" s="4" t="s">
        <v>45</v>
      </c>
      <c r="L2103" s="8">
        <v>4</v>
      </c>
      <c r="M2103" s="9" t="s">
        <v>83</v>
      </c>
      <c r="N2103" s="9" t="str">
        <f t="shared" si="17"/>
        <v>ER</v>
      </c>
      <c r="O2103" s="10">
        <v>5339.79</v>
      </c>
      <c r="P2103" s="10">
        <v>3733.66</v>
      </c>
      <c r="Q2103" s="11">
        <v>19.5</v>
      </c>
      <c r="R2103" s="13" t="str">
        <f>IF(Patient_Data!$L2103&lt;2,"Low Risk",IF(Patient_Data!$L2103&lt;4,"Moderate Risk","High Risk"))</f>
        <v>High Risk</v>
      </c>
      <c r="S2103" s="12" t="str">
        <f>IF(Patient_Data[[#This Row],[Age]]&lt;=18,"Pediatric",IF(Patient_Data[[#This Row],[Age]]&lt;=64,"Adult","Geriatric"))</f>
        <v>Geriatric</v>
      </c>
    </row>
    <row r="2104" spans="1:19" ht="15.75" customHeight="1" x14ac:dyDescent="0.3">
      <c r="A2104" s="4" t="s">
        <v>4195</v>
      </c>
      <c r="B2104" s="5" t="str">
        <f>TEXT(Patient_Data!$E2104,"mmmm")</f>
        <v>October</v>
      </c>
      <c r="C2104" s="6" t="str">
        <f t="shared" si="16"/>
        <v>Oct</v>
      </c>
      <c r="D2104" s="6">
        <f>MONTH(Patient_Data!$E2104)</f>
        <v>10</v>
      </c>
      <c r="E2104" s="7">
        <v>45932</v>
      </c>
      <c r="F2104" s="55" t="str">
        <f>TEXT(Patient_Data[[#This Row],[Admission_Date]],"YYYY")</f>
        <v>2025</v>
      </c>
      <c r="G2104" s="8" t="s">
        <v>535</v>
      </c>
      <c r="H2104" s="8" t="s">
        <v>82</v>
      </c>
      <c r="I2104" s="4" t="s">
        <v>29</v>
      </c>
      <c r="J2104" s="4">
        <v>35</v>
      </c>
      <c r="K2104" s="4" t="s">
        <v>54</v>
      </c>
      <c r="L2104" s="8">
        <v>4</v>
      </c>
      <c r="M2104" s="9" t="s">
        <v>31</v>
      </c>
      <c r="N2104" s="9" t="str">
        <f t="shared" si="17"/>
        <v>Neuro</v>
      </c>
      <c r="O2104" s="10">
        <v>8128.49</v>
      </c>
      <c r="P2104" s="10">
        <v>5737.94</v>
      </c>
      <c r="Q2104" s="11">
        <v>6</v>
      </c>
      <c r="R2104" s="13" t="str">
        <f>IF(Patient_Data!$L2104&lt;2,"Low Risk",IF(Patient_Data!$L2104&lt;4,"Moderate Risk","High Risk"))</f>
        <v>High Risk</v>
      </c>
      <c r="S2104" s="12" t="str">
        <f>IF(Patient_Data[[#This Row],[Age]]&lt;=18,"Pediatric",IF(Patient_Data[[#This Row],[Age]]&lt;=64,"Adult","Geriatric"))</f>
        <v>Adult</v>
      </c>
    </row>
    <row r="2105" spans="1:19" ht="15.75" customHeight="1" x14ac:dyDescent="0.3">
      <c r="A2105" s="4" t="s">
        <v>4196</v>
      </c>
      <c r="B2105" s="5" t="str">
        <f>TEXT(Patient_Data!$E2105,"mmmm")</f>
        <v>April</v>
      </c>
      <c r="C2105" s="6" t="str">
        <f t="shared" si="16"/>
        <v>Apr</v>
      </c>
      <c r="D2105" s="6">
        <f>MONTH(Patient_Data!$E2105)</f>
        <v>4</v>
      </c>
      <c r="E2105" s="7">
        <v>45384</v>
      </c>
      <c r="F2105" s="55" t="str">
        <f>TEXT(Patient_Data[[#This Row],[Admission_Date]],"YYYY")</f>
        <v>2024</v>
      </c>
      <c r="G2105" s="8" t="s">
        <v>4197</v>
      </c>
      <c r="H2105" s="8" t="s">
        <v>34</v>
      </c>
      <c r="I2105" s="4" t="s">
        <v>29</v>
      </c>
      <c r="J2105" s="4">
        <v>65</v>
      </c>
      <c r="K2105" s="4" t="s">
        <v>30</v>
      </c>
      <c r="L2105" s="8">
        <v>5</v>
      </c>
      <c r="M2105" s="9" t="s">
        <v>72</v>
      </c>
      <c r="N2105" s="9" t="str">
        <f t="shared" si="17"/>
        <v>Surgery</v>
      </c>
      <c r="O2105" s="10">
        <v>13481.68</v>
      </c>
      <c r="P2105" s="10">
        <v>9934.43</v>
      </c>
      <c r="Q2105" s="11">
        <v>11.6</v>
      </c>
      <c r="R2105" s="13" t="str">
        <f>IF(Patient_Data!$L2105&lt;2,"Low Risk",IF(Patient_Data!$L2105&lt;4,"Moderate Risk","High Risk"))</f>
        <v>High Risk</v>
      </c>
      <c r="S2105" s="12" t="str">
        <f>IF(Patient_Data[[#This Row],[Age]]&lt;=18,"Pediatric",IF(Patient_Data[[#This Row],[Age]]&lt;=64,"Adult","Geriatric"))</f>
        <v>Geriatric</v>
      </c>
    </row>
    <row r="2106" spans="1:19" ht="15.75" customHeight="1" x14ac:dyDescent="0.3">
      <c r="A2106" s="4" t="s">
        <v>4198</v>
      </c>
      <c r="B2106" s="5" t="str">
        <f>TEXT(Patient_Data!$E2106,"mmmm")</f>
        <v>November</v>
      </c>
      <c r="C2106" s="6" t="str">
        <f t="shared" si="16"/>
        <v>Nov</v>
      </c>
      <c r="D2106" s="6">
        <f>MONTH(Patient_Data!$E2106)</f>
        <v>11</v>
      </c>
      <c r="E2106" s="7">
        <v>45260</v>
      </c>
      <c r="F2106" s="55" t="str">
        <f>TEXT(Patient_Data[[#This Row],[Admission_Date]],"YYYY")</f>
        <v>2023</v>
      </c>
      <c r="G2106" s="8" t="s">
        <v>4199</v>
      </c>
      <c r="H2106" s="8" t="s">
        <v>34</v>
      </c>
      <c r="I2106" s="4" t="s">
        <v>29</v>
      </c>
      <c r="J2106" s="4">
        <v>24</v>
      </c>
      <c r="K2106" s="4" t="s">
        <v>30</v>
      </c>
      <c r="L2106" s="8">
        <v>2</v>
      </c>
      <c r="M2106" s="9" t="s">
        <v>36</v>
      </c>
      <c r="N2106" s="9" t="str">
        <f t="shared" si="17"/>
        <v>Cardio</v>
      </c>
      <c r="O2106" s="10">
        <v>6039.36</v>
      </c>
      <c r="P2106" s="10">
        <v>4661.1099999999997</v>
      </c>
      <c r="Q2106" s="11">
        <v>8.9</v>
      </c>
      <c r="R2106" s="13" t="str">
        <f>IF(Patient_Data!$L2106&lt;2,"Low Risk",IF(Patient_Data!$L2106&lt;4,"Moderate Risk","High Risk"))</f>
        <v>Moderate Risk</v>
      </c>
      <c r="S2106" s="12" t="str">
        <f>IF(Patient_Data[[#This Row],[Age]]&lt;=18,"Pediatric",IF(Patient_Data[[#This Row],[Age]]&lt;=64,"Adult","Geriatric"))</f>
        <v>Adult</v>
      </c>
    </row>
    <row r="2107" spans="1:19" ht="15.75" customHeight="1" x14ac:dyDescent="0.3">
      <c r="A2107" s="4" t="s">
        <v>4200</v>
      </c>
      <c r="B2107" s="5" t="str">
        <f>TEXT(Patient_Data!$E2107,"mmmm")</f>
        <v>July</v>
      </c>
      <c r="C2107" s="6" t="str">
        <f t="shared" si="16"/>
        <v>Jul</v>
      </c>
      <c r="D2107" s="6">
        <f>MONTH(Patient_Data!$E2107)</f>
        <v>7</v>
      </c>
      <c r="E2107" s="7">
        <v>45503</v>
      </c>
      <c r="F2107" s="55" t="str">
        <f>TEXT(Patient_Data[[#This Row],[Admission_Date]],"YYYY")</f>
        <v>2024</v>
      </c>
      <c r="G2107" s="8" t="s">
        <v>4201</v>
      </c>
      <c r="H2107" s="8" t="s">
        <v>28</v>
      </c>
      <c r="I2107" s="4" t="s">
        <v>35</v>
      </c>
      <c r="J2107" s="4">
        <v>91</v>
      </c>
      <c r="K2107" s="4" t="s">
        <v>45</v>
      </c>
      <c r="L2107" s="8">
        <v>4</v>
      </c>
      <c r="M2107" s="9" t="s">
        <v>46</v>
      </c>
      <c r="N2107" s="9" t="str">
        <f t="shared" si="17"/>
        <v>Ortho</v>
      </c>
      <c r="O2107" s="10">
        <v>11720.12</v>
      </c>
      <c r="P2107" s="10">
        <v>6854.47</v>
      </c>
      <c r="Q2107" s="11">
        <v>7.1</v>
      </c>
      <c r="R2107" s="13" t="str">
        <f>IF(Patient_Data!$L2107&lt;2,"Low Risk",IF(Patient_Data!$L2107&lt;4,"Moderate Risk","High Risk"))</f>
        <v>High Risk</v>
      </c>
      <c r="S2107" s="12" t="str">
        <f>IF(Patient_Data[[#This Row],[Age]]&lt;=18,"Pediatric",IF(Patient_Data[[#This Row],[Age]]&lt;=64,"Adult","Geriatric"))</f>
        <v>Geriatric</v>
      </c>
    </row>
    <row r="2108" spans="1:19" ht="15.75" customHeight="1" x14ac:dyDescent="0.3">
      <c r="A2108" s="4" t="s">
        <v>4202</v>
      </c>
      <c r="B2108" s="5" t="str">
        <f>TEXT(Patient_Data!$E2108,"mmmm")</f>
        <v>June</v>
      </c>
      <c r="C2108" s="6" t="str">
        <f t="shared" si="16"/>
        <v>Jun</v>
      </c>
      <c r="D2108" s="6">
        <f>MONTH(Patient_Data!$E2108)</f>
        <v>6</v>
      </c>
      <c r="E2108" s="7">
        <v>46175</v>
      </c>
      <c r="F2108" s="55" t="str">
        <f>TEXT(Patient_Data[[#This Row],[Admission_Date]],"YYYY")</f>
        <v>2026</v>
      </c>
      <c r="G2108" s="8" t="s">
        <v>4203</v>
      </c>
      <c r="H2108" s="8" t="s">
        <v>132</v>
      </c>
      <c r="I2108" s="4" t="s">
        <v>35</v>
      </c>
      <c r="J2108" s="4">
        <v>33</v>
      </c>
      <c r="K2108" s="4" t="s">
        <v>30</v>
      </c>
      <c r="L2108" s="8">
        <v>4</v>
      </c>
      <c r="M2108" s="9" t="s">
        <v>72</v>
      </c>
      <c r="N2108" s="9" t="str">
        <f t="shared" si="17"/>
        <v>Surgery</v>
      </c>
      <c r="O2108" s="10">
        <v>17042.72</v>
      </c>
      <c r="P2108" s="10">
        <v>10480.86</v>
      </c>
      <c r="Q2108" s="11">
        <v>10.6</v>
      </c>
      <c r="R2108" s="13" t="str">
        <f>IF(Patient_Data!$L2108&lt;2,"Low Risk",IF(Patient_Data!$L2108&lt;4,"Moderate Risk","High Risk"))</f>
        <v>High Risk</v>
      </c>
      <c r="S2108" s="12" t="str">
        <f>IF(Patient_Data[[#This Row],[Age]]&lt;=18,"Pediatric",IF(Patient_Data[[#This Row],[Age]]&lt;=64,"Adult","Geriatric"))</f>
        <v>Adult</v>
      </c>
    </row>
    <row r="2109" spans="1:19" ht="15.75" customHeight="1" x14ac:dyDescent="0.3">
      <c r="A2109" s="4" t="s">
        <v>4204</v>
      </c>
      <c r="B2109" s="5" t="str">
        <f>TEXT(Patient_Data!$E2109,"mmmm")</f>
        <v>June</v>
      </c>
      <c r="C2109" s="6" t="str">
        <f t="shared" si="16"/>
        <v>Jun</v>
      </c>
      <c r="D2109" s="6">
        <f>MONTH(Patient_Data!$E2109)</f>
        <v>6</v>
      </c>
      <c r="E2109" s="7">
        <v>45454</v>
      </c>
      <c r="F2109" s="55" t="str">
        <f>TEXT(Patient_Data[[#This Row],[Admission_Date]],"YYYY")</f>
        <v>2024</v>
      </c>
      <c r="G2109" s="8" t="s">
        <v>4205</v>
      </c>
      <c r="H2109" s="8" t="s">
        <v>49</v>
      </c>
      <c r="I2109" s="4" t="s">
        <v>35</v>
      </c>
      <c r="J2109" s="4">
        <v>72</v>
      </c>
      <c r="K2109" s="4" t="s">
        <v>54</v>
      </c>
      <c r="L2109" s="8">
        <v>3</v>
      </c>
      <c r="M2109" s="9" t="s">
        <v>36</v>
      </c>
      <c r="N2109" s="9" t="str">
        <f t="shared" si="17"/>
        <v>Cardio</v>
      </c>
      <c r="O2109" s="10">
        <v>13940.93</v>
      </c>
      <c r="P2109" s="10">
        <v>9010.2000000000007</v>
      </c>
      <c r="Q2109" s="11">
        <v>11</v>
      </c>
      <c r="R2109" s="13" t="str">
        <f>IF(Patient_Data!$L2109&lt;2,"Low Risk",IF(Patient_Data!$L2109&lt;4,"Moderate Risk","High Risk"))</f>
        <v>Moderate Risk</v>
      </c>
      <c r="S2109" s="12" t="str">
        <f>IF(Patient_Data[[#This Row],[Age]]&lt;=18,"Pediatric",IF(Patient_Data[[#This Row],[Age]]&lt;=64,"Adult","Geriatric"))</f>
        <v>Geriatric</v>
      </c>
    </row>
    <row r="2110" spans="1:19" ht="15.75" customHeight="1" x14ac:dyDescent="0.3">
      <c r="A2110" s="4" t="s">
        <v>4206</v>
      </c>
      <c r="B2110" s="5" t="str">
        <f>TEXT(Patient_Data!$E2110,"mmmm")</f>
        <v>December</v>
      </c>
      <c r="C2110" s="6" t="str">
        <f t="shared" si="16"/>
        <v>Dec</v>
      </c>
      <c r="D2110" s="6">
        <f>MONTH(Patient_Data!$E2110)</f>
        <v>12</v>
      </c>
      <c r="E2110" s="7">
        <v>46005</v>
      </c>
      <c r="F2110" s="55" t="str">
        <f>TEXT(Patient_Data[[#This Row],[Admission_Date]],"YYYY")</f>
        <v>2025</v>
      </c>
      <c r="G2110" s="8" t="s">
        <v>4207</v>
      </c>
      <c r="H2110" s="8" t="s">
        <v>49</v>
      </c>
      <c r="I2110" s="4" t="s">
        <v>29</v>
      </c>
      <c r="J2110" s="4">
        <v>56</v>
      </c>
      <c r="K2110" s="4" t="s">
        <v>30</v>
      </c>
      <c r="L2110" s="8">
        <v>2</v>
      </c>
      <c r="M2110" s="9" t="s">
        <v>31</v>
      </c>
      <c r="N2110" s="9" t="str">
        <f t="shared" si="17"/>
        <v>Neuro</v>
      </c>
      <c r="O2110" s="10">
        <v>10056.959999999999</v>
      </c>
      <c r="P2110" s="10">
        <v>6820.56</v>
      </c>
      <c r="Q2110" s="11">
        <v>10.3</v>
      </c>
      <c r="R2110" s="13" t="str">
        <f>IF(Patient_Data!$L2110&lt;2,"Low Risk",IF(Patient_Data!$L2110&lt;4,"Moderate Risk","High Risk"))</f>
        <v>Moderate Risk</v>
      </c>
      <c r="S2110" s="12" t="str">
        <f>IF(Patient_Data[[#This Row],[Age]]&lt;=18,"Pediatric",IF(Patient_Data[[#This Row],[Age]]&lt;=64,"Adult","Geriatric"))</f>
        <v>Adult</v>
      </c>
    </row>
    <row r="2111" spans="1:19" ht="15.75" customHeight="1" x14ac:dyDescent="0.3">
      <c r="A2111" s="4" t="s">
        <v>4208</v>
      </c>
      <c r="B2111" s="5" t="str">
        <f>TEXT(Patient_Data!$E2111,"mmmm")</f>
        <v>October</v>
      </c>
      <c r="C2111" s="6" t="str">
        <f t="shared" si="16"/>
        <v>Oct</v>
      </c>
      <c r="D2111" s="6">
        <f>MONTH(Patient_Data!$E2111)</f>
        <v>10</v>
      </c>
      <c r="E2111" s="7">
        <v>45568</v>
      </c>
      <c r="F2111" s="55" t="str">
        <f>TEXT(Patient_Data[[#This Row],[Admission_Date]],"YYYY")</f>
        <v>2024</v>
      </c>
      <c r="G2111" s="8" t="s">
        <v>4209</v>
      </c>
      <c r="H2111" s="8" t="s">
        <v>42</v>
      </c>
      <c r="I2111" s="4" t="s">
        <v>35</v>
      </c>
      <c r="J2111" s="4">
        <v>76</v>
      </c>
      <c r="K2111" s="4" t="s">
        <v>45</v>
      </c>
      <c r="L2111" s="8">
        <v>3</v>
      </c>
      <c r="M2111" s="9" t="s">
        <v>39</v>
      </c>
      <c r="N2111" s="9" t="str">
        <f t="shared" si="17"/>
        <v>GM</v>
      </c>
      <c r="O2111" s="10">
        <v>4473.67</v>
      </c>
      <c r="P2111" s="10">
        <v>3207.57</v>
      </c>
      <c r="Q2111" s="11">
        <v>9.5</v>
      </c>
      <c r="R2111" s="13" t="str">
        <f>IF(Patient_Data!$L2111&lt;2,"Low Risk",IF(Patient_Data!$L2111&lt;4,"Moderate Risk","High Risk"))</f>
        <v>Moderate Risk</v>
      </c>
      <c r="S2111" s="12" t="str">
        <f>IF(Patient_Data[[#This Row],[Age]]&lt;=18,"Pediatric",IF(Patient_Data[[#This Row],[Age]]&lt;=64,"Adult","Geriatric"))</f>
        <v>Geriatric</v>
      </c>
    </row>
    <row r="2112" spans="1:19" ht="15.75" customHeight="1" x14ac:dyDescent="0.3">
      <c r="A2112" s="4" t="s">
        <v>4210</v>
      </c>
      <c r="B2112" s="5" t="str">
        <f>TEXT(Patient_Data!$E2112,"mmmm")</f>
        <v>September</v>
      </c>
      <c r="C2112" s="6" t="str">
        <f t="shared" si="16"/>
        <v>Sep</v>
      </c>
      <c r="D2112" s="6">
        <f>MONTH(Patient_Data!$E2112)</f>
        <v>9</v>
      </c>
      <c r="E2112" s="7">
        <v>45551</v>
      </c>
      <c r="F2112" s="55" t="str">
        <f>TEXT(Patient_Data[[#This Row],[Admission_Date]],"YYYY")</f>
        <v>2024</v>
      </c>
      <c r="G2112" s="8" t="s">
        <v>4211</v>
      </c>
      <c r="H2112" s="8" t="s">
        <v>53</v>
      </c>
      <c r="I2112" s="4" t="s">
        <v>29</v>
      </c>
      <c r="J2112" s="4">
        <v>83</v>
      </c>
      <c r="K2112" s="4" t="s">
        <v>30</v>
      </c>
      <c r="L2112" s="8">
        <v>3</v>
      </c>
      <c r="M2112" s="9" t="s">
        <v>31</v>
      </c>
      <c r="N2112" s="9" t="str">
        <f t="shared" si="17"/>
        <v>Neuro</v>
      </c>
      <c r="O2112" s="10">
        <v>13677.67</v>
      </c>
      <c r="P2112" s="10">
        <v>10038.299999999999</v>
      </c>
      <c r="Q2112" s="11">
        <v>6.7</v>
      </c>
      <c r="R2112" s="13" t="str">
        <f>IF(Patient_Data!$L2112&lt;2,"Low Risk",IF(Patient_Data!$L2112&lt;4,"Moderate Risk","High Risk"))</f>
        <v>Moderate Risk</v>
      </c>
      <c r="S2112" s="12" t="str">
        <f>IF(Patient_Data[[#This Row],[Age]]&lt;=18,"Pediatric",IF(Patient_Data[[#This Row],[Age]]&lt;=64,"Adult","Geriatric"))</f>
        <v>Geriatric</v>
      </c>
    </row>
    <row r="2113" spans="1:19" ht="15.75" customHeight="1" x14ac:dyDescent="0.3">
      <c r="A2113" s="4" t="s">
        <v>4212</v>
      </c>
      <c r="B2113" s="5" t="str">
        <f>TEXT(Patient_Data!$E2113,"mmmm")</f>
        <v>May</v>
      </c>
      <c r="C2113" s="6" t="str">
        <f t="shared" si="16"/>
        <v>May</v>
      </c>
      <c r="D2113" s="6">
        <f>MONTH(Patient_Data!$E2113)</f>
        <v>5</v>
      </c>
      <c r="E2113" s="7">
        <v>45414</v>
      </c>
      <c r="F2113" s="55" t="str">
        <f>TEXT(Patient_Data[[#This Row],[Admission_Date]],"YYYY")</f>
        <v>2024</v>
      </c>
      <c r="G2113" s="8" t="s">
        <v>4213</v>
      </c>
      <c r="H2113" s="8" t="s">
        <v>34</v>
      </c>
      <c r="I2113" s="4" t="s">
        <v>29</v>
      </c>
      <c r="J2113" s="4">
        <v>11</v>
      </c>
      <c r="K2113" s="4" t="s">
        <v>30</v>
      </c>
      <c r="L2113" s="8">
        <v>1</v>
      </c>
      <c r="M2113" s="9" t="s">
        <v>79</v>
      </c>
      <c r="N2113" s="9" t="str">
        <f t="shared" si="17"/>
        <v>PD</v>
      </c>
      <c r="O2113" s="10">
        <v>820.03</v>
      </c>
      <c r="P2113" s="10">
        <v>628.82000000000005</v>
      </c>
      <c r="Q2113" s="11">
        <v>0.7</v>
      </c>
      <c r="R2113" s="13" t="str">
        <f>IF(Patient_Data!$L2113&lt;2,"Low Risk",IF(Patient_Data!$L2113&lt;4,"Moderate Risk","High Risk"))</f>
        <v>Low Risk</v>
      </c>
      <c r="S2113" s="12" t="str">
        <f>IF(Patient_Data[[#This Row],[Age]]&lt;=18,"Pediatric",IF(Patient_Data[[#This Row],[Age]]&lt;=64,"Adult","Geriatric"))</f>
        <v>Pediatric</v>
      </c>
    </row>
    <row r="2114" spans="1:19" ht="15.75" customHeight="1" x14ac:dyDescent="0.3">
      <c r="A2114" s="4" t="s">
        <v>4214</v>
      </c>
      <c r="B2114" s="5" t="str">
        <f>TEXT(Patient_Data!$E2114,"mmmm")</f>
        <v>November</v>
      </c>
      <c r="C2114" s="6" t="str">
        <f t="shared" si="16"/>
        <v>Nov</v>
      </c>
      <c r="D2114" s="6">
        <f>MONTH(Patient_Data!$E2114)</f>
        <v>11</v>
      </c>
      <c r="E2114" s="7">
        <v>45971</v>
      </c>
      <c r="F2114" s="55" t="str">
        <f>TEXT(Patient_Data[[#This Row],[Admission_Date]],"YYYY")</f>
        <v>2025</v>
      </c>
      <c r="G2114" s="8" t="s">
        <v>4215</v>
      </c>
      <c r="H2114" s="8" t="s">
        <v>28</v>
      </c>
      <c r="I2114" s="4" t="s">
        <v>35</v>
      </c>
      <c r="J2114" s="4">
        <v>49</v>
      </c>
      <c r="K2114" s="4" t="s">
        <v>30</v>
      </c>
      <c r="L2114" s="8">
        <v>1</v>
      </c>
      <c r="M2114" s="9" t="s">
        <v>39</v>
      </c>
      <c r="N2114" s="9" t="str">
        <f t="shared" si="17"/>
        <v>GM</v>
      </c>
      <c r="O2114" s="10">
        <v>4176.07</v>
      </c>
      <c r="P2114" s="10">
        <v>2483.7199999999998</v>
      </c>
      <c r="Q2114" s="11">
        <v>7.7</v>
      </c>
      <c r="R2114" s="13" t="str">
        <f>IF(Patient_Data!$L2114&lt;2,"Low Risk",IF(Patient_Data!$L2114&lt;4,"Moderate Risk","High Risk"))</f>
        <v>Low Risk</v>
      </c>
      <c r="S2114" s="12" t="str">
        <f>IF(Patient_Data[[#This Row],[Age]]&lt;=18,"Pediatric",IF(Patient_Data[[#This Row],[Age]]&lt;=64,"Adult","Geriatric"))</f>
        <v>Adult</v>
      </c>
    </row>
    <row r="2115" spans="1:19" ht="15.75" customHeight="1" x14ac:dyDescent="0.3">
      <c r="A2115" s="4" t="s">
        <v>4216</v>
      </c>
      <c r="B2115" s="5" t="str">
        <f>TEXT(Patient_Data!$E2115,"mmmm")</f>
        <v>November</v>
      </c>
      <c r="C2115" s="6" t="str">
        <f t="shared" si="16"/>
        <v>Nov</v>
      </c>
      <c r="D2115" s="6">
        <f>MONTH(Patient_Data!$E2115)</f>
        <v>11</v>
      </c>
      <c r="E2115" s="7">
        <v>45608</v>
      </c>
      <c r="F2115" s="55" t="str">
        <f>TEXT(Patient_Data[[#This Row],[Admission_Date]],"YYYY")</f>
        <v>2024</v>
      </c>
      <c r="G2115" s="8" t="s">
        <v>4217</v>
      </c>
      <c r="H2115" s="8" t="s">
        <v>34</v>
      </c>
      <c r="I2115" s="4" t="s">
        <v>35</v>
      </c>
      <c r="J2115" s="4">
        <v>30</v>
      </c>
      <c r="K2115" s="4" t="s">
        <v>30</v>
      </c>
      <c r="L2115" s="8">
        <v>2</v>
      </c>
      <c r="M2115" s="9" t="s">
        <v>39</v>
      </c>
      <c r="N2115" s="9" t="str">
        <f t="shared" si="17"/>
        <v>GM</v>
      </c>
      <c r="O2115" s="10">
        <v>4520.24</v>
      </c>
      <c r="P2115" s="10">
        <v>2802.15</v>
      </c>
      <c r="Q2115" s="11">
        <v>5.6</v>
      </c>
      <c r="R2115" s="13" t="str">
        <f>IF(Patient_Data!$L2115&lt;2,"Low Risk",IF(Patient_Data!$L2115&lt;4,"Moderate Risk","High Risk"))</f>
        <v>Moderate Risk</v>
      </c>
      <c r="S2115" s="12" t="str">
        <f>IF(Patient_Data[[#This Row],[Age]]&lt;=18,"Pediatric",IF(Patient_Data[[#This Row],[Age]]&lt;=64,"Adult","Geriatric"))</f>
        <v>Adult</v>
      </c>
    </row>
    <row r="2116" spans="1:19" ht="15.75" customHeight="1" x14ac:dyDescent="0.3">
      <c r="A2116" s="4" t="s">
        <v>4218</v>
      </c>
      <c r="B2116" s="5" t="str">
        <f>TEXT(Patient_Data!$E2116,"mmmm")</f>
        <v>April</v>
      </c>
      <c r="C2116" s="6" t="str">
        <f t="shared" si="16"/>
        <v>Apr</v>
      </c>
      <c r="D2116" s="6">
        <f>MONTH(Patient_Data!$E2116)</f>
        <v>4</v>
      </c>
      <c r="E2116" s="7">
        <v>45387</v>
      </c>
      <c r="F2116" s="55" t="str">
        <f>TEXT(Patient_Data[[#This Row],[Admission_Date]],"YYYY")</f>
        <v>2024</v>
      </c>
      <c r="G2116" s="8" t="s">
        <v>4219</v>
      </c>
      <c r="H2116" s="8" t="s">
        <v>82</v>
      </c>
      <c r="I2116" s="4" t="s">
        <v>29</v>
      </c>
      <c r="J2116" s="4">
        <v>70</v>
      </c>
      <c r="K2116" s="4" t="s">
        <v>30</v>
      </c>
      <c r="L2116" s="8">
        <v>4</v>
      </c>
      <c r="M2116" s="9" t="s">
        <v>50</v>
      </c>
      <c r="N2116" s="9" t="str">
        <f t="shared" si="17"/>
        <v>ICU</v>
      </c>
      <c r="O2116" s="10">
        <v>15650.26</v>
      </c>
      <c r="P2116" s="10">
        <v>10148.969999999999</v>
      </c>
      <c r="Q2116" s="11">
        <v>16.600000000000001</v>
      </c>
      <c r="R2116" s="13" t="str">
        <f>IF(Patient_Data!$L2116&lt;2,"Low Risk",IF(Patient_Data!$L2116&lt;4,"Moderate Risk","High Risk"))</f>
        <v>High Risk</v>
      </c>
      <c r="S2116" s="12" t="str">
        <f>IF(Patient_Data[[#This Row],[Age]]&lt;=18,"Pediatric",IF(Patient_Data[[#This Row],[Age]]&lt;=64,"Adult","Geriatric"))</f>
        <v>Geriatric</v>
      </c>
    </row>
    <row r="2117" spans="1:19" ht="15.75" customHeight="1" x14ac:dyDescent="0.3">
      <c r="A2117" s="4" t="s">
        <v>4220</v>
      </c>
      <c r="B2117" s="5" t="str">
        <f>TEXT(Patient_Data!$E2117,"mmmm")</f>
        <v>December</v>
      </c>
      <c r="C2117" s="6" t="str">
        <f t="shared" si="16"/>
        <v>Dec</v>
      </c>
      <c r="D2117" s="6">
        <f>MONTH(Patient_Data!$E2117)</f>
        <v>12</v>
      </c>
      <c r="E2117" s="7">
        <v>46015</v>
      </c>
      <c r="F2117" s="55" t="str">
        <f>TEXT(Patient_Data[[#This Row],[Admission_Date]],"YYYY")</f>
        <v>2025</v>
      </c>
      <c r="G2117" s="8" t="s">
        <v>4221</v>
      </c>
      <c r="H2117" s="8" t="s">
        <v>82</v>
      </c>
      <c r="I2117" s="4" t="s">
        <v>29</v>
      </c>
      <c r="J2117" s="4">
        <v>74</v>
      </c>
      <c r="K2117" s="4" t="s">
        <v>30</v>
      </c>
      <c r="L2117" s="8">
        <v>2</v>
      </c>
      <c r="M2117" s="9" t="s">
        <v>31</v>
      </c>
      <c r="N2117" s="9" t="str">
        <f t="shared" si="17"/>
        <v>Neuro</v>
      </c>
      <c r="O2117" s="10">
        <v>12139.44</v>
      </c>
      <c r="P2117" s="10">
        <v>8151.02</v>
      </c>
      <c r="Q2117" s="11">
        <v>2.2000000000000002</v>
      </c>
      <c r="R2117" s="13" t="str">
        <f>IF(Patient_Data!$L2117&lt;2,"Low Risk",IF(Patient_Data!$L2117&lt;4,"Moderate Risk","High Risk"))</f>
        <v>Moderate Risk</v>
      </c>
      <c r="S2117" s="12" t="str">
        <f>IF(Patient_Data[[#This Row],[Age]]&lt;=18,"Pediatric",IF(Patient_Data[[#This Row],[Age]]&lt;=64,"Adult","Geriatric"))</f>
        <v>Geriatric</v>
      </c>
    </row>
    <row r="2118" spans="1:19" ht="15.75" customHeight="1" x14ac:dyDescent="0.3">
      <c r="A2118" s="4" t="s">
        <v>4222</v>
      </c>
      <c r="B2118" s="5" t="str">
        <f>TEXT(Patient_Data!$E2118,"mmmm")</f>
        <v>May</v>
      </c>
      <c r="C2118" s="6" t="str">
        <f t="shared" si="16"/>
        <v>May</v>
      </c>
      <c r="D2118" s="6">
        <f>MONTH(Patient_Data!$E2118)</f>
        <v>5</v>
      </c>
      <c r="E2118" s="7">
        <v>45419</v>
      </c>
      <c r="F2118" s="55" t="str">
        <f>TEXT(Patient_Data[[#This Row],[Admission_Date]],"YYYY")</f>
        <v>2024</v>
      </c>
      <c r="G2118" s="8" t="s">
        <v>4034</v>
      </c>
      <c r="H2118" s="8" t="s">
        <v>34</v>
      </c>
      <c r="I2118" s="4" t="s">
        <v>35</v>
      </c>
      <c r="J2118" s="4">
        <v>34</v>
      </c>
      <c r="K2118" s="4" t="s">
        <v>54</v>
      </c>
      <c r="L2118" s="8">
        <v>3</v>
      </c>
      <c r="M2118" s="9" t="s">
        <v>83</v>
      </c>
      <c r="N2118" s="9" t="str">
        <f t="shared" si="17"/>
        <v>ER</v>
      </c>
      <c r="O2118" s="10">
        <v>6812.12</v>
      </c>
      <c r="P2118" s="10">
        <v>4928.4799999999996</v>
      </c>
      <c r="Q2118" s="11">
        <v>20</v>
      </c>
      <c r="R2118" s="13" t="str">
        <f>IF(Patient_Data!$L2118&lt;2,"Low Risk",IF(Patient_Data!$L2118&lt;4,"Moderate Risk","High Risk"))</f>
        <v>Moderate Risk</v>
      </c>
      <c r="S2118" s="12" t="str">
        <f>IF(Patient_Data[[#This Row],[Age]]&lt;=18,"Pediatric",IF(Patient_Data[[#This Row],[Age]]&lt;=64,"Adult","Geriatric"))</f>
        <v>Adult</v>
      </c>
    </row>
    <row r="2119" spans="1:19" ht="15.75" customHeight="1" x14ac:dyDescent="0.3">
      <c r="A2119" s="4" t="s">
        <v>4223</v>
      </c>
      <c r="B2119" s="5" t="str">
        <f>TEXT(Patient_Data!$E2119,"mmmm")</f>
        <v>June</v>
      </c>
      <c r="C2119" s="6" t="str">
        <f t="shared" si="16"/>
        <v>Jun</v>
      </c>
      <c r="D2119" s="6">
        <f>MONTH(Patient_Data!$E2119)</f>
        <v>6</v>
      </c>
      <c r="E2119" s="7">
        <v>46199</v>
      </c>
      <c r="F2119" s="55" t="str">
        <f>TEXT(Patient_Data[[#This Row],[Admission_Date]],"YYYY")</f>
        <v>2026</v>
      </c>
      <c r="G2119" s="8" t="s">
        <v>4224</v>
      </c>
      <c r="H2119" s="8" t="s">
        <v>28</v>
      </c>
      <c r="I2119" s="4" t="s">
        <v>35</v>
      </c>
      <c r="J2119" s="4">
        <v>61</v>
      </c>
      <c r="K2119" s="4" t="s">
        <v>54</v>
      </c>
      <c r="L2119" s="8">
        <v>4</v>
      </c>
      <c r="M2119" s="9" t="s">
        <v>72</v>
      </c>
      <c r="N2119" s="9" t="str">
        <f t="shared" si="17"/>
        <v>Surgery</v>
      </c>
      <c r="O2119" s="10">
        <v>19823.29</v>
      </c>
      <c r="P2119" s="10">
        <v>14538.2</v>
      </c>
      <c r="Q2119" s="11">
        <v>8.4</v>
      </c>
      <c r="R2119" s="13" t="str">
        <f>IF(Patient_Data!$L2119&lt;2,"Low Risk",IF(Patient_Data!$L2119&lt;4,"Moderate Risk","High Risk"))</f>
        <v>High Risk</v>
      </c>
      <c r="S2119" s="12" t="str">
        <f>IF(Patient_Data[[#This Row],[Age]]&lt;=18,"Pediatric",IF(Patient_Data[[#This Row],[Age]]&lt;=64,"Adult","Geriatric"))</f>
        <v>Adult</v>
      </c>
    </row>
    <row r="2120" spans="1:19" ht="15.75" customHeight="1" x14ac:dyDescent="0.3">
      <c r="A2120" s="4" t="s">
        <v>4225</v>
      </c>
      <c r="B2120" s="5" t="str">
        <f>TEXT(Patient_Data!$E2120,"mmmm")</f>
        <v>May</v>
      </c>
      <c r="C2120" s="6" t="str">
        <f t="shared" si="16"/>
        <v>May</v>
      </c>
      <c r="D2120" s="6">
        <f>MONTH(Patient_Data!$E2120)</f>
        <v>5</v>
      </c>
      <c r="E2120" s="7">
        <v>45442</v>
      </c>
      <c r="F2120" s="55" t="str">
        <f>TEXT(Patient_Data[[#This Row],[Admission_Date]],"YYYY")</f>
        <v>2024</v>
      </c>
      <c r="G2120" s="8" t="s">
        <v>1375</v>
      </c>
      <c r="H2120" s="8" t="s">
        <v>53</v>
      </c>
      <c r="I2120" s="4" t="s">
        <v>35</v>
      </c>
      <c r="J2120" s="4">
        <v>81</v>
      </c>
      <c r="K2120" s="4" t="s">
        <v>45</v>
      </c>
      <c r="L2120" s="8">
        <v>4</v>
      </c>
      <c r="M2120" s="9" t="s">
        <v>72</v>
      </c>
      <c r="N2120" s="9" t="str">
        <f t="shared" si="17"/>
        <v>Surgery</v>
      </c>
      <c r="O2120" s="10">
        <v>15440.07</v>
      </c>
      <c r="P2120" s="10">
        <v>11810.45</v>
      </c>
      <c r="Q2120" s="11">
        <v>9.5</v>
      </c>
      <c r="R2120" s="13" t="str">
        <f>IF(Patient_Data!$L2120&lt;2,"Low Risk",IF(Patient_Data!$L2120&lt;4,"Moderate Risk","High Risk"))</f>
        <v>High Risk</v>
      </c>
      <c r="S2120" s="12" t="str">
        <f>IF(Patient_Data[[#This Row],[Age]]&lt;=18,"Pediatric",IF(Patient_Data[[#This Row],[Age]]&lt;=64,"Adult","Geriatric"))</f>
        <v>Geriatric</v>
      </c>
    </row>
    <row r="2121" spans="1:19" ht="15.75" customHeight="1" x14ac:dyDescent="0.3">
      <c r="A2121" s="4" t="s">
        <v>4226</v>
      </c>
      <c r="B2121" s="5" t="str">
        <f>TEXT(Patient_Data!$E2121,"mmmm")</f>
        <v>June</v>
      </c>
      <c r="C2121" s="6" t="str">
        <f t="shared" si="16"/>
        <v>Jun</v>
      </c>
      <c r="D2121" s="6">
        <f>MONTH(Patient_Data!$E2121)</f>
        <v>6</v>
      </c>
      <c r="E2121" s="7">
        <v>46188</v>
      </c>
      <c r="F2121" s="55" t="str">
        <f>TEXT(Patient_Data[[#This Row],[Admission_Date]],"YYYY")</f>
        <v>2026</v>
      </c>
      <c r="G2121" s="8" t="s">
        <v>4227</v>
      </c>
      <c r="H2121" s="8" t="s">
        <v>28</v>
      </c>
      <c r="I2121" s="4" t="s">
        <v>35</v>
      </c>
      <c r="J2121" s="4">
        <v>83</v>
      </c>
      <c r="K2121" s="4" t="s">
        <v>54</v>
      </c>
      <c r="L2121" s="8">
        <v>5</v>
      </c>
      <c r="M2121" s="9" t="s">
        <v>31</v>
      </c>
      <c r="N2121" s="9" t="str">
        <f t="shared" si="17"/>
        <v>Neuro</v>
      </c>
      <c r="O2121" s="10">
        <v>13009.8</v>
      </c>
      <c r="P2121" s="10">
        <v>7594.48</v>
      </c>
      <c r="Q2121" s="11">
        <v>6.1</v>
      </c>
      <c r="R2121" s="13" t="str">
        <f>IF(Patient_Data!$L2121&lt;2,"Low Risk",IF(Patient_Data!$L2121&lt;4,"Moderate Risk","High Risk"))</f>
        <v>High Risk</v>
      </c>
      <c r="S2121" s="12" t="str">
        <f>IF(Patient_Data[[#This Row],[Age]]&lt;=18,"Pediatric",IF(Patient_Data[[#This Row],[Age]]&lt;=64,"Adult","Geriatric"))</f>
        <v>Geriatric</v>
      </c>
    </row>
    <row r="2122" spans="1:19" ht="15.75" customHeight="1" x14ac:dyDescent="0.3">
      <c r="A2122" s="4" t="s">
        <v>4228</v>
      </c>
      <c r="B2122" s="5" t="str">
        <f>TEXT(Patient_Data!$E2122,"mmmm")</f>
        <v>September</v>
      </c>
      <c r="C2122" s="6" t="str">
        <f t="shared" si="16"/>
        <v>Sep</v>
      </c>
      <c r="D2122" s="6">
        <f>MONTH(Patient_Data!$E2122)</f>
        <v>9</v>
      </c>
      <c r="E2122" s="7">
        <v>45175</v>
      </c>
      <c r="F2122" s="55" t="str">
        <f>TEXT(Patient_Data[[#This Row],[Admission_Date]],"YYYY")</f>
        <v>2023</v>
      </c>
      <c r="G2122" s="8" t="s">
        <v>4229</v>
      </c>
      <c r="H2122" s="8" t="s">
        <v>28</v>
      </c>
      <c r="I2122" s="4" t="s">
        <v>29</v>
      </c>
      <c r="J2122" s="4">
        <v>4</v>
      </c>
      <c r="K2122" s="4" t="s">
        <v>54</v>
      </c>
      <c r="L2122" s="8">
        <v>3</v>
      </c>
      <c r="M2122" s="9" t="s">
        <v>79</v>
      </c>
      <c r="N2122" s="9" t="str">
        <f t="shared" si="17"/>
        <v>PD</v>
      </c>
      <c r="O2122" s="10">
        <v>1065.98</v>
      </c>
      <c r="P2122" s="10">
        <v>686.25</v>
      </c>
      <c r="Q2122" s="11">
        <v>4.5</v>
      </c>
      <c r="R2122" s="13" t="str">
        <f>IF(Patient_Data!$L2122&lt;2,"Low Risk",IF(Patient_Data!$L2122&lt;4,"Moderate Risk","High Risk"))</f>
        <v>Moderate Risk</v>
      </c>
      <c r="S2122" s="12" t="str">
        <f>IF(Patient_Data[[#This Row],[Age]]&lt;=18,"Pediatric",IF(Patient_Data[[#This Row],[Age]]&lt;=64,"Adult","Geriatric"))</f>
        <v>Pediatric</v>
      </c>
    </row>
    <row r="2123" spans="1:19" ht="15.75" customHeight="1" x14ac:dyDescent="0.3">
      <c r="A2123" s="4" t="s">
        <v>4230</v>
      </c>
      <c r="B2123" s="5" t="str">
        <f>TEXT(Patient_Data!$E2123,"mmmm")</f>
        <v>December</v>
      </c>
      <c r="C2123" s="6" t="str">
        <f t="shared" si="16"/>
        <v>Dec</v>
      </c>
      <c r="D2123" s="6">
        <f>MONTH(Patient_Data!$E2123)</f>
        <v>12</v>
      </c>
      <c r="E2123" s="7">
        <v>45266</v>
      </c>
      <c r="F2123" s="55" t="str">
        <f>TEXT(Patient_Data[[#This Row],[Admission_Date]],"YYYY")</f>
        <v>2023</v>
      </c>
      <c r="G2123" s="8" t="s">
        <v>4231</v>
      </c>
      <c r="H2123" s="8" t="s">
        <v>53</v>
      </c>
      <c r="I2123" s="4" t="s">
        <v>29</v>
      </c>
      <c r="J2123" s="4">
        <v>25</v>
      </c>
      <c r="K2123" s="4" t="s">
        <v>45</v>
      </c>
      <c r="L2123" s="8">
        <v>4</v>
      </c>
      <c r="M2123" s="9" t="s">
        <v>39</v>
      </c>
      <c r="N2123" s="9" t="str">
        <f t="shared" si="17"/>
        <v>GM</v>
      </c>
      <c r="O2123" s="10">
        <v>6513.31</v>
      </c>
      <c r="P2123" s="10">
        <v>4214.12</v>
      </c>
      <c r="Q2123" s="11">
        <v>5.7</v>
      </c>
      <c r="R2123" s="13" t="str">
        <f>IF(Patient_Data!$L2123&lt;2,"Low Risk",IF(Patient_Data!$L2123&lt;4,"Moderate Risk","High Risk"))</f>
        <v>High Risk</v>
      </c>
      <c r="S2123" s="12" t="str">
        <f>IF(Patient_Data[[#This Row],[Age]]&lt;=18,"Pediatric",IF(Patient_Data[[#This Row],[Age]]&lt;=64,"Adult","Geriatric"))</f>
        <v>Adult</v>
      </c>
    </row>
    <row r="2124" spans="1:19" ht="15.75" customHeight="1" x14ac:dyDescent="0.3">
      <c r="A2124" s="4" t="s">
        <v>4232</v>
      </c>
      <c r="B2124" s="5" t="str">
        <f>TEXT(Patient_Data!$E2124,"mmmm")</f>
        <v>May</v>
      </c>
      <c r="C2124" s="6" t="str">
        <f t="shared" si="16"/>
        <v>May</v>
      </c>
      <c r="D2124" s="6">
        <f>MONTH(Patient_Data!$E2124)</f>
        <v>5</v>
      </c>
      <c r="E2124" s="7">
        <v>46156</v>
      </c>
      <c r="F2124" s="55" t="str">
        <f>TEXT(Patient_Data[[#This Row],[Admission_Date]],"YYYY")</f>
        <v>2026</v>
      </c>
      <c r="G2124" s="8" t="s">
        <v>4233</v>
      </c>
      <c r="H2124" s="8" t="s">
        <v>49</v>
      </c>
      <c r="I2124" s="4" t="s">
        <v>35</v>
      </c>
      <c r="J2124" s="4">
        <v>72</v>
      </c>
      <c r="K2124" s="4" t="s">
        <v>54</v>
      </c>
      <c r="L2124" s="8">
        <v>3</v>
      </c>
      <c r="M2124" s="9" t="s">
        <v>83</v>
      </c>
      <c r="N2124" s="9" t="str">
        <f t="shared" si="17"/>
        <v>ER</v>
      </c>
      <c r="O2124" s="10">
        <v>6589.46</v>
      </c>
      <c r="P2124" s="10">
        <v>4502.1400000000003</v>
      </c>
      <c r="Q2124" s="11">
        <v>10.9</v>
      </c>
      <c r="R2124" s="13" t="str">
        <f>IF(Patient_Data!$L2124&lt;2,"Low Risk",IF(Patient_Data!$L2124&lt;4,"Moderate Risk","High Risk"))</f>
        <v>Moderate Risk</v>
      </c>
      <c r="S2124" s="12" t="str">
        <f>IF(Patient_Data[[#This Row],[Age]]&lt;=18,"Pediatric",IF(Patient_Data[[#This Row],[Age]]&lt;=64,"Adult","Geriatric"))</f>
        <v>Geriatric</v>
      </c>
    </row>
    <row r="2125" spans="1:19" ht="15.75" customHeight="1" x14ac:dyDescent="0.3">
      <c r="A2125" s="4" t="s">
        <v>4234</v>
      </c>
      <c r="B2125" s="5" t="str">
        <f>TEXT(Patient_Data!$E2125,"mmmm")</f>
        <v>May</v>
      </c>
      <c r="C2125" s="6" t="str">
        <f t="shared" si="16"/>
        <v>May</v>
      </c>
      <c r="D2125" s="6">
        <f>MONTH(Patient_Data!$E2125)</f>
        <v>5</v>
      </c>
      <c r="E2125" s="7">
        <v>45429</v>
      </c>
      <c r="F2125" s="55" t="str">
        <f>TEXT(Patient_Data[[#This Row],[Admission_Date]],"YYYY")</f>
        <v>2024</v>
      </c>
      <c r="G2125" s="8" t="s">
        <v>1604</v>
      </c>
      <c r="H2125" s="8" t="s">
        <v>28</v>
      </c>
      <c r="I2125" s="4" t="s">
        <v>35</v>
      </c>
      <c r="J2125" s="4">
        <v>37</v>
      </c>
      <c r="K2125" s="4" t="s">
        <v>54</v>
      </c>
      <c r="L2125" s="8">
        <v>5</v>
      </c>
      <c r="M2125" s="9" t="s">
        <v>72</v>
      </c>
      <c r="N2125" s="9" t="str">
        <f t="shared" si="17"/>
        <v>Surgery</v>
      </c>
      <c r="O2125" s="10">
        <v>13624.5</v>
      </c>
      <c r="P2125" s="10">
        <v>9607.5499999999993</v>
      </c>
      <c r="Q2125" s="11">
        <v>8.8000000000000007</v>
      </c>
      <c r="R2125" s="13" t="str">
        <f>IF(Patient_Data!$L2125&lt;2,"Low Risk",IF(Patient_Data!$L2125&lt;4,"Moderate Risk","High Risk"))</f>
        <v>High Risk</v>
      </c>
      <c r="S2125" s="12" t="str">
        <f>IF(Patient_Data[[#This Row],[Age]]&lt;=18,"Pediatric",IF(Patient_Data[[#This Row],[Age]]&lt;=64,"Adult","Geriatric"))</f>
        <v>Adult</v>
      </c>
    </row>
    <row r="2126" spans="1:19" ht="15.75" customHeight="1" x14ac:dyDescent="0.3">
      <c r="A2126" s="4" t="s">
        <v>4235</v>
      </c>
      <c r="B2126" s="5" t="str">
        <f>TEXT(Patient_Data!$E2126,"mmmm")</f>
        <v>March</v>
      </c>
      <c r="C2126" s="6" t="str">
        <f t="shared" si="16"/>
        <v>Mar</v>
      </c>
      <c r="D2126" s="6">
        <f>MONTH(Patient_Data!$E2126)</f>
        <v>3</v>
      </c>
      <c r="E2126" s="7">
        <v>45379</v>
      </c>
      <c r="F2126" s="55" t="str">
        <f>TEXT(Patient_Data[[#This Row],[Admission_Date]],"YYYY")</f>
        <v>2024</v>
      </c>
      <c r="G2126" s="8" t="s">
        <v>4236</v>
      </c>
      <c r="H2126" s="8" t="s">
        <v>34</v>
      </c>
      <c r="I2126" s="4" t="s">
        <v>29</v>
      </c>
      <c r="J2126" s="4">
        <v>93</v>
      </c>
      <c r="K2126" s="4" t="s">
        <v>45</v>
      </c>
      <c r="L2126" s="8">
        <v>5</v>
      </c>
      <c r="M2126" s="9" t="s">
        <v>46</v>
      </c>
      <c r="N2126" s="9" t="str">
        <f t="shared" si="17"/>
        <v>Ortho</v>
      </c>
      <c r="O2126" s="10">
        <v>12001.95</v>
      </c>
      <c r="P2126" s="10">
        <v>8792.6200000000008</v>
      </c>
      <c r="Q2126" s="11">
        <v>3.9</v>
      </c>
      <c r="R2126" s="13" t="str">
        <f>IF(Patient_Data!$L2126&lt;2,"Low Risk",IF(Patient_Data!$L2126&lt;4,"Moderate Risk","High Risk"))</f>
        <v>High Risk</v>
      </c>
      <c r="S2126" s="12" t="str">
        <f>IF(Patient_Data[[#This Row],[Age]]&lt;=18,"Pediatric",IF(Patient_Data[[#This Row],[Age]]&lt;=64,"Adult","Geriatric"))</f>
        <v>Geriatric</v>
      </c>
    </row>
    <row r="2127" spans="1:19" ht="15.75" customHeight="1" x14ac:dyDescent="0.3">
      <c r="A2127" s="4" t="s">
        <v>4237</v>
      </c>
      <c r="B2127" s="5" t="str">
        <f>TEXT(Patient_Data!$E2127,"mmmm")</f>
        <v>October</v>
      </c>
      <c r="C2127" s="6" t="str">
        <f t="shared" si="16"/>
        <v>Oct</v>
      </c>
      <c r="D2127" s="6">
        <f>MONTH(Patient_Data!$E2127)</f>
        <v>10</v>
      </c>
      <c r="E2127" s="7">
        <v>45960</v>
      </c>
      <c r="F2127" s="55" t="str">
        <f>TEXT(Patient_Data[[#This Row],[Admission_Date]],"YYYY")</f>
        <v>2025</v>
      </c>
      <c r="G2127" s="8" t="s">
        <v>4238</v>
      </c>
      <c r="H2127" s="8" t="s">
        <v>82</v>
      </c>
      <c r="I2127" s="4" t="s">
        <v>35</v>
      </c>
      <c r="J2127" s="4">
        <v>55</v>
      </c>
      <c r="K2127" s="4" t="s">
        <v>30</v>
      </c>
      <c r="L2127" s="8">
        <v>3</v>
      </c>
      <c r="M2127" s="9" t="s">
        <v>36</v>
      </c>
      <c r="N2127" s="9" t="str">
        <f t="shared" si="17"/>
        <v>Cardio</v>
      </c>
      <c r="O2127" s="10">
        <v>10494.34</v>
      </c>
      <c r="P2127" s="10">
        <v>8070.1</v>
      </c>
      <c r="Q2127" s="11">
        <v>11.8</v>
      </c>
      <c r="R2127" s="13" t="str">
        <f>IF(Patient_Data!$L2127&lt;2,"Low Risk",IF(Patient_Data!$L2127&lt;4,"Moderate Risk","High Risk"))</f>
        <v>Moderate Risk</v>
      </c>
      <c r="S2127" s="12" t="str">
        <f>IF(Patient_Data[[#This Row],[Age]]&lt;=18,"Pediatric",IF(Patient_Data[[#This Row],[Age]]&lt;=64,"Adult","Geriatric"))</f>
        <v>Adult</v>
      </c>
    </row>
    <row r="2128" spans="1:19" ht="15.75" customHeight="1" x14ac:dyDescent="0.3">
      <c r="A2128" s="4" t="s">
        <v>4239</v>
      </c>
      <c r="B2128" s="5" t="str">
        <f>TEXT(Patient_Data!$E2128,"mmmm")</f>
        <v>June</v>
      </c>
      <c r="C2128" s="6" t="str">
        <f t="shared" si="16"/>
        <v>Jun</v>
      </c>
      <c r="D2128" s="6">
        <f>MONTH(Patient_Data!$E2128)</f>
        <v>6</v>
      </c>
      <c r="E2128" s="7">
        <v>45826</v>
      </c>
      <c r="F2128" s="55" t="str">
        <f>TEXT(Patient_Data[[#This Row],[Admission_Date]],"YYYY")</f>
        <v>2025</v>
      </c>
      <c r="G2128" s="8" t="s">
        <v>4240</v>
      </c>
      <c r="H2128" s="8" t="s">
        <v>75</v>
      </c>
      <c r="I2128" s="4" t="s">
        <v>29</v>
      </c>
      <c r="J2128" s="4">
        <v>48</v>
      </c>
      <c r="K2128" s="4" t="s">
        <v>30</v>
      </c>
      <c r="L2128" s="8">
        <v>2</v>
      </c>
      <c r="M2128" s="9" t="s">
        <v>39</v>
      </c>
      <c r="N2128" s="9" t="str">
        <f t="shared" si="17"/>
        <v>GM</v>
      </c>
      <c r="O2128" s="10">
        <v>3839.25</v>
      </c>
      <c r="P2128" s="10">
        <v>2266.7600000000002</v>
      </c>
      <c r="Q2128" s="11">
        <v>5</v>
      </c>
      <c r="R2128" s="13" t="str">
        <f>IF(Patient_Data!$L2128&lt;2,"Low Risk",IF(Patient_Data!$L2128&lt;4,"Moderate Risk","High Risk"))</f>
        <v>Moderate Risk</v>
      </c>
      <c r="S2128" s="12" t="str">
        <f>IF(Patient_Data[[#This Row],[Age]]&lt;=18,"Pediatric",IF(Patient_Data[[#This Row],[Age]]&lt;=64,"Adult","Geriatric"))</f>
        <v>Adult</v>
      </c>
    </row>
    <row r="2129" spans="1:19" ht="15.75" customHeight="1" x14ac:dyDescent="0.3">
      <c r="A2129" s="4" t="s">
        <v>4241</v>
      </c>
      <c r="B2129" s="5" t="str">
        <f>TEXT(Patient_Data!$E2129,"mmmm")</f>
        <v>June</v>
      </c>
      <c r="C2129" s="6" t="str">
        <f t="shared" si="16"/>
        <v>Jun</v>
      </c>
      <c r="D2129" s="6">
        <f>MONTH(Patient_Data!$E2129)</f>
        <v>6</v>
      </c>
      <c r="E2129" s="7">
        <v>46199</v>
      </c>
      <c r="F2129" s="55" t="str">
        <f>TEXT(Patient_Data[[#This Row],[Admission_Date]],"YYYY")</f>
        <v>2026</v>
      </c>
      <c r="G2129" s="8" t="s">
        <v>4242</v>
      </c>
      <c r="H2129" s="8" t="s">
        <v>49</v>
      </c>
      <c r="I2129" s="4" t="s">
        <v>35</v>
      </c>
      <c r="J2129" s="4">
        <v>89</v>
      </c>
      <c r="K2129" s="4" t="s">
        <v>45</v>
      </c>
      <c r="L2129" s="8">
        <v>4</v>
      </c>
      <c r="M2129" s="9" t="s">
        <v>50</v>
      </c>
      <c r="N2129" s="9" t="str">
        <f t="shared" si="17"/>
        <v>ICU</v>
      </c>
      <c r="O2129" s="10">
        <v>10355.91</v>
      </c>
      <c r="P2129" s="10">
        <v>6450.71</v>
      </c>
      <c r="Q2129" s="11">
        <v>16.7</v>
      </c>
      <c r="R2129" s="13" t="str">
        <f>IF(Patient_Data!$L2129&lt;2,"Low Risk",IF(Patient_Data!$L2129&lt;4,"Moderate Risk","High Risk"))</f>
        <v>High Risk</v>
      </c>
      <c r="S2129" s="12" t="str">
        <f>IF(Patient_Data[[#This Row],[Age]]&lt;=18,"Pediatric",IF(Patient_Data[[#This Row],[Age]]&lt;=64,"Adult","Geriatric"))</f>
        <v>Geriatric</v>
      </c>
    </row>
    <row r="2130" spans="1:19" ht="15.75" customHeight="1" x14ac:dyDescent="0.3">
      <c r="A2130" s="4" t="s">
        <v>4243</v>
      </c>
      <c r="B2130" s="5" t="str">
        <f>TEXT(Patient_Data!$E2130,"mmmm")</f>
        <v>October</v>
      </c>
      <c r="C2130" s="6" t="str">
        <f t="shared" si="16"/>
        <v>Oct</v>
      </c>
      <c r="D2130" s="6">
        <f>MONTH(Patient_Data!$E2130)</f>
        <v>10</v>
      </c>
      <c r="E2130" s="7">
        <v>45954</v>
      </c>
      <c r="F2130" s="55" t="str">
        <f>TEXT(Patient_Data[[#This Row],[Admission_Date]],"YYYY")</f>
        <v>2025</v>
      </c>
      <c r="G2130" s="8" t="s">
        <v>4244</v>
      </c>
      <c r="H2130" s="8" t="s">
        <v>82</v>
      </c>
      <c r="I2130" s="4" t="s">
        <v>29</v>
      </c>
      <c r="J2130" s="4">
        <v>90</v>
      </c>
      <c r="K2130" s="4" t="s">
        <v>54</v>
      </c>
      <c r="L2130" s="8">
        <v>4</v>
      </c>
      <c r="M2130" s="9" t="s">
        <v>50</v>
      </c>
      <c r="N2130" s="9" t="str">
        <f t="shared" si="17"/>
        <v>ICU</v>
      </c>
      <c r="O2130" s="10">
        <v>15446.04</v>
      </c>
      <c r="P2130" s="10">
        <v>9969.4699999999993</v>
      </c>
      <c r="Q2130" s="11">
        <v>10.5</v>
      </c>
      <c r="R2130" s="13" t="str">
        <f>IF(Patient_Data!$L2130&lt;2,"Low Risk",IF(Patient_Data!$L2130&lt;4,"Moderate Risk","High Risk"))</f>
        <v>High Risk</v>
      </c>
      <c r="S2130" s="12" t="str">
        <f>IF(Patient_Data[[#This Row],[Age]]&lt;=18,"Pediatric",IF(Patient_Data[[#This Row],[Age]]&lt;=64,"Adult","Geriatric"))</f>
        <v>Geriatric</v>
      </c>
    </row>
    <row r="2131" spans="1:19" ht="15.75" customHeight="1" x14ac:dyDescent="0.3">
      <c r="A2131" s="4" t="s">
        <v>4245</v>
      </c>
      <c r="B2131" s="5" t="str">
        <f>TEXT(Patient_Data!$E2131,"mmmm")</f>
        <v>January</v>
      </c>
      <c r="C2131" s="6" t="str">
        <f t="shared" si="16"/>
        <v>Jan</v>
      </c>
      <c r="D2131" s="6">
        <f>MONTH(Patient_Data!$E2131)</f>
        <v>1</v>
      </c>
      <c r="E2131" s="7">
        <v>46024</v>
      </c>
      <c r="F2131" s="55" t="str">
        <f>TEXT(Patient_Data[[#This Row],[Admission_Date]],"YYYY")</f>
        <v>2026</v>
      </c>
      <c r="G2131" s="8" t="s">
        <v>4246</v>
      </c>
      <c r="H2131" s="8" t="s">
        <v>28</v>
      </c>
      <c r="I2131" s="4" t="s">
        <v>35</v>
      </c>
      <c r="J2131" s="4">
        <v>80</v>
      </c>
      <c r="K2131" s="4" t="s">
        <v>30</v>
      </c>
      <c r="L2131" s="8">
        <v>3</v>
      </c>
      <c r="M2131" s="9" t="s">
        <v>36</v>
      </c>
      <c r="N2131" s="9" t="str">
        <f t="shared" si="17"/>
        <v>Cardio</v>
      </c>
      <c r="O2131" s="10">
        <v>11165.57</v>
      </c>
      <c r="P2131" s="10">
        <v>7529.73</v>
      </c>
      <c r="Q2131" s="11">
        <v>6.1</v>
      </c>
      <c r="R2131" s="13" t="str">
        <f>IF(Patient_Data!$L2131&lt;2,"Low Risk",IF(Patient_Data!$L2131&lt;4,"Moderate Risk","High Risk"))</f>
        <v>Moderate Risk</v>
      </c>
      <c r="S2131" s="12" t="str">
        <f>IF(Patient_Data[[#This Row],[Age]]&lt;=18,"Pediatric",IF(Patient_Data[[#This Row],[Age]]&lt;=64,"Adult","Geriatric"))</f>
        <v>Geriatric</v>
      </c>
    </row>
    <row r="2132" spans="1:19" ht="15.75" customHeight="1" x14ac:dyDescent="0.3">
      <c r="A2132" s="4" t="s">
        <v>4247</v>
      </c>
      <c r="B2132" s="5" t="str">
        <f>TEXT(Patient_Data!$E2132,"mmmm")</f>
        <v>July</v>
      </c>
      <c r="C2132" s="6" t="str">
        <f t="shared" si="16"/>
        <v>Jul</v>
      </c>
      <c r="D2132" s="6">
        <f>MONTH(Patient_Data!$E2132)</f>
        <v>7</v>
      </c>
      <c r="E2132" s="7">
        <v>45869</v>
      </c>
      <c r="F2132" s="55" t="str">
        <f>TEXT(Patient_Data[[#This Row],[Admission_Date]],"YYYY")</f>
        <v>2025</v>
      </c>
      <c r="G2132" s="8" t="s">
        <v>4248</v>
      </c>
      <c r="H2132" s="8" t="s">
        <v>82</v>
      </c>
      <c r="I2132" s="4" t="s">
        <v>35</v>
      </c>
      <c r="J2132" s="4">
        <v>54</v>
      </c>
      <c r="K2132" s="4" t="s">
        <v>30</v>
      </c>
      <c r="L2132" s="8">
        <v>1</v>
      </c>
      <c r="M2132" s="9" t="s">
        <v>36</v>
      </c>
      <c r="N2132" s="9" t="str">
        <f t="shared" si="17"/>
        <v>Cardio</v>
      </c>
      <c r="O2132" s="10">
        <v>8926.2000000000007</v>
      </c>
      <c r="P2132" s="10">
        <v>6298.74</v>
      </c>
      <c r="Q2132" s="11">
        <v>6.3</v>
      </c>
      <c r="R2132" s="13" t="str">
        <f>IF(Patient_Data!$L2132&lt;2,"Low Risk",IF(Patient_Data!$L2132&lt;4,"Moderate Risk","High Risk"))</f>
        <v>Low Risk</v>
      </c>
      <c r="S2132" s="12" t="str">
        <f>IF(Patient_Data[[#This Row],[Age]]&lt;=18,"Pediatric",IF(Patient_Data[[#This Row],[Age]]&lt;=64,"Adult","Geriatric"))</f>
        <v>Adult</v>
      </c>
    </row>
    <row r="2133" spans="1:19" ht="15.75" customHeight="1" x14ac:dyDescent="0.3">
      <c r="A2133" s="4" t="s">
        <v>4249</v>
      </c>
      <c r="B2133" s="5" t="str">
        <f>TEXT(Patient_Data!$E2133,"mmmm")</f>
        <v>April</v>
      </c>
      <c r="C2133" s="6" t="str">
        <f t="shared" si="16"/>
        <v>Apr</v>
      </c>
      <c r="D2133" s="6">
        <f>MONTH(Patient_Data!$E2133)</f>
        <v>4</v>
      </c>
      <c r="E2133" s="7">
        <v>45769</v>
      </c>
      <c r="F2133" s="55" t="str">
        <f>TEXT(Patient_Data[[#This Row],[Admission_Date]],"YYYY")</f>
        <v>2025</v>
      </c>
      <c r="G2133" s="8" t="s">
        <v>4250</v>
      </c>
      <c r="H2133" s="8" t="s">
        <v>82</v>
      </c>
      <c r="I2133" s="4" t="s">
        <v>35</v>
      </c>
      <c r="J2133" s="4">
        <v>16</v>
      </c>
      <c r="K2133" s="4" t="s">
        <v>54</v>
      </c>
      <c r="L2133" s="8">
        <v>1</v>
      </c>
      <c r="M2133" s="9" t="s">
        <v>79</v>
      </c>
      <c r="N2133" s="9" t="str">
        <f t="shared" si="17"/>
        <v>PD</v>
      </c>
      <c r="O2133" s="10">
        <v>1812.76</v>
      </c>
      <c r="P2133" s="10">
        <v>1358.51</v>
      </c>
      <c r="Q2133" s="11">
        <v>4.4000000000000004</v>
      </c>
      <c r="R2133" s="13" t="str">
        <f>IF(Patient_Data!$L2133&lt;2,"Low Risk",IF(Patient_Data!$L2133&lt;4,"Moderate Risk","High Risk"))</f>
        <v>Low Risk</v>
      </c>
      <c r="S2133" s="12" t="str">
        <f>IF(Patient_Data[[#This Row],[Age]]&lt;=18,"Pediatric",IF(Patient_Data[[#This Row],[Age]]&lt;=64,"Adult","Geriatric"))</f>
        <v>Pediatric</v>
      </c>
    </row>
    <row r="2134" spans="1:19" ht="15.75" customHeight="1" x14ac:dyDescent="0.3">
      <c r="A2134" s="4" t="s">
        <v>4251</v>
      </c>
      <c r="B2134" s="5" t="str">
        <f>TEXT(Patient_Data!$E2134,"mmmm")</f>
        <v>March</v>
      </c>
      <c r="C2134" s="6" t="str">
        <f t="shared" si="16"/>
        <v>Mar</v>
      </c>
      <c r="D2134" s="6">
        <f>MONTH(Patient_Data!$E2134)</f>
        <v>3</v>
      </c>
      <c r="E2134" s="7">
        <v>46094</v>
      </c>
      <c r="F2134" s="55" t="str">
        <f>TEXT(Patient_Data[[#This Row],[Admission_Date]],"YYYY")</f>
        <v>2026</v>
      </c>
      <c r="G2134" s="8" t="s">
        <v>4252</v>
      </c>
      <c r="H2134" s="8" t="s">
        <v>28</v>
      </c>
      <c r="I2134" s="4" t="s">
        <v>29</v>
      </c>
      <c r="J2134" s="4">
        <v>42</v>
      </c>
      <c r="K2134" s="4" t="s">
        <v>30</v>
      </c>
      <c r="L2134" s="8">
        <v>1</v>
      </c>
      <c r="M2134" s="9" t="s">
        <v>83</v>
      </c>
      <c r="N2134" s="9" t="str">
        <f t="shared" si="17"/>
        <v>ER</v>
      </c>
      <c r="O2134" s="10">
        <v>7863.95</v>
      </c>
      <c r="P2134" s="10">
        <v>6072.6</v>
      </c>
      <c r="Q2134" s="11">
        <v>12</v>
      </c>
      <c r="R2134" s="13" t="str">
        <f>IF(Patient_Data!$L2134&lt;2,"Low Risk",IF(Patient_Data!$L2134&lt;4,"Moderate Risk","High Risk"))</f>
        <v>Low Risk</v>
      </c>
      <c r="S2134" s="12" t="str">
        <f>IF(Patient_Data[[#This Row],[Age]]&lt;=18,"Pediatric",IF(Patient_Data[[#This Row],[Age]]&lt;=64,"Adult","Geriatric"))</f>
        <v>Adult</v>
      </c>
    </row>
    <row r="2135" spans="1:19" ht="15.75" customHeight="1" x14ac:dyDescent="0.3">
      <c r="A2135" s="4" t="s">
        <v>4253</v>
      </c>
      <c r="B2135" s="5" t="str">
        <f>TEXT(Patient_Data!$E2135,"mmmm")</f>
        <v>May</v>
      </c>
      <c r="C2135" s="6" t="str">
        <f t="shared" si="16"/>
        <v>May</v>
      </c>
      <c r="D2135" s="6">
        <f>MONTH(Patient_Data!$E2135)</f>
        <v>5</v>
      </c>
      <c r="E2135" s="7">
        <v>45440</v>
      </c>
      <c r="F2135" s="55" t="str">
        <f>TEXT(Patient_Data[[#This Row],[Admission_Date]],"YYYY")</f>
        <v>2024</v>
      </c>
      <c r="G2135" s="8" t="s">
        <v>4254</v>
      </c>
      <c r="H2135" s="8" t="s">
        <v>34</v>
      </c>
      <c r="I2135" s="4" t="s">
        <v>29</v>
      </c>
      <c r="J2135" s="4">
        <v>29</v>
      </c>
      <c r="K2135" s="4" t="s">
        <v>54</v>
      </c>
      <c r="L2135" s="8">
        <v>5</v>
      </c>
      <c r="M2135" s="9" t="s">
        <v>39</v>
      </c>
      <c r="N2135" s="9" t="str">
        <f t="shared" si="17"/>
        <v>GM</v>
      </c>
      <c r="O2135" s="10">
        <v>6172.23</v>
      </c>
      <c r="P2135" s="10">
        <v>3624.69</v>
      </c>
      <c r="Q2135" s="11">
        <v>5.6</v>
      </c>
      <c r="R2135" s="13" t="str">
        <f>IF(Patient_Data!$L2135&lt;2,"Low Risk",IF(Patient_Data!$L2135&lt;4,"Moderate Risk","High Risk"))</f>
        <v>High Risk</v>
      </c>
      <c r="S2135" s="12" t="str">
        <f>IF(Patient_Data[[#This Row],[Age]]&lt;=18,"Pediatric",IF(Patient_Data[[#This Row],[Age]]&lt;=64,"Adult","Geriatric"))</f>
        <v>Adult</v>
      </c>
    </row>
    <row r="2136" spans="1:19" ht="15.75" customHeight="1" x14ac:dyDescent="0.3">
      <c r="A2136" s="4" t="s">
        <v>4255</v>
      </c>
      <c r="B2136" s="5" t="str">
        <f>TEXT(Patient_Data!$E2136,"mmmm")</f>
        <v>June</v>
      </c>
      <c r="C2136" s="6" t="str">
        <f t="shared" si="16"/>
        <v>Jun</v>
      </c>
      <c r="D2136" s="6">
        <f>MONTH(Patient_Data!$E2136)</f>
        <v>6</v>
      </c>
      <c r="E2136" s="7">
        <v>45449</v>
      </c>
      <c r="F2136" s="55" t="str">
        <f>TEXT(Patient_Data[[#This Row],[Admission_Date]],"YYYY")</f>
        <v>2024</v>
      </c>
      <c r="G2136" s="8" t="s">
        <v>4256</v>
      </c>
      <c r="H2136" s="8" t="s">
        <v>49</v>
      </c>
      <c r="I2136" s="4" t="s">
        <v>35</v>
      </c>
      <c r="J2136" s="4">
        <v>91</v>
      </c>
      <c r="K2136" s="4" t="s">
        <v>30</v>
      </c>
      <c r="L2136" s="8">
        <v>3</v>
      </c>
      <c r="M2136" s="9" t="s">
        <v>46</v>
      </c>
      <c r="N2136" s="9" t="str">
        <f t="shared" si="17"/>
        <v>Ortho</v>
      </c>
      <c r="O2136" s="10">
        <v>7487.64</v>
      </c>
      <c r="P2136" s="10">
        <v>4601.0600000000004</v>
      </c>
      <c r="Q2136" s="11">
        <v>4.2</v>
      </c>
      <c r="R2136" s="13" t="str">
        <f>IF(Patient_Data!$L2136&lt;2,"Low Risk",IF(Patient_Data!$L2136&lt;4,"Moderate Risk","High Risk"))</f>
        <v>Moderate Risk</v>
      </c>
      <c r="S2136" s="12" t="str">
        <f>IF(Patient_Data[[#This Row],[Age]]&lt;=18,"Pediatric",IF(Patient_Data[[#This Row],[Age]]&lt;=64,"Adult","Geriatric"))</f>
        <v>Geriatric</v>
      </c>
    </row>
    <row r="2137" spans="1:19" ht="15.75" customHeight="1" x14ac:dyDescent="0.3">
      <c r="A2137" s="4" t="s">
        <v>4257</v>
      </c>
      <c r="B2137" s="5" t="str">
        <f>TEXT(Patient_Data!$E2137,"mmmm")</f>
        <v>July</v>
      </c>
      <c r="C2137" s="6" t="str">
        <f t="shared" si="16"/>
        <v>Jul</v>
      </c>
      <c r="D2137" s="6">
        <f>MONTH(Patient_Data!$E2137)</f>
        <v>7</v>
      </c>
      <c r="E2137" s="7">
        <v>46216</v>
      </c>
      <c r="F2137" s="55" t="str">
        <f>TEXT(Patient_Data[[#This Row],[Admission_Date]],"YYYY")</f>
        <v>2026</v>
      </c>
      <c r="G2137" s="8" t="s">
        <v>4258</v>
      </c>
      <c r="H2137" s="8" t="s">
        <v>75</v>
      </c>
      <c r="I2137" s="4" t="s">
        <v>35</v>
      </c>
      <c r="J2137" s="4">
        <v>73</v>
      </c>
      <c r="K2137" s="4" t="s">
        <v>54</v>
      </c>
      <c r="L2137" s="8">
        <v>5</v>
      </c>
      <c r="M2137" s="9" t="s">
        <v>83</v>
      </c>
      <c r="N2137" s="9" t="str">
        <f t="shared" si="17"/>
        <v>ER</v>
      </c>
      <c r="O2137" s="10">
        <v>14580.74</v>
      </c>
      <c r="P2137" s="10">
        <v>9521.27</v>
      </c>
      <c r="Q2137" s="11">
        <v>23.7</v>
      </c>
      <c r="R2137" s="13" t="str">
        <f>IF(Patient_Data!$L2137&lt;2,"Low Risk",IF(Patient_Data!$L2137&lt;4,"Moderate Risk","High Risk"))</f>
        <v>High Risk</v>
      </c>
      <c r="S2137" s="12" t="str">
        <f>IF(Patient_Data[[#This Row],[Age]]&lt;=18,"Pediatric",IF(Patient_Data[[#This Row],[Age]]&lt;=64,"Adult","Geriatric"))</f>
        <v>Geriatric</v>
      </c>
    </row>
    <row r="2138" spans="1:19" ht="15.75" customHeight="1" x14ac:dyDescent="0.3">
      <c r="A2138" s="4" t="s">
        <v>4259</v>
      </c>
      <c r="B2138" s="5" t="str">
        <f>TEXT(Patient_Data!$E2138,"mmmm")</f>
        <v>May</v>
      </c>
      <c r="C2138" s="6" t="str">
        <f t="shared" si="16"/>
        <v>May</v>
      </c>
      <c r="D2138" s="6">
        <f>MONTH(Patient_Data!$E2138)</f>
        <v>5</v>
      </c>
      <c r="E2138" s="7">
        <v>45779</v>
      </c>
      <c r="F2138" s="55" t="str">
        <f>TEXT(Patient_Data[[#This Row],[Admission_Date]],"YYYY")</f>
        <v>2025</v>
      </c>
      <c r="G2138" s="8" t="s">
        <v>4260</v>
      </c>
      <c r="H2138" s="8" t="s">
        <v>98</v>
      </c>
      <c r="I2138" s="4" t="s">
        <v>35</v>
      </c>
      <c r="J2138" s="4">
        <v>60</v>
      </c>
      <c r="K2138" s="4" t="s">
        <v>54</v>
      </c>
      <c r="L2138" s="8">
        <v>4</v>
      </c>
      <c r="M2138" s="9" t="s">
        <v>50</v>
      </c>
      <c r="N2138" s="9" t="str">
        <f t="shared" si="17"/>
        <v>ICU</v>
      </c>
      <c r="O2138" s="10">
        <v>13777.41</v>
      </c>
      <c r="P2138" s="10">
        <v>9336.4599999999991</v>
      </c>
      <c r="Q2138" s="11">
        <v>13.2</v>
      </c>
      <c r="R2138" s="13" t="str">
        <f>IF(Patient_Data!$L2138&lt;2,"Low Risk",IF(Patient_Data!$L2138&lt;4,"Moderate Risk","High Risk"))</f>
        <v>High Risk</v>
      </c>
      <c r="S2138" s="12" t="str">
        <f>IF(Patient_Data[[#This Row],[Age]]&lt;=18,"Pediatric",IF(Patient_Data[[#This Row],[Age]]&lt;=64,"Adult","Geriatric"))</f>
        <v>Adult</v>
      </c>
    </row>
    <row r="2139" spans="1:19" ht="15.75" customHeight="1" x14ac:dyDescent="0.3">
      <c r="A2139" s="4" t="s">
        <v>4261</v>
      </c>
      <c r="B2139" s="5" t="str">
        <f>TEXT(Patient_Data!$E2139,"mmmm")</f>
        <v>April</v>
      </c>
      <c r="C2139" s="6" t="str">
        <f t="shared" si="16"/>
        <v>Apr</v>
      </c>
      <c r="D2139" s="6">
        <f>MONTH(Patient_Data!$E2139)</f>
        <v>4</v>
      </c>
      <c r="E2139" s="7">
        <v>45762</v>
      </c>
      <c r="F2139" s="55" t="str">
        <f>TEXT(Patient_Data[[#This Row],[Admission_Date]],"YYYY")</f>
        <v>2025</v>
      </c>
      <c r="G2139" s="8" t="s">
        <v>4262</v>
      </c>
      <c r="H2139" s="8" t="s">
        <v>28</v>
      </c>
      <c r="I2139" s="4" t="s">
        <v>29</v>
      </c>
      <c r="J2139" s="4">
        <v>92</v>
      </c>
      <c r="K2139" s="4" t="s">
        <v>30</v>
      </c>
      <c r="L2139" s="8">
        <v>2</v>
      </c>
      <c r="M2139" s="9" t="s">
        <v>46</v>
      </c>
      <c r="N2139" s="9" t="str">
        <f t="shared" si="17"/>
        <v>Ortho</v>
      </c>
      <c r="O2139" s="10">
        <v>8821.9</v>
      </c>
      <c r="P2139" s="10">
        <v>6206.53</v>
      </c>
      <c r="Q2139" s="11">
        <v>3.9</v>
      </c>
      <c r="R2139" s="13" t="str">
        <f>IF(Patient_Data!$L2139&lt;2,"Low Risk",IF(Patient_Data!$L2139&lt;4,"Moderate Risk","High Risk"))</f>
        <v>Moderate Risk</v>
      </c>
      <c r="S2139" s="12" t="str">
        <f>IF(Patient_Data[[#This Row],[Age]]&lt;=18,"Pediatric",IF(Patient_Data[[#This Row],[Age]]&lt;=64,"Adult","Geriatric"))</f>
        <v>Geriatric</v>
      </c>
    </row>
    <row r="2140" spans="1:19" ht="15.75" customHeight="1" x14ac:dyDescent="0.3">
      <c r="A2140" s="4" t="s">
        <v>4263</v>
      </c>
      <c r="B2140" s="5" t="str">
        <f>TEXT(Patient_Data!$E2140,"mmmm")</f>
        <v>August</v>
      </c>
      <c r="C2140" s="6" t="str">
        <f t="shared" si="16"/>
        <v>Aug</v>
      </c>
      <c r="D2140" s="6">
        <f>MONTH(Patient_Data!$E2140)</f>
        <v>8</v>
      </c>
      <c r="E2140" s="7">
        <v>45874</v>
      </c>
      <c r="F2140" s="55" t="str">
        <f>TEXT(Patient_Data[[#This Row],[Admission_Date]],"YYYY")</f>
        <v>2025</v>
      </c>
      <c r="G2140" s="8" t="s">
        <v>4264</v>
      </c>
      <c r="H2140" s="8" t="s">
        <v>28</v>
      </c>
      <c r="I2140" s="4" t="s">
        <v>29</v>
      </c>
      <c r="J2140" s="4">
        <v>66</v>
      </c>
      <c r="K2140" s="4" t="s">
        <v>30</v>
      </c>
      <c r="L2140" s="8">
        <v>3</v>
      </c>
      <c r="M2140" s="9" t="s">
        <v>31</v>
      </c>
      <c r="N2140" s="9" t="str">
        <f t="shared" si="17"/>
        <v>Neuro</v>
      </c>
      <c r="O2140" s="10">
        <v>8075.31</v>
      </c>
      <c r="P2140" s="10">
        <v>5918.18</v>
      </c>
      <c r="Q2140" s="11">
        <v>2.9</v>
      </c>
      <c r="R2140" s="13" t="str">
        <f>IF(Patient_Data!$L2140&lt;2,"Low Risk",IF(Patient_Data!$L2140&lt;4,"Moderate Risk","High Risk"))</f>
        <v>Moderate Risk</v>
      </c>
      <c r="S2140" s="12" t="str">
        <f>IF(Patient_Data[[#This Row],[Age]]&lt;=18,"Pediatric",IF(Patient_Data[[#This Row],[Age]]&lt;=64,"Adult","Geriatric"))</f>
        <v>Geriatric</v>
      </c>
    </row>
    <row r="2141" spans="1:19" ht="15.75" customHeight="1" x14ac:dyDescent="0.3">
      <c r="A2141" s="4" t="s">
        <v>4265</v>
      </c>
      <c r="B2141" s="5" t="str">
        <f>TEXT(Patient_Data!$E2141,"mmmm")</f>
        <v>August</v>
      </c>
      <c r="C2141" s="6" t="str">
        <f t="shared" si="16"/>
        <v>Aug</v>
      </c>
      <c r="D2141" s="6">
        <f>MONTH(Patient_Data!$E2141)</f>
        <v>8</v>
      </c>
      <c r="E2141" s="7">
        <v>45531</v>
      </c>
      <c r="F2141" s="55" t="str">
        <f>TEXT(Patient_Data[[#This Row],[Admission_Date]],"YYYY")</f>
        <v>2024</v>
      </c>
      <c r="G2141" s="8" t="s">
        <v>4266</v>
      </c>
      <c r="H2141" s="8" t="s">
        <v>49</v>
      </c>
      <c r="I2141" s="4" t="s">
        <v>35</v>
      </c>
      <c r="J2141" s="4">
        <v>32</v>
      </c>
      <c r="K2141" s="4" t="s">
        <v>30</v>
      </c>
      <c r="L2141" s="8">
        <v>4</v>
      </c>
      <c r="M2141" s="9" t="s">
        <v>39</v>
      </c>
      <c r="N2141" s="9" t="str">
        <f t="shared" si="17"/>
        <v>GM</v>
      </c>
      <c r="O2141" s="10">
        <v>2537.31</v>
      </c>
      <c r="P2141" s="10">
        <v>1998.76</v>
      </c>
      <c r="Q2141" s="11">
        <v>8.8000000000000007</v>
      </c>
      <c r="R2141" s="13" t="str">
        <f>IF(Patient_Data!$L2141&lt;2,"Low Risk",IF(Patient_Data!$L2141&lt;4,"Moderate Risk","High Risk"))</f>
        <v>High Risk</v>
      </c>
      <c r="S2141" s="12" t="str">
        <f>IF(Patient_Data[[#This Row],[Age]]&lt;=18,"Pediatric",IF(Patient_Data[[#This Row],[Age]]&lt;=64,"Adult","Geriatric"))</f>
        <v>Adult</v>
      </c>
    </row>
    <row r="2142" spans="1:19" ht="15.75" customHeight="1" x14ac:dyDescent="0.3">
      <c r="A2142" s="4" t="s">
        <v>4267</v>
      </c>
      <c r="B2142" s="5" t="str">
        <f>TEXT(Patient_Data!$E2142,"mmmm")</f>
        <v>June</v>
      </c>
      <c r="C2142" s="6" t="str">
        <f t="shared" si="16"/>
        <v>Jun</v>
      </c>
      <c r="D2142" s="6">
        <f>MONTH(Patient_Data!$E2142)</f>
        <v>6</v>
      </c>
      <c r="E2142" s="7">
        <v>46198</v>
      </c>
      <c r="F2142" s="55" t="str">
        <f>TEXT(Patient_Data[[#This Row],[Admission_Date]],"YYYY")</f>
        <v>2026</v>
      </c>
      <c r="G2142" s="8" t="s">
        <v>4268</v>
      </c>
      <c r="H2142" s="8" t="s">
        <v>34</v>
      </c>
      <c r="I2142" s="4" t="s">
        <v>29</v>
      </c>
      <c r="J2142" s="4">
        <v>17</v>
      </c>
      <c r="K2142" s="4" t="s">
        <v>30</v>
      </c>
      <c r="L2142" s="8">
        <v>1</v>
      </c>
      <c r="M2142" s="9" t="s">
        <v>79</v>
      </c>
      <c r="N2142" s="9" t="str">
        <f t="shared" si="17"/>
        <v>PD</v>
      </c>
      <c r="O2142" s="10">
        <v>1960.14</v>
      </c>
      <c r="P2142" s="10">
        <v>1140.8800000000001</v>
      </c>
      <c r="Q2142" s="11">
        <v>0.5</v>
      </c>
      <c r="R2142" s="13" t="str">
        <f>IF(Patient_Data!$L2142&lt;2,"Low Risk",IF(Patient_Data!$L2142&lt;4,"Moderate Risk","High Risk"))</f>
        <v>Low Risk</v>
      </c>
      <c r="S2142" s="12" t="str">
        <f>IF(Patient_Data[[#This Row],[Age]]&lt;=18,"Pediatric",IF(Patient_Data[[#This Row],[Age]]&lt;=64,"Adult","Geriatric"))</f>
        <v>Pediatric</v>
      </c>
    </row>
    <row r="2143" spans="1:19" ht="15.75" customHeight="1" x14ac:dyDescent="0.3">
      <c r="A2143" s="4" t="s">
        <v>4269</v>
      </c>
      <c r="B2143" s="5" t="str">
        <f>TEXT(Patient_Data!$E2143,"mmmm")</f>
        <v>June</v>
      </c>
      <c r="C2143" s="6" t="str">
        <f t="shared" si="16"/>
        <v>Jun</v>
      </c>
      <c r="D2143" s="6">
        <f>MONTH(Patient_Data!$E2143)</f>
        <v>6</v>
      </c>
      <c r="E2143" s="7">
        <v>45827</v>
      </c>
      <c r="F2143" s="55" t="str">
        <f>TEXT(Patient_Data[[#This Row],[Admission_Date]],"YYYY")</f>
        <v>2025</v>
      </c>
      <c r="G2143" s="8" t="s">
        <v>4270</v>
      </c>
      <c r="H2143" s="8" t="s">
        <v>98</v>
      </c>
      <c r="I2143" s="4" t="s">
        <v>29</v>
      </c>
      <c r="J2143" s="4">
        <v>51</v>
      </c>
      <c r="K2143" s="4" t="s">
        <v>30</v>
      </c>
      <c r="L2143" s="8">
        <v>1</v>
      </c>
      <c r="M2143" s="9" t="s">
        <v>83</v>
      </c>
      <c r="N2143" s="9" t="str">
        <f t="shared" si="17"/>
        <v>ER</v>
      </c>
      <c r="O2143" s="10">
        <v>3009.59</v>
      </c>
      <c r="P2143" s="10">
        <v>1963.05</v>
      </c>
      <c r="Q2143" s="11">
        <v>15.9</v>
      </c>
      <c r="R2143" s="13" t="str">
        <f>IF(Patient_Data!$L2143&lt;2,"Low Risk",IF(Patient_Data!$L2143&lt;4,"Moderate Risk","High Risk"))</f>
        <v>Low Risk</v>
      </c>
      <c r="S2143" s="12" t="str">
        <f>IF(Patient_Data[[#This Row],[Age]]&lt;=18,"Pediatric",IF(Patient_Data[[#This Row],[Age]]&lt;=64,"Adult","Geriatric"))</f>
        <v>Adult</v>
      </c>
    </row>
    <row r="2144" spans="1:19" ht="15.75" customHeight="1" x14ac:dyDescent="0.3">
      <c r="A2144" s="4" t="s">
        <v>4271</v>
      </c>
      <c r="B2144" s="5" t="str">
        <f>TEXT(Patient_Data!$E2144,"mmmm")</f>
        <v>May</v>
      </c>
      <c r="C2144" s="6" t="str">
        <f t="shared" si="16"/>
        <v>May</v>
      </c>
      <c r="D2144" s="6">
        <f>MONTH(Patient_Data!$E2144)</f>
        <v>5</v>
      </c>
      <c r="E2144" s="7">
        <v>46150</v>
      </c>
      <c r="F2144" s="55" t="str">
        <f>TEXT(Patient_Data[[#This Row],[Admission_Date]],"YYYY")</f>
        <v>2026</v>
      </c>
      <c r="G2144" s="8" t="s">
        <v>4272</v>
      </c>
      <c r="H2144" s="8" t="s">
        <v>34</v>
      </c>
      <c r="I2144" s="4" t="s">
        <v>29</v>
      </c>
      <c r="J2144" s="4">
        <v>72</v>
      </c>
      <c r="K2144" s="4" t="s">
        <v>30</v>
      </c>
      <c r="L2144" s="8">
        <v>2</v>
      </c>
      <c r="M2144" s="9" t="s">
        <v>83</v>
      </c>
      <c r="N2144" s="9" t="str">
        <f t="shared" si="17"/>
        <v>ER</v>
      </c>
      <c r="O2144" s="10">
        <v>6935.95</v>
      </c>
      <c r="P2144" s="10">
        <v>4555.8100000000004</v>
      </c>
      <c r="Q2144" s="11">
        <v>14.6</v>
      </c>
      <c r="R2144" s="13" t="str">
        <f>IF(Patient_Data!$L2144&lt;2,"Low Risk",IF(Patient_Data!$L2144&lt;4,"Moderate Risk","High Risk"))</f>
        <v>Moderate Risk</v>
      </c>
      <c r="S2144" s="12" t="str">
        <f>IF(Patient_Data[[#This Row],[Age]]&lt;=18,"Pediatric",IF(Patient_Data[[#This Row],[Age]]&lt;=64,"Adult","Geriatric"))</f>
        <v>Geriatric</v>
      </c>
    </row>
    <row r="2145" spans="1:19" ht="15.75" customHeight="1" x14ac:dyDescent="0.3">
      <c r="A2145" s="4" t="s">
        <v>4273</v>
      </c>
      <c r="B2145" s="5" t="str">
        <f>TEXT(Patient_Data!$E2145,"mmmm")</f>
        <v>December</v>
      </c>
      <c r="C2145" s="6" t="str">
        <f t="shared" si="16"/>
        <v>Dec</v>
      </c>
      <c r="D2145" s="6">
        <f>MONTH(Patient_Data!$E2145)</f>
        <v>12</v>
      </c>
      <c r="E2145" s="7">
        <v>46021</v>
      </c>
      <c r="F2145" s="55" t="str">
        <f>TEXT(Patient_Data[[#This Row],[Admission_Date]],"YYYY")</f>
        <v>2025</v>
      </c>
      <c r="G2145" s="8" t="s">
        <v>1427</v>
      </c>
      <c r="H2145" s="8" t="s">
        <v>82</v>
      </c>
      <c r="I2145" s="4" t="s">
        <v>29</v>
      </c>
      <c r="J2145" s="4">
        <v>94</v>
      </c>
      <c r="K2145" s="4" t="s">
        <v>30</v>
      </c>
      <c r="L2145" s="8">
        <v>5</v>
      </c>
      <c r="M2145" s="9" t="s">
        <v>50</v>
      </c>
      <c r="N2145" s="9" t="str">
        <f t="shared" si="17"/>
        <v>ICU</v>
      </c>
      <c r="O2145" s="10">
        <v>16853.47</v>
      </c>
      <c r="P2145" s="10">
        <v>11433.42</v>
      </c>
      <c r="Q2145" s="11">
        <v>17.7</v>
      </c>
      <c r="R2145" s="13" t="str">
        <f>IF(Patient_Data!$L2145&lt;2,"Low Risk",IF(Patient_Data!$L2145&lt;4,"Moderate Risk","High Risk"))</f>
        <v>High Risk</v>
      </c>
      <c r="S2145" s="12" t="str">
        <f>IF(Patient_Data[[#This Row],[Age]]&lt;=18,"Pediatric",IF(Patient_Data[[#This Row],[Age]]&lt;=64,"Adult","Geriatric"))</f>
        <v>Geriatric</v>
      </c>
    </row>
    <row r="2146" spans="1:19" ht="15.75" customHeight="1" x14ac:dyDescent="0.3">
      <c r="A2146" s="4" t="s">
        <v>4274</v>
      </c>
      <c r="B2146" s="5" t="str">
        <f>TEXT(Patient_Data!$E2146,"mmmm")</f>
        <v>April</v>
      </c>
      <c r="C2146" s="6" t="str">
        <f t="shared" si="16"/>
        <v>Apr</v>
      </c>
      <c r="D2146" s="6">
        <f>MONTH(Patient_Data!$E2146)</f>
        <v>4</v>
      </c>
      <c r="E2146" s="7">
        <v>45385</v>
      </c>
      <c r="F2146" s="55" t="str">
        <f>TEXT(Patient_Data[[#This Row],[Admission_Date]],"YYYY")</f>
        <v>2024</v>
      </c>
      <c r="G2146" s="8" t="s">
        <v>4275</v>
      </c>
      <c r="H2146" s="8" t="s">
        <v>34</v>
      </c>
      <c r="I2146" s="4" t="s">
        <v>29</v>
      </c>
      <c r="J2146" s="4">
        <v>36</v>
      </c>
      <c r="K2146" s="4" t="s">
        <v>54</v>
      </c>
      <c r="L2146" s="8">
        <v>3</v>
      </c>
      <c r="M2146" s="9" t="s">
        <v>72</v>
      </c>
      <c r="N2146" s="9" t="str">
        <f t="shared" si="17"/>
        <v>Surgery</v>
      </c>
      <c r="O2146" s="10">
        <v>14954.12</v>
      </c>
      <c r="P2146" s="10">
        <v>10494.28</v>
      </c>
      <c r="Q2146" s="11">
        <v>3.3</v>
      </c>
      <c r="R2146" s="13" t="str">
        <f>IF(Patient_Data!$L2146&lt;2,"Low Risk",IF(Patient_Data!$L2146&lt;4,"Moderate Risk","High Risk"))</f>
        <v>Moderate Risk</v>
      </c>
      <c r="S2146" s="12" t="str">
        <f>IF(Patient_Data[[#This Row],[Age]]&lt;=18,"Pediatric",IF(Patient_Data[[#This Row],[Age]]&lt;=64,"Adult","Geriatric"))</f>
        <v>Adult</v>
      </c>
    </row>
    <row r="2147" spans="1:19" ht="15.75" customHeight="1" x14ac:dyDescent="0.3">
      <c r="A2147" s="4" t="s">
        <v>4276</v>
      </c>
      <c r="B2147" s="5" t="str">
        <f>TEXT(Patient_Data!$E2147,"mmmm")</f>
        <v>October</v>
      </c>
      <c r="C2147" s="6" t="str">
        <f t="shared" si="16"/>
        <v>Oct</v>
      </c>
      <c r="D2147" s="6">
        <f>MONTH(Patient_Data!$E2147)</f>
        <v>10</v>
      </c>
      <c r="E2147" s="7">
        <v>45218</v>
      </c>
      <c r="F2147" s="55" t="str">
        <f>TEXT(Patient_Data[[#This Row],[Admission_Date]],"YYYY")</f>
        <v>2023</v>
      </c>
      <c r="G2147" s="8" t="s">
        <v>4277</v>
      </c>
      <c r="H2147" s="8" t="s">
        <v>98</v>
      </c>
      <c r="I2147" s="4" t="s">
        <v>35</v>
      </c>
      <c r="J2147" s="4">
        <v>3</v>
      </c>
      <c r="K2147" s="4" t="s">
        <v>30</v>
      </c>
      <c r="L2147" s="8">
        <v>2</v>
      </c>
      <c r="M2147" s="9" t="s">
        <v>79</v>
      </c>
      <c r="N2147" s="9" t="str">
        <f t="shared" si="17"/>
        <v>PD</v>
      </c>
      <c r="O2147" s="10">
        <v>781.71</v>
      </c>
      <c r="P2147" s="10">
        <v>615.45000000000005</v>
      </c>
      <c r="Q2147" s="11">
        <v>5.6</v>
      </c>
      <c r="R2147" s="13" t="str">
        <f>IF(Patient_Data!$L2147&lt;2,"Low Risk",IF(Patient_Data!$L2147&lt;4,"Moderate Risk","High Risk"))</f>
        <v>Moderate Risk</v>
      </c>
      <c r="S2147" s="12" t="str">
        <f>IF(Patient_Data[[#This Row],[Age]]&lt;=18,"Pediatric",IF(Patient_Data[[#This Row],[Age]]&lt;=64,"Adult","Geriatric"))</f>
        <v>Pediatric</v>
      </c>
    </row>
    <row r="2148" spans="1:19" ht="15.75" customHeight="1" x14ac:dyDescent="0.3">
      <c r="A2148" s="4" t="s">
        <v>4278</v>
      </c>
      <c r="B2148" s="5" t="str">
        <f>TEXT(Patient_Data!$E2148,"mmmm")</f>
        <v>October</v>
      </c>
      <c r="C2148" s="6" t="str">
        <f t="shared" si="16"/>
        <v>Oct</v>
      </c>
      <c r="D2148" s="6">
        <f>MONTH(Patient_Data!$E2148)</f>
        <v>10</v>
      </c>
      <c r="E2148" s="7">
        <v>45947</v>
      </c>
      <c r="F2148" s="55" t="str">
        <f>TEXT(Patient_Data[[#This Row],[Admission_Date]],"YYYY")</f>
        <v>2025</v>
      </c>
      <c r="G2148" s="8" t="s">
        <v>4279</v>
      </c>
      <c r="H2148" s="8" t="s">
        <v>28</v>
      </c>
      <c r="I2148" s="4" t="s">
        <v>35</v>
      </c>
      <c r="J2148" s="4">
        <v>13</v>
      </c>
      <c r="K2148" s="4" t="s">
        <v>30</v>
      </c>
      <c r="L2148" s="8">
        <v>2</v>
      </c>
      <c r="M2148" s="9" t="s">
        <v>79</v>
      </c>
      <c r="N2148" s="9" t="str">
        <f t="shared" si="17"/>
        <v>PD</v>
      </c>
      <c r="O2148" s="10">
        <v>1927.74</v>
      </c>
      <c r="P2148" s="10">
        <v>1476.28</v>
      </c>
      <c r="Q2148" s="11">
        <v>1.4</v>
      </c>
      <c r="R2148" s="13" t="str">
        <f>IF(Patient_Data!$L2148&lt;2,"Low Risk",IF(Patient_Data!$L2148&lt;4,"Moderate Risk","High Risk"))</f>
        <v>Moderate Risk</v>
      </c>
      <c r="S2148" s="12" t="str">
        <f>IF(Patient_Data[[#This Row],[Age]]&lt;=18,"Pediatric",IF(Patient_Data[[#This Row],[Age]]&lt;=64,"Adult","Geriatric"))</f>
        <v>Pediatric</v>
      </c>
    </row>
    <row r="2149" spans="1:19" ht="15.75" customHeight="1" x14ac:dyDescent="0.3">
      <c r="A2149" s="4" t="s">
        <v>4280</v>
      </c>
      <c r="B2149" s="5" t="str">
        <f>TEXT(Patient_Data!$E2149,"mmmm")</f>
        <v>June</v>
      </c>
      <c r="C2149" s="6" t="str">
        <f t="shared" si="16"/>
        <v>Jun</v>
      </c>
      <c r="D2149" s="6">
        <f>MONTH(Patient_Data!$E2149)</f>
        <v>6</v>
      </c>
      <c r="E2149" s="7">
        <v>45464</v>
      </c>
      <c r="F2149" s="55" t="str">
        <f>TEXT(Patient_Data[[#This Row],[Admission_Date]],"YYYY")</f>
        <v>2024</v>
      </c>
      <c r="G2149" s="8" t="s">
        <v>4281</v>
      </c>
      <c r="H2149" s="8" t="s">
        <v>34</v>
      </c>
      <c r="I2149" s="4" t="s">
        <v>29</v>
      </c>
      <c r="J2149" s="4">
        <v>86</v>
      </c>
      <c r="K2149" s="4" t="s">
        <v>30</v>
      </c>
      <c r="L2149" s="8">
        <v>3</v>
      </c>
      <c r="M2149" s="9" t="s">
        <v>72</v>
      </c>
      <c r="N2149" s="9" t="str">
        <f t="shared" si="17"/>
        <v>Surgery</v>
      </c>
      <c r="O2149" s="10">
        <v>16864.759999999998</v>
      </c>
      <c r="P2149" s="10">
        <v>9801.56</v>
      </c>
      <c r="Q2149" s="11">
        <v>2.5</v>
      </c>
      <c r="R2149" s="13" t="str">
        <f>IF(Patient_Data!$L2149&lt;2,"Low Risk",IF(Patient_Data!$L2149&lt;4,"Moderate Risk","High Risk"))</f>
        <v>Moderate Risk</v>
      </c>
      <c r="S2149" s="12" t="str">
        <f>IF(Patient_Data[[#This Row],[Age]]&lt;=18,"Pediatric",IF(Patient_Data[[#This Row],[Age]]&lt;=64,"Adult","Geriatric"))</f>
        <v>Geriatric</v>
      </c>
    </row>
    <row r="2150" spans="1:19" ht="15.75" customHeight="1" x14ac:dyDescent="0.3">
      <c r="A2150" s="4" t="s">
        <v>4282</v>
      </c>
      <c r="B2150" s="5" t="str">
        <f>TEXT(Patient_Data!$E2150,"mmmm")</f>
        <v>December</v>
      </c>
      <c r="C2150" s="6" t="str">
        <f t="shared" si="16"/>
        <v>Dec</v>
      </c>
      <c r="D2150" s="6">
        <f>MONTH(Patient_Data!$E2150)</f>
        <v>12</v>
      </c>
      <c r="E2150" s="7">
        <v>45275</v>
      </c>
      <c r="F2150" s="55" t="str">
        <f>TEXT(Patient_Data[[#This Row],[Admission_Date]],"YYYY")</f>
        <v>2023</v>
      </c>
      <c r="G2150" s="8" t="s">
        <v>4283</v>
      </c>
      <c r="H2150" s="8" t="s">
        <v>132</v>
      </c>
      <c r="I2150" s="4" t="s">
        <v>29</v>
      </c>
      <c r="J2150" s="4">
        <v>0</v>
      </c>
      <c r="K2150" s="4" t="s">
        <v>30</v>
      </c>
      <c r="L2150" s="8">
        <v>1</v>
      </c>
      <c r="M2150" s="9" t="s">
        <v>79</v>
      </c>
      <c r="N2150" s="9" t="str">
        <f t="shared" si="17"/>
        <v>PD</v>
      </c>
      <c r="O2150" s="10">
        <v>1454.11</v>
      </c>
      <c r="P2150" s="10">
        <v>921.41</v>
      </c>
      <c r="Q2150" s="11">
        <v>4.3</v>
      </c>
      <c r="R2150" s="13" t="str">
        <f>IF(Patient_Data!$L2150&lt;2,"Low Risk",IF(Patient_Data!$L2150&lt;4,"Moderate Risk","High Risk"))</f>
        <v>Low Risk</v>
      </c>
      <c r="S2150" s="12" t="str">
        <f>IF(Patient_Data[[#This Row],[Age]]&lt;=18,"Pediatric",IF(Patient_Data[[#This Row],[Age]]&lt;=64,"Adult","Geriatric"))</f>
        <v>Pediatric</v>
      </c>
    </row>
    <row r="2151" spans="1:19" ht="15.75" customHeight="1" x14ac:dyDescent="0.3">
      <c r="A2151" s="4" t="s">
        <v>4284</v>
      </c>
      <c r="B2151" s="5" t="str">
        <f>TEXT(Patient_Data!$E2151,"mmmm")</f>
        <v>December</v>
      </c>
      <c r="C2151" s="6" t="str">
        <f t="shared" si="16"/>
        <v>Dec</v>
      </c>
      <c r="D2151" s="6">
        <f>MONTH(Patient_Data!$E2151)</f>
        <v>12</v>
      </c>
      <c r="E2151" s="7">
        <v>45282</v>
      </c>
      <c r="F2151" s="55" t="str">
        <f>TEXT(Patient_Data[[#This Row],[Admission_Date]],"YYYY")</f>
        <v>2023</v>
      </c>
      <c r="G2151" s="8" t="s">
        <v>4285</v>
      </c>
      <c r="H2151" s="8" t="s">
        <v>132</v>
      </c>
      <c r="I2151" s="4" t="s">
        <v>29</v>
      </c>
      <c r="J2151" s="4">
        <v>47</v>
      </c>
      <c r="K2151" s="4" t="s">
        <v>30</v>
      </c>
      <c r="L2151" s="8">
        <v>1</v>
      </c>
      <c r="M2151" s="9" t="s">
        <v>46</v>
      </c>
      <c r="N2151" s="9" t="str">
        <f t="shared" si="17"/>
        <v>Ortho</v>
      </c>
      <c r="O2151" s="10">
        <v>6044.9</v>
      </c>
      <c r="P2151" s="10">
        <v>3936.74</v>
      </c>
      <c r="Q2151" s="11">
        <v>8.5</v>
      </c>
      <c r="R2151" s="13" t="str">
        <f>IF(Patient_Data!$L2151&lt;2,"Low Risk",IF(Patient_Data!$L2151&lt;4,"Moderate Risk","High Risk"))</f>
        <v>Low Risk</v>
      </c>
      <c r="S2151" s="12" t="str">
        <f>IF(Patient_Data[[#This Row],[Age]]&lt;=18,"Pediatric",IF(Patient_Data[[#This Row],[Age]]&lt;=64,"Adult","Geriatric"))</f>
        <v>Adult</v>
      </c>
    </row>
    <row r="2152" spans="1:19" ht="15.75" customHeight="1" x14ac:dyDescent="0.3">
      <c r="A2152" s="4" t="s">
        <v>4286</v>
      </c>
      <c r="B2152" s="5" t="str">
        <f>TEXT(Patient_Data!$E2152,"mmmm")</f>
        <v>October</v>
      </c>
      <c r="C2152" s="6" t="str">
        <f t="shared" si="16"/>
        <v>Oct</v>
      </c>
      <c r="D2152" s="6">
        <f>MONTH(Patient_Data!$E2152)</f>
        <v>10</v>
      </c>
      <c r="E2152" s="7">
        <v>45576</v>
      </c>
      <c r="F2152" s="55" t="str">
        <f>TEXT(Patient_Data[[#This Row],[Admission_Date]],"YYYY")</f>
        <v>2024</v>
      </c>
      <c r="G2152" s="8" t="s">
        <v>4287</v>
      </c>
      <c r="H2152" s="8" t="s">
        <v>53</v>
      </c>
      <c r="I2152" s="4" t="s">
        <v>35</v>
      </c>
      <c r="J2152" s="4">
        <v>74</v>
      </c>
      <c r="K2152" s="4" t="s">
        <v>30</v>
      </c>
      <c r="L2152" s="8">
        <v>5</v>
      </c>
      <c r="M2152" s="9" t="s">
        <v>31</v>
      </c>
      <c r="N2152" s="9" t="str">
        <f t="shared" si="17"/>
        <v>Neuro</v>
      </c>
      <c r="O2152" s="10">
        <v>17505.2</v>
      </c>
      <c r="P2152" s="10">
        <v>11771.68</v>
      </c>
      <c r="Q2152" s="11">
        <v>5.4</v>
      </c>
      <c r="R2152" s="13" t="str">
        <f>IF(Patient_Data!$L2152&lt;2,"Low Risk",IF(Patient_Data!$L2152&lt;4,"Moderate Risk","High Risk"))</f>
        <v>High Risk</v>
      </c>
      <c r="S2152" s="12" t="str">
        <f>IF(Patient_Data[[#This Row],[Age]]&lt;=18,"Pediatric",IF(Patient_Data[[#This Row],[Age]]&lt;=64,"Adult","Geriatric"))</f>
        <v>Geriatric</v>
      </c>
    </row>
    <row r="2153" spans="1:19" ht="15.75" customHeight="1" x14ac:dyDescent="0.3">
      <c r="A2153" s="4" t="s">
        <v>4288</v>
      </c>
      <c r="B2153" s="5" t="str">
        <f>TEXT(Patient_Data!$E2153,"mmmm")</f>
        <v>February</v>
      </c>
      <c r="C2153" s="6" t="str">
        <f t="shared" si="16"/>
        <v>Feb</v>
      </c>
      <c r="D2153" s="6">
        <f>MONTH(Patient_Data!$E2153)</f>
        <v>2</v>
      </c>
      <c r="E2153" s="7">
        <v>45713</v>
      </c>
      <c r="F2153" s="55" t="str">
        <f>TEXT(Patient_Data[[#This Row],[Admission_Date]],"YYYY")</f>
        <v>2025</v>
      </c>
      <c r="G2153" s="8" t="s">
        <v>4289</v>
      </c>
      <c r="H2153" s="8" t="s">
        <v>49</v>
      </c>
      <c r="I2153" s="4" t="s">
        <v>35</v>
      </c>
      <c r="J2153" s="4">
        <v>60</v>
      </c>
      <c r="K2153" s="4" t="s">
        <v>30</v>
      </c>
      <c r="L2153" s="8">
        <v>1</v>
      </c>
      <c r="M2153" s="9" t="s">
        <v>83</v>
      </c>
      <c r="N2153" s="9" t="str">
        <f t="shared" si="17"/>
        <v>ER</v>
      </c>
      <c r="O2153" s="10">
        <v>4615.08</v>
      </c>
      <c r="P2153" s="10">
        <v>3379.36</v>
      </c>
      <c r="Q2153" s="11">
        <v>18.600000000000001</v>
      </c>
      <c r="R2153" s="13" t="str">
        <f>IF(Patient_Data!$L2153&lt;2,"Low Risk",IF(Patient_Data!$L2153&lt;4,"Moderate Risk","High Risk"))</f>
        <v>Low Risk</v>
      </c>
      <c r="S2153" s="12" t="str">
        <f>IF(Patient_Data[[#This Row],[Age]]&lt;=18,"Pediatric",IF(Patient_Data[[#This Row],[Age]]&lt;=64,"Adult","Geriatric"))</f>
        <v>Adult</v>
      </c>
    </row>
    <row r="2154" spans="1:19" ht="15.75" customHeight="1" x14ac:dyDescent="0.3">
      <c r="A2154" s="4" t="s">
        <v>4290</v>
      </c>
      <c r="B2154" s="5" t="str">
        <f>TEXT(Patient_Data!$E2154,"mmmm")</f>
        <v>July</v>
      </c>
      <c r="C2154" s="6" t="str">
        <f t="shared" si="16"/>
        <v>Jul</v>
      </c>
      <c r="D2154" s="6">
        <f>MONTH(Patient_Data!$E2154)</f>
        <v>7</v>
      </c>
      <c r="E2154" s="7">
        <v>45496</v>
      </c>
      <c r="F2154" s="55" t="str">
        <f>TEXT(Patient_Data[[#This Row],[Admission_Date]],"YYYY")</f>
        <v>2024</v>
      </c>
      <c r="G2154" s="8" t="s">
        <v>4291</v>
      </c>
      <c r="H2154" s="8" t="s">
        <v>34</v>
      </c>
      <c r="I2154" s="4" t="s">
        <v>35</v>
      </c>
      <c r="J2154" s="4">
        <v>58</v>
      </c>
      <c r="K2154" s="4" t="s">
        <v>45</v>
      </c>
      <c r="L2154" s="8">
        <v>4</v>
      </c>
      <c r="M2154" s="9" t="s">
        <v>72</v>
      </c>
      <c r="N2154" s="9" t="str">
        <f t="shared" si="17"/>
        <v>Surgery</v>
      </c>
      <c r="O2154" s="10">
        <v>21186.13</v>
      </c>
      <c r="P2154" s="10">
        <v>15522.67</v>
      </c>
      <c r="Q2154" s="11">
        <v>7.1</v>
      </c>
      <c r="R2154" s="13" t="str">
        <f>IF(Patient_Data!$L2154&lt;2,"Low Risk",IF(Patient_Data!$L2154&lt;4,"Moderate Risk","High Risk"))</f>
        <v>High Risk</v>
      </c>
      <c r="S2154" s="12" t="str">
        <f>IF(Patient_Data[[#This Row],[Age]]&lt;=18,"Pediatric",IF(Patient_Data[[#This Row],[Age]]&lt;=64,"Adult","Geriatric"))</f>
        <v>Adult</v>
      </c>
    </row>
    <row r="2155" spans="1:19" ht="15.75" customHeight="1" x14ac:dyDescent="0.3">
      <c r="A2155" s="4" t="s">
        <v>4292</v>
      </c>
      <c r="B2155" s="5" t="str">
        <f>TEXT(Patient_Data!$E2155,"mmmm")</f>
        <v>April</v>
      </c>
      <c r="C2155" s="6" t="str">
        <f t="shared" si="16"/>
        <v>Apr</v>
      </c>
      <c r="D2155" s="6">
        <f>MONTH(Patient_Data!$E2155)</f>
        <v>4</v>
      </c>
      <c r="E2155" s="7">
        <v>45771</v>
      </c>
      <c r="F2155" s="55" t="str">
        <f>TEXT(Patient_Data[[#This Row],[Admission_Date]],"YYYY")</f>
        <v>2025</v>
      </c>
      <c r="G2155" s="8" t="s">
        <v>4293</v>
      </c>
      <c r="H2155" s="8" t="s">
        <v>53</v>
      </c>
      <c r="I2155" s="4" t="s">
        <v>29</v>
      </c>
      <c r="J2155" s="4">
        <v>13</v>
      </c>
      <c r="K2155" s="4" t="s">
        <v>54</v>
      </c>
      <c r="L2155" s="8">
        <v>1</v>
      </c>
      <c r="M2155" s="9" t="s">
        <v>79</v>
      </c>
      <c r="N2155" s="9" t="str">
        <f t="shared" si="17"/>
        <v>PD</v>
      </c>
      <c r="O2155" s="10">
        <v>2140.2800000000002</v>
      </c>
      <c r="P2155" s="10">
        <v>1647.41</v>
      </c>
      <c r="Q2155" s="11">
        <v>2.6</v>
      </c>
      <c r="R2155" s="13" t="str">
        <f>IF(Patient_Data!$L2155&lt;2,"Low Risk",IF(Patient_Data!$L2155&lt;4,"Moderate Risk","High Risk"))</f>
        <v>Low Risk</v>
      </c>
      <c r="S2155" s="12" t="str">
        <f>IF(Patient_Data[[#This Row],[Age]]&lt;=18,"Pediatric",IF(Patient_Data[[#This Row],[Age]]&lt;=64,"Adult","Geriatric"))</f>
        <v>Pediatric</v>
      </c>
    </row>
    <row r="2156" spans="1:19" ht="15.75" customHeight="1" x14ac:dyDescent="0.3">
      <c r="A2156" s="4" t="s">
        <v>4294</v>
      </c>
      <c r="B2156" s="5" t="str">
        <f>TEXT(Patient_Data!$E2156,"mmmm")</f>
        <v>November</v>
      </c>
      <c r="C2156" s="6" t="str">
        <f t="shared" si="16"/>
        <v>Nov</v>
      </c>
      <c r="D2156" s="6">
        <f>MONTH(Patient_Data!$E2156)</f>
        <v>11</v>
      </c>
      <c r="E2156" s="7">
        <v>45233</v>
      </c>
      <c r="F2156" s="55" t="str">
        <f>TEXT(Patient_Data[[#This Row],[Admission_Date]],"YYYY")</f>
        <v>2023</v>
      </c>
      <c r="G2156" s="8" t="s">
        <v>4295</v>
      </c>
      <c r="H2156" s="8" t="s">
        <v>28</v>
      </c>
      <c r="I2156" s="4" t="s">
        <v>35</v>
      </c>
      <c r="J2156" s="4">
        <v>46</v>
      </c>
      <c r="K2156" s="4" t="s">
        <v>30</v>
      </c>
      <c r="L2156" s="8">
        <v>1</v>
      </c>
      <c r="M2156" s="9" t="s">
        <v>39</v>
      </c>
      <c r="N2156" s="9" t="str">
        <f t="shared" si="17"/>
        <v>GM</v>
      </c>
      <c r="O2156" s="10">
        <v>2126.39</v>
      </c>
      <c r="P2156" s="10">
        <v>1290.1099999999999</v>
      </c>
      <c r="Q2156" s="11">
        <v>7.1</v>
      </c>
      <c r="R2156" s="13" t="str">
        <f>IF(Patient_Data!$L2156&lt;2,"Low Risk",IF(Patient_Data!$L2156&lt;4,"Moderate Risk","High Risk"))</f>
        <v>Low Risk</v>
      </c>
      <c r="S2156" s="12" t="str">
        <f>IF(Patient_Data[[#This Row],[Age]]&lt;=18,"Pediatric",IF(Patient_Data[[#This Row],[Age]]&lt;=64,"Adult","Geriatric"))</f>
        <v>Adult</v>
      </c>
    </row>
    <row r="2157" spans="1:19" ht="15.75" customHeight="1" x14ac:dyDescent="0.3">
      <c r="A2157" s="4" t="s">
        <v>4296</v>
      </c>
      <c r="B2157" s="5" t="str">
        <f>TEXT(Patient_Data!$E2157,"mmmm")</f>
        <v>September</v>
      </c>
      <c r="C2157" s="6" t="str">
        <f t="shared" si="16"/>
        <v>Sep</v>
      </c>
      <c r="D2157" s="6">
        <f>MONTH(Patient_Data!$E2157)</f>
        <v>9</v>
      </c>
      <c r="E2157" s="7">
        <v>45901</v>
      </c>
      <c r="F2157" s="55" t="str">
        <f>TEXT(Patient_Data[[#This Row],[Admission_Date]],"YYYY")</f>
        <v>2025</v>
      </c>
      <c r="G2157" s="8" t="s">
        <v>4297</v>
      </c>
      <c r="H2157" s="8" t="s">
        <v>28</v>
      </c>
      <c r="I2157" s="4" t="s">
        <v>35</v>
      </c>
      <c r="J2157" s="4">
        <v>6</v>
      </c>
      <c r="K2157" s="4" t="s">
        <v>30</v>
      </c>
      <c r="L2157" s="8">
        <v>1</v>
      </c>
      <c r="M2157" s="9" t="s">
        <v>79</v>
      </c>
      <c r="N2157" s="9" t="str">
        <f t="shared" si="17"/>
        <v>PD</v>
      </c>
      <c r="O2157" s="10">
        <v>964.49</v>
      </c>
      <c r="P2157" s="10">
        <v>626.74</v>
      </c>
      <c r="Q2157" s="11">
        <v>4.8</v>
      </c>
      <c r="R2157" s="13" t="str">
        <f>IF(Patient_Data!$L2157&lt;2,"Low Risk",IF(Patient_Data!$L2157&lt;4,"Moderate Risk","High Risk"))</f>
        <v>Low Risk</v>
      </c>
      <c r="S2157" s="12" t="str">
        <f>IF(Patient_Data[[#This Row],[Age]]&lt;=18,"Pediatric",IF(Patient_Data[[#This Row],[Age]]&lt;=64,"Adult","Geriatric"))</f>
        <v>Pediatric</v>
      </c>
    </row>
    <row r="2158" spans="1:19" ht="15.75" customHeight="1" x14ac:dyDescent="0.3">
      <c r="A2158" s="4" t="s">
        <v>4298</v>
      </c>
      <c r="B2158" s="5" t="str">
        <f>TEXT(Patient_Data!$E2158,"mmmm")</f>
        <v>March</v>
      </c>
      <c r="C2158" s="6" t="str">
        <f t="shared" si="16"/>
        <v>Mar</v>
      </c>
      <c r="D2158" s="6">
        <f>MONTH(Patient_Data!$E2158)</f>
        <v>3</v>
      </c>
      <c r="E2158" s="7">
        <v>46093</v>
      </c>
      <c r="F2158" s="55" t="str">
        <f>TEXT(Patient_Data[[#This Row],[Admission_Date]],"YYYY")</f>
        <v>2026</v>
      </c>
      <c r="G2158" s="8" t="s">
        <v>4299</v>
      </c>
      <c r="H2158" s="8" t="s">
        <v>98</v>
      </c>
      <c r="I2158" s="4" t="s">
        <v>29</v>
      </c>
      <c r="J2158" s="4">
        <v>11</v>
      </c>
      <c r="K2158" s="4" t="s">
        <v>54</v>
      </c>
      <c r="L2158" s="8">
        <v>4</v>
      </c>
      <c r="M2158" s="9" t="s">
        <v>79</v>
      </c>
      <c r="N2158" s="9" t="str">
        <f t="shared" si="17"/>
        <v>PD</v>
      </c>
      <c r="O2158" s="10">
        <v>1279.3900000000001</v>
      </c>
      <c r="P2158" s="10">
        <v>818.81</v>
      </c>
      <c r="Q2158" s="11">
        <v>0</v>
      </c>
      <c r="R2158" s="13" t="str">
        <f>IF(Patient_Data!$L2158&lt;2,"Low Risk",IF(Patient_Data!$L2158&lt;4,"Moderate Risk","High Risk"))</f>
        <v>High Risk</v>
      </c>
      <c r="S2158" s="12" t="str">
        <f>IF(Patient_Data[[#This Row],[Age]]&lt;=18,"Pediatric",IF(Patient_Data[[#This Row],[Age]]&lt;=64,"Adult","Geriatric"))</f>
        <v>Pediatric</v>
      </c>
    </row>
    <row r="2159" spans="1:19" ht="15.75" customHeight="1" x14ac:dyDescent="0.3">
      <c r="A2159" s="4" t="s">
        <v>4300</v>
      </c>
      <c r="B2159" s="5" t="str">
        <f>TEXT(Patient_Data!$E2159,"mmmm")</f>
        <v>March</v>
      </c>
      <c r="C2159" s="6" t="str">
        <f t="shared" si="16"/>
        <v>Mar</v>
      </c>
      <c r="D2159" s="6">
        <f>MONTH(Patient_Data!$E2159)</f>
        <v>3</v>
      </c>
      <c r="E2159" s="7">
        <v>45376</v>
      </c>
      <c r="F2159" s="55" t="str">
        <f>TEXT(Patient_Data[[#This Row],[Admission_Date]],"YYYY")</f>
        <v>2024</v>
      </c>
      <c r="G2159" s="8" t="s">
        <v>4301</v>
      </c>
      <c r="H2159" s="8" t="s">
        <v>82</v>
      </c>
      <c r="I2159" s="4" t="s">
        <v>35</v>
      </c>
      <c r="J2159" s="4">
        <v>60</v>
      </c>
      <c r="K2159" s="4" t="s">
        <v>30</v>
      </c>
      <c r="L2159" s="8">
        <v>3</v>
      </c>
      <c r="M2159" s="9" t="s">
        <v>39</v>
      </c>
      <c r="N2159" s="9" t="str">
        <f t="shared" si="17"/>
        <v>GM</v>
      </c>
      <c r="O2159" s="10">
        <v>1927.81</v>
      </c>
      <c r="P2159" s="10">
        <v>1371.63</v>
      </c>
      <c r="Q2159" s="11">
        <v>10</v>
      </c>
      <c r="R2159" s="13" t="str">
        <f>IF(Patient_Data!$L2159&lt;2,"Low Risk",IF(Patient_Data!$L2159&lt;4,"Moderate Risk","High Risk"))</f>
        <v>Moderate Risk</v>
      </c>
      <c r="S2159" s="12" t="str">
        <f>IF(Patient_Data[[#This Row],[Age]]&lt;=18,"Pediatric",IF(Patient_Data[[#This Row],[Age]]&lt;=64,"Adult","Geriatric"))</f>
        <v>Adult</v>
      </c>
    </row>
    <row r="2160" spans="1:19" ht="15.75" customHeight="1" x14ac:dyDescent="0.3">
      <c r="A2160" s="4" t="s">
        <v>4302</v>
      </c>
      <c r="B2160" s="5" t="str">
        <f>TEXT(Patient_Data!$E2160,"mmmm")</f>
        <v>April</v>
      </c>
      <c r="C2160" s="6" t="str">
        <f t="shared" si="16"/>
        <v>Apr</v>
      </c>
      <c r="D2160" s="6">
        <f>MONTH(Patient_Data!$E2160)</f>
        <v>4</v>
      </c>
      <c r="E2160" s="7">
        <v>45756</v>
      </c>
      <c r="F2160" s="55" t="str">
        <f>TEXT(Patient_Data[[#This Row],[Admission_Date]],"YYYY")</f>
        <v>2025</v>
      </c>
      <c r="G2160" s="8" t="s">
        <v>4303</v>
      </c>
      <c r="H2160" s="8" t="s">
        <v>53</v>
      </c>
      <c r="I2160" s="4" t="s">
        <v>35</v>
      </c>
      <c r="J2160" s="4">
        <v>76</v>
      </c>
      <c r="K2160" s="4" t="s">
        <v>45</v>
      </c>
      <c r="L2160" s="8">
        <v>5</v>
      </c>
      <c r="M2160" s="9" t="s">
        <v>39</v>
      </c>
      <c r="N2160" s="9" t="str">
        <f t="shared" si="17"/>
        <v>GM</v>
      </c>
      <c r="O2160" s="10">
        <v>2696.95</v>
      </c>
      <c r="P2160" s="10">
        <v>1951.86</v>
      </c>
      <c r="Q2160" s="11">
        <v>8</v>
      </c>
      <c r="R2160" s="13" t="str">
        <f>IF(Patient_Data!$L2160&lt;2,"Low Risk",IF(Patient_Data!$L2160&lt;4,"Moderate Risk","High Risk"))</f>
        <v>High Risk</v>
      </c>
      <c r="S2160" s="12" t="str">
        <f>IF(Patient_Data[[#This Row],[Age]]&lt;=18,"Pediatric",IF(Patient_Data[[#This Row],[Age]]&lt;=64,"Adult","Geriatric"))</f>
        <v>Geriatric</v>
      </c>
    </row>
    <row r="2161" spans="1:19" ht="15.75" customHeight="1" x14ac:dyDescent="0.3">
      <c r="A2161" s="4" t="s">
        <v>4304</v>
      </c>
      <c r="B2161" s="5" t="str">
        <f>TEXT(Patient_Data!$E2161,"mmmm")</f>
        <v>October</v>
      </c>
      <c r="C2161" s="6" t="str">
        <f t="shared" si="16"/>
        <v>Oct</v>
      </c>
      <c r="D2161" s="6">
        <f>MONTH(Patient_Data!$E2161)</f>
        <v>10</v>
      </c>
      <c r="E2161" s="7">
        <v>45960</v>
      </c>
      <c r="F2161" s="55" t="str">
        <f>TEXT(Patient_Data[[#This Row],[Admission_Date]],"YYYY")</f>
        <v>2025</v>
      </c>
      <c r="G2161" s="8" t="s">
        <v>4305</v>
      </c>
      <c r="H2161" s="8" t="s">
        <v>98</v>
      </c>
      <c r="I2161" s="4" t="s">
        <v>29</v>
      </c>
      <c r="J2161" s="4">
        <v>61</v>
      </c>
      <c r="K2161" s="4" t="s">
        <v>30</v>
      </c>
      <c r="L2161" s="8">
        <v>1</v>
      </c>
      <c r="M2161" s="9" t="s">
        <v>83</v>
      </c>
      <c r="N2161" s="9" t="str">
        <f t="shared" si="17"/>
        <v>ER</v>
      </c>
      <c r="O2161" s="10">
        <v>5431.83</v>
      </c>
      <c r="P2161" s="10">
        <v>4151.6400000000003</v>
      </c>
      <c r="Q2161" s="11">
        <v>23.3</v>
      </c>
      <c r="R2161" s="13" t="str">
        <f>IF(Patient_Data!$L2161&lt;2,"Low Risk",IF(Patient_Data!$L2161&lt;4,"Moderate Risk","High Risk"))</f>
        <v>Low Risk</v>
      </c>
      <c r="S2161" s="12" t="str">
        <f>IF(Patient_Data[[#This Row],[Age]]&lt;=18,"Pediatric",IF(Patient_Data[[#This Row],[Age]]&lt;=64,"Adult","Geriatric"))</f>
        <v>Adult</v>
      </c>
    </row>
    <row r="2162" spans="1:19" ht="15.75" customHeight="1" x14ac:dyDescent="0.3">
      <c r="A2162" s="4" t="s">
        <v>4306</v>
      </c>
      <c r="B2162" s="5" t="str">
        <f>TEXT(Patient_Data!$E2162,"mmmm")</f>
        <v>December</v>
      </c>
      <c r="C2162" s="6" t="str">
        <f t="shared" si="16"/>
        <v>Dec</v>
      </c>
      <c r="D2162" s="6">
        <f>MONTH(Patient_Data!$E2162)</f>
        <v>12</v>
      </c>
      <c r="E2162" s="7">
        <v>46020</v>
      </c>
      <c r="F2162" s="55" t="str">
        <f>TEXT(Patient_Data[[#This Row],[Admission_Date]],"YYYY")</f>
        <v>2025</v>
      </c>
      <c r="G2162" s="8" t="s">
        <v>4307</v>
      </c>
      <c r="H2162" s="8" t="s">
        <v>28</v>
      </c>
      <c r="I2162" s="4" t="s">
        <v>29</v>
      </c>
      <c r="J2162" s="4">
        <v>17</v>
      </c>
      <c r="K2162" s="4" t="s">
        <v>30</v>
      </c>
      <c r="L2162" s="8">
        <v>1</v>
      </c>
      <c r="M2162" s="9" t="s">
        <v>79</v>
      </c>
      <c r="N2162" s="9" t="str">
        <f t="shared" si="17"/>
        <v>PD</v>
      </c>
      <c r="O2162" s="10">
        <v>587.73</v>
      </c>
      <c r="P2162" s="10">
        <v>469.07</v>
      </c>
      <c r="Q2162" s="11">
        <v>2.8</v>
      </c>
      <c r="R2162" s="13" t="str">
        <f>IF(Patient_Data!$L2162&lt;2,"Low Risk",IF(Patient_Data!$L2162&lt;4,"Moderate Risk","High Risk"))</f>
        <v>Low Risk</v>
      </c>
      <c r="S2162" s="12" t="str">
        <f>IF(Patient_Data[[#This Row],[Age]]&lt;=18,"Pediatric",IF(Patient_Data[[#This Row],[Age]]&lt;=64,"Adult","Geriatric"))</f>
        <v>Pediatric</v>
      </c>
    </row>
    <row r="2163" spans="1:19" ht="15.75" customHeight="1" x14ac:dyDescent="0.3">
      <c r="A2163" s="4" t="s">
        <v>4308</v>
      </c>
      <c r="B2163" s="5" t="str">
        <f>TEXT(Patient_Data!$E2163,"mmmm")</f>
        <v>May</v>
      </c>
      <c r="C2163" s="6" t="str">
        <f t="shared" si="16"/>
        <v>May</v>
      </c>
      <c r="D2163" s="6">
        <f>MONTH(Patient_Data!$E2163)</f>
        <v>5</v>
      </c>
      <c r="E2163" s="7">
        <v>45807</v>
      </c>
      <c r="F2163" s="55" t="str">
        <f>TEXT(Patient_Data[[#This Row],[Admission_Date]],"YYYY")</f>
        <v>2025</v>
      </c>
      <c r="G2163" s="8" t="s">
        <v>2014</v>
      </c>
      <c r="H2163" s="8" t="s">
        <v>82</v>
      </c>
      <c r="I2163" s="4" t="s">
        <v>29</v>
      </c>
      <c r="J2163" s="4">
        <v>78</v>
      </c>
      <c r="K2163" s="4" t="s">
        <v>45</v>
      </c>
      <c r="L2163" s="8">
        <v>5</v>
      </c>
      <c r="M2163" s="9" t="s">
        <v>36</v>
      </c>
      <c r="N2163" s="9" t="str">
        <f t="shared" si="17"/>
        <v>Cardio</v>
      </c>
      <c r="O2163" s="10">
        <v>18504.3</v>
      </c>
      <c r="P2163" s="10">
        <v>10758.09</v>
      </c>
      <c r="Q2163" s="11">
        <v>3.2</v>
      </c>
      <c r="R2163" s="13" t="str">
        <f>IF(Patient_Data!$L2163&lt;2,"Low Risk",IF(Patient_Data!$L2163&lt;4,"Moderate Risk","High Risk"))</f>
        <v>High Risk</v>
      </c>
      <c r="S2163" s="12" t="str">
        <f>IF(Patient_Data[[#This Row],[Age]]&lt;=18,"Pediatric",IF(Patient_Data[[#This Row],[Age]]&lt;=64,"Adult","Geriatric"))</f>
        <v>Geriatric</v>
      </c>
    </row>
    <row r="2164" spans="1:19" ht="15.75" customHeight="1" x14ac:dyDescent="0.3">
      <c r="A2164" s="4" t="s">
        <v>4309</v>
      </c>
      <c r="B2164" s="5" t="str">
        <f>TEXT(Patient_Data!$E2164,"mmmm")</f>
        <v>December</v>
      </c>
      <c r="C2164" s="6" t="str">
        <f t="shared" si="16"/>
        <v>Dec</v>
      </c>
      <c r="D2164" s="6">
        <f>MONTH(Patient_Data!$E2164)</f>
        <v>12</v>
      </c>
      <c r="E2164" s="7">
        <v>45277</v>
      </c>
      <c r="F2164" s="55" t="str">
        <f>TEXT(Patient_Data[[#This Row],[Admission_Date]],"YYYY")</f>
        <v>2023</v>
      </c>
      <c r="G2164" s="8" t="s">
        <v>2768</v>
      </c>
      <c r="H2164" s="8" t="s">
        <v>42</v>
      </c>
      <c r="I2164" s="4" t="s">
        <v>35</v>
      </c>
      <c r="J2164" s="4">
        <v>63</v>
      </c>
      <c r="K2164" s="4" t="s">
        <v>30</v>
      </c>
      <c r="L2164" s="8">
        <v>1</v>
      </c>
      <c r="M2164" s="9" t="s">
        <v>39</v>
      </c>
      <c r="N2164" s="9" t="str">
        <f t="shared" si="17"/>
        <v>GM</v>
      </c>
      <c r="O2164" s="10">
        <v>1991.06</v>
      </c>
      <c r="P2164" s="10">
        <v>1280.1500000000001</v>
      </c>
      <c r="Q2164" s="11">
        <v>8.1999999999999993</v>
      </c>
      <c r="R2164" s="13" t="str">
        <f>IF(Patient_Data!$L2164&lt;2,"Low Risk",IF(Patient_Data!$L2164&lt;4,"Moderate Risk","High Risk"))</f>
        <v>Low Risk</v>
      </c>
      <c r="S2164" s="12" t="str">
        <f>IF(Patient_Data[[#This Row],[Age]]&lt;=18,"Pediatric",IF(Patient_Data[[#This Row],[Age]]&lt;=64,"Adult","Geriatric"))</f>
        <v>Adult</v>
      </c>
    </row>
    <row r="2165" spans="1:19" ht="15.75" customHeight="1" x14ac:dyDescent="0.3">
      <c r="A2165" s="4" t="s">
        <v>4310</v>
      </c>
      <c r="B2165" s="5" t="str">
        <f>TEXT(Patient_Data!$E2165,"mmmm")</f>
        <v>January</v>
      </c>
      <c r="C2165" s="6" t="str">
        <f t="shared" si="16"/>
        <v>Jan</v>
      </c>
      <c r="D2165" s="6">
        <f>MONTH(Patient_Data!$E2165)</f>
        <v>1</v>
      </c>
      <c r="E2165" s="7">
        <v>45681</v>
      </c>
      <c r="F2165" s="55" t="str">
        <f>TEXT(Patient_Data[[#This Row],[Admission_Date]],"YYYY")</f>
        <v>2025</v>
      </c>
      <c r="G2165" s="8" t="s">
        <v>4311</v>
      </c>
      <c r="H2165" s="8" t="s">
        <v>49</v>
      </c>
      <c r="I2165" s="4" t="s">
        <v>35</v>
      </c>
      <c r="J2165" s="4">
        <v>84</v>
      </c>
      <c r="K2165" s="4" t="s">
        <v>45</v>
      </c>
      <c r="L2165" s="8">
        <v>4</v>
      </c>
      <c r="M2165" s="9" t="s">
        <v>46</v>
      </c>
      <c r="N2165" s="9" t="str">
        <f t="shared" si="17"/>
        <v>Ortho</v>
      </c>
      <c r="O2165" s="10">
        <v>5953.05</v>
      </c>
      <c r="P2165" s="10">
        <v>3903.55</v>
      </c>
      <c r="Q2165" s="11">
        <v>11.7</v>
      </c>
      <c r="R2165" s="13" t="str">
        <f>IF(Patient_Data!$L2165&lt;2,"Low Risk",IF(Patient_Data!$L2165&lt;4,"Moderate Risk","High Risk"))</f>
        <v>High Risk</v>
      </c>
      <c r="S2165" s="12" t="str">
        <f>IF(Patient_Data[[#This Row],[Age]]&lt;=18,"Pediatric",IF(Patient_Data[[#This Row],[Age]]&lt;=64,"Adult","Geriatric"))</f>
        <v>Geriatric</v>
      </c>
    </row>
    <row r="2166" spans="1:19" ht="15.75" customHeight="1" x14ac:dyDescent="0.3">
      <c r="A2166" s="4" t="s">
        <v>4312</v>
      </c>
      <c r="B2166" s="5" t="str">
        <f>TEXT(Patient_Data!$E2166,"mmmm")</f>
        <v>October</v>
      </c>
      <c r="C2166" s="6" t="str">
        <f t="shared" si="16"/>
        <v>Oct</v>
      </c>
      <c r="D2166" s="6">
        <f>MONTH(Patient_Data!$E2166)</f>
        <v>10</v>
      </c>
      <c r="E2166" s="7">
        <v>45582</v>
      </c>
      <c r="F2166" s="55" t="str">
        <f>TEXT(Patient_Data[[#This Row],[Admission_Date]],"YYYY")</f>
        <v>2024</v>
      </c>
      <c r="G2166" s="8" t="s">
        <v>4313</v>
      </c>
      <c r="H2166" s="8" t="s">
        <v>132</v>
      </c>
      <c r="I2166" s="4" t="s">
        <v>29</v>
      </c>
      <c r="J2166" s="4">
        <v>74</v>
      </c>
      <c r="K2166" s="4" t="s">
        <v>30</v>
      </c>
      <c r="L2166" s="8">
        <v>2</v>
      </c>
      <c r="M2166" s="9" t="s">
        <v>83</v>
      </c>
      <c r="N2166" s="9" t="str">
        <f t="shared" si="17"/>
        <v>ER</v>
      </c>
      <c r="O2166" s="10">
        <v>6892.46</v>
      </c>
      <c r="P2166" s="10">
        <v>4617.95</v>
      </c>
      <c r="Q2166" s="11"/>
      <c r="R2166" s="13" t="str">
        <f>IF(Patient_Data!$L2166&lt;2,"Low Risk",IF(Patient_Data!$L2166&lt;4,"Moderate Risk","High Risk"))</f>
        <v>Moderate Risk</v>
      </c>
      <c r="S2166" s="12" t="str">
        <f>IF(Patient_Data[[#This Row],[Age]]&lt;=18,"Pediatric",IF(Patient_Data[[#This Row],[Age]]&lt;=64,"Adult","Geriatric"))</f>
        <v>Geriatric</v>
      </c>
    </row>
    <row r="2167" spans="1:19" ht="15.75" customHeight="1" x14ac:dyDescent="0.3">
      <c r="A2167" s="4" t="s">
        <v>4314</v>
      </c>
      <c r="B2167" s="5" t="str">
        <f>TEXT(Patient_Data!$E2167,"mmmm")</f>
        <v>October</v>
      </c>
      <c r="C2167" s="6" t="str">
        <f t="shared" si="16"/>
        <v>Oct</v>
      </c>
      <c r="D2167" s="6">
        <f>MONTH(Patient_Data!$E2167)</f>
        <v>10</v>
      </c>
      <c r="E2167" s="7">
        <v>45569</v>
      </c>
      <c r="F2167" s="55" t="str">
        <f>TEXT(Patient_Data[[#This Row],[Admission_Date]],"YYYY")</f>
        <v>2024</v>
      </c>
      <c r="G2167" s="8" t="s">
        <v>4315</v>
      </c>
      <c r="H2167" s="8" t="s">
        <v>49</v>
      </c>
      <c r="I2167" s="4" t="s">
        <v>29</v>
      </c>
      <c r="J2167" s="4">
        <v>17</v>
      </c>
      <c r="K2167" s="4" t="s">
        <v>54</v>
      </c>
      <c r="L2167" s="8">
        <v>1</v>
      </c>
      <c r="M2167" s="9" t="s">
        <v>79</v>
      </c>
      <c r="N2167" s="9" t="str">
        <f t="shared" si="17"/>
        <v>PD</v>
      </c>
      <c r="O2167" s="10">
        <v>2344.48</v>
      </c>
      <c r="P2167" s="10">
        <v>1662.74</v>
      </c>
      <c r="Q2167" s="11">
        <v>2.7</v>
      </c>
      <c r="R2167" s="13" t="str">
        <f>IF(Patient_Data!$L2167&lt;2,"Low Risk",IF(Patient_Data!$L2167&lt;4,"Moderate Risk","High Risk"))</f>
        <v>Low Risk</v>
      </c>
      <c r="S2167" s="12" t="str">
        <f>IF(Patient_Data[[#This Row],[Age]]&lt;=18,"Pediatric",IF(Patient_Data[[#This Row],[Age]]&lt;=64,"Adult","Geriatric"))</f>
        <v>Pediatric</v>
      </c>
    </row>
    <row r="2168" spans="1:19" ht="15.75" customHeight="1" x14ac:dyDescent="0.3">
      <c r="A2168" s="4" t="s">
        <v>4316</v>
      </c>
      <c r="B2168" s="5" t="str">
        <f>TEXT(Patient_Data!$E2168,"mmmm")</f>
        <v>August</v>
      </c>
      <c r="C2168" s="6" t="str">
        <f t="shared" si="16"/>
        <v>Aug</v>
      </c>
      <c r="D2168" s="6">
        <f>MONTH(Patient_Data!$E2168)</f>
        <v>8</v>
      </c>
      <c r="E2168" s="7">
        <v>45530</v>
      </c>
      <c r="F2168" s="55" t="str">
        <f>TEXT(Patient_Data[[#This Row],[Admission_Date]],"YYYY")</f>
        <v>2024</v>
      </c>
      <c r="G2168" s="8" t="s">
        <v>4317</v>
      </c>
      <c r="H2168" s="8" t="s">
        <v>28</v>
      </c>
      <c r="I2168" s="4" t="s">
        <v>35</v>
      </c>
      <c r="J2168" s="4">
        <v>74</v>
      </c>
      <c r="K2168" s="4" t="s">
        <v>45</v>
      </c>
      <c r="L2168" s="8">
        <v>5</v>
      </c>
      <c r="M2168" s="9" t="s">
        <v>39</v>
      </c>
      <c r="N2168" s="9" t="str">
        <f t="shared" si="17"/>
        <v>GM</v>
      </c>
      <c r="O2168" s="10">
        <v>3433.07</v>
      </c>
      <c r="P2168" s="10">
        <v>2562.14</v>
      </c>
      <c r="Q2168" s="11">
        <v>7</v>
      </c>
      <c r="R2168" s="13" t="str">
        <f>IF(Patient_Data!$L2168&lt;2,"Low Risk",IF(Patient_Data!$L2168&lt;4,"Moderate Risk","High Risk"))</f>
        <v>High Risk</v>
      </c>
      <c r="S2168" s="12" t="str">
        <f>IF(Patient_Data[[#This Row],[Age]]&lt;=18,"Pediatric",IF(Patient_Data[[#This Row],[Age]]&lt;=64,"Adult","Geriatric"))</f>
        <v>Geriatric</v>
      </c>
    </row>
    <row r="2169" spans="1:19" ht="15.75" customHeight="1" x14ac:dyDescent="0.3">
      <c r="A2169" s="4" t="s">
        <v>326</v>
      </c>
      <c r="B2169" s="5" t="str">
        <f>TEXT(Patient_Data!$E2169,"mmmm")</f>
        <v>April</v>
      </c>
      <c r="C2169" s="6" t="str">
        <f t="shared" si="16"/>
        <v>Apr</v>
      </c>
      <c r="D2169" s="6">
        <f>MONTH(Patient_Data!$E2169)</f>
        <v>4</v>
      </c>
      <c r="E2169" s="7">
        <v>45411</v>
      </c>
      <c r="F2169" s="55" t="str">
        <f>TEXT(Patient_Data[[#This Row],[Admission_Date]],"YYYY")</f>
        <v>2024</v>
      </c>
      <c r="G2169" s="8" t="s">
        <v>327</v>
      </c>
      <c r="H2169" s="8" t="s">
        <v>34</v>
      </c>
      <c r="I2169" s="4" t="s">
        <v>35</v>
      </c>
      <c r="J2169" s="4">
        <v>49</v>
      </c>
      <c r="K2169" s="4" t="s">
        <v>30</v>
      </c>
      <c r="L2169" s="8">
        <v>2</v>
      </c>
      <c r="M2169" s="9" t="s">
        <v>46</v>
      </c>
      <c r="N2169" s="9" t="str">
        <f t="shared" si="17"/>
        <v>Ortho</v>
      </c>
      <c r="O2169" s="10">
        <v>8559.2099999999991</v>
      </c>
      <c r="P2169" s="10">
        <v>6588.2</v>
      </c>
      <c r="Q2169" s="11">
        <v>10.4</v>
      </c>
      <c r="R2169" s="13" t="str">
        <f>IF(Patient_Data!$L2169&lt;2,"Low Risk",IF(Patient_Data!$L2169&lt;4,"Moderate Risk","High Risk"))</f>
        <v>Moderate Risk</v>
      </c>
      <c r="S2169" s="12" t="str">
        <f>IF(Patient_Data[[#This Row],[Age]]&lt;=18,"Pediatric",IF(Patient_Data[[#This Row],[Age]]&lt;=64,"Adult","Geriatric"))</f>
        <v>Adult</v>
      </c>
    </row>
    <row r="2170" spans="1:19" ht="15.75" customHeight="1" x14ac:dyDescent="0.3">
      <c r="A2170" s="4" t="s">
        <v>4318</v>
      </c>
      <c r="B2170" s="5" t="str">
        <f>TEXT(Patient_Data!$E2170,"mmmm")</f>
        <v>October</v>
      </c>
      <c r="C2170" s="6" t="str">
        <f t="shared" si="16"/>
        <v>Oct</v>
      </c>
      <c r="D2170" s="6">
        <f>MONTH(Patient_Data!$E2170)</f>
        <v>10</v>
      </c>
      <c r="E2170" s="7">
        <v>45939</v>
      </c>
      <c r="F2170" s="55" t="str">
        <f>TEXT(Patient_Data[[#This Row],[Admission_Date]],"YYYY")</f>
        <v>2025</v>
      </c>
      <c r="G2170" s="8" t="s">
        <v>4319</v>
      </c>
      <c r="H2170" s="8" t="s">
        <v>34</v>
      </c>
      <c r="I2170" s="4" t="s">
        <v>29</v>
      </c>
      <c r="J2170" s="4">
        <v>71</v>
      </c>
      <c r="K2170" s="4" t="s">
        <v>30</v>
      </c>
      <c r="L2170" s="8">
        <v>3</v>
      </c>
      <c r="M2170" s="9" t="s">
        <v>46</v>
      </c>
      <c r="N2170" s="9" t="str">
        <f t="shared" si="17"/>
        <v>Ortho</v>
      </c>
      <c r="O2170" s="10">
        <v>8328.09</v>
      </c>
      <c r="P2170" s="10">
        <v>4902.29</v>
      </c>
      <c r="Q2170" s="11">
        <v>9</v>
      </c>
      <c r="R2170" s="13" t="str">
        <f>IF(Patient_Data!$L2170&lt;2,"Low Risk",IF(Patient_Data!$L2170&lt;4,"Moderate Risk","High Risk"))</f>
        <v>Moderate Risk</v>
      </c>
      <c r="S2170" s="12" t="str">
        <f>IF(Patient_Data[[#This Row],[Age]]&lt;=18,"Pediatric",IF(Patient_Data[[#This Row],[Age]]&lt;=64,"Adult","Geriatric"))</f>
        <v>Geriatric</v>
      </c>
    </row>
    <row r="2171" spans="1:19" ht="15.75" customHeight="1" x14ac:dyDescent="0.3">
      <c r="A2171" s="4" t="s">
        <v>4320</v>
      </c>
      <c r="B2171" s="5" t="str">
        <f>TEXT(Patient_Data!$E2171,"mmmm")</f>
        <v>November</v>
      </c>
      <c r="C2171" s="6" t="str">
        <f t="shared" si="16"/>
        <v>Nov</v>
      </c>
      <c r="D2171" s="6">
        <f>MONTH(Patient_Data!$E2171)</f>
        <v>11</v>
      </c>
      <c r="E2171" s="7">
        <v>45250</v>
      </c>
      <c r="F2171" s="55" t="str">
        <f>TEXT(Patient_Data[[#This Row],[Admission_Date]],"YYYY")</f>
        <v>2023</v>
      </c>
      <c r="G2171" s="8" t="s">
        <v>4321</v>
      </c>
      <c r="H2171" s="8" t="s">
        <v>132</v>
      </c>
      <c r="I2171" s="4" t="s">
        <v>29</v>
      </c>
      <c r="J2171" s="4">
        <v>33</v>
      </c>
      <c r="K2171" s="4" t="s">
        <v>30</v>
      </c>
      <c r="L2171" s="8">
        <v>2</v>
      </c>
      <c r="M2171" s="9" t="s">
        <v>36</v>
      </c>
      <c r="N2171" s="9" t="str">
        <f t="shared" si="17"/>
        <v>Cardio</v>
      </c>
      <c r="O2171" s="10">
        <v>12368.97</v>
      </c>
      <c r="P2171" s="10">
        <v>7564.27</v>
      </c>
      <c r="Q2171" s="11">
        <v>2.4</v>
      </c>
      <c r="R2171" s="13" t="str">
        <f>IF(Patient_Data!$L2171&lt;2,"Low Risk",IF(Patient_Data!$L2171&lt;4,"Moderate Risk","High Risk"))</f>
        <v>Moderate Risk</v>
      </c>
      <c r="S2171" s="12" t="str">
        <f>IF(Patient_Data[[#This Row],[Age]]&lt;=18,"Pediatric",IF(Patient_Data[[#This Row],[Age]]&lt;=64,"Adult","Geriatric"))</f>
        <v>Adult</v>
      </c>
    </row>
    <row r="2172" spans="1:19" ht="15.75" customHeight="1" x14ac:dyDescent="0.3">
      <c r="A2172" s="4" t="s">
        <v>4322</v>
      </c>
      <c r="B2172" s="5" t="str">
        <f>TEXT(Patient_Data!$E2172,"mmmm")</f>
        <v>January</v>
      </c>
      <c r="C2172" s="6" t="str">
        <f t="shared" si="16"/>
        <v>Jan</v>
      </c>
      <c r="D2172" s="6">
        <f>MONTH(Patient_Data!$E2172)</f>
        <v>1</v>
      </c>
      <c r="E2172" s="7">
        <v>46044</v>
      </c>
      <c r="F2172" s="55" t="str">
        <f>TEXT(Patient_Data[[#This Row],[Admission_Date]],"YYYY")</f>
        <v>2026</v>
      </c>
      <c r="G2172" s="8" t="s">
        <v>4323</v>
      </c>
      <c r="H2172" s="8" t="s">
        <v>34</v>
      </c>
      <c r="I2172" s="4" t="s">
        <v>35</v>
      </c>
      <c r="J2172" s="4">
        <v>30</v>
      </c>
      <c r="K2172" s="4" t="s">
        <v>30</v>
      </c>
      <c r="L2172" s="8">
        <v>1</v>
      </c>
      <c r="M2172" s="9" t="s">
        <v>39</v>
      </c>
      <c r="N2172" s="9" t="str">
        <f t="shared" si="17"/>
        <v>GM</v>
      </c>
      <c r="O2172" s="10">
        <v>3283.97</v>
      </c>
      <c r="P2172" s="10">
        <v>2141.7399999999998</v>
      </c>
      <c r="Q2172" s="11">
        <v>5</v>
      </c>
      <c r="R2172" s="13" t="str">
        <f>IF(Patient_Data!$L2172&lt;2,"Low Risk",IF(Patient_Data!$L2172&lt;4,"Moderate Risk","High Risk"))</f>
        <v>Low Risk</v>
      </c>
      <c r="S2172" s="12" t="str">
        <f>IF(Patient_Data[[#This Row],[Age]]&lt;=18,"Pediatric",IF(Patient_Data[[#This Row],[Age]]&lt;=64,"Adult","Geriatric"))</f>
        <v>Adult</v>
      </c>
    </row>
    <row r="2173" spans="1:19" ht="15.75" customHeight="1" x14ac:dyDescent="0.3">
      <c r="A2173" s="4" t="s">
        <v>4324</v>
      </c>
      <c r="B2173" s="5" t="str">
        <f>TEXT(Patient_Data!$E2173,"mmmm")</f>
        <v>May</v>
      </c>
      <c r="C2173" s="6" t="str">
        <f t="shared" si="16"/>
        <v>May</v>
      </c>
      <c r="D2173" s="6">
        <f>MONTH(Patient_Data!$E2173)</f>
        <v>5</v>
      </c>
      <c r="E2173" s="7">
        <v>45433</v>
      </c>
      <c r="F2173" s="55" t="str">
        <f>TEXT(Patient_Data[[#This Row],[Admission_Date]],"YYYY")</f>
        <v>2024</v>
      </c>
      <c r="G2173" s="8" t="s">
        <v>4325</v>
      </c>
      <c r="H2173" s="8" t="s">
        <v>53</v>
      </c>
      <c r="I2173" s="4" t="s">
        <v>35</v>
      </c>
      <c r="J2173" s="4">
        <v>4</v>
      </c>
      <c r="K2173" s="4" t="s">
        <v>30</v>
      </c>
      <c r="L2173" s="8">
        <v>2</v>
      </c>
      <c r="M2173" s="9" t="s">
        <v>79</v>
      </c>
      <c r="N2173" s="9" t="str">
        <f t="shared" si="17"/>
        <v>PD</v>
      </c>
      <c r="O2173" s="10">
        <v>1210.67</v>
      </c>
      <c r="P2173" s="10">
        <v>815.95</v>
      </c>
      <c r="Q2173" s="11">
        <v>0.6</v>
      </c>
      <c r="R2173" s="13" t="str">
        <f>IF(Patient_Data!$L2173&lt;2,"Low Risk",IF(Patient_Data!$L2173&lt;4,"Moderate Risk","High Risk"))</f>
        <v>Moderate Risk</v>
      </c>
      <c r="S2173" s="12" t="str">
        <f>IF(Patient_Data[[#This Row],[Age]]&lt;=18,"Pediatric",IF(Patient_Data[[#This Row],[Age]]&lt;=64,"Adult","Geriatric"))</f>
        <v>Pediatric</v>
      </c>
    </row>
    <row r="2174" spans="1:19" ht="15.75" customHeight="1" x14ac:dyDescent="0.3">
      <c r="A2174" s="4" t="s">
        <v>4326</v>
      </c>
      <c r="B2174" s="5" t="str">
        <f>TEXT(Patient_Data!$E2174,"mmmm")</f>
        <v>July</v>
      </c>
      <c r="C2174" s="6" t="str">
        <f t="shared" si="16"/>
        <v>Jul</v>
      </c>
      <c r="D2174" s="6">
        <f>MONTH(Patient_Data!$E2174)</f>
        <v>7</v>
      </c>
      <c r="E2174" s="7">
        <v>45496</v>
      </c>
      <c r="F2174" s="55" t="str">
        <f>TEXT(Patient_Data[[#This Row],[Admission_Date]],"YYYY")</f>
        <v>2024</v>
      </c>
      <c r="G2174" s="8" t="s">
        <v>4327</v>
      </c>
      <c r="H2174" s="8" t="s">
        <v>98</v>
      </c>
      <c r="I2174" s="4" t="s">
        <v>35</v>
      </c>
      <c r="J2174" s="4">
        <v>88</v>
      </c>
      <c r="K2174" s="4" t="s">
        <v>45</v>
      </c>
      <c r="L2174" s="8">
        <v>5</v>
      </c>
      <c r="M2174" s="9" t="s">
        <v>72</v>
      </c>
      <c r="N2174" s="9" t="str">
        <f t="shared" si="17"/>
        <v>Surgery</v>
      </c>
      <c r="O2174" s="10">
        <v>24529.31</v>
      </c>
      <c r="P2174" s="10">
        <v>17254.52</v>
      </c>
      <c r="Q2174" s="11">
        <v>10.5</v>
      </c>
      <c r="R2174" s="13" t="str">
        <f>IF(Patient_Data!$L2174&lt;2,"Low Risk",IF(Patient_Data!$L2174&lt;4,"Moderate Risk","High Risk"))</f>
        <v>High Risk</v>
      </c>
      <c r="S2174" s="12" t="str">
        <f>IF(Patient_Data[[#This Row],[Age]]&lt;=18,"Pediatric",IF(Patient_Data[[#This Row],[Age]]&lt;=64,"Adult","Geriatric"))</f>
        <v>Geriatric</v>
      </c>
    </row>
    <row r="2175" spans="1:19" ht="15.75" customHeight="1" x14ac:dyDescent="0.3">
      <c r="A2175" s="4" t="s">
        <v>4328</v>
      </c>
      <c r="B2175" s="5" t="str">
        <f>TEXT(Patient_Data!$E2175,"mmmm")</f>
        <v>February</v>
      </c>
      <c r="C2175" s="6" t="str">
        <f t="shared" si="16"/>
        <v>Feb</v>
      </c>
      <c r="D2175" s="6">
        <f>MONTH(Patient_Data!$E2175)</f>
        <v>2</v>
      </c>
      <c r="E2175" s="7">
        <v>45689</v>
      </c>
      <c r="F2175" s="55" t="str">
        <f>TEXT(Patient_Data[[#This Row],[Admission_Date]],"YYYY")</f>
        <v>2025</v>
      </c>
      <c r="G2175" s="8" t="s">
        <v>4329</v>
      </c>
      <c r="H2175" s="8" t="s">
        <v>82</v>
      </c>
      <c r="I2175" s="4" t="s">
        <v>35</v>
      </c>
      <c r="J2175" s="4">
        <v>50</v>
      </c>
      <c r="K2175" s="4" t="s">
        <v>54</v>
      </c>
      <c r="L2175" s="8">
        <v>5</v>
      </c>
      <c r="M2175" s="9" t="s">
        <v>46</v>
      </c>
      <c r="N2175" s="9" t="str">
        <f t="shared" si="17"/>
        <v>Ortho</v>
      </c>
      <c r="O2175" s="10">
        <v>9854.9500000000007</v>
      </c>
      <c r="P2175" s="10">
        <v>7274.11</v>
      </c>
      <c r="Q2175" s="11">
        <v>10</v>
      </c>
      <c r="R2175" s="13" t="str">
        <f>IF(Patient_Data!$L2175&lt;2,"Low Risk",IF(Patient_Data!$L2175&lt;4,"Moderate Risk","High Risk"))</f>
        <v>High Risk</v>
      </c>
      <c r="S2175" s="12" t="str">
        <f>IF(Patient_Data[[#This Row],[Age]]&lt;=18,"Pediatric",IF(Patient_Data[[#This Row],[Age]]&lt;=64,"Adult","Geriatric"))</f>
        <v>Adult</v>
      </c>
    </row>
    <row r="2176" spans="1:19" ht="15.75" customHeight="1" x14ac:dyDescent="0.3">
      <c r="A2176" s="4" t="s">
        <v>4330</v>
      </c>
      <c r="B2176" s="5" t="str">
        <f>TEXT(Patient_Data!$E2176,"mmmm")</f>
        <v>April</v>
      </c>
      <c r="C2176" s="6" t="str">
        <f t="shared" si="16"/>
        <v>Apr</v>
      </c>
      <c r="D2176" s="6">
        <f>MONTH(Patient_Data!$E2176)</f>
        <v>4</v>
      </c>
      <c r="E2176" s="7">
        <v>46122</v>
      </c>
      <c r="F2176" s="55" t="str">
        <f>TEXT(Patient_Data[[#This Row],[Admission_Date]],"YYYY")</f>
        <v>2026</v>
      </c>
      <c r="G2176" s="8" t="s">
        <v>4331</v>
      </c>
      <c r="H2176" s="8" t="s">
        <v>82</v>
      </c>
      <c r="I2176" s="4" t="s">
        <v>29</v>
      </c>
      <c r="J2176" s="4">
        <v>45</v>
      </c>
      <c r="K2176" s="4" t="s">
        <v>54</v>
      </c>
      <c r="L2176" s="8">
        <v>3</v>
      </c>
      <c r="M2176" s="9" t="s">
        <v>36</v>
      </c>
      <c r="N2176" s="9" t="str">
        <f t="shared" si="17"/>
        <v>Cardio</v>
      </c>
      <c r="O2176" s="10">
        <v>12700.87</v>
      </c>
      <c r="P2176" s="10">
        <v>9720.66</v>
      </c>
      <c r="Q2176" s="11">
        <v>8.5</v>
      </c>
      <c r="R2176" s="13" t="str">
        <f>IF(Patient_Data!$L2176&lt;2,"Low Risk",IF(Patient_Data!$L2176&lt;4,"Moderate Risk","High Risk"))</f>
        <v>Moderate Risk</v>
      </c>
      <c r="S2176" s="12" t="str">
        <f>IF(Patient_Data[[#This Row],[Age]]&lt;=18,"Pediatric",IF(Patient_Data[[#This Row],[Age]]&lt;=64,"Adult","Geriatric"))</f>
        <v>Adult</v>
      </c>
    </row>
    <row r="2177" spans="1:19" ht="15.75" customHeight="1" x14ac:dyDescent="0.3">
      <c r="A2177" s="4" t="s">
        <v>4332</v>
      </c>
      <c r="B2177" s="5" t="str">
        <f>TEXT(Patient_Data!$E2177,"mmmm")</f>
        <v>July</v>
      </c>
      <c r="C2177" s="6" t="str">
        <f t="shared" si="16"/>
        <v>Jul</v>
      </c>
      <c r="D2177" s="6">
        <f>MONTH(Patient_Data!$E2177)</f>
        <v>7</v>
      </c>
      <c r="E2177" s="7">
        <v>45484</v>
      </c>
      <c r="F2177" s="55" t="str">
        <f>TEXT(Patient_Data[[#This Row],[Admission_Date]],"YYYY")</f>
        <v>2024</v>
      </c>
      <c r="G2177" s="8" t="s">
        <v>4333</v>
      </c>
      <c r="H2177" s="8" t="s">
        <v>28</v>
      </c>
      <c r="I2177" s="4" t="s">
        <v>29</v>
      </c>
      <c r="J2177" s="4">
        <v>81</v>
      </c>
      <c r="K2177" s="4" t="s">
        <v>30</v>
      </c>
      <c r="L2177" s="8">
        <v>5</v>
      </c>
      <c r="M2177" s="9" t="s">
        <v>72</v>
      </c>
      <c r="N2177" s="9" t="str">
        <f t="shared" si="17"/>
        <v>Surgery</v>
      </c>
      <c r="O2177" s="10">
        <v>21750.09</v>
      </c>
      <c r="P2177" s="10">
        <v>12682.25</v>
      </c>
      <c r="Q2177" s="11">
        <v>8.4</v>
      </c>
      <c r="R2177" s="13" t="str">
        <f>IF(Patient_Data!$L2177&lt;2,"Low Risk",IF(Patient_Data!$L2177&lt;4,"Moderate Risk","High Risk"))</f>
        <v>High Risk</v>
      </c>
      <c r="S2177" s="12" t="str">
        <f>IF(Patient_Data[[#This Row],[Age]]&lt;=18,"Pediatric",IF(Patient_Data[[#This Row],[Age]]&lt;=64,"Adult","Geriatric"))</f>
        <v>Geriatric</v>
      </c>
    </row>
    <row r="2178" spans="1:19" ht="15.75" customHeight="1" x14ac:dyDescent="0.3">
      <c r="A2178" s="4" t="s">
        <v>4334</v>
      </c>
      <c r="B2178" s="5" t="str">
        <f>TEXT(Patient_Data!$E2178,"mmmm")</f>
        <v>June</v>
      </c>
      <c r="C2178" s="6" t="str">
        <f t="shared" si="16"/>
        <v>Jun</v>
      </c>
      <c r="D2178" s="6">
        <f>MONTH(Patient_Data!$E2178)</f>
        <v>6</v>
      </c>
      <c r="E2178" s="7">
        <v>45827</v>
      </c>
      <c r="F2178" s="55" t="str">
        <f>TEXT(Patient_Data[[#This Row],[Admission_Date]],"YYYY")</f>
        <v>2025</v>
      </c>
      <c r="G2178" s="8" t="s">
        <v>4335</v>
      </c>
      <c r="H2178" s="8" t="s">
        <v>53</v>
      </c>
      <c r="I2178" s="4" t="s">
        <v>35</v>
      </c>
      <c r="J2178" s="4">
        <v>85</v>
      </c>
      <c r="K2178" s="4" t="s">
        <v>30</v>
      </c>
      <c r="L2178" s="8">
        <v>5</v>
      </c>
      <c r="M2178" s="9" t="s">
        <v>72</v>
      </c>
      <c r="N2178" s="9" t="str">
        <f t="shared" si="17"/>
        <v>Surgery</v>
      </c>
      <c r="O2178" s="10">
        <v>24326.67</v>
      </c>
      <c r="P2178" s="10">
        <v>14888.07</v>
      </c>
      <c r="Q2178" s="11">
        <v>6.1</v>
      </c>
      <c r="R2178" s="13" t="str">
        <f>IF(Patient_Data!$L2178&lt;2,"Low Risk",IF(Patient_Data!$L2178&lt;4,"Moderate Risk","High Risk"))</f>
        <v>High Risk</v>
      </c>
      <c r="S2178" s="12" t="str">
        <f>IF(Patient_Data[[#This Row],[Age]]&lt;=18,"Pediatric",IF(Patient_Data[[#This Row],[Age]]&lt;=64,"Adult","Geriatric"))</f>
        <v>Geriatric</v>
      </c>
    </row>
    <row r="2179" spans="1:19" ht="15.75" customHeight="1" x14ac:dyDescent="0.3">
      <c r="A2179" s="4" t="s">
        <v>4336</v>
      </c>
      <c r="B2179" s="5" t="str">
        <f>TEXT(Patient_Data!$E2179,"mmmm")</f>
        <v>December</v>
      </c>
      <c r="C2179" s="6" t="str">
        <f t="shared" si="16"/>
        <v>Dec</v>
      </c>
      <c r="D2179" s="6">
        <f>MONTH(Patient_Data!$E2179)</f>
        <v>12</v>
      </c>
      <c r="E2179" s="7">
        <v>45271</v>
      </c>
      <c r="F2179" s="55" t="str">
        <f>TEXT(Patient_Data[[#This Row],[Admission_Date]],"YYYY")</f>
        <v>2023</v>
      </c>
      <c r="G2179" s="8" t="s">
        <v>4337</v>
      </c>
      <c r="H2179" s="8" t="s">
        <v>28</v>
      </c>
      <c r="I2179" s="4" t="s">
        <v>35</v>
      </c>
      <c r="J2179" s="4">
        <v>28</v>
      </c>
      <c r="K2179" s="4" t="s">
        <v>30</v>
      </c>
      <c r="L2179" s="8">
        <v>2</v>
      </c>
      <c r="M2179" s="9" t="s">
        <v>36</v>
      </c>
      <c r="N2179" s="9" t="str">
        <f t="shared" si="17"/>
        <v>Cardio</v>
      </c>
      <c r="O2179" s="10">
        <v>8361.7999999999993</v>
      </c>
      <c r="P2179" s="10">
        <v>5381.15</v>
      </c>
      <c r="Q2179" s="11">
        <v>3.7</v>
      </c>
      <c r="R2179" s="13" t="str">
        <f>IF(Patient_Data!$L2179&lt;2,"Low Risk",IF(Patient_Data!$L2179&lt;4,"Moderate Risk","High Risk"))</f>
        <v>Moderate Risk</v>
      </c>
      <c r="S2179" s="12" t="str">
        <f>IF(Patient_Data[[#This Row],[Age]]&lt;=18,"Pediatric",IF(Patient_Data[[#This Row],[Age]]&lt;=64,"Adult","Geriatric"))</f>
        <v>Adult</v>
      </c>
    </row>
    <row r="2180" spans="1:19" ht="15.75" customHeight="1" x14ac:dyDescent="0.3">
      <c r="A2180" s="4" t="s">
        <v>4338</v>
      </c>
      <c r="B2180" s="5" t="str">
        <f>TEXT(Patient_Data!$E2180,"mmmm")</f>
        <v>May</v>
      </c>
      <c r="C2180" s="6" t="str">
        <f t="shared" si="16"/>
        <v>May</v>
      </c>
      <c r="D2180" s="6">
        <f>MONTH(Patient_Data!$E2180)</f>
        <v>5</v>
      </c>
      <c r="E2180" s="7">
        <v>45783</v>
      </c>
      <c r="F2180" s="55" t="str">
        <f>TEXT(Patient_Data[[#This Row],[Admission_Date]],"YYYY")</f>
        <v>2025</v>
      </c>
      <c r="G2180" s="8" t="s">
        <v>4339</v>
      </c>
      <c r="H2180" s="8" t="s">
        <v>82</v>
      </c>
      <c r="I2180" s="4" t="s">
        <v>29</v>
      </c>
      <c r="J2180" s="4">
        <v>60</v>
      </c>
      <c r="K2180" s="4" t="s">
        <v>45</v>
      </c>
      <c r="L2180" s="8">
        <v>5</v>
      </c>
      <c r="M2180" s="9" t="s">
        <v>50</v>
      </c>
      <c r="N2180" s="9" t="str">
        <f t="shared" si="17"/>
        <v>ICU</v>
      </c>
      <c r="O2180" s="10">
        <v>11574.63</v>
      </c>
      <c r="P2180" s="10">
        <v>7822.2</v>
      </c>
      <c r="Q2180" s="11">
        <v>8.4</v>
      </c>
      <c r="R2180" s="13" t="str">
        <f>IF(Patient_Data!$L2180&lt;2,"Low Risk",IF(Patient_Data!$L2180&lt;4,"Moderate Risk","High Risk"))</f>
        <v>High Risk</v>
      </c>
      <c r="S2180" s="12" t="str">
        <f>IF(Patient_Data[[#This Row],[Age]]&lt;=18,"Pediatric",IF(Patient_Data[[#This Row],[Age]]&lt;=64,"Adult","Geriatric"))</f>
        <v>Adult</v>
      </c>
    </row>
    <row r="2181" spans="1:19" ht="15.75" customHeight="1" x14ac:dyDescent="0.3">
      <c r="A2181" s="4" t="s">
        <v>4340</v>
      </c>
      <c r="B2181" s="5" t="str">
        <f>TEXT(Patient_Data!$E2181,"mmmm")</f>
        <v>May</v>
      </c>
      <c r="C2181" s="6" t="str">
        <f t="shared" si="16"/>
        <v>May</v>
      </c>
      <c r="D2181" s="6">
        <f>MONTH(Patient_Data!$E2181)</f>
        <v>5</v>
      </c>
      <c r="E2181" s="7">
        <v>46171</v>
      </c>
      <c r="F2181" s="55" t="str">
        <f>TEXT(Patient_Data[[#This Row],[Admission_Date]],"YYYY")</f>
        <v>2026</v>
      </c>
      <c r="G2181" s="8" t="s">
        <v>4341</v>
      </c>
      <c r="H2181" s="8" t="s">
        <v>82</v>
      </c>
      <c r="I2181" s="4" t="s">
        <v>29</v>
      </c>
      <c r="J2181" s="4">
        <v>43</v>
      </c>
      <c r="K2181" s="4" t="s">
        <v>30</v>
      </c>
      <c r="L2181" s="8">
        <v>1</v>
      </c>
      <c r="M2181" s="9" t="s">
        <v>36</v>
      </c>
      <c r="N2181" s="9" t="str">
        <f t="shared" si="17"/>
        <v>Cardio</v>
      </c>
      <c r="O2181" s="10">
        <v>9235.9699999999993</v>
      </c>
      <c r="P2181" s="10">
        <v>6543.58</v>
      </c>
      <c r="Q2181" s="11">
        <v>9.8000000000000007</v>
      </c>
      <c r="R2181" s="13" t="str">
        <f>IF(Patient_Data!$L2181&lt;2,"Low Risk",IF(Patient_Data!$L2181&lt;4,"Moderate Risk","High Risk"))</f>
        <v>Low Risk</v>
      </c>
      <c r="S2181" s="12" t="str">
        <f>IF(Patient_Data[[#This Row],[Age]]&lt;=18,"Pediatric",IF(Patient_Data[[#This Row],[Age]]&lt;=64,"Adult","Geriatric"))</f>
        <v>Adult</v>
      </c>
    </row>
    <row r="2182" spans="1:19" ht="15.75" customHeight="1" x14ac:dyDescent="0.3">
      <c r="A2182" s="4" t="s">
        <v>4342</v>
      </c>
      <c r="B2182" s="5" t="str">
        <f>TEXT(Patient_Data!$E2182,"mmmm")</f>
        <v>August</v>
      </c>
      <c r="C2182" s="6" t="str">
        <f t="shared" si="16"/>
        <v>Aug</v>
      </c>
      <c r="D2182" s="6">
        <f>MONTH(Patient_Data!$E2182)</f>
        <v>8</v>
      </c>
      <c r="E2182" s="7">
        <v>45900</v>
      </c>
      <c r="F2182" s="55" t="str">
        <f>TEXT(Patient_Data[[#This Row],[Admission_Date]],"YYYY")</f>
        <v>2025</v>
      </c>
      <c r="G2182" s="8" t="s">
        <v>3559</v>
      </c>
      <c r="H2182" s="8" t="s">
        <v>53</v>
      </c>
      <c r="I2182" s="4" t="s">
        <v>29</v>
      </c>
      <c r="J2182" s="4">
        <v>65</v>
      </c>
      <c r="K2182" s="4" t="s">
        <v>54</v>
      </c>
      <c r="L2182" s="8">
        <v>3</v>
      </c>
      <c r="M2182" s="9" t="s">
        <v>39</v>
      </c>
      <c r="N2182" s="9" t="str">
        <f t="shared" si="17"/>
        <v>GM</v>
      </c>
      <c r="O2182" s="10">
        <v>4294.29</v>
      </c>
      <c r="P2182" s="10">
        <v>3196.43</v>
      </c>
      <c r="Q2182" s="11">
        <v>7.7</v>
      </c>
      <c r="R2182" s="13" t="str">
        <f>IF(Patient_Data!$L2182&lt;2,"Low Risk",IF(Patient_Data!$L2182&lt;4,"Moderate Risk","High Risk"))</f>
        <v>Moderate Risk</v>
      </c>
      <c r="S2182" s="12" t="str">
        <f>IF(Patient_Data[[#This Row],[Age]]&lt;=18,"Pediatric",IF(Patient_Data[[#This Row],[Age]]&lt;=64,"Adult","Geriatric"))</f>
        <v>Geriatric</v>
      </c>
    </row>
    <row r="2183" spans="1:19" ht="15.75" customHeight="1" x14ac:dyDescent="0.3">
      <c r="A2183" s="4" t="s">
        <v>4343</v>
      </c>
      <c r="B2183" s="5" t="str">
        <f>TEXT(Patient_Data!$E2183,"mmmm")</f>
        <v>June</v>
      </c>
      <c r="C2183" s="6" t="str">
        <f t="shared" si="16"/>
        <v>Jun</v>
      </c>
      <c r="D2183" s="6">
        <f>MONTH(Patient_Data!$E2183)</f>
        <v>6</v>
      </c>
      <c r="E2183" s="7">
        <v>45817</v>
      </c>
      <c r="F2183" s="55" t="str">
        <f>TEXT(Patient_Data[[#This Row],[Admission_Date]],"YYYY")</f>
        <v>2025</v>
      </c>
      <c r="G2183" s="8" t="s">
        <v>4344</v>
      </c>
      <c r="H2183" s="8" t="s">
        <v>28</v>
      </c>
      <c r="I2183" s="4" t="s">
        <v>35</v>
      </c>
      <c r="J2183" s="4">
        <v>53</v>
      </c>
      <c r="K2183" s="4" t="s">
        <v>54</v>
      </c>
      <c r="L2183" s="8">
        <v>1</v>
      </c>
      <c r="M2183" s="9" t="s">
        <v>39</v>
      </c>
      <c r="N2183" s="9" t="str">
        <f t="shared" si="17"/>
        <v>GM</v>
      </c>
      <c r="O2183" s="10">
        <v>3188.19</v>
      </c>
      <c r="P2183" s="10">
        <v>2487.02</v>
      </c>
      <c r="Q2183" s="11">
        <v>8</v>
      </c>
      <c r="R2183" s="13" t="str">
        <f>IF(Patient_Data!$L2183&lt;2,"Low Risk",IF(Patient_Data!$L2183&lt;4,"Moderate Risk","High Risk"))</f>
        <v>Low Risk</v>
      </c>
      <c r="S2183" s="12" t="str">
        <f>IF(Patient_Data[[#This Row],[Age]]&lt;=18,"Pediatric",IF(Patient_Data[[#This Row],[Age]]&lt;=64,"Adult","Geriatric"))</f>
        <v>Adult</v>
      </c>
    </row>
    <row r="2184" spans="1:19" ht="15.75" customHeight="1" x14ac:dyDescent="0.3">
      <c r="A2184" s="4" t="s">
        <v>4345</v>
      </c>
      <c r="B2184" s="5" t="str">
        <f>TEXT(Patient_Data!$E2184,"mmmm")</f>
        <v>November</v>
      </c>
      <c r="C2184" s="6" t="str">
        <f t="shared" si="16"/>
        <v>Nov</v>
      </c>
      <c r="D2184" s="6">
        <f>MONTH(Patient_Data!$E2184)</f>
        <v>11</v>
      </c>
      <c r="E2184" s="7">
        <v>45617</v>
      </c>
      <c r="F2184" s="55" t="str">
        <f>TEXT(Patient_Data[[#This Row],[Admission_Date]],"YYYY")</f>
        <v>2024</v>
      </c>
      <c r="G2184" s="8" t="s">
        <v>4346</v>
      </c>
      <c r="H2184" s="8" t="s">
        <v>49</v>
      </c>
      <c r="I2184" s="4" t="s">
        <v>35</v>
      </c>
      <c r="J2184" s="4">
        <v>38</v>
      </c>
      <c r="K2184" s="4" t="s">
        <v>54</v>
      </c>
      <c r="L2184" s="8">
        <v>4</v>
      </c>
      <c r="M2184" s="9" t="s">
        <v>31</v>
      </c>
      <c r="N2184" s="9" t="str">
        <f t="shared" si="17"/>
        <v>Neuro</v>
      </c>
      <c r="O2184" s="10">
        <v>8017.9</v>
      </c>
      <c r="P2184" s="10">
        <v>4694.38</v>
      </c>
      <c r="Q2184" s="11">
        <v>5.5</v>
      </c>
      <c r="R2184" s="13" t="str">
        <f>IF(Patient_Data!$L2184&lt;2,"Low Risk",IF(Patient_Data!$L2184&lt;4,"Moderate Risk","High Risk"))</f>
        <v>High Risk</v>
      </c>
      <c r="S2184" s="12" t="str">
        <f>IF(Patient_Data[[#This Row],[Age]]&lt;=18,"Pediatric",IF(Patient_Data[[#This Row],[Age]]&lt;=64,"Adult","Geriatric"))</f>
        <v>Adult</v>
      </c>
    </row>
    <row r="2185" spans="1:19" ht="15.75" customHeight="1" x14ac:dyDescent="0.3">
      <c r="A2185" s="4" t="s">
        <v>4347</v>
      </c>
      <c r="B2185" s="5" t="str">
        <f>TEXT(Patient_Data!$E2185,"mmmm")</f>
        <v>December</v>
      </c>
      <c r="C2185" s="6" t="str">
        <f t="shared" si="16"/>
        <v>Dec</v>
      </c>
      <c r="D2185" s="6">
        <f>MONTH(Patient_Data!$E2185)</f>
        <v>12</v>
      </c>
      <c r="E2185" s="7">
        <v>45993</v>
      </c>
      <c r="F2185" s="55" t="str">
        <f>TEXT(Patient_Data[[#This Row],[Admission_Date]],"YYYY")</f>
        <v>2025</v>
      </c>
      <c r="G2185" s="8" t="s">
        <v>4348</v>
      </c>
      <c r="H2185" s="8" t="s">
        <v>28</v>
      </c>
      <c r="I2185" s="4" t="s">
        <v>29</v>
      </c>
      <c r="J2185" s="4">
        <v>54</v>
      </c>
      <c r="K2185" s="4" t="s">
        <v>54</v>
      </c>
      <c r="L2185" s="8">
        <v>5</v>
      </c>
      <c r="M2185" s="9" t="s">
        <v>72</v>
      </c>
      <c r="N2185" s="9" t="str">
        <f t="shared" si="17"/>
        <v>Surgery</v>
      </c>
      <c r="O2185" s="10">
        <v>24539.39</v>
      </c>
      <c r="P2185" s="10">
        <v>15012.23</v>
      </c>
      <c r="Q2185" s="11">
        <v>5.4</v>
      </c>
      <c r="R2185" s="13" t="str">
        <f>IF(Patient_Data!$L2185&lt;2,"Low Risk",IF(Patient_Data!$L2185&lt;4,"Moderate Risk","High Risk"))</f>
        <v>High Risk</v>
      </c>
      <c r="S2185" s="12" t="str">
        <f>IF(Patient_Data[[#This Row],[Age]]&lt;=18,"Pediatric",IF(Patient_Data[[#This Row],[Age]]&lt;=64,"Adult","Geriatric"))</f>
        <v>Adult</v>
      </c>
    </row>
    <row r="2186" spans="1:19" ht="15.75" customHeight="1" x14ac:dyDescent="0.3">
      <c r="A2186" s="4" t="s">
        <v>4349</v>
      </c>
      <c r="B2186" s="5" t="str">
        <f>TEXT(Patient_Data!$E2186,"mmmm")</f>
        <v>March</v>
      </c>
      <c r="C2186" s="6" t="str">
        <f t="shared" si="16"/>
        <v>Mar</v>
      </c>
      <c r="D2186" s="6">
        <f>MONTH(Patient_Data!$E2186)</f>
        <v>3</v>
      </c>
      <c r="E2186" s="7">
        <v>45355</v>
      </c>
      <c r="F2186" s="55" t="str">
        <f>TEXT(Patient_Data[[#This Row],[Admission_Date]],"YYYY")</f>
        <v>2024</v>
      </c>
      <c r="G2186" s="8" t="s">
        <v>4350</v>
      </c>
      <c r="H2186" s="8" t="s">
        <v>132</v>
      </c>
      <c r="I2186" s="4" t="s">
        <v>35</v>
      </c>
      <c r="J2186" s="4">
        <v>79</v>
      </c>
      <c r="K2186" s="4" t="s">
        <v>30</v>
      </c>
      <c r="L2186" s="8">
        <v>2</v>
      </c>
      <c r="M2186" s="9" t="s">
        <v>36</v>
      </c>
      <c r="N2186" s="9" t="str">
        <f t="shared" si="17"/>
        <v>Cardio</v>
      </c>
      <c r="O2186" s="10">
        <v>12113.4</v>
      </c>
      <c r="P2186" s="10">
        <v>7792.58</v>
      </c>
      <c r="Q2186" s="11">
        <v>5</v>
      </c>
      <c r="R2186" s="13" t="str">
        <f>IF(Patient_Data!$L2186&lt;2,"Low Risk",IF(Patient_Data!$L2186&lt;4,"Moderate Risk","High Risk"))</f>
        <v>Moderate Risk</v>
      </c>
      <c r="S2186" s="12" t="str">
        <f>IF(Patient_Data[[#This Row],[Age]]&lt;=18,"Pediatric",IF(Patient_Data[[#This Row],[Age]]&lt;=64,"Adult","Geriatric"))</f>
        <v>Geriatric</v>
      </c>
    </row>
    <row r="2187" spans="1:19" ht="15.75" customHeight="1" x14ac:dyDescent="0.3">
      <c r="A2187" s="4" t="s">
        <v>4351</v>
      </c>
      <c r="B2187" s="5" t="str">
        <f>TEXT(Patient_Data!$E2187,"mmmm")</f>
        <v>August</v>
      </c>
      <c r="C2187" s="6" t="str">
        <f t="shared" si="16"/>
        <v>Aug</v>
      </c>
      <c r="D2187" s="6">
        <f>MONTH(Patient_Data!$E2187)</f>
        <v>8</v>
      </c>
      <c r="E2187" s="7">
        <v>45882</v>
      </c>
      <c r="F2187" s="55" t="str">
        <f>TEXT(Patient_Data[[#This Row],[Admission_Date]],"YYYY")</f>
        <v>2025</v>
      </c>
      <c r="G2187" s="8" t="s">
        <v>4352</v>
      </c>
      <c r="H2187" s="8" t="s">
        <v>82</v>
      </c>
      <c r="I2187" s="4" t="s">
        <v>29</v>
      </c>
      <c r="J2187" s="4">
        <v>50</v>
      </c>
      <c r="K2187" s="4" t="s">
        <v>30</v>
      </c>
      <c r="L2187" s="8">
        <v>1</v>
      </c>
      <c r="M2187" s="9" t="s">
        <v>36</v>
      </c>
      <c r="N2187" s="9" t="str">
        <f t="shared" si="17"/>
        <v>Cardio</v>
      </c>
      <c r="O2187" s="10">
        <v>7482.27</v>
      </c>
      <c r="P2187" s="10">
        <v>5062.72</v>
      </c>
      <c r="Q2187" s="11">
        <v>6.2</v>
      </c>
      <c r="R2187" s="13" t="str">
        <f>IF(Patient_Data!$L2187&lt;2,"Low Risk",IF(Patient_Data!$L2187&lt;4,"Moderate Risk","High Risk"))</f>
        <v>Low Risk</v>
      </c>
      <c r="S2187" s="12" t="str">
        <f>IF(Patient_Data[[#This Row],[Age]]&lt;=18,"Pediatric",IF(Patient_Data[[#This Row],[Age]]&lt;=64,"Adult","Geriatric"))</f>
        <v>Adult</v>
      </c>
    </row>
    <row r="2188" spans="1:19" ht="15.75" customHeight="1" x14ac:dyDescent="0.3">
      <c r="A2188" s="4" t="s">
        <v>4353</v>
      </c>
      <c r="B2188" s="5" t="str">
        <f>TEXT(Patient_Data!$E2188,"mmmm")</f>
        <v>July</v>
      </c>
      <c r="C2188" s="6" t="str">
        <f t="shared" si="16"/>
        <v>Jul</v>
      </c>
      <c r="D2188" s="6">
        <f>MONTH(Patient_Data!$E2188)</f>
        <v>7</v>
      </c>
      <c r="E2188" s="7">
        <v>45846</v>
      </c>
      <c r="F2188" s="55" t="str">
        <f>TEXT(Patient_Data[[#This Row],[Admission_Date]],"YYYY")</f>
        <v>2025</v>
      </c>
      <c r="G2188" s="8" t="s">
        <v>4354</v>
      </c>
      <c r="H2188" s="8" t="s">
        <v>82</v>
      </c>
      <c r="I2188" s="4" t="s">
        <v>35</v>
      </c>
      <c r="J2188" s="4">
        <v>11</v>
      </c>
      <c r="K2188" s="4" t="s">
        <v>30</v>
      </c>
      <c r="L2188" s="8">
        <v>1</v>
      </c>
      <c r="M2188" s="9" t="s">
        <v>79</v>
      </c>
      <c r="N2188" s="9" t="str">
        <f t="shared" si="17"/>
        <v>PD</v>
      </c>
      <c r="O2188" s="10">
        <v>1600.97</v>
      </c>
      <c r="P2188" s="10">
        <v>1120.68</v>
      </c>
      <c r="Q2188" s="11"/>
      <c r="R2188" s="13" t="str">
        <f>IF(Patient_Data!$L2188&lt;2,"Low Risk",IF(Patient_Data!$L2188&lt;4,"Moderate Risk","High Risk"))</f>
        <v>Low Risk</v>
      </c>
      <c r="S2188" s="12" t="str">
        <f>IF(Patient_Data[[#This Row],[Age]]&lt;=18,"Pediatric",IF(Patient_Data[[#This Row],[Age]]&lt;=64,"Adult","Geriatric"))</f>
        <v>Pediatric</v>
      </c>
    </row>
    <row r="2189" spans="1:19" ht="15.75" customHeight="1" x14ac:dyDescent="0.3">
      <c r="A2189" s="4" t="s">
        <v>4355</v>
      </c>
      <c r="B2189" s="5" t="str">
        <f>TEXT(Patient_Data!$E2189,"mmmm")</f>
        <v>July</v>
      </c>
      <c r="C2189" s="6" t="str">
        <f t="shared" si="16"/>
        <v>Jul</v>
      </c>
      <c r="D2189" s="6">
        <f>MONTH(Patient_Data!$E2189)</f>
        <v>7</v>
      </c>
      <c r="E2189" s="7">
        <v>45845</v>
      </c>
      <c r="F2189" s="55" t="str">
        <f>TEXT(Patient_Data[[#This Row],[Admission_Date]],"YYYY")</f>
        <v>2025</v>
      </c>
      <c r="G2189" s="8" t="s">
        <v>4356</v>
      </c>
      <c r="H2189" s="8" t="s">
        <v>34</v>
      </c>
      <c r="I2189" s="4" t="s">
        <v>35</v>
      </c>
      <c r="J2189" s="4">
        <v>27</v>
      </c>
      <c r="K2189" s="4" t="s">
        <v>54</v>
      </c>
      <c r="L2189" s="8">
        <v>3</v>
      </c>
      <c r="M2189" s="9" t="s">
        <v>72</v>
      </c>
      <c r="N2189" s="9" t="str">
        <f t="shared" si="17"/>
        <v>Surgery</v>
      </c>
      <c r="O2189" s="10">
        <v>10074</v>
      </c>
      <c r="P2189" s="10">
        <v>7383.62</v>
      </c>
      <c r="Q2189" s="11">
        <v>3.7</v>
      </c>
      <c r="R2189" s="13" t="str">
        <f>IF(Patient_Data!$L2189&lt;2,"Low Risk",IF(Patient_Data!$L2189&lt;4,"Moderate Risk","High Risk"))</f>
        <v>Moderate Risk</v>
      </c>
      <c r="S2189" s="12" t="str">
        <f>IF(Patient_Data[[#This Row],[Age]]&lt;=18,"Pediatric",IF(Patient_Data[[#This Row],[Age]]&lt;=64,"Adult","Geriatric"))</f>
        <v>Adult</v>
      </c>
    </row>
    <row r="2190" spans="1:19" ht="15.75" customHeight="1" x14ac:dyDescent="0.3">
      <c r="A2190" s="4" t="s">
        <v>4357</v>
      </c>
      <c r="B2190" s="5" t="str">
        <f>TEXT(Patient_Data!$E2190,"mmmm")</f>
        <v>September</v>
      </c>
      <c r="C2190" s="6" t="str">
        <f t="shared" si="16"/>
        <v>Sep</v>
      </c>
      <c r="D2190" s="6">
        <f>MONTH(Patient_Data!$E2190)</f>
        <v>9</v>
      </c>
      <c r="E2190" s="7">
        <v>45905</v>
      </c>
      <c r="F2190" s="55" t="str">
        <f>TEXT(Patient_Data[[#This Row],[Admission_Date]],"YYYY")</f>
        <v>2025</v>
      </c>
      <c r="G2190" s="8" t="s">
        <v>4358</v>
      </c>
      <c r="H2190" s="8" t="s">
        <v>132</v>
      </c>
      <c r="I2190" s="4" t="s">
        <v>35</v>
      </c>
      <c r="J2190" s="4">
        <v>81</v>
      </c>
      <c r="K2190" s="4" t="s">
        <v>54</v>
      </c>
      <c r="L2190" s="8">
        <v>2</v>
      </c>
      <c r="M2190" s="9" t="s">
        <v>83</v>
      </c>
      <c r="N2190" s="9" t="str">
        <f t="shared" si="17"/>
        <v>ER</v>
      </c>
      <c r="O2190" s="10">
        <v>7526.85</v>
      </c>
      <c r="P2190" s="10">
        <v>5808.41</v>
      </c>
      <c r="Q2190" s="11">
        <v>11</v>
      </c>
      <c r="R2190" s="13" t="str">
        <f>IF(Patient_Data!$L2190&lt;2,"Low Risk",IF(Patient_Data!$L2190&lt;4,"Moderate Risk","High Risk"))</f>
        <v>Moderate Risk</v>
      </c>
      <c r="S2190" s="12" t="str">
        <f>IF(Patient_Data[[#This Row],[Age]]&lt;=18,"Pediatric",IF(Patient_Data[[#This Row],[Age]]&lt;=64,"Adult","Geriatric"))</f>
        <v>Geriatric</v>
      </c>
    </row>
    <row r="2191" spans="1:19" ht="15.75" customHeight="1" x14ac:dyDescent="0.3">
      <c r="A2191" s="4" t="s">
        <v>4359</v>
      </c>
      <c r="B2191" s="5" t="str">
        <f>TEXT(Patient_Data!$E2191,"mmmm")</f>
        <v>April</v>
      </c>
      <c r="C2191" s="6" t="str">
        <f t="shared" si="16"/>
        <v>Apr</v>
      </c>
      <c r="D2191" s="6">
        <f>MONTH(Patient_Data!$E2191)</f>
        <v>4</v>
      </c>
      <c r="E2191" s="7">
        <v>45768</v>
      </c>
      <c r="F2191" s="55" t="str">
        <f>TEXT(Patient_Data[[#This Row],[Admission_Date]],"YYYY")</f>
        <v>2025</v>
      </c>
      <c r="G2191" s="8" t="s">
        <v>4360</v>
      </c>
      <c r="H2191" s="8" t="s">
        <v>132</v>
      </c>
      <c r="I2191" s="4" t="s">
        <v>35</v>
      </c>
      <c r="J2191" s="4">
        <v>42</v>
      </c>
      <c r="K2191" s="4" t="s">
        <v>30</v>
      </c>
      <c r="L2191" s="8">
        <v>2</v>
      </c>
      <c r="M2191" s="9" t="s">
        <v>36</v>
      </c>
      <c r="N2191" s="9" t="str">
        <f t="shared" si="17"/>
        <v>Cardio</v>
      </c>
      <c r="O2191" s="10">
        <v>9082.31</v>
      </c>
      <c r="P2191" s="10">
        <v>5346.14</v>
      </c>
      <c r="Q2191" s="11">
        <v>9.8000000000000007</v>
      </c>
      <c r="R2191" s="13" t="str">
        <f>IF(Patient_Data!$L2191&lt;2,"Low Risk",IF(Patient_Data!$L2191&lt;4,"Moderate Risk","High Risk"))</f>
        <v>Moderate Risk</v>
      </c>
      <c r="S2191" s="12" t="str">
        <f>IF(Patient_Data[[#This Row],[Age]]&lt;=18,"Pediatric",IF(Patient_Data[[#This Row],[Age]]&lt;=64,"Adult","Geriatric"))</f>
        <v>Adult</v>
      </c>
    </row>
    <row r="2192" spans="1:19" ht="15.75" customHeight="1" x14ac:dyDescent="0.3">
      <c r="A2192" s="4" t="s">
        <v>4361</v>
      </c>
      <c r="B2192" s="5" t="str">
        <f>TEXT(Patient_Data!$E2192,"mmmm")</f>
        <v>November</v>
      </c>
      <c r="C2192" s="6" t="str">
        <f t="shared" si="16"/>
        <v>Nov</v>
      </c>
      <c r="D2192" s="6">
        <f>MONTH(Patient_Data!$E2192)</f>
        <v>11</v>
      </c>
      <c r="E2192" s="7">
        <v>45614</v>
      </c>
      <c r="F2192" s="55" t="str">
        <f>TEXT(Patient_Data[[#This Row],[Admission_Date]],"YYYY")</f>
        <v>2024</v>
      </c>
      <c r="G2192" s="8" t="s">
        <v>4362</v>
      </c>
      <c r="H2192" s="8" t="s">
        <v>34</v>
      </c>
      <c r="I2192" s="4" t="s">
        <v>29</v>
      </c>
      <c r="J2192" s="4">
        <v>2</v>
      </c>
      <c r="K2192" s="4" t="s">
        <v>30</v>
      </c>
      <c r="L2192" s="8">
        <v>1</v>
      </c>
      <c r="M2192" s="9" t="s">
        <v>79</v>
      </c>
      <c r="N2192" s="9" t="str">
        <f t="shared" si="17"/>
        <v>PD</v>
      </c>
      <c r="O2192" s="10">
        <v>2296.9699999999998</v>
      </c>
      <c r="P2192" s="10">
        <v>1420.35</v>
      </c>
      <c r="Q2192" s="11">
        <v>2.4</v>
      </c>
      <c r="R2192" s="13" t="str">
        <f>IF(Patient_Data!$L2192&lt;2,"Low Risk",IF(Patient_Data!$L2192&lt;4,"Moderate Risk","High Risk"))</f>
        <v>Low Risk</v>
      </c>
      <c r="S2192" s="12" t="str">
        <f>IF(Patient_Data[[#This Row],[Age]]&lt;=18,"Pediatric",IF(Patient_Data[[#This Row],[Age]]&lt;=64,"Adult","Geriatric"))</f>
        <v>Pediatric</v>
      </c>
    </row>
    <row r="2193" spans="1:19" ht="15.75" customHeight="1" x14ac:dyDescent="0.3">
      <c r="A2193" s="4" t="s">
        <v>4363</v>
      </c>
      <c r="B2193" s="5" t="str">
        <f>TEXT(Patient_Data!$E2193,"mmmm")</f>
        <v>April</v>
      </c>
      <c r="C2193" s="6" t="str">
        <f t="shared" si="16"/>
        <v>Apr</v>
      </c>
      <c r="D2193" s="6">
        <f>MONTH(Patient_Data!$E2193)</f>
        <v>4</v>
      </c>
      <c r="E2193" s="7">
        <v>46139</v>
      </c>
      <c r="F2193" s="55" t="str">
        <f>TEXT(Patient_Data[[#This Row],[Admission_Date]],"YYYY")</f>
        <v>2026</v>
      </c>
      <c r="G2193" s="8" t="s">
        <v>4364</v>
      </c>
      <c r="H2193" s="8" t="s">
        <v>75</v>
      </c>
      <c r="I2193" s="4" t="s">
        <v>35</v>
      </c>
      <c r="J2193" s="4">
        <v>25</v>
      </c>
      <c r="K2193" s="4" t="s">
        <v>30</v>
      </c>
      <c r="L2193" s="8">
        <v>2</v>
      </c>
      <c r="M2193" s="9" t="s">
        <v>83</v>
      </c>
      <c r="N2193" s="9" t="str">
        <f t="shared" si="17"/>
        <v>ER</v>
      </c>
      <c r="O2193" s="10">
        <v>9398.27</v>
      </c>
      <c r="P2193" s="10">
        <v>6101.29</v>
      </c>
      <c r="Q2193" s="11">
        <v>10.8</v>
      </c>
      <c r="R2193" s="13" t="str">
        <f>IF(Patient_Data!$L2193&lt;2,"Low Risk",IF(Patient_Data!$L2193&lt;4,"Moderate Risk","High Risk"))</f>
        <v>Moderate Risk</v>
      </c>
      <c r="S2193" s="12" t="str">
        <f>IF(Patient_Data[[#This Row],[Age]]&lt;=18,"Pediatric",IF(Patient_Data[[#This Row],[Age]]&lt;=64,"Adult","Geriatric"))</f>
        <v>Adult</v>
      </c>
    </row>
    <row r="2194" spans="1:19" ht="15.75" customHeight="1" x14ac:dyDescent="0.3">
      <c r="A2194" s="4" t="s">
        <v>4365</v>
      </c>
      <c r="B2194" s="5" t="str">
        <f>TEXT(Patient_Data!$E2194,"mmmm")</f>
        <v>September</v>
      </c>
      <c r="C2194" s="6" t="str">
        <f t="shared" si="16"/>
        <v>Sep</v>
      </c>
      <c r="D2194" s="6">
        <f>MONTH(Patient_Data!$E2194)</f>
        <v>9</v>
      </c>
      <c r="E2194" s="7">
        <v>45185</v>
      </c>
      <c r="F2194" s="55" t="str">
        <f>TEXT(Patient_Data[[#This Row],[Admission_Date]],"YYYY")</f>
        <v>2023</v>
      </c>
      <c r="G2194" s="8" t="s">
        <v>4366</v>
      </c>
      <c r="H2194" s="8" t="s">
        <v>132</v>
      </c>
      <c r="I2194" s="4" t="s">
        <v>35</v>
      </c>
      <c r="J2194" s="4">
        <v>57</v>
      </c>
      <c r="K2194" s="4" t="s">
        <v>54</v>
      </c>
      <c r="L2194" s="8">
        <v>3</v>
      </c>
      <c r="M2194" s="9" t="s">
        <v>50</v>
      </c>
      <c r="N2194" s="9" t="str">
        <f t="shared" si="17"/>
        <v>ICU</v>
      </c>
      <c r="O2194" s="10">
        <v>19842.8</v>
      </c>
      <c r="P2194" s="10">
        <v>13425.08</v>
      </c>
      <c r="Q2194" s="11">
        <v>16.3</v>
      </c>
      <c r="R2194" s="13" t="str">
        <f>IF(Patient_Data!$L2194&lt;2,"Low Risk",IF(Patient_Data!$L2194&lt;4,"Moderate Risk","High Risk"))</f>
        <v>Moderate Risk</v>
      </c>
      <c r="S2194" s="12" t="str">
        <f>IF(Patient_Data[[#This Row],[Age]]&lt;=18,"Pediatric",IF(Patient_Data[[#This Row],[Age]]&lt;=64,"Adult","Geriatric"))</f>
        <v>Adult</v>
      </c>
    </row>
    <row r="2195" spans="1:19" ht="15.75" customHeight="1" x14ac:dyDescent="0.3">
      <c r="A2195" s="4" t="s">
        <v>4367</v>
      </c>
      <c r="B2195" s="5" t="str">
        <f>TEXT(Patient_Data!$E2195,"mmmm")</f>
        <v>August</v>
      </c>
      <c r="C2195" s="6" t="str">
        <f t="shared" si="16"/>
        <v>Aug</v>
      </c>
      <c r="D2195" s="6">
        <f>MONTH(Patient_Data!$E2195)</f>
        <v>8</v>
      </c>
      <c r="E2195" s="7">
        <v>45875</v>
      </c>
      <c r="F2195" s="55" t="str">
        <f>TEXT(Patient_Data[[#This Row],[Admission_Date]],"YYYY")</f>
        <v>2025</v>
      </c>
      <c r="G2195" s="8" t="s">
        <v>4368</v>
      </c>
      <c r="H2195" s="8" t="s">
        <v>98</v>
      </c>
      <c r="I2195" s="4" t="s">
        <v>35</v>
      </c>
      <c r="J2195" s="4">
        <v>1</v>
      </c>
      <c r="K2195" s="4" t="s">
        <v>30</v>
      </c>
      <c r="L2195" s="8">
        <v>1</v>
      </c>
      <c r="M2195" s="9" t="s">
        <v>79</v>
      </c>
      <c r="N2195" s="9" t="str">
        <f t="shared" si="17"/>
        <v>PD</v>
      </c>
      <c r="O2195" s="10">
        <v>1464.5</v>
      </c>
      <c r="P2195" s="10">
        <v>1049.1500000000001</v>
      </c>
      <c r="Q2195" s="11">
        <v>3</v>
      </c>
      <c r="R2195" s="13" t="str">
        <f>IF(Patient_Data!$L2195&lt;2,"Low Risk",IF(Patient_Data!$L2195&lt;4,"Moderate Risk","High Risk"))</f>
        <v>Low Risk</v>
      </c>
      <c r="S2195" s="12" t="str">
        <f>IF(Patient_Data[[#This Row],[Age]]&lt;=18,"Pediatric",IF(Patient_Data[[#This Row],[Age]]&lt;=64,"Adult","Geriatric"))</f>
        <v>Pediatric</v>
      </c>
    </row>
    <row r="2196" spans="1:19" ht="15.75" customHeight="1" x14ac:dyDescent="0.3">
      <c r="A2196" s="4" t="s">
        <v>4369</v>
      </c>
      <c r="B2196" s="5" t="str">
        <f>TEXT(Patient_Data!$E2196,"mmmm")</f>
        <v>February</v>
      </c>
      <c r="C2196" s="6" t="str">
        <f t="shared" si="16"/>
        <v>Feb</v>
      </c>
      <c r="D2196" s="6">
        <f>MONTH(Patient_Data!$E2196)</f>
        <v>2</v>
      </c>
      <c r="E2196" s="7">
        <v>46079</v>
      </c>
      <c r="F2196" s="55" t="str">
        <f>TEXT(Patient_Data[[#This Row],[Admission_Date]],"YYYY")</f>
        <v>2026</v>
      </c>
      <c r="G2196" s="8" t="s">
        <v>4370</v>
      </c>
      <c r="H2196" s="8" t="s">
        <v>132</v>
      </c>
      <c r="I2196" s="4" t="s">
        <v>35</v>
      </c>
      <c r="J2196" s="4">
        <v>23</v>
      </c>
      <c r="K2196" s="4" t="s">
        <v>30</v>
      </c>
      <c r="L2196" s="8">
        <v>2</v>
      </c>
      <c r="M2196" s="9" t="s">
        <v>31</v>
      </c>
      <c r="N2196" s="9" t="str">
        <f t="shared" si="17"/>
        <v>Neuro</v>
      </c>
      <c r="O2196" s="10">
        <v>10483.9</v>
      </c>
      <c r="P2196" s="10">
        <v>7744.45</v>
      </c>
      <c r="Q2196" s="11">
        <v>11.4</v>
      </c>
      <c r="R2196" s="13" t="str">
        <f>IF(Patient_Data!$L2196&lt;2,"Low Risk",IF(Patient_Data!$L2196&lt;4,"Moderate Risk","High Risk"))</f>
        <v>Moderate Risk</v>
      </c>
      <c r="S2196" s="12" t="str">
        <f>IF(Patient_Data[[#This Row],[Age]]&lt;=18,"Pediatric",IF(Patient_Data[[#This Row],[Age]]&lt;=64,"Adult","Geriatric"))</f>
        <v>Adult</v>
      </c>
    </row>
    <row r="2197" spans="1:19" ht="15.75" customHeight="1" x14ac:dyDescent="0.3">
      <c r="A2197" s="4" t="s">
        <v>4371</v>
      </c>
      <c r="B2197" s="5" t="str">
        <f>TEXT(Patient_Data!$E2197,"mmmm")</f>
        <v>January</v>
      </c>
      <c r="C2197" s="6" t="str">
        <f t="shared" si="16"/>
        <v>Jan</v>
      </c>
      <c r="D2197" s="6">
        <f>MONTH(Patient_Data!$E2197)</f>
        <v>1</v>
      </c>
      <c r="E2197" s="7">
        <v>45659</v>
      </c>
      <c r="F2197" s="55" t="str">
        <f>TEXT(Patient_Data[[#This Row],[Admission_Date]],"YYYY")</f>
        <v>2025</v>
      </c>
      <c r="G2197" s="8" t="s">
        <v>4372</v>
      </c>
      <c r="H2197" s="8" t="s">
        <v>34</v>
      </c>
      <c r="I2197" s="4" t="s">
        <v>35</v>
      </c>
      <c r="J2197" s="4">
        <v>40</v>
      </c>
      <c r="K2197" s="4" t="s">
        <v>30</v>
      </c>
      <c r="L2197" s="8">
        <v>1</v>
      </c>
      <c r="M2197" s="9" t="s">
        <v>36</v>
      </c>
      <c r="N2197" s="9" t="str">
        <f t="shared" si="17"/>
        <v>Cardio</v>
      </c>
      <c r="O2197" s="10">
        <v>11300.82</v>
      </c>
      <c r="P2197" s="10">
        <v>8634.2199999999993</v>
      </c>
      <c r="Q2197" s="11">
        <v>5.7</v>
      </c>
      <c r="R2197" s="13" t="str">
        <f>IF(Patient_Data!$L2197&lt;2,"Low Risk",IF(Patient_Data!$L2197&lt;4,"Moderate Risk","High Risk"))</f>
        <v>Low Risk</v>
      </c>
      <c r="S2197" s="12" t="str">
        <f>IF(Patient_Data[[#This Row],[Age]]&lt;=18,"Pediatric",IF(Patient_Data[[#This Row],[Age]]&lt;=64,"Adult","Geriatric"))</f>
        <v>Adult</v>
      </c>
    </row>
    <row r="2198" spans="1:19" ht="15.75" customHeight="1" x14ac:dyDescent="0.3">
      <c r="A2198" s="4" t="s">
        <v>4373</v>
      </c>
      <c r="B2198" s="5" t="str">
        <f>TEXT(Patient_Data!$E2198,"mmmm")</f>
        <v>January</v>
      </c>
      <c r="C2198" s="6" t="str">
        <f t="shared" si="16"/>
        <v>Jan</v>
      </c>
      <c r="D2198" s="6">
        <f>MONTH(Patient_Data!$E2198)</f>
        <v>1</v>
      </c>
      <c r="E2198" s="7">
        <v>45666</v>
      </c>
      <c r="F2198" s="55" t="str">
        <f>TEXT(Patient_Data[[#This Row],[Admission_Date]],"YYYY")</f>
        <v>2025</v>
      </c>
      <c r="G2198" s="8" t="s">
        <v>4374</v>
      </c>
      <c r="H2198" s="8" t="s">
        <v>34</v>
      </c>
      <c r="I2198" s="4" t="s">
        <v>35</v>
      </c>
      <c r="J2198" s="4">
        <v>71</v>
      </c>
      <c r="K2198" s="4" t="s">
        <v>54</v>
      </c>
      <c r="L2198" s="8">
        <v>4</v>
      </c>
      <c r="M2198" s="9" t="s">
        <v>50</v>
      </c>
      <c r="N2198" s="9" t="str">
        <f t="shared" si="17"/>
        <v>ICU</v>
      </c>
      <c r="O2198" s="10">
        <v>22570.39</v>
      </c>
      <c r="P2198" s="10">
        <v>13159.63</v>
      </c>
      <c r="Q2198" s="11">
        <v>8.6</v>
      </c>
      <c r="R2198" s="13" t="str">
        <f>IF(Patient_Data!$L2198&lt;2,"Low Risk",IF(Patient_Data!$L2198&lt;4,"Moderate Risk","High Risk"))</f>
        <v>High Risk</v>
      </c>
      <c r="S2198" s="12" t="str">
        <f>IF(Patient_Data[[#This Row],[Age]]&lt;=18,"Pediatric",IF(Patient_Data[[#This Row],[Age]]&lt;=64,"Adult","Geriatric"))</f>
        <v>Geriatric</v>
      </c>
    </row>
    <row r="2199" spans="1:19" ht="15.75" customHeight="1" x14ac:dyDescent="0.3">
      <c r="A2199" s="4" t="s">
        <v>4375</v>
      </c>
      <c r="B2199" s="5" t="str">
        <f>TEXT(Patient_Data!$E2199,"mmmm")</f>
        <v>June</v>
      </c>
      <c r="C2199" s="6" t="str">
        <f t="shared" si="16"/>
        <v>Jun</v>
      </c>
      <c r="D2199" s="6">
        <f>MONTH(Patient_Data!$E2199)</f>
        <v>6</v>
      </c>
      <c r="E2199" s="7">
        <v>45824</v>
      </c>
      <c r="F2199" s="55" t="str">
        <f>TEXT(Patient_Data[[#This Row],[Admission_Date]],"YYYY")</f>
        <v>2025</v>
      </c>
      <c r="G2199" s="8" t="s">
        <v>4376</v>
      </c>
      <c r="H2199" s="8" t="s">
        <v>75</v>
      </c>
      <c r="I2199" s="4" t="s">
        <v>35</v>
      </c>
      <c r="J2199" s="4">
        <v>78</v>
      </c>
      <c r="K2199" s="4" t="s">
        <v>30</v>
      </c>
      <c r="L2199" s="8">
        <v>1</v>
      </c>
      <c r="M2199" s="9" t="s">
        <v>46</v>
      </c>
      <c r="N2199" s="9" t="str">
        <f t="shared" si="17"/>
        <v>Ortho</v>
      </c>
      <c r="O2199" s="10">
        <v>8735.23</v>
      </c>
      <c r="P2199" s="10">
        <v>5373.29</v>
      </c>
      <c r="Q2199" s="11">
        <v>5.6</v>
      </c>
      <c r="R2199" s="13" t="str">
        <f>IF(Patient_Data!$L2199&lt;2,"Low Risk",IF(Patient_Data!$L2199&lt;4,"Moderate Risk","High Risk"))</f>
        <v>Low Risk</v>
      </c>
      <c r="S2199" s="12" t="str">
        <f>IF(Patient_Data[[#This Row],[Age]]&lt;=18,"Pediatric",IF(Patient_Data[[#This Row],[Age]]&lt;=64,"Adult","Geriatric"))</f>
        <v>Geriatric</v>
      </c>
    </row>
    <row r="2200" spans="1:19" ht="15.75" customHeight="1" x14ac:dyDescent="0.3">
      <c r="A2200" s="4" t="s">
        <v>4377</v>
      </c>
      <c r="B2200" s="5" t="str">
        <f>TEXT(Patient_Data!$E2200,"mmmm")</f>
        <v>April</v>
      </c>
      <c r="C2200" s="6" t="str">
        <f t="shared" si="16"/>
        <v>Apr</v>
      </c>
      <c r="D2200" s="6">
        <f>MONTH(Patient_Data!$E2200)</f>
        <v>4</v>
      </c>
      <c r="E2200" s="7">
        <v>45399</v>
      </c>
      <c r="F2200" s="55" t="str">
        <f>TEXT(Patient_Data[[#This Row],[Admission_Date]],"YYYY")</f>
        <v>2024</v>
      </c>
      <c r="G2200" s="8" t="s">
        <v>4378</v>
      </c>
      <c r="H2200" s="8" t="s">
        <v>49</v>
      </c>
      <c r="I2200" s="4" t="s">
        <v>35</v>
      </c>
      <c r="J2200" s="4">
        <v>88</v>
      </c>
      <c r="K2200" s="4" t="s">
        <v>54</v>
      </c>
      <c r="L2200" s="8">
        <v>2</v>
      </c>
      <c r="M2200" s="9" t="s">
        <v>46</v>
      </c>
      <c r="N2200" s="9" t="str">
        <f t="shared" si="17"/>
        <v>Ortho</v>
      </c>
      <c r="O2200" s="10">
        <v>9635.64</v>
      </c>
      <c r="P2200" s="10">
        <v>6204.41</v>
      </c>
      <c r="Q2200" s="11">
        <v>4.7</v>
      </c>
      <c r="R2200" s="13" t="str">
        <f>IF(Patient_Data!$L2200&lt;2,"Low Risk",IF(Patient_Data!$L2200&lt;4,"Moderate Risk","High Risk"))</f>
        <v>Moderate Risk</v>
      </c>
      <c r="S2200" s="12" t="str">
        <f>IF(Patient_Data[[#This Row],[Age]]&lt;=18,"Pediatric",IF(Patient_Data[[#This Row],[Age]]&lt;=64,"Adult","Geriatric"))</f>
        <v>Geriatric</v>
      </c>
    </row>
    <row r="2201" spans="1:19" ht="15.75" customHeight="1" x14ac:dyDescent="0.3">
      <c r="A2201" s="4" t="s">
        <v>4379</v>
      </c>
      <c r="B2201" s="5" t="str">
        <f>TEXT(Patient_Data!$E2201,"mmmm")</f>
        <v>October</v>
      </c>
      <c r="C2201" s="6" t="str">
        <f t="shared" si="16"/>
        <v>Oct</v>
      </c>
      <c r="D2201" s="6">
        <f>MONTH(Patient_Data!$E2201)</f>
        <v>10</v>
      </c>
      <c r="E2201" s="7">
        <v>45957</v>
      </c>
      <c r="F2201" s="55" t="str">
        <f>TEXT(Patient_Data[[#This Row],[Admission_Date]],"YYYY")</f>
        <v>2025</v>
      </c>
      <c r="G2201" s="8" t="s">
        <v>4380</v>
      </c>
      <c r="H2201" s="8" t="s">
        <v>28</v>
      </c>
      <c r="I2201" s="4" t="s">
        <v>29</v>
      </c>
      <c r="J2201" s="4">
        <v>93</v>
      </c>
      <c r="K2201" s="4" t="s">
        <v>54</v>
      </c>
      <c r="L2201" s="8">
        <v>3</v>
      </c>
      <c r="M2201" s="9" t="s">
        <v>50</v>
      </c>
      <c r="N2201" s="9" t="str">
        <f t="shared" si="17"/>
        <v>ICU</v>
      </c>
      <c r="O2201" s="10">
        <v>17605.54</v>
      </c>
      <c r="P2201" s="10">
        <v>11892.51</v>
      </c>
      <c r="Q2201" s="11">
        <v>12.1</v>
      </c>
      <c r="R2201" s="13" t="str">
        <f>IF(Patient_Data!$L2201&lt;2,"Low Risk",IF(Patient_Data!$L2201&lt;4,"Moderate Risk","High Risk"))</f>
        <v>Moderate Risk</v>
      </c>
      <c r="S2201" s="12" t="str">
        <f>IF(Patient_Data[[#This Row],[Age]]&lt;=18,"Pediatric",IF(Patient_Data[[#This Row],[Age]]&lt;=64,"Adult","Geriatric"))</f>
        <v>Geriatric</v>
      </c>
    </row>
    <row r="2202" spans="1:19" ht="15.75" customHeight="1" x14ac:dyDescent="0.3">
      <c r="A2202" s="4" t="s">
        <v>4381</v>
      </c>
      <c r="B2202" s="5" t="str">
        <f>TEXT(Patient_Data!$E2202,"mmmm")</f>
        <v>February</v>
      </c>
      <c r="C2202" s="6" t="str">
        <f t="shared" si="16"/>
        <v>Feb</v>
      </c>
      <c r="D2202" s="6">
        <f>MONTH(Patient_Data!$E2202)</f>
        <v>2</v>
      </c>
      <c r="E2202" s="7">
        <v>45692</v>
      </c>
      <c r="F2202" s="55" t="str">
        <f>TEXT(Patient_Data[[#This Row],[Admission_Date]],"YYYY")</f>
        <v>2025</v>
      </c>
      <c r="G2202" s="8" t="s">
        <v>4382</v>
      </c>
      <c r="H2202" s="8" t="s">
        <v>82</v>
      </c>
      <c r="I2202" s="4" t="s">
        <v>29</v>
      </c>
      <c r="J2202" s="4">
        <v>48</v>
      </c>
      <c r="K2202" s="4" t="s">
        <v>45</v>
      </c>
      <c r="L2202" s="8">
        <v>3</v>
      </c>
      <c r="M2202" s="9" t="s">
        <v>39</v>
      </c>
      <c r="N2202" s="9" t="str">
        <f t="shared" si="17"/>
        <v>GM</v>
      </c>
      <c r="O2202" s="10">
        <v>3006.53</v>
      </c>
      <c r="P2202" s="10">
        <v>2170.9699999999998</v>
      </c>
      <c r="Q2202" s="11">
        <v>8.3000000000000007</v>
      </c>
      <c r="R2202" s="13" t="str">
        <f>IF(Patient_Data!$L2202&lt;2,"Low Risk",IF(Patient_Data!$L2202&lt;4,"Moderate Risk","High Risk"))</f>
        <v>Moderate Risk</v>
      </c>
      <c r="S2202" s="12" t="str">
        <f>IF(Patient_Data[[#This Row],[Age]]&lt;=18,"Pediatric",IF(Patient_Data[[#This Row],[Age]]&lt;=64,"Adult","Geriatric"))</f>
        <v>Adult</v>
      </c>
    </row>
    <row r="2203" spans="1:19" ht="15.75" customHeight="1" x14ac:dyDescent="0.3">
      <c r="A2203" s="4" t="s">
        <v>4383</v>
      </c>
      <c r="B2203" s="5" t="str">
        <f>TEXT(Patient_Data!$E2203,"mmmm")</f>
        <v>March</v>
      </c>
      <c r="C2203" s="6" t="str">
        <f t="shared" si="16"/>
        <v>Mar</v>
      </c>
      <c r="D2203" s="6">
        <f>MONTH(Patient_Data!$E2203)</f>
        <v>3</v>
      </c>
      <c r="E2203" s="7">
        <v>45746</v>
      </c>
      <c r="F2203" s="55" t="str">
        <f>TEXT(Patient_Data[[#This Row],[Admission_Date]],"YYYY")</f>
        <v>2025</v>
      </c>
      <c r="G2203" s="8" t="s">
        <v>4384</v>
      </c>
      <c r="H2203" s="8" t="s">
        <v>82</v>
      </c>
      <c r="I2203" s="4" t="s">
        <v>29</v>
      </c>
      <c r="J2203" s="4">
        <v>91</v>
      </c>
      <c r="K2203" s="4" t="s">
        <v>30</v>
      </c>
      <c r="L2203" s="8">
        <v>3</v>
      </c>
      <c r="M2203" s="9" t="s">
        <v>50</v>
      </c>
      <c r="N2203" s="9" t="str">
        <f t="shared" si="17"/>
        <v>ICU</v>
      </c>
      <c r="O2203" s="10">
        <v>12552.51</v>
      </c>
      <c r="P2203" s="10">
        <v>9246.5300000000007</v>
      </c>
      <c r="Q2203" s="11">
        <v>10.4</v>
      </c>
      <c r="R2203" s="13" t="str">
        <f>IF(Patient_Data!$L2203&lt;2,"Low Risk",IF(Patient_Data!$L2203&lt;4,"Moderate Risk","High Risk"))</f>
        <v>Moderate Risk</v>
      </c>
      <c r="S2203" s="12" t="str">
        <f>IF(Patient_Data[[#This Row],[Age]]&lt;=18,"Pediatric",IF(Patient_Data[[#This Row],[Age]]&lt;=64,"Adult","Geriatric"))</f>
        <v>Geriatric</v>
      </c>
    </row>
    <row r="2204" spans="1:19" ht="15.75" customHeight="1" x14ac:dyDescent="0.3">
      <c r="A2204" s="4" t="s">
        <v>4385</v>
      </c>
      <c r="B2204" s="5" t="str">
        <f>TEXT(Patient_Data!$E2204,"mmmm")</f>
        <v>September</v>
      </c>
      <c r="C2204" s="6" t="str">
        <f t="shared" si="16"/>
        <v>Sep</v>
      </c>
      <c r="D2204" s="6">
        <f>MONTH(Patient_Data!$E2204)</f>
        <v>9</v>
      </c>
      <c r="E2204" s="7">
        <v>45561</v>
      </c>
      <c r="F2204" s="55" t="str">
        <f>TEXT(Patient_Data[[#This Row],[Admission_Date]],"YYYY")</f>
        <v>2024</v>
      </c>
      <c r="G2204" s="8" t="s">
        <v>4386</v>
      </c>
      <c r="H2204" s="8" t="s">
        <v>34</v>
      </c>
      <c r="I2204" s="4" t="s">
        <v>29</v>
      </c>
      <c r="J2204" s="4">
        <v>79</v>
      </c>
      <c r="K2204" s="4" t="s">
        <v>54</v>
      </c>
      <c r="L2204" s="8">
        <v>3</v>
      </c>
      <c r="M2204" s="9" t="s">
        <v>39</v>
      </c>
      <c r="N2204" s="9" t="str">
        <f t="shared" si="17"/>
        <v>GM</v>
      </c>
      <c r="O2204" s="10">
        <v>6245.09</v>
      </c>
      <c r="P2204" s="10">
        <v>4785.47</v>
      </c>
      <c r="Q2204" s="11">
        <v>4.9000000000000004</v>
      </c>
      <c r="R2204" s="13" t="str">
        <f>IF(Patient_Data!$L2204&lt;2,"Low Risk",IF(Patient_Data!$L2204&lt;4,"Moderate Risk","High Risk"))</f>
        <v>Moderate Risk</v>
      </c>
      <c r="S2204" s="12" t="str">
        <f>IF(Patient_Data[[#This Row],[Age]]&lt;=18,"Pediatric",IF(Patient_Data[[#This Row],[Age]]&lt;=64,"Adult","Geriatric"))</f>
        <v>Geriatric</v>
      </c>
    </row>
    <row r="2205" spans="1:19" ht="15.75" customHeight="1" x14ac:dyDescent="0.3">
      <c r="A2205" s="4" t="s">
        <v>4387</v>
      </c>
      <c r="B2205" s="5" t="str">
        <f>TEXT(Patient_Data!$E2205,"mmmm")</f>
        <v>March</v>
      </c>
      <c r="C2205" s="6" t="str">
        <f t="shared" si="16"/>
        <v>Mar</v>
      </c>
      <c r="D2205" s="6">
        <f>MONTH(Patient_Data!$E2205)</f>
        <v>3</v>
      </c>
      <c r="E2205" s="7">
        <v>45363</v>
      </c>
      <c r="F2205" s="55" t="str">
        <f>TEXT(Patient_Data[[#This Row],[Admission_Date]],"YYYY")</f>
        <v>2024</v>
      </c>
      <c r="G2205" s="8" t="s">
        <v>4388</v>
      </c>
      <c r="H2205" s="8" t="s">
        <v>49</v>
      </c>
      <c r="I2205" s="4" t="s">
        <v>35</v>
      </c>
      <c r="J2205" s="4">
        <v>72</v>
      </c>
      <c r="K2205" s="4" t="s">
        <v>54</v>
      </c>
      <c r="L2205" s="8">
        <v>4</v>
      </c>
      <c r="M2205" s="9" t="s">
        <v>46</v>
      </c>
      <c r="N2205" s="9" t="str">
        <f t="shared" si="17"/>
        <v>Ortho</v>
      </c>
      <c r="O2205" s="10">
        <v>6414.14</v>
      </c>
      <c r="P2205" s="10">
        <v>3764.2</v>
      </c>
      <c r="Q2205" s="11">
        <v>5.5</v>
      </c>
      <c r="R2205" s="13" t="str">
        <f>IF(Patient_Data!$L2205&lt;2,"Low Risk",IF(Patient_Data!$L2205&lt;4,"Moderate Risk","High Risk"))</f>
        <v>High Risk</v>
      </c>
      <c r="S2205" s="12" t="str">
        <f>IF(Patient_Data[[#This Row],[Age]]&lt;=18,"Pediatric",IF(Patient_Data[[#This Row],[Age]]&lt;=64,"Adult","Geriatric"))</f>
        <v>Geriatric</v>
      </c>
    </row>
    <row r="2206" spans="1:19" ht="15.75" customHeight="1" x14ac:dyDescent="0.3">
      <c r="A2206" s="4" t="s">
        <v>4389</v>
      </c>
      <c r="B2206" s="5" t="str">
        <f>TEXT(Patient_Data!$E2206,"mmmm")</f>
        <v>August</v>
      </c>
      <c r="C2206" s="6" t="str">
        <f t="shared" si="16"/>
        <v>Aug</v>
      </c>
      <c r="D2206" s="6">
        <f>MONTH(Patient_Data!$E2206)</f>
        <v>8</v>
      </c>
      <c r="E2206" s="7">
        <v>45509</v>
      </c>
      <c r="F2206" s="55" t="str">
        <f>TEXT(Patient_Data[[#This Row],[Admission_Date]],"YYYY")</f>
        <v>2024</v>
      </c>
      <c r="G2206" s="8" t="s">
        <v>4390</v>
      </c>
      <c r="H2206" s="8" t="s">
        <v>132</v>
      </c>
      <c r="I2206" s="4" t="s">
        <v>29</v>
      </c>
      <c r="J2206" s="4">
        <v>5</v>
      </c>
      <c r="K2206" s="4" t="s">
        <v>54</v>
      </c>
      <c r="L2206" s="8">
        <v>3</v>
      </c>
      <c r="M2206" s="9" t="s">
        <v>79</v>
      </c>
      <c r="N2206" s="9" t="str">
        <f t="shared" si="17"/>
        <v>PD</v>
      </c>
      <c r="O2206" s="10">
        <v>1817.33</v>
      </c>
      <c r="P2206" s="10">
        <v>1117.3699999999999</v>
      </c>
      <c r="Q2206" s="11">
        <v>1.1000000000000001</v>
      </c>
      <c r="R2206" s="13" t="str">
        <f>IF(Patient_Data!$L2206&lt;2,"Low Risk",IF(Patient_Data!$L2206&lt;4,"Moderate Risk","High Risk"))</f>
        <v>Moderate Risk</v>
      </c>
      <c r="S2206" s="12" t="str">
        <f>IF(Patient_Data[[#This Row],[Age]]&lt;=18,"Pediatric",IF(Patient_Data[[#This Row],[Age]]&lt;=64,"Adult","Geriatric"))</f>
        <v>Pediatric</v>
      </c>
    </row>
    <row r="2207" spans="1:19" ht="15.75" customHeight="1" x14ac:dyDescent="0.3">
      <c r="A2207" s="4" t="s">
        <v>4391</v>
      </c>
      <c r="B2207" s="5" t="str">
        <f>TEXT(Patient_Data!$E2207,"mmmm")</f>
        <v>September</v>
      </c>
      <c r="C2207" s="6" t="str">
        <f t="shared" si="16"/>
        <v>Sep</v>
      </c>
      <c r="D2207" s="6">
        <f>MONTH(Patient_Data!$E2207)</f>
        <v>9</v>
      </c>
      <c r="E2207" s="7">
        <v>45182</v>
      </c>
      <c r="F2207" s="55" t="str">
        <f>TEXT(Patient_Data[[#This Row],[Admission_Date]],"YYYY")</f>
        <v>2023</v>
      </c>
      <c r="G2207" s="8" t="s">
        <v>4392</v>
      </c>
      <c r="H2207" s="8" t="s">
        <v>53</v>
      </c>
      <c r="I2207" s="4" t="s">
        <v>35</v>
      </c>
      <c r="J2207" s="4">
        <v>62</v>
      </c>
      <c r="K2207" s="4" t="s">
        <v>45</v>
      </c>
      <c r="L2207" s="8">
        <v>5</v>
      </c>
      <c r="M2207" s="9" t="s">
        <v>50</v>
      </c>
      <c r="N2207" s="9" t="str">
        <f t="shared" si="17"/>
        <v>ICU</v>
      </c>
      <c r="O2207" s="10">
        <v>20094.310000000001</v>
      </c>
      <c r="P2207" s="10">
        <v>12986.76</v>
      </c>
      <c r="Q2207" s="11">
        <v>15.8</v>
      </c>
      <c r="R2207" s="13" t="str">
        <f>IF(Patient_Data!$L2207&lt;2,"Low Risk",IF(Patient_Data!$L2207&lt;4,"Moderate Risk","High Risk"))</f>
        <v>High Risk</v>
      </c>
      <c r="S2207" s="12" t="str">
        <f>IF(Patient_Data[[#This Row],[Age]]&lt;=18,"Pediatric",IF(Patient_Data[[#This Row],[Age]]&lt;=64,"Adult","Geriatric"))</f>
        <v>Adult</v>
      </c>
    </row>
    <row r="2208" spans="1:19" ht="15.75" customHeight="1" x14ac:dyDescent="0.3">
      <c r="A2208" s="4" t="s">
        <v>4393</v>
      </c>
      <c r="B2208" s="5" t="str">
        <f>TEXT(Patient_Data!$E2208,"mmmm")</f>
        <v>January</v>
      </c>
      <c r="C2208" s="6" t="str">
        <f t="shared" si="16"/>
        <v>Jan</v>
      </c>
      <c r="D2208" s="6">
        <f>MONTH(Patient_Data!$E2208)</f>
        <v>1</v>
      </c>
      <c r="E2208" s="7">
        <v>45301</v>
      </c>
      <c r="F2208" s="55" t="str">
        <f>TEXT(Patient_Data[[#This Row],[Admission_Date]],"YYYY")</f>
        <v>2024</v>
      </c>
      <c r="G2208" s="8" t="s">
        <v>4394</v>
      </c>
      <c r="H2208" s="8" t="s">
        <v>28</v>
      </c>
      <c r="I2208" s="4" t="s">
        <v>35</v>
      </c>
      <c r="J2208" s="4">
        <v>12</v>
      </c>
      <c r="K2208" s="4" t="s">
        <v>45</v>
      </c>
      <c r="L2208" s="8">
        <v>3</v>
      </c>
      <c r="M2208" s="9" t="s">
        <v>79</v>
      </c>
      <c r="N2208" s="9" t="str">
        <f t="shared" si="17"/>
        <v>PD</v>
      </c>
      <c r="O2208" s="10">
        <v>2584.58</v>
      </c>
      <c r="P2208" s="10">
        <v>1775.67</v>
      </c>
      <c r="Q2208" s="11">
        <v>5.5</v>
      </c>
      <c r="R2208" s="13" t="str">
        <f>IF(Patient_Data!$L2208&lt;2,"Low Risk",IF(Patient_Data!$L2208&lt;4,"Moderate Risk","High Risk"))</f>
        <v>Moderate Risk</v>
      </c>
      <c r="S2208" s="12" t="str">
        <f>IF(Patient_Data[[#This Row],[Age]]&lt;=18,"Pediatric",IF(Patient_Data[[#This Row],[Age]]&lt;=64,"Adult","Geriatric"))</f>
        <v>Pediatric</v>
      </c>
    </row>
    <row r="2209" spans="1:19" ht="15.75" customHeight="1" x14ac:dyDescent="0.3">
      <c r="A2209" s="4" t="s">
        <v>4395</v>
      </c>
      <c r="B2209" s="5" t="str">
        <f>TEXT(Patient_Data!$E2209,"mmmm")</f>
        <v>November</v>
      </c>
      <c r="C2209" s="6" t="str">
        <f t="shared" si="16"/>
        <v>Nov</v>
      </c>
      <c r="D2209" s="6">
        <f>MONTH(Patient_Data!$E2209)</f>
        <v>11</v>
      </c>
      <c r="E2209" s="7">
        <v>45603</v>
      </c>
      <c r="F2209" s="55" t="str">
        <f>TEXT(Patient_Data[[#This Row],[Admission_Date]],"YYYY")</f>
        <v>2024</v>
      </c>
      <c r="G2209" s="8" t="s">
        <v>4396</v>
      </c>
      <c r="H2209" s="8" t="s">
        <v>82</v>
      </c>
      <c r="I2209" s="4" t="s">
        <v>35</v>
      </c>
      <c r="J2209" s="4">
        <v>82</v>
      </c>
      <c r="K2209" s="4" t="s">
        <v>54</v>
      </c>
      <c r="L2209" s="8">
        <v>3</v>
      </c>
      <c r="M2209" s="9" t="s">
        <v>83</v>
      </c>
      <c r="N2209" s="9" t="str">
        <f t="shared" si="17"/>
        <v>ER</v>
      </c>
      <c r="O2209" s="10">
        <v>5790.72</v>
      </c>
      <c r="P2209" s="10">
        <v>4181.5</v>
      </c>
      <c r="Q2209" s="11">
        <v>16</v>
      </c>
      <c r="R2209" s="13" t="str">
        <f>IF(Patient_Data!$L2209&lt;2,"Low Risk",IF(Patient_Data!$L2209&lt;4,"Moderate Risk","High Risk"))</f>
        <v>Moderate Risk</v>
      </c>
      <c r="S2209" s="12" t="str">
        <f>IF(Patient_Data[[#This Row],[Age]]&lt;=18,"Pediatric",IF(Patient_Data[[#This Row],[Age]]&lt;=64,"Adult","Geriatric"))</f>
        <v>Geriatric</v>
      </c>
    </row>
    <row r="2210" spans="1:19" ht="15.75" customHeight="1" x14ac:dyDescent="0.3">
      <c r="A2210" s="4" t="s">
        <v>4397</v>
      </c>
      <c r="B2210" s="5" t="str">
        <f>TEXT(Patient_Data!$E2210,"mmmm")</f>
        <v>January</v>
      </c>
      <c r="C2210" s="6" t="str">
        <f t="shared" si="16"/>
        <v>Jan</v>
      </c>
      <c r="D2210" s="6">
        <f>MONTH(Patient_Data!$E2210)</f>
        <v>1</v>
      </c>
      <c r="E2210" s="7">
        <v>46035</v>
      </c>
      <c r="F2210" s="55" t="str">
        <f>TEXT(Patient_Data[[#This Row],[Admission_Date]],"YYYY")</f>
        <v>2026</v>
      </c>
      <c r="G2210" s="8" t="s">
        <v>4398</v>
      </c>
      <c r="H2210" s="8" t="s">
        <v>49</v>
      </c>
      <c r="I2210" s="4" t="s">
        <v>29</v>
      </c>
      <c r="J2210" s="4">
        <v>3</v>
      </c>
      <c r="K2210" s="4" t="s">
        <v>30</v>
      </c>
      <c r="L2210" s="8">
        <v>1</v>
      </c>
      <c r="M2210" s="9" t="s">
        <v>79</v>
      </c>
      <c r="N2210" s="9" t="str">
        <f t="shared" si="17"/>
        <v>PD</v>
      </c>
      <c r="O2210" s="10">
        <v>638.54</v>
      </c>
      <c r="P2210" s="10">
        <v>494.93</v>
      </c>
      <c r="Q2210" s="11">
        <v>3.6</v>
      </c>
      <c r="R2210" s="13" t="str">
        <f>IF(Patient_Data!$L2210&lt;2,"Low Risk",IF(Patient_Data!$L2210&lt;4,"Moderate Risk","High Risk"))</f>
        <v>Low Risk</v>
      </c>
      <c r="S2210" s="12" t="str">
        <f>IF(Patient_Data[[#This Row],[Age]]&lt;=18,"Pediatric",IF(Patient_Data[[#This Row],[Age]]&lt;=64,"Adult","Geriatric"))</f>
        <v>Pediatric</v>
      </c>
    </row>
    <row r="2211" spans="1:19" ht="15.75" customHeight="1" x14ac:dyDescent="0.3">
      <c r="A2211" s="4" t="s">
        <v>4399</v>
      </c>
      <c r="B2211" s="5" t="str">
        <f>TEXT(Patient_Data!$E2211,"mmmm")</f>
        <v>March</v>
      </c>
      <c r="C2211" s="6" t="str">
        <f t="shared" si="16"/>
        <v>Mar</v>
      </c>
      <c r="D2211" s="6">
        <f>MONTH(Patient_Data!$E2211)</f>
        <v>3</v>
      </c>
      <c r="E2211" s="7">
        <v>45379</v>
      </c>
      <c r="F2211" s="55" t="str">
        <f>TEXT(Patient_Data[[#This Row],[Admission_Date]],"YYYY")</f>
        <v>2024</v>
      </c>
      <c r="G2211" s="8" t="s">
        <v>4400</v>
      </c>
      <c r="H2211" s="8" t="s">
        <v>49</v>
      </c>
      <c r="I2211" s="4" t="s">
        <v>35</v>
      </c>
      <c r="J2211" s="4">
        <v>72</v>
      </c>
      <c r="K2211" s="4" t="s">
        <v>30</v>
      </c>
      <c r="L2211" s="8">
        <v>2</v>
      </c>
      <c r="M2211" s="9" t="s">
        <v>36</v>
      </c>
      <c r="N2211" s="9" t="str">
        <f t="shared" si="17"/>
        <v>Cardio</v>
      </c>
      <c r="O2211" s="10">
        <v>6684.95</v>
      </c>
      <c r="P2211" s="10">
        <v>5170.96</v>
      </c>
      <c r="Q2211" s="11">
        <v>11.3</v>
      </c>
      <c r="R2211" s="13" t="str">
        <f>IF(Patient_Data!$L2211&lt;2,"Low Risk",IF(Patient_Data!$L2211&lt;4,"Moderate Risk","High Risk"))</f>
        <v>Moderate Risk</v>
      </c>
      <c r="S2211" s="12" t="str">
        <f>IF(Patient_Data[[#This Row],[Age]]&lt;=18,"Pediatric",IF(Patient_Data[[#This Row],[Age]]&lt;=64,"Adult","Geriatric"))</f>
        <v>Geriatric</v>
      </c>
    </row>
    <row r="2212" spans="1:19" ht="15.75" customHeight="1" x14ac:dyDescent="0.3">
      <c r="A2212" s="4" t="s">
        <v>4401</v>
      </c>
      <c r="B2212" s="5" t="str">
        <f>TEXT(Patient_Data!$E2212,"mmmm")</f>
        <v>October</v>
      </c>
      <c r="C2212" s="6" t="str">
        <f t="shared" si="16"/>
        <v>Oct</v>
      </c>
      <c r="D2212" s="6">
        <f>MONTH(Patient_Data!$E2212)</f>
        <v>10</v>
      </c>
      <c r="E2212" s="7">
        <v>45588</v>
      </c>
      <c r="F2212" s="55" t="str">
        <f>TEXT(Patient_Data[[#This Row],[Admission_Date]],"YYYY")</f>
        <v>2024</v>
      </c>
      <c r="G2212" s="8" t="s">
        <v>4402</v>
      </c>
      <c r="H2212" s="8" t="s">
        <v>82</v>
      </c>
      <c r="I2212" s="4" t="s">
        <v>29</v>
      </c>
      <c r="J2212" s="4">
        <v>62</v>
      </c>
      <c r="K2212" s="4" t="s">
        <v>30</v>
      </c>
      <c r="L2212" s="8">
        <v>1</v>
      </c>
      <c r="M2212" s="9" t="s">
        <v>46</v>
      </c>
      <c r="N2212" s="9" t="str">
        <f t="shared" si="17"/>
        <v>Ortho</v>
      </c>
      <c r="O2212" s="10">
        <v>3577.79</v>
      </c>
      <c r="P2212" s="10">
        <v>2167.12</v>
      </c>
      <c r="Q2212" s="11">
        <v>11.5</v>
      </c>
      <c r="R2212" s="13" t="str">
        <f>IF(Patient_Data!$L2212&lt;2,"Low Risk",IF(Patient_Data!$L2212&lt;4,"Moderate Risk","High Risk"))</f>
        <v>Low Risk</v>
      </c>
      <c r="S2212" s="12" t="str">
        <f>IF(Patient_Data[[#This Row],[Age]]&lt;=18,"Pediatric",IF(Patient_Data[[#This Row],[Age]]&lt;=64,"Adult","Geriatric"))</f>
        <v>Adult</v>
      </c>
    </row>
    <row r="2213" spans="1:19" ht="15.75" customHeight="1" x14ac:dyDescent="0.3">
      <c r="A2213" s="4" t="s">
        <v>4403</v>
      </c>
      <c r="B2213" s="5" t="str">
        <f>TEXT(Patient_Data!$E2213,"mmmm")</f>
        <v>February</v>
      </c>
      <c r="C2213" s="6" t="str">
        <f t="shared" si="16"/>
        <v>Feb</v>
      </c>
      <c r="D2213" s="6">
        <f>MONTH(Patient_Data!$E2213)</f>
        <v>2</v>
      </c>
      <c r="E2213" s="7">
        <v>46058</v>
      </c>
      <c r="F2213" s="55" t="str">
        <f>TEXT(Patient_Data[[#This Row],[Admission_Date]],"YYYY")</f>
        <v>2026</v>
      </c>
      <c r="G2213" s="8" t="s">
        <v>4404</v>
      </c>
      <c r="H2213" s="8" t="s">
        <v>28</v>
      </c>
      <c r="I2213" s="4" t="s">
        <v>35</v>
      </c>
      <c r="J2213" s="4">
        <v>19</v>
      </c>
      <c r="K2213" s="4" t="s">
        <v>30</v>
      </c>
      <c r="L2213" s="8">
        <v>1</v>
      </c>
      <c r="M2213" s="9" t="s">
        <v>36</v>
      </c>
      <c r="N2213" s="9" t="str">
        <f t="shared" si="17"/>
        <v>Cardio</v>
      </c>
      <c r="O2213" s="10">
        <v>8411.0300000000007</v>
      </c>
      <c r="P2213" s="10">
        <v>5194.7299999999996</v>
      </c>
      <c r="Q2213" s="11">
        <v>8</v>
      </c>
      <c r="R2213" s="13" t="str">
        <f>IF(Patient_Data!$L2213&lt;2,"Low Risk",IF(Patient_Data!$L2213&lt;4,"Moderate Risk","High Risk"))</f>
        <v>Low Risk</v>
      </c>
      <c r="S2213" s="12" t="str">
        <f>IF(Patient_Data[[#This Row],[Age]]&lt;=18,"Pediatric",IF(Patient_Data[[#This Row],[Age]]&lt;=64,"Adult","Geriatric"))</f>
        <v>Adult</v>
      </c>
    </row>
    <row r="2214" spans="1:19" ht="15.75" customHeight="1" x14ac:dyDescent="0.3">
      <c r="A2214" s="4" t="s">
        <v>4405</v>
      </c>
      <c r="B2214" s="5" t="str">
        <f>TEXT(Patient_Data!$E2214,"mmmm")</f>
        <v>January</v>
      </c>
      <c r="C2214" s="6" t="str">
        <f t="shared" si="16"/>
        <v>Jan</v>
      </c>
      <c r="D2214" s="6">
        <f>MONTH(Patient_Data!$E2214)</f>
        <v>1</v>
      </c>
      <c r="E2214" s="7">
        <v>45314</v>
      </c>
      <c r="F2214" s="55" t="str">
        <f>TEXT(Patient_Data[[#This Row],[Admission_Date]],"YYYY")</f>
        <v>2024</v>
      </c>
      <c r="G2214" s="8" t="s">
        <v>4406</v>
      </c>
      <c r="H2214" s="8" t="s">
        <v>28</v>
      </c>
      <c r="I2214" s="4" t="s">
        <v>35</v>
      </c>
      <c r="J2214" s="4">
        <v>78</v>
      </c>
      <c r="K2214" s="4" t="s">
        <v>54</v>
      </c>
      <c r="L2214" s="8">
        <v>4</v>
      </c>
      <c r="M2214" s="9" t="s">
        <v>83</v>
      </c>
      <c r="N2214" s="9" t="str">
        <f t="shared" si="17"/>
        <v>ER</v>
      </c>
      <c r="O2214" s="10">
        <v>10148.99</v>
      </c>
      <c r="P2214" s="10">
        <v>6664.95</v>
      </c>
      <c r="Q2214" s="11">
        <v>21.2</v>
      </c>
      <c r="R2214" s="13" t="str">
        <f>IF(Patient_Data!$L2214&lt;2,"Low Risk",IF(Patient_Data!$L2214&lt;4,"Moderate Risk","High Risk"))</f>
        <v>High Risk</v>
      </c>
      <c r="S2214" s="12" t="str">
        <f>IF(Patient_Data[[#This Row],[Age]]&lt;=18,"Pediatric",IF(Patient_Data[[#This Row],[Age]]&lt;=64,"Adult","Geriatric"))</f>
        <v>Geriatric</v>
      </c>
    </row>
    <row r="2215" spans="1:19" ht="15.75" customHeight="1" x14ac:dyDescent="0.3">
      <c r="A2215" s="4" t="s">
        <v>4407</v>
      </c>
      <c r="B2215" s="5" t="str">
        <f>TEXT(Patient_Data!$E2215,"mmmm")</f>
        <v>July</v>
      </c>
      <c r="C2215" s="6" t="str">
        <f t="shared" si="16"/>
        <v>Jul</v>
      </c>
      <c r="D2215" s="6">
        <f>MONTH(Patient_Data!$E2215)</f>
        <v>7</v>
      </c>
      <c r="E2215" s="7">
        <v>45481</v>
      </c>
      <c r="F2215" s="55" t="str">
        <f>TEXT(Patient_Data[[#This Row],[Admission_Date]],"YYYY")</f>
        <v>2024</v>
      </c>
      <c r="G2215" s="8" t="s">
        <v>4408</v>
      </c>
      <c r="H2215" s="8" t="s">
        <v>34</v>
      </c>
      <c r="I2215" s="4" t="s">
        <v>29</v>
      </c>
      <c r="J2215" s="4">
        <v>42</v>
      </c>
      <c r="K2215" s="4" t="s">
        <v>30</v>
      </c>
      <c r="L2215" s="8">
        <v>3</v>
      </c>
      <c r="M2215" s="9" t="s">
        <v>36</v>
      </c>
      <c r="N2215" s="9" t="str">
        <f t="shared" si="17"/>
        <v>Cardio</v>
      </c>
      <c r="O2215" s="10">
        <v>6421.54</v>
      </c>
      <c r="P2215" s="10">
        <v>4361.63</v>
      </c>
      <c r="Q2215" s="11">
        <v>7.4</v>
      </c>
      <c r="R2215" s="13" t="str">
        <f>IF(Patient_Data!$L2215&lt;2,"Low Risk",IF(Patient_Data!$L2215&lt;4,"Moderate Risk","High Risk"))</f>
        <v>Moderate Risk</v>
      </c>
      <c r="S2215" s="12" t="str">
        <f>IF(Patient_Data[[#This Row],[Age]]&lt;=18,"Pediatric",IF(Patient_Data[[#This Row],[Age]]&lt;=64,"Adult","Geriatric"))</f>
        <v>Adult</v>
      </c>
    </row>
    <row r="2216" spans="1:19" ht="15.75" customHeight="1" x14ac:dyDescent="0.3">
      <c r="A2216" s="4" t="s">
        <v>4409</v>
      </c>
      <c r="B2216" s="5" t="str">
        <f>TEXT(Patient_Data!$E2216,"mmmm")</f>
        <v>October</v>
      </c>
      <c r="C2216" s="6" t="str">
        <f t="shared" si="16"/>
        <v>Oct</v>
      </c>
      <c r="D2216" s="6">
        <f>MONTH(Patient_Data!$E2216)</f>
        <v>10</v>
      </c>
      <c r="E2216" s="7">
        <v>45215</v>
      </c>
      <c r="F2216" s="55" t="str">
        <f>TEXT(Patient_Data[[#This Row],[Admission_Date]],"YYYY")</f>
        <v>2023</v>
      </c>
      <c r="G2216" s="8" t="s">
        <v>4410</v>
      </c>
      <c r="H2216" s="8" t="s">
        <v>132</v>
      </c>
      <c r="I2216" s="4" t="s">
        <v>35</v>
      </c>
      <c r="J2216" s="4">
        <v>35</v>
      </c>
      <c r="K2216" s="4" t="s">
        <v>30</v>
      </c>
      <c r="L2216" s="8">
        <v>1</v>
      </c>
      <c r="M2216" s="9" t="s">
        <v>39</v>
      </c>
      <c r="N2216" s="9" t="str">
        <f t="shared" si="17"/>
        <v>GM</v>
      </c>
      <c r="O2216" s="10">
        <v>3478.84</v>
      </c>
      <c r="P2216" s="10">
        <v>2512.79</v>
      </c>
      <c r="Q2216" s="11">
        <v>9.6999999999999993</v>
      </c>
      <c r="R2216" s="13" t="str">
        <f>IF(Patient_Data!$L2216&lt;2,"Low Risk",IF(Patient_Data!$L2216&lt;4,"Moderate Risk","High Risk"))</f>
        <v>Low Risk</v>
      </c>
      <c r="S2216" s="12" t="str">
        <f>IF(Patient_Data[[#This Row],[Age]]&lt;=18,"Pediatric",IF(Patient_Data[[#This Row],[Age]]&lt;=64,"Adult","Geriatric"))</f>
        <v>Adult</v>
      </c>
    </row>
    <row r="2217" spans="1:19" ht="15.75" customHeight="1" x14ac:dyDescent="0.3">
      <c r="A2217" s="4" t="s">
        <v>4411</v>
      </c>
      <c r="B2217" s="5" t="str">
        <f>TEXT(Patient_Data!$E2217,"mmmm")</f>
        <v>March</v>
      </c>
      <c r="C2217" s="6" t="str">
        <f t="shared" si="16"/>
        <v>Mar</v>
      </c>
      <c r="D2217" s="6">
        <f>MONTH(Patient_Data!$E2217)</f>
        <v>3</v>
      </c>
      <c r="E2217" s="7">
        <v>46107</v>
      </c>
      <c r="F2217" s="55" t="str">
        <f>TEXT(Patient_Data[[#This Row],[Admission_Date]],"YYYY")</f>
        <v>2026</v>
      </c>
      <c r="G2217" s="8" t="s">
        <v>4412</v>
      </c>
      <c r="H2217" s="8" t="s">
        <v>28</v>
      </c>
      <c r="I2217" s="4" t="s">
        <v>29</v>
      </c>
      <c r="J2217" s="4">
        <v>23</v>
      </c>
      <c r="K2217" s="4" t="s">
        <v>30</v>
      </c>
      <c r="L2217" s="8">
        <v>1</v>
      </c>
      <c r="M2217" s="9" t="s">
        <v>39</v>
      </c>
      <c r="N2217" s="9" t="str">
        <f t="shared" si="17"/>
        <v>GM</v>
      </c>
      <c r="O2217" s="10">
        <v>3870.41</v>
      </c>
      <c r="P2217" s="10">
        <v>2895</v>
      </c>
      <c r="Q2217" s="11">
        <v>8.6999999999999993</v>
      </c>
      <c r="R2217" s="13" t="str">
        <f>IF(Patient_Data!$L2217&lt;2,"Low Risk",IF(Patient_Data!$L2217&lt;4,"Moderate Risk","High Risk"))</f>
        <v>Low Risk</v>
      </c>
      <c r="S2217" s="12" t="str">
        <f>IF(Patient_Data[[#This Row],[Age]]&lt;=18,"Pediatric",IF(Patient_Data[[#This Row],[Age]]&lt;=64,"Adult","Geriatric"))</f>
        <v>Adult</v>
      </c>
    </row>
    <row r="2218" spans="1:19" ht="15.75" customHeight="1" x14ac:dyDescent="0.3">
      <c r="A2218" s="4" t="s">
        <v>4413</v>
      </c>
      <c r="B2218" s="5" t="str">
        <f>TEXT(Patient_Data!$E2218,"mmmm")</f>
        <v>July</v>
      </c>
      <c r="C2218" s="6" t="str">
        <f t="shared" si="16"/>
        <v>Jul</v>
      </c>
      <c r="D2218" s="6">
        <f>MONTH(Patient_Data!$E2218)</f>
        <v>7</v>
      </c>
      <c r="E2218" s="7">
        <v>45846</v>
      </c>
      <c r="F2218" s="55" t="str">
        <f>TEXT(Patient_Data[[#This Row],[Admission_Date]],"YYYY")</f>
        <v>2025</v>
      </c>
      <c r="G2218" s="8" t="s">
        <v>4414</v>
      </c>
      <c r="H2218" s="8" t="s">
        <v>75</v>
      </c>
      <c r="I2218" s="4" t="s">
        <v>29</v>
      </c>
      <c r="J2218" s="4">
        <v>31</v>
      </c>
      <c r="K2218" s="4" t="s">
        <v>30</v>
      </c>
      <c r="L2218" s="8">
        <v>1</v>
      </c>
      <c r="M2218" s="9" t="s">
        <v>83</v>
      </c>
      <c r="N2218" s="9" t="str">
        <f t="shared" si="17"/>
        <v>ER</v>
      </c>
      <c r="O2218" s="10">
        <v>7349.14</v>
      </c>
      <c r="P2218" s="10">
        <v>5668.55</v>
      </c>
      <c r="Q2218" s="11">
        <v>10.4</v>
      </c>
      <c r="R2218" s="13" t="str">
        <f>IF(Patient_Data!$L2218&lt;2,"Low Risk",IF(Patient_Data!$L2218&lt;4,"Moderate Risk","High Risk"))</f>
        <v>Low Risk</v>
      </c>
      <c r="S2218" s="12" t="str">
        <f>IF(Patient_Data[[#This Row],[Age]]&lt;=18,"Pediatric",IF(Patient_Data[[#This Row],[Age]]&lt;=64,"Adult","Geriatric"))</f>
        <v>Adult</v>
      </c>
    </row>
    <row r="2219" spans="1:19" ht="15.75" customHeight="1" x14ac:dyDescent="0.3">
      <c r="A2219" s="4" t="s">
        <v>4415</v>
      </c>
      <c r="B2219" s="5" t="str">
        <f>TEXT(Patient_Data!$E2219,"mmmm")</f>
        <v>November</v>
      </c>
      <c r="C2219" s="6" t="str">
        <f t="shared" si="16"/>
        <v>Nov</v>
      </c>
      <c r="D2219" s="6">
        <f>MONTH(Patient_Data!$E2219)</f>
        <v>11</v>
      </c>
      <c r="E2219" s="7">
        <v>45244</v>
      </c>
      <c r="F2219" s="55" t="str">
        <f>TEXT(Patient_Data[[#This Row],[Admission_Date]],"YYYY")</f>
        <v>2023</v>
      </c>
      <c r="G2219" s="8" t="s">
        <v>4416</v>
      </c>
      <c r="H2219" s="8" t="s">
        <v>34</v>
      </c>
      <c r="I2219" s="4" t="s">
        <v>29</v>
      </c>
      <c r="J2219" s="4">
        <v>31</v>
      </c>
      <c r="K2219" s="4" t="s">
        <v>54</v>
      </c>
      <c r="L2219" s="8">
        <v>5</v>
      </c>
      <c r="M2219" s="9" t="s">
        <v>31</v>
      </c>
      <c r="N2219" s="9" t="str">
        <f t="shared" si="17"/>
        <v>Neuro</v>
      </c>
      <c r="O2219" s="10">
        <v>8541.2000000000007</v>
      </c>
      <c r="P2219" s="10">
        <v>4970.7</v>
      </c>
      <c r="Q2219" s="11">
        <v>2.1</v>
      </c>
      <c r="R2219" s="13" t="str">
        <f>IF(Patient_Data!$L2219&lt;2,"Low Risk",IF(Patient_Data!$L2219&lt;4,"Moderate Risk","High Risk"))</f>
        <v>High Risk</v>
      </c>
      <c r="S2219" s="12" t="str">
        <f>IF(Patient_Data[[#This Row],[Age]]&lt;=18,"Pediatric",IF(Patient_Data[[#This Row],[Age]]&lt;=64,"Adult","Geriatric"))</f>
        <v>Adult</v>
      </c>
    </row>
    <row r="2220" spans="1:19" ht="15.75" customHeight="1" x14ac:dyDescent="0.3">
      <c r="A2220" s="4" t="s">
        <v>4417</v>
      </c>
      <c r="B2220" s="5" t="str">
        <f>TEXT(Patient_Data!$E2220,"mmmm")</f>
        <v>February</v>
      </c>
      <c r="C2220" s="6" t="str">
        <f t="shared" si="16"/>
        <v>Feb</v>
      </c>
      <c r="D2220" s="6">
        <f>MONTH(Patient_Data!$E2220)</f>
        <v>2</v>
      </c>
      <c r="E2220" s="7">
        <v>45346</v>
      </c>
      <c r="F2220" s="55" t="str">
        <f>TEXT(Patient_Data[[#This Row],[Admission_Date]],"YYYY")</f>
        <v>2024</v>
      </c>
      <c r="G2220" s="8" t="s">
        <v>4418</v>
      </c>
      <c r="H2220" s="8" t="s">
        <v>49</v>
      </c>
      <c r="I2220" s="4" t="s">
        <v>29</v>
      </c>
      <c r="J2220" s="4">
        <v>81</v>
      </c>
      <c r="K2220" s="4" t="s">
        <v>54</v>
      </c>
      <c r="L2220" s="8">
        <v>4</v>
      </c>
      <c r="M2220" s="9" t="s">
        <v>46</v>
      </c>
      <c r="N2220" s="9" t="str">
        <f t="shared" si="17"/>
        <v>Ortho</v>
      </c>
      <c r="O2220" s="10">
        <v>7253.59</v>
      </c>
      <c r="P2220" s="10">
        <v>4424.6899999999996</v>
      </c>
      <c r="Q2220" s="11"/>
      <c r="R2220" s="13" t="str">
        <f>IF(Patient_Data!$L2220&lt;2,"Low Risk",IF(Patient_Data!$L2220&lt;4,"Moderate Risk","High Risk"))</f>
        <v>High Risk</v>
      </c>
      <c r="S2220" s="12" t="str">
        <f>IF(Patient_Data[[#This Row],[Age]]&lt;=18,"Pediatric",IF(Patient_Data[[#This Row],[Age]]&lt;=64,"Adult","Geriatric"))</f>
        <v>Geriatric</v>
      </c>
    </row>
    <row r="2221" spans="1:19" ht="15.75" customHeight="1" x14ac:dyDescent="0.3">
      <c r="A2221" s="4" t="s">
        <v>4419</v>
      </c>
      <c r="B2221" s="5" t="str">
        <f>TEXT(Patient_Data!$E2221,"mmmm")</f>
        <v>August</v>
      </c>
      <c r="C2221" s="6" t="str">
        <f t="shared" si="16"/>
        <v>Aug</v>
      </c>
      <c r="D2221" s="6">
        <f>MONTH(Patient_Data!$E2221)</f>
        <v>8</v>
      </c>
      <c r="E2221" s="7">
        <v>45531</v>
      </c>
      <c r="F2221" s="55" t="str">
        <f>TEXT(Patient_Data[[#This Row],[Admission_Date]],"YYYY")</f>
        <v>2024</v>
      </c>
      <c r="G2221" s="8" t="s">
        <v>4420</v>
      </c>
      <c r="H2221" s="8" t="s">
        <v>49</v>
      </c>
      <c r="I2221" s="4" t="s">
        <v>35</v>
      </c>
      <c r="J2221" s="4">
        <v>26</v>
      </c>
      <c r="K2221" s="4" t="s">
        <v>54</v>
      </c>
      <c r="L2221" s="8">
        <v>3</v>
      </c>
      <c r="M2221" s="9" t="s">
        <v>36</v>
      </c>
      <c r="N2221" s="9" t="str">
        <f t="shared" si="17"/>
        <v>Cardio</v>
      </c>
      <c r="O2221" s="10">
        <v>9209.89</v>
      </c>
      <c r="P2221" s="10">
        <v>5988.73</v>
      </c>
      <c r="Q2221" s="11">
        <v>11.8</v>
      </c>
      <c r="R2221" s="13" t="str">
        <f>IF(Patient_Data!$L2221&lt;2,"Low Risk",IF(Patient_Data!$L2221&lt;4,"Moderate Risk","High Risk"))</f>
        <v>Moderate Risk</v>
      </c>
      <c r="S2221" s="12" t="str">
        <f>IF(Patient_Data[[#This Row],[Age]]&lt;=18,"Pediatric",IF(Patient_Data[[#This Row],[Age]]&lt;=64,"Adult","Geriatric"))</f>
        <v>Adult</v>
      </c>
    </row>
    <row r="2222" spans="1:19" ht="15.75" customHeight="1" x14ac:dyDescent="0.3">
      <c r="A2222" s="4" t="s">
        <v>4421</v>
      </c>
      <c r="B2222" s="5" t="str">
        <f>TEXT(Patient_Data!$E2222,"mmmm")</f>
        <v>December</v>
      </c>
      <c r="C2222" s="6" t="str">
        <f t="shared" si="16"/>
        <v>Dec</v>
      </c>
      <c r="D2222" s="6">
        <f>MONTH(Patient_Data!$E2222)</f>
        <v>12</v>
      </c>
      <c r="E2222" s="7">
        <v>46001</v>
      </c>
      <c r="F2222" s="55" t="str">
        <f>TEXT(Patient_Data[[#This Row],[Admission_Date]],"YYYY")</f>
        <v>2025</v>
      </c>
      <c r="G2222" s="8" t="s">
        <v>4422</v>
      </c>
      <c r="H2222" s="8" t="s">
        <v>28</v>
      </c>
      <c r="I2222" s="4" t="s">
        <v>35</v>
      </c>
      <c r="J2222" s="4">
        <v>76</v>
      </c>
      <c r="K2222" s="4" t="s">
        <v>45</v>
      </c>
      <c r="L2222" s="8">
        <v>5</v>
      </c>
      <c r="M2222" s="9" t="s">
        <v>46</v>
      </c>
      <c r="N2222" s="9" t="str">
        <f t="shared" si="17"/>
        <v>Ortho</v>
      </c>
      <c r="O2222" s="10">
        <v>12596.47</v>
      </c>
      <c r="P2222" s="10">
        <v>8461.23</v>
      </c>
      <c r="Q2222" s="11">
        <v>2.7</v>
      </c>
      <c r="R2222" s="13" t="str">
        <f>IF(Patient_Data!$L2222&lt;2,"Low Risk",IF(Patient_Data!$L2222&lt;4,"Moderate Risk","High Risk"))</f>
        <v>High Risk</v>
      </c>
      <c r="S2222" s="12" t="str">
        <f>IF(Patient_Data[[#This Row],[Age]]&lt;=18,"Pediatric",IF(Patient_Data[[#This Row],[Age]]&lt;=64,"Adult","Geriatric"))</f>
        <v>Geriatric</v>
      </c>
    </row>
    <row r="2223" spans="1:19" ht="15.75" customHeight="1" x14ac:dyDescent="0.3">
      <c r="A2223" s="4" t="s">
        <v>4423</v>
      </c>
      <c r="B2223" s="5" t="str">
        <f>TEXT(Patient_Data!$E2223,"mmmm")</f>
        <v>October</v>
      </c>
      <c r="C2223" s="6" t="str">
        <f t="shared" si="16"/>
        <v>Oct</v>
      </c>
      <c r="D2223" s="6">
        <f>MONTH(Patient_Data!$E2223)</f>
        <v>10</v>
      </c>
      <c r="E2223" s="7">
        <v>45961</v>
      </c>
      <c r="F2223" s="55" t="str">
        <f>TEXT(Patient_Data[[#This Row],[Admission_Date]],"YYYY")</f>
        <v>2025</v>
      </c>
      <c r="G2223" s="8" t="s">
        <v>4424</v>
      </c>
      <c r="H2223" s="8" t="s">
        <v>82</v>
      </c>
      <c r="I2223" s="4" t="s">
        <v>35</v>
      </c>
      <c r="J2223" s="4">
        <v>69</v>
      </c>
      <c r="K2223" s="4" t="s">
        <v>30</v>
      </c>
      <c r="L2223" s="8">
        <v>3</v>
      </c>
      <c r="M2223" s="9" t="s">
        <v>72</v>
      </c>
      <c r="N2223" s="9" t="str">
        <f t="shared" si="17"/>
        <v>Surgery</v>
      </c>
      <c r="O2223" s="10">
        <v>17423.759999999998</v>
      </c>
      <c r="P2223" s="10">
        <v>12215.03</v>
      </c>
      <c r="Q2223" s="11">
        <v>2.2999999999999998</v>
      </c>
      <c r="R2223" s="13" t="str">
        <f>IF(Patient_Data!$L2223&lt;2,"Low Risk",IF(Patient_Data!$L2223&lt;4,"Moderate Risk","High Risk"))</f>
        <v>Moderate Risk</v>
      </c>
      <c r="S2223" s="12" t="str">
        <f>IF(Patient_Data[[#This Row],[Age]]&lt;=18,"Pediatric",IF(Patient_Data[[#This Row],[Age]]&lt;=64,"Adult","Geriatric"))</f>
        <v>Geriatric</v>
      </c>
    </row>
    <row r="2224" spans="1:19" ht="15.75" customHeight="1" x14ac:dyDescent="0.3">
      <c r="A2224" s="4" t="s">
        <v>4425</v>
      </c>
      <c r="B2224" s="5" t="str">
        <f>TEXT(Patient_Data!$E2224,"mmmm")</f>
        <v>March</v>
      </c>
      <c r="C2224" s="6" t="str">
        <f t="shared" si="16"/>
        <v>Mar</v>
      </c>
      <c r="D2224" s="6">
        <f>MONTH(Patient_Data!$E2224)</f>
        <v>3</v>
      </c>
      <c r="E2224" s="7">
        <v>46090</v>
      </c>
      <c r="F2224" s="55" t="str">
        <f>TEXT(Patient_Data[[#This Row],[Admission_Date]],"YYYY")</f>
        <v>2026</v>
      </c>
      <c r="G2224" s="8" t="s">
        <v>2909</v>
      </c>
      <c r="H2224" s="8" t="s">
        <v>98</v>
      </c>
      <c r="I2224" s="4" t="s">
        <v>35</v>
      </c>
      <c r="J2224" s="4">
        <v>79</v>
      </c>
      <c r="K2224" s="4" t="s">
        <v>45</v>
      </c>
      <c r="L2224" s="8">
        <v>5</v>
      </c>
      <c r="M2224" s="9" t="s">
        <v>72</v>
      </c>
      <c r="N2224" s="9" t="str">
        <f t="shared" si="17"/>
        <v>Surgery</v>
      </c>
      <c r="O2224" s="10">
        <v>16035.22</v>
      </c>
      <c r="P2224" s="10">
        <v>11783.31</v>
      </c>
      <c r="Q2224" s="11">
        <v>9.6999999999999993</v>
      </c>
      <c r="R2224" s="13" t="str">
        <f>IF(Patient_Data!$L2224&lt;2,"Low Risk",IF(Patient_Data!$L2224&lt;4,"Moderate Risk","High Risk"))</f>
        <v>High Risk</v>
      </c>
      <c r="S2224" s="12" t="str">
        <f>IF(Patient_Data[[#This Row],[Age]]&lt;=18,"Pediatric",IF(Patient_Data[[#This Row],[Age]]&lt;=64,"Adult","Geriatric"))</f>
        <v>Geriatric</v>
      </c>
    </row>
    <row r="2225" spans="1:19" ht="15.75" customHeight="1" x14ac:dyDescent="0.3">
      <c r="A2225" s="4" t="s">
        <v>4426</v>
      </c>
      <c r="B2225" s="5" t="str">
        <f>TEXT(Patient_Data!$E2225,"mmmm")</f>
        <v>December</v>
      </c>
      <c r="C2225" s="6" t="str">
        <f t="shared" si="16"/>
        <v>Dec</v>
      </c>
      <c r="D2225" s="6">
        <f>MONTH(Patient_Data!$E2225)</f>
        <v>12</v>
      </c>
      <c r="E2225" s="7">
        <v>45995</v>
      </c>
      <c r="F2225" s="55" t="str">
        <f>TEXT(Patient_Data[[#This Row],[Admission_Date]],"YYYY")</f>
        <v>2025</v>
      </c>
      <c r="G2225" s="8" t="s">
        <v>4427</v>
      </c>
      <c r="H2225" s="8" t="s">
        <v>42</v>
      </c>
      <c r="I2225" s="4" t="s">
        <v>35</v>
      </c>
      <c r="J2225" s="4">
        <v>47</v>
      </c>
      <c r="K2225" s="4" t="s">
        <v>30</v>
      </c>
      <c r="L2225" s="8">
        <v>2</v>
      </c>
      <c r="M2225" s="9" t="s">
        <v>31</v>
      </c>
      <c r="N2225" s="9" t="str">
        <f t="shared" si="17"/>
        <v>Neuro</v>
      </c>
      <c r="O2225" s="10">
        <v>10146.200000000001</v>
      </c>
      <c r="P2225" s="10">
        <v>7787.91</v>
      </c>
      <c r="Q2225" s="11">
        <v>9.6</v>
      </c>
      <c r="R2225" s="13" t="str">
        <f>IF(Patient_Data!$L2225&lt;2,"Low Risk",IF(Patient_Data!$L2225&lt;4,"Moderate Risk","High Risk"))</f>
        <v>Moderate Risk</v>
      </c>
      <c r="S2225" s="12" t="str">
        <f>IF(Patient_Data[[#This Row],[Age]]&lt;=18,"Pediatric",IF(Patient_Data[[#This Row],[Age]]&lt;=64,"Adult","Geriatric"))</f>
        <v>Adult</v>
      </c>
    </row>
    <row r="2226" spans="1:19" ht="15.75" customHeight="1" x14ac:dyDescent="0.3">
      <c r="A2226" s="4" t="s">
        <v>4428</v>
      </c>
      <c r="B2226" s="5" t="str">
        <f>TEXT(Patient_Data!$E2226,"mmmm")</f>
        <v>November</v>
      </c>
      <c r="C2226" s="6" t="str">
        <f t="shared" si="16"/>
        <v>Nov</v>
      </c>
      <c r="D2226" s="6">
        <f>MONTH(Patient_Data!$E2226)</f>
        <v>11</v>
      </c>
      <c r="E2226" s="7">
        <v>45964</v>
      </c>
      <c r="F2226" s="55" t="str">
        <f>TEXT(Patient_Data[[#This Row],[Admission_Date]],"YYYY")</f>
        <v>2025</v>
      </c>
      <c r="G2226" s="8" t="s">
        <v>4429</v>
      </c>
      <c r="H2226" s="8" t="s">
        <v>49</v>
      </c>
      <c r="I2226" s="4" t="s">
        <v>29</v>
      </c>
      <c r="J2226" s="4">
        <v>38</v>
      </c>
      <c r="K2226" s="4" t="s">
        <v>54</v>
      </c>
      <c r="L2226" s="8">
        <v>1</v>
      </c>
      <c r="M2226" s="9" t="s">
        <v>83</v>
      </c>
      <c r="N2226" s="9" t="str">
        <f t="shared" si="17"/>
        <v>ER</v>
      </c>
      <c r="O2226" s="10">
        <v>4408.07</v>
      </c>
      <c r="P2226" s="10">
        <v>2642.28</v>
      </c>
      <c r="Q2226" s="11">
        <v>10.7</v>
      </c>
      <c r="R2226" s="13" t="str">
        <f>IF(Patient_Data!$L2226&lt;2,"Low Risk",IF(Patient_Data!$L2226&lt;4,"Moderate Risk","High Risk"))</f>
        <v>Low Risk</v>
      </c>
      <c r="S2226" s="12" t="str">
        <f>IF(Patient_Data[[#This Row],[Age]]&lt;=18,"Pediatric",IF(Patient_Data[[#This Row],[Age]]&lt;=64,"Adult","Geriatric"))</f>
        <v>Adult</v>
      </c>
    </row>
    <row r="2227" spans="1:19" ht="15.75" customHeight="1" x14ac:dyDescent="0.3">
      <c r="A2227" s="4" t="s">
        <v>4430</v>
      </c>
      <c r="B2227" s="5" t="str">
        <f>TEXT(Patient_Data!$E2227,"mmmm")</f>
        <v>January</v>
      </c>
      <c r="C2227" s="6" t="str">
        <f t="shared" si="16"/>
        <v>Jan</v>
      </c>
      <c r="D2227" s="6">
        <f>MONTH(Patient_Data!$E2227)</f>
        <v>1</v>
      </c>
      <c r="E2227" s="7">
        <v>45296</v>
      </c>
      <c r="F2227" s="55" t="str">
        <f>TEXT(Patient_Data[[#This Row],[Admission_Date]],"YYYY")</f>
        <v>2024</v>
      </c>
      <c r="G2227" s="8" t="s">
        <v>95</v>
      </c>
      <c r="H2227" s="8" t="s">
        <v>53</v>
      </c>
      <c r="I2227" s="4" t="s">
        <v>35</v>
      </c>
      <c r="J2227" s="4">
        <v>20</v>
      </c>
      <c r="K2227" s="4" t="s">
        <v>54</v>
      </c>
      <c r="L2227" s="8">
        <v>3</v>
      </c>
      <c r="M2227" s="9" t="s">
        <v>36</v>
      </c>
      <c r="N2227" s="9" t="str">
        <f t="shared" si="17"/>
        <v>Cardio</v>
      </c>
      <c r="O2227" s="10">
        <v>11516.11</v>
      </c>
      <c r="P2227" s="10">
        <v>7118.43</v>
      </c>
      <c r="Q2227" s="11">
        <v>11.7</v>
      </c>
      <c r="R2227" s="13" t="str">
        <f>IF(Patient_Data!$L2227&lt;2,"Low Risk",IF(Patient_Data!$L2227&lt;4,"Moderate Risk","High Risk"))</f>
        <v>Moderate Risk</v>
      </c>
      <c r="S2227" s="12" t="str">
        <f>IF(Patient_Data[[#This Row],[Age]]&lt;=18,"Pediatric",IF(Patient_Data[[#This Row],[Age]]&lt;=64,"Adult","Geriatric"))</f>
        <v>Adult</v>
      </c>
    </row>
    <row r="2228" spans="1:19" ht="15.75" customHeight="1" x14ac:dyDescent="0.3">
      <c r="A2228" s="4" t="s">
        <v>4431</v>
      </c>
      <c r="B2228" s="5" t="str">
        <f>TEXT(Patient_Data!$E2228,"mmmm")</f>
        <v>November</v>
      </c>
      <c r="C2228" s="6" t="str">
        <f t="shared" si="16"/>
        <v>Nov</v>
      </c>
      <c r="D2228" s="6">
        <f>MONTH(Patient_Data!$E2228)</f>
        <v>11</v>
      </c>
      <c r="E2228" s="7">
        <v>45260</v>
      </c>
      <c r="F2228" s="55" t="str">
        <f>TEXT(Patient_Data[[#This Row],[Admission_Date]],"YYYY")</f>
        <v>2023</v>
      </c>
      <c r="G2228" s="8" t="s">
        <v>4432</v>
      </c>
      <c r="H2228" s="8" t="s">
        <v>132</v>
      </c>
      <c r="I2228" s="4" t="s">
        <v>29</v>
      </c>
      <c r="J2228" s="4">
        <v>26</v>
      </c>
      <c r="K2228" s="4" t="s">
        <v>45</v>
      </c>
      <c r="L2228" s="8">
        <v>4</v>
      </c>
      <c r="M2228" s="9" t="s">
        <v>31</v>
      </c>
      <c r="N2228" s="9" t="str">
        <f t="shared" si="17"/>
        <v>Neuro</v>
      </c>
      <c r="O2228" s="10">
        <v>12753.52</v>
      </c>
      <c r="P2228" s="10">
        <v>8250.25</v>
      </c>
      <c r="Q2228" s="11">
        <v>11</v>
      </c>
      <c r="R2228" s="13" t="str">
        <f>IF(Patient_Data!$L2228&lt;2,"Low Risk",IF(Patient_Data!$L2228&lt;4,"Moderate Risk","High Risk"))</f>
        <v>High Risk</v>
      </c>
      <c r="S2228" s="12" t="str">
        <f>IF(Patient_Data[[#This Row],[Age]]&lt;=18,"Pediatric",IF(Patient_Data[[#This Row],[Age]]&lt;=64,"Adult","Geriatric"))</f>
        <v>Adult</v>
      </c>
    </row>
    <row r="2229" spans="1:19" ht="15.75" customHeight="1" x14ac:dyDescent="0.3">
      <c r="A2229" s="4" t="s">
        <v>4433</v>
      </c>
      <c r="B2229" s="5" t="str">
        <f>TEXT(Patient_Data!$E2229,"mmmm")</f>
        <v>January</v>
      </c>
      <c r="C2229" s="6" t="str">
        <f t="shared" si="16"/>
        <v>Jan</v>
      </c>
      <c r="D2229" s="6">
        <f>MONTH(Patient_Data!$E2229)</f>
        <v>1</v>
      </c>
      <c r="E2229" s="7">
        <v>45315</v>
      </c>
      <c r="F2229" s="55" t="str">
        <f>TEXT(Patient_Data[[#This Row],[Admission_Date]],"YYYY")</f>
        <v>2024</v>
      </c>
      <c r="G2229" s="8" t="s">
        <v>4434</v>
      </c>
      <c r="H2229" s="8" t="s">
        <v>42</v>
      </c>
      <c r="I2229" s="4" t="s">
        <v>29</v>
      </c>
      <c r="J2229" s="4">
        <v>78</v>
      </c>
      <c r="K2229" s="4" t="s">
        <v>54</v>
      </c>
      <c r="L2229" s="8">
        <v>3</v>
      </c>
      <c r="M2229" s="9" t="s">
        <v>31</v>
      </c>
      <c r="N2229" s="9" t="str">
        <f t="shared" si="17"/>
        <v>Neuro</v>
      </c>
      <c r="O2229" s="10">
        <v>13448.32</v>
      </c>
      <c r="P2229" s="10">
        <v>9035.17</v>
      </c>
      <c r="Q2229" s="11">
        <v>3.1</v>
      </c>
      <c r="R2229" s="13" t="str">
        <f>IF(Patient_Data!$L2229&lt;2,"Low Risk",IF(Patient_Data!$L2229&lt;4,"Moderate Risk","High Risk"))</f>
        <v>Moderate Risk</v>
      </c>
      <c r="S2229" s="12" t="str">
        <f>IF(Patient_Data[[#This Row],[Age]]&lt;=18,"Pediatric",IF(Patient_Data[[#This Row],[Age]]&lt;=64,"Adult","Geriatric"))</f>
        <v>Geriatric</v>
      </c>
    </row>
    <row r="2230" spans="1:19" ht="15.75" customHeight="1" x14ac:dyDescent="0.3">
      <c r="A2230" s="4" t="s">
        <v>4435</v>
      </c>
      <c r="B2230" s="5" t="str">
        <f>TEXT(Patient_Data!$E2230,"mmmm")</f>
        <v>April</v>
      </c>
      <c r="C2230" s="6" t="str">
        <f t="shared" si="16"/>
        <v>Apr</v>
      </c>
      <c r="D2230" s="6">
        <f>MONTH(Patient_Data!$E2230)</f>
        <v>4</v>
      </c>
      <c r="E2230" s="7">
        <v>45384</v>
      </c>
      <c r="F2230" s="55" t="str">
        <f>TEXT(Patient_Data[[#This Row],[Admission_Date]],"YYYY")</f>
        <v>2024</v>
      </c>
      <c r="G2230" s="8" t="s">
        <v>4436</v>
      </c>
      <c r="H2230" s="8" t="s">
        <v>53</v>
      </c>
      <c r="I2230" s="4" t="s">
        <v>29</v>
      </c>
      <c r="J2230" s="4">
        <v>58</v>
      </c>
      <c r="K2230" s="4" t="s">
        <v>30</v>
      </c>
      <c r="L2230" s="8">
        <v>3</v>
      </c>
      <c r="M2230" s="9" t="s">
        <v>83</v>
      </c>
      <c r="N2230" s="9" t="str">
        <f t="shared" si="17"/>
        <v>ER</v>
      </c>
      <c r="O2230" s="10">
        <v>7618.69</v>
      </c>
      <c r="P2230" s="10">
        <v>5482.68</v>
      </c>
      <c r="Q2230" s="11">
        <v>18.7</v>
      </c>
      <c r="R2230" s="13" t="str">
        <f>IF(Patient_Data!$L2230&lt;2,"Low Risk",IF(Patient_Data!$L2230&lt;4,"Moderate Risk","High Risk"))</f>
        <v>Moderate Risk</v>
      </c>
      <c r="S2230" s="12" t="str">
        <f>IF(Patient_Data[[#This Row],[Age]]&lt;=18,"Pediatric",IF(Patient_Data[[#This Row],[Age]]&lt;=64,"Adult","Geriatric"))</f>
        <v>Adult</v>
      </c>
    </row>
    <row r="2231" spans="1:19" ht="15.75" customHeight="1" x14ac:dyDescent="0.3">
      <c r="A2231" s="4" t="s">
        <v>4437</v>
      </c>
      <c r="B2231" s="5" t="str">
        <f>TEXT(Patient_Data!$E2231,"mmmm")</f>
        <v>May</v>
      </c>
      <c r="C2231" s="6" t="str">
        <f t="shared" si="16"/>
        <v>May</v>
      </c>
      <c r="D2231" s="6">
        <f>MONTH(Patient_Data!$E2231)</f>
        <v>5</v>
      </c>
      <c r="E2231" s="7">
        <v>45784</v>
      </c>
      <c r="F2231" s="55" t="str">
        <f>TEXT(Patient_Data[[#This Row],[Admission_Date]],"YYYY")</f>
        <v>2025</v>
      </c>
      <c r="G2231" s="8" t="s">
        <v>4438</v>
      </c>
      <c r="H2231" s="8" t="s">
        <v>75</v>
      </c>
      <c r="I2231" s="4" t="s">
        <v>29</v>
      </c>
      <c r="J2231" s="4">
        <v>44</v>
      </c>
      <c r="K2231" s="4" t="s">
        <v>30</v>
      </c>
      <c r="L2231" s="8">
        <v>1</v>
      </c>
      <c r="M2231" s="9" t="s">
        <v>83</v>
      </c>
      <c r="N2231" s="9" t="str">
        <f t="shared" si="17"/>
        <v>ER</v>
      </c>
      <c r="O2231" s="10">
        <v>4290.2299999999996</v>
      </c>
      <c r="P2231" s="10">
        <v>3263.87</v>
      </c>
      <c r="Q2231" s="11">
        <v>16.5</v>
      </c>
      <c r="R2231" s="13" t="str">
        <f>IF(Patient_Data!$L2231&lt;2,"Low Risk",IF(Patient_Data!$L2231&lt;4,"Moderate Risk","High Risk"))</f>
        <v>Low Risk</v>
      </c>
      <c r="S2231" s="12" t="str">
        <f>IF(Patient_Data[[#This Row],[Age]]&lt;=18,"Pediatric",IF(Patient_Data[[#This Row],[Age]]&lt;=64,"Adult","Geriatric"))</f>
        <v>Adult</v>
      </c>
    </row>
    <row r="2232" spans="1:19" ht="15.75" customHeight="1" x14ac:dyDescent="0.3">
      <c r="A2232" s="4" t="s">
        <v>4439</v>
      </c>
      <c r="B2232" s="5" t="str">
        <f>TEXT(Patient_Data!$E2232,"mmmm")</f>
        <v>February</v>
      </c>
      <c r="C2232" s="6" t="str">
        <f t="shared" si="16"/>
        <v>Feb</v>
      </c>
      <c r="D2232" s="6">
        <f>MONTH(Patient_Data!$E2232)</f>
        <v>2</v>
      </c>
      <c r="E2232" s="7">
        <v>45344</v>
      </c>
      <c r="F2232" s="55" t="str">
        <f>TEXT(Patient_Data[[#This Row],[Admission_Date]],"YYYY")</f>
        <v>2024</v>
      </c>
      <c r="G2232" s="8" t="s">
        <v>4440</v>
      </c>
      <c r="H2232" s="8" t="s">
        <v>28</v>
      </c>
      <c r="I2232" s="4" t="s">
        <v>35</v>
      </c>
      <c r="J2232" s="4">
        <v>58</v>
      </c>
      <c r="K2232" s="4" t="s">
        <v>30</v>
      </c>
      <c r="L2232" s="8">
        <v>2</v>
      </c>
      <c r="M2232" s="9" t="s">
        <v>46</v>
      </c>
      <c r="N2232" s="9" t="str">
        <f t="shared" si="17"/>
        <v>Ortho</v>
      </c>
      <c r="O2232" s="10">
        <v>7323.43</v>
      </c>
      <c r="P2232" s="10">
        <v>5629.01</v>
      </c>
      <c r="Q2232" s="11">
        <v>7.9</v>
      </c>
      <c r="R2232" s="13" t="str">
        <f>IF(Patient_Data!$L2232&lt;2,"Low Risk",IF(Patient_Data!$L2232&lt;4,"Moderate Risk","High Risk"))</f>
        <v>Moderate Risk</v>
      </c>
      <c r="S2232" s="12" t="str">
        <f>IF(Patient_Data[[#This Row],[Age]]&lt;=18,"Pediatric",IF(Patient_Data[[#This Row],[Age]]&lt;=64,"Adult","Geriatric"))</f>
        <v>Adult</v>
      </c>
    </row>
    <row r="2233" spans="1:19" ht="15.75" customHeight="1" x14ac:dyDescent="0.3">
      <c r="A2233" s="4" t="s">
        <v>4441</v>
      </c>
      <c r="B2233" s="5" t="str">
        <f>TEXT(Patient_Data!$E2233,"mmmm")</f>
        <v>March</v>
      </c>
      <c r="C2233" s="6" t="str">
        <f t="shared" si="16"/>
        <v>Mar</v>
      </c>
      <c r="D2233" s="6">
        <f>MONTH(Patient_Data!$E2233)</f>
        <v>3</v>
      </c>
      <c r="E2233" s="7">
        <v>45743</v>
      </c>
      <c r="F2233" s="55" t="str">
        <f>TEXT(Patient_Data[[#This Row],[Admission_Date]],"YYYY")</f>
        <v>2025</v>
      </c>
      <c r="G2233" s="8" t="s">
        <v>4442</v>
      </c>
      <c r="H2233" s="8" t="s">
        <v>82</v>
      </c>
      <c r="I2233" s="4" t="s">
        <v>29</v>
      </c>
      <c r="J2233" s="4">
        <v>5</v>
      </c>
      <c r="K2233" s="4" t="s">
        <v>30</v>
      </c>
      <c r="L2233" s="8">
        <v>2</v>
      </c>
      <c r="M2233" s="9" t="s">
        <v>79</v>
      </c>
      <c r="N2233" s="9" t="str">
        <f t="shared" si="17"/>
        <v>PD</v>
      </c>
      <c r="O2233" s="10">
        <v>2651.92</v>
      </c>
      <c r="P2233" s="10">
        <v>1580.51</v>
      </c>
      <c r="Q2233" s="11">
        <v>5.3</v>
      </c>
      <c r="R2233" s="13" t="str">
        <f>IF(Patient_Data!$L2233&lt;2,"Low Risk",IF(Patient_Data!$L2233&lt;4,"Moderate Risk","High Risk"))</f>
        <v>Moderate Risk</v>
      </c>
      <c r="S2233" s="12" t="str">
        <f>IF(Patient_Data[[#This Row],[Age]]&lt;=18,"Pediatric",IF(Patient_Data[[#This Row],[Age]]&lt;=64,"Adult","Geriatric"))</f>
        <v>Pediatric</v>
      </c>
    </row>
    <row r="2234" spans="1:19" ht="15.75" customHeight="1" x14ac:dyDescent="0.3">
      <c r="A2234" s="4" t="s">
        <v>4443</v>
      </c>
      <c r="B2234" s="5" t="str">
        <f>TEXT(Patient_Data!$E2234,"mmmm")</f>
        <v>February</v>
      </c>
      <c r="C2234" s="6" t="str">
        <f t="shared" si="16"/>
        <v>Feb</v>
      </c>
      <c r="D2234" s="6">
        <f>MONTH(Patient_Data!$E2234)</f>
        <v>2</v>
      </c>
      <c r="E2234" s="7">
        <v>46063</v>
      </c>
      <c r="F2234" s="55" t="str">
        <f>TEXT(Patient_Data[[#This Row],[Admission_Date]],"YYYY")</f>
        <v>2026</v>
      </c>
      <c r="G2234" s="8" t="s">
        <v>4444</v>
      </c>
      <c r="H2234" s="8" t="s">
        <v>34</v>
      </c>
      <c r="I2234" s="4" t="s">
        <v>29</v>
      </c>
      <c r="J2234" s="4">
        <v>70</v>
      </c>
      <c r="K2234" s="4" t="s">
        <v>30</v>
      </c>
      <c r="L2234" s="8">
        <v>3</v>
      </c>
      <c r="M2234" s="9" t="s">
        <v>31</v>
      </c>
      <c r="N2234" s="9" t="str">
        <f t="shared" si="17"/>
        <v>Neuro</v>
      </c>
      <c r="O2234" s="10">
        <v>11016</v>
      </c>
      <c r="P2234" s="10">
        <v>6771.76</v>
      </c>
      <c r="Q2234" s="11">
        <v>6.5</v>
      </c>
      <c r="R2234" s="13" t="str">
        <f>IF(Patient_Data!$L2234&lt;2,"Low Risk",IF(Patient_Data!$L2234&lt;4,"Moderate Risk","High Risk"))</f>
        <v>Moderate Risk</v>
      </c>
      <c r="S2234" s="12" t="str">
        <f>IF(Patient_Data[[#This Row],[Age]]&lt;=18,"Pediatric",IF(Patient_Data[[#This Row],[Age]]&lt;=64,"Adult","Geriatric"))</f>
        <v>Geriatric</v>
      </c>
    </row>
    <row r="2235" spans="1:19" ht="15.75" customHeight="1" x14ac:dyDescent="0.3">
      <c r="A2235" s="4" t="s">
        <v>4445</v>
      </c>
      <c r="B2235" s="5" t="str">
        <f>TEXT(Patient_Data!$E2235,"mmmm")</f>
        <v>October</v>
      </c>
      <c r="C2235" s="6" t="str">
        <f t="shared" si="16"/>
        <v>Oct</v>
      </c>
      <c r="D2235" s="6">
        <f>MONTH(Patient_Data!$E2235)</f>
        <v>10</v>
      </c>
      <c r="E2235" s="7">
        <v>45230</v>
      </c>
      <c r="F2235" s="55" t="str">
        <f>TEXT(Patient_Data[[#This Row],[Admission_Date]],"YYYY")</f>
        <v>2023</v>
      </c>
      <c r="G2235" s="8" t="s">
        <v>4446</v>
      </c>
      <c r="H2235" s="8" t="s">
        <v>28</v>
      </c>
      <c r="I2235" s="4" t="s">
        <v>29</v>
      </c>
      <c r="J2235" s="4">
        <v>26</v>
      </c>
      <c r="K2235" s="4" t="s">
        <v>54</v>
      </c>
      <c r="L2235" s="8">
        <v>1</v>
      </c>
      <c r="M2235" s="9" t="s">
        <v>83</v>
      </c>
      <c r="N2235" s="9" t="str">
        <f t="shared" si="17"/>
        <v>ER</v>
      </c>
      <c r="O2235" s="10">
        <v>7298.07</v>
      </c>
      <c r="P2235" s="10">
        <v>4821.96</v>
      </c>
      <c r="Q2235" s="11">
        <v>18.899999999999999</v>
      </c>
      <c r="R2235" s="13" t="str">
        <f>IF(Patient_Data!$L2235&lt;2,"Low Risk",IF(Patient_Data!$L2235&lt;4,"Moderate Risk","High Risk"))</f>
        <v>Low Risk</v>
      </c>
      <c r="S2235" s="12" t="str">
        <f>IF(Patient_Data[[#This Row],[Age]]&lt;=18,"Pediatric",IF(Patient_Data[[#This Row],[Age]]&lt;=64,"Adult","Geriatric"))</f>
        <v>Adult</v>
      </c>
    </row>
    <row r="2236" spans="1:19" ht="15.75" customHeight="1" x14ac:dyDescent="0.3">
      <c r="A2236" s="4" t="s">
        <v>4447</v>
      </c>
      <c r="B2236" s="5" t="str">
        <f>TEXT(Patient_Data!$E2236,"mmmm")</f>
        <v>November</v>
      </c>
      <c r="C2236" s="6" t="str">
        <f t="shared" si="16"/>
        <v>Nov</v>
      </c>
      <c r="D2236" s="6">
        <f>MONTH(Patient_Data!$E2236)</f>
        <v>11</v>
      </c>
      <c r="E2236" s="7">
        <v>45617</v>
      </c>
      <c r="F2236" s="55" t="str">
        <f>TEXT(Patient_Data[[#This Row],[Admission_Date]],"YYYY")</f>
        <v>2024</v>
      </c>
      <c r="G2236" s="8" t="s">
        <v>1242</v>
      </c>
      <c r="H2236" s="8" t="s">
        <v>42</v>
      </c>
      <c r="I2236" s="4" t="s">
        <v>29</v>
      </c>
      <c r="J2236" s="4">
        <v>38</v>
      </c>
      <c r="K2236" s="4" t="s">
        <v>30</v>
      </c>
      <c r="L2236" s="8">
        <v>1</v>
      </c>
      <c r="M2236" s="9" t="s">
        <v>31</v>
      </c>
      <c r="N2236" s="9" t="str">
        <f t="shared" si="17"/>
        <v>Neuro</v>
      </c>
      <c r="O2236" s="10">
        <v>6136.2</v>
      </c>
      <c r="P2236" s="10">
        <v>4144.05</v>
      </c>
      <c r="Q2236" s="11">
        <v>4.0999999999999996</v>
      </c>
      <c r="R2236" s="13" t="str">
        <f>IF(Patient_Data!$L2236&lt;2,"Low Risk",IF(Patient_Data!$L2236&lt;4,"Moderate Risk","High Risk"))</f>
        <v>Low Risk</v>
      </c>
      <c r="S2236" s="12" t="str">
        <f>IF(Patient_Data[[#This Row],[Age]]&lt;=18,"Pediatric",IF(Patient_Data[[#This Row],[Age]]&lt;=64,"Adult","Geriatric"))</f>
        <v>Adult</v>
      </c>
    </row>
    <row r="2237" spans="1:19" ht="15.75" customHeight="1" x14ac:dyDescent="0.3">
      <c r="A2237" s="4" t="s">
        <v>4448</v>
      </c>
      <c r="B2237" s="5" t="str">
        <f>TEXT(Patient_Data!$E2237,"mmmm")</f>
        <v>June</v>
      </c>
      <c r="C2237" s="6" t="str">
        <f t="shared" si="16"/>
        <v>Jun</v>
      </c>
      <c r="D2237" s="6">
        <f>MONTH(Patient_Data!$E2237)</f>
        <v>6</v>
      </c>
      <c r="E2237" s="7">
        <v>45446</v>
      </c>
      <c r="F2237" s="55" t="str">
        <f>TEXT(Patient_Data[[#This Row],[Admission_Date]],"YYYY")</f>
        <v>2024</v>
      </c>
      <c r="G2237" s="8" t="s">
        <v>4449</v>
      </c>
      <c r="H2237" s="8" t="s">
        <v>49</v>
      </c>
      <c r="I2237" s="4" t="s">
        <v>35</v>
      </c>
      <c r="J2237" s="4">
        <v>49</v>
      </c>
      <c r="K2237" s="4" t="s">
        <v>30</v>
      </c>
      <c r="L2237" s="8">
        <v>2</v>
      </c>
      <c r="M2237" s="9" t="s">
        <v>36</v>
      </c>
      <c r="N2237" s="9" t="str">
        <f t="shared" si="17"/>
        <v>Cardio</v>
      </c>
      <c r="O2237" s="10">
        <v>12277.47</v>
      </c>
      <c r="P2237" s="10">
        <v>8680.6299999999992</v>
      </c>
      <c r="Q2237" s="11">
        <v>10.8</v>
      </c>
      <c r="R2237" s="13" t="str">
        <f>IF(Patient_Data!$L2237&lt;2,"Low Risk",IF(Patient_Data!$L2237&lt;4,"Moderate Risk","High Risk"))</f>
        <v>Moderate Risk</v>
      </c>
      <c r="S2237" s="12" t="str">
        <f>IF(Patient_Data[[#This Row],[Age]]&lt;=18,"Pediatric",IF(Patient_Data[[#This Row],[Age]]&lt;=64,"Adult","Geriatric"))</f>
        <v>Adult</v>
      </c>
    </row>
    <row r="2238" spans="1:19" ht="15.75" customHeight="1" x14ac:dyDescent="0.3">
      <c r="A2238" s="4" t="s">
        <v>4450</v>
      </c>
      <c r="B2238" s="5" t="str">
        <f>TEXT(Patient_Data!$E2238,"mmmm")</f>
        <v>November</v>
      </c>
      <c r="C2238" s="6" t="str">
        <f t="shared" si="16"/>
        <v>Nov</v>
      </c>
      <c r="D2238" s="6">
        <f>MONTH(Patient_Data!$E2238)</f>
        <v>11</v>
      </c>
      <c r="E2238" s="7">
        <v>45967</v>
      </c>
      <c r="F2238" s="55" t="str">
        <f>TEXT(Patient_Data[[#This Row],[Admission_Date]],"YYYY")</f>
        <v>2025</v>
      </c>
      <c r="G2238" s="8" t="s">
        <v>4451</v>
      </c>
      <c r="H2238" s="8" t="s">
        <v>53</v>
      </c>
      <c r="I2238" s="4" t="s">
        <v>35</v>
      </c>
      <c r="J2238" s="4">
        <v>16</v>
      </c>
      <c r="K2238" s="4" t="s">
        <v>30</v>
      </c>
      <c r="L2238" s="8">
        <v>1</v>
      </c>
      <c r="M2238" s="9" t="s">
        <v>79</v>
      </c>
      <c r="N2238" s="9" t="str">
        <f t="shared" si="17"/>
        <v>PD</v>
      </c>
      <c r="O2238" s="10">
        <v>579.02</v>
      </c>
      <c r="P2238" s="10">
        <v>469.88</v>
      </c>
      <c r="Q2238" s="11">
        <v>5.9</v>
      </c>
      <c r="R2238" s="13" t="str">
        <f>IF(Patient_Data!$L2238&lt;2,"Low Risk",IF(Patient_Data!$L2238&lt;4,"Moderate Risk","High Risk"))</f>
        <v>Low Risk</v>
      </c>
      <c r="S2238" s="12" t="str">
        <f>IF(Patient_Data[[#This Row],[Age]]&lt;=18,"Pediatric",IF(Patient_Data[[#This Row],[Age]]&lt;=64,"Adult","Geriatric"))</f>
        <v>Pediatric</v>
      </c>
    </row>
    <row r="2239" spans="1:19" ht="15.75" customHeight="1" x14ac:dyDescent="0.3">
      <c r="A2239" s="4" t="s">
        <v>4452</v>
      </c>
      <c r="B2239" s="5" t="str">
        <f>TEXT(Patient_Data!$E2239,"mmmm")</f>
        <v>April</v>
      </c>
      <c r="C2239" s="6" t="str">
        <f t="shared" si="16"/>
        <v>Apr</v>
      </c>
      <c r="D2239" s="6">
        <f>MONTH(Patient_Data!$E2239)</f>
        <v>4</v>
      </c>
      <c r="E2239" s="7">
        <v>45771</v>
      </c>
      <c r="F2239" s="55" t="str">
        <f>TEXT(Patient_Data[[#This Row],[Admission_Date]],"YYYY")</f>
        <v>2025</v>
      </c>
      <c r="G2239" s="8" t="s">
        <v>2229</v>
      </c>
      <c r="H2239" s="8" t="s">
        <v>28</v>
      </c>
      <c r="I2239" s="4" t="s">
        <v>35</v>
      </c>
      <c r="J2239" s="4">
        <v>75</v>
      </c>
      <c r="K2239" s="4" t="s">
        <v>30</v>
      </c>
      <c r="L2239" s="8">
        <v>2</v>
      </c>
      <c r="M2239" s="9" t="s">
        <v>36</v>
      </c>
      <c r="N2239" s="9" t="str">
        <f t="shared" si="17"/>
        <v>Cardio</v>
      </c>
      <c r="O2239" s="10">
        <v>6890.04</v>
      </c>
      <c r="P2239" s="10">
        <v>5253.23</v>
      </c>
      <c r="Q2239" s="11">
        <v>2.1</v>
      </c>
      <c r="R2239" s="13" t="str">
        <f>IF(Patient_Data!$L2239&lt;2,"Low Risk",IF(Patient_Data!$L2239&lt;4,"Moderate Risk","High Risk"))</f>
        <v>Moderate Risk</v>
      </c>
      <c r="S2239" s="12" t="str">
        <f>IF(Patient_Data[[#This Row],[Age]]&lt;=18,"Pediatric",IF(Patient_Data[[#This Row],[Age]]&lt;=64,"Adult","Geriatric"))</f>
        <v>Geriatric</v>
      </c>
    </row>
    <row r="2240" spans="1:19" ht="15.75" customHeight="1" x14ac:dyDescent="0.3">
      <c r="A2240" s="4" t="s">
        <v>4453</v>
      </c>
      <c r="B2240" s="5" t="str">
        <f>TEXT(Patient_Data!$E2240,"mmmm")</f>
        <v>June</v>
      </c>
      <c r="C2240" s="6" t="str">
        <f t="shared" si="16"/>
        <v>Jun</v>
      </c>
      <c r="D2240" s="6">
        <f>MONTH(Patient_Data!$E2240)</f>
        <v>6</v>
      </c>
      <c r="E2240" s="7">
        <v>45462</v>
      </c>
      <c r="F2240" s="55" t="str">
        <f>TEXT(Patient_Data[[#This Row],[Admission_Date]],"YYYY")</f>
        <v>2024</v>
      </c>
      <c r="G2240" s="8" t="s">
        <v>4454</v>
      </c>
      <c r="H2240" s="8" t="s">
        <v>82</v>
      </c>
      <c r="I2240" s="4" t="s">
        <v>35</v>
      </c>
      <c r="J2240" s="4">
        <v>70</v>
      </c>
      <c r="K2240" s="4" t="s">
        <v>54</v>
      </c>
      <c r="L2240" s="8">
        <v>3</v>
      </c>
      <c r="M2240" s="9" t="s">
        <v>31</v>
      </c>
      <c r="N2240" s="9" t="str">
        <f t="shared" si="17"/>
        <v>Neuro</v>
      </c>
      <c r="O2240" s="10">
        <v>12149.6</v>
      </c>
      <c r="P2240" s="10">
        <v>7072.37</v>
      </c>
      <c r="Q2240" s="11">
        <v>3.2</v>
      </c>
      <c r="R2240" s="13" t="str">
        <f>IF(Patient_Data!$L2240&lt;2,"Low Risk",IF(Patient_Data!$L2240&lt;4,"Moderate Risk","High Risk"))</f>
        <v>Moderate Risk</v>
      </c>
      <c r="S2240" s="12" t="str">
        <f>IF(Patient_Data[[#This Row],[Age]]&lt;=18,"Pediatric",IF(Patient_Data[[#This Row],[Age]]&lt;=64,"Adult","Geriatric"))</f>
        <v>Geriatric</v>
      </c>
    </row>
    <row r="2241" spans="1:19" ht="15.75" customHeight="1" x14ac:dyDescent="0.3">
      <c r="A2241" s="4" t="s">
        <v>4455</v>
      </c>
      <c r="B2241" s="5" t="str">
        <f>TEXT(Patient_Data!$E2241,"mmmm")</f>
        <v>April</v>
      </c>
      <c r="C2241" s="6" t="str">
        <f t="shared" si="16"/>
        <v>Apr</v>
      </c>
      <c r="D2241" s="6">
        <f>MONTH(Patient_Data!$E2241)</f>
        <v>4</v>
      </c>
      <c r="E2241" s="7">
        <v>45777</v>
      </c>
      <c r="F2241" s="55" t="str">
        <f>TEXT(Patient_Data[[#This Row],[Admission_Date]],"YYYY")</f>
        <v>2025</v>
      </c>
      <c r="G2241" s="8" t="s">
        <v>4456</v>
      </c>
      <c r="H2241" s="8" t="s">
        <v>28</v>
      </c>
      <c r="I2241" s="4" t="s">
        <v>29</v>
      </c>
      <c r="J2241" s="4">
        <v>69</v>
      </c>
      <c r="K2241" s="4" t="s">
        <v>30</v>
      </c>
      <c r="L2241" s="8">
        <v>3</v>
      </c>
      <c r="M2241" s="9" t="s">
        <v>46</v>
      </c>
      <c r="N2241" s="9" t="str">
        <f t="shared" si="17"/>
        <v>Ortho</v>
      </c>
      <c r="O2241" s="10">
        <v>6973.53</v>
      </c>
      <c r="P2241" s="10">
        <v>4318.6499999999996</v>
      </c>
      <c r="Q2241" s="11">
        <v>8.1</v>
      </c>
      <c r="R2241" s="13" t="str">
        <f>IF(Patient_Data!$L2241&lt;2,"Low Risk",IF(Patient_Data!$L2241&lt;4,"Moderate Risk","High Risk"))</f>
        <v>Moderate Risk</v>
      </c>
      <c r="S2241" s="12" t="str">
        <f>IF(Patient_Data[[#This Row],[Age]]&lt;=18,"Pediatric",IF(Patient_Data[[#This Row],[Age]]&lt;=64,"Adult","Geriatric"))</f>
        <v>Geriatric</v>
      </c>
    </row>
    <row r="2242" spans="1:19" ht="15.75" customHeight="1" x14ac:dyDescent="0.3">
      <c r="A2242" s="4" t="s">
        <v>4457</v>
      </c>
      <c r="B2242" s="5" t="str">
        <f>TEXT(Patient_Data!$E2242,"mmmm")</f>
        <v>October</v>
      </c>
      <c r="C2242" s="6" t="str">
        <f t="shared" si="16"/>
        <v>Oct</v>
      </c>
      <c r="D2242" s="6">
        <f>MONTH(Patient_Data!$E2242)</f>
        <v>10</v>
      </c>
      <c r="E2242" s="7">
        <v>45931</v>
      </c>
      <c r="F2242" s="55" t="str">
        <f>TEXT(Patient_Data[[#This Row],[Admission_Date]],"YYYY")</f>
        <v>2025</v>
      </c>
      <c r="G2242" s="8" t="s">
        <v>4458</v>
      </c>
      <c r="H2242" s="8" t="s">
        <v>34</v>
      </c>
      <c r="I2242" s="4" t="s">
        <v>29</v>
      </c>
      <c r="J2242" s="4">
        <v>80</v>
      </c>
      <c r="K2242" s="4" t="s">
        <v>30</v>
      </c>
      <c r="L2242" s="8">
        <v>1</v>
      </c>
      <c r="M2242" s="9" t="s">
        <v>46</v>
      </c>
      <c r="N2242" s="9" t="str">
        <f t="shared" si="17"/>
        <v>Ortho</v>
      </c>
      <c r="O2242" s="10">
        <v>5158.78</v>
      </c>
      <c r="P2242" s="10">
        <v>3347.22</v>
      </c>
      <c r="Q2242" s="11">
        <v>5.7</v>
      </c>
      <c r="R2242" s="13" t="str">
        <f>IF(Patient_Data!$L2242&lt;2,"Low Risk",IF(Patient_Data!$L2242&lt;4,"Moderate Risk","High Risk"))</f>
        <v>Low Risk</v>
      </c>
      <c r="S2242" s="12" t="str">
        <f>IF(Patient_Data[[#This Row],[Age]]&lt;=18,"Pediatric",IF(Patient_Data[[#This Row],[Age]]&lt;=64,"Adult","Geriatric"))</f>
        <v>Geriatric</v>
      </c>
    </row>
    <row r="2243" spans="1:19" ht="15.75" customHeight="1" x14ac:dyDescent="0.3">
      <c r="A2243" s="4" t="s">
        <v>4459</v>
      </c>
      <c r="B2243" s="5" t="str">
        <f>TEXT(Patient_Data!$E2243,"mmmm")</f>
        <v>September</v>
      </c>
      <c r="C2243" s="6" t="str">
        <f t="shared" si="16"/>
        <v>Sep</v>
      </c>
      <c r="D2243" s="6">
        <f>MONTH(Patient_Data!$E2243)</f>
        <v>9</v>
      </c>
      <c r="E2243" s="7">
        <v>45189</v>
      </c>
      <c r="F2243" s="55" t="str">
        <f>TEXT(Patient_Data[[#This Row],[Admission_Date]],"YYYY")</f>
        <v>2023</v>
      </c>
      <c r="G2243" s="8" t="s">
        <v>4460</v>
      </c>
      <c r="H2243" s="8" t="s">
        <v>75</v>
      </c>
      <c r="I2243" s="4" t="s">
        <v>35</v>
      </c>
      <c r="J2243" s="4">
        <v>88</v>
      </c>
      <c r="K2243" s="4" t="s">
        <v>54</v>
      </c>
      <c r="L2243" s="8">
        <v>3</v>
      </c>
      <c r="M2243" s="9" t="s">
        <v>50</v>
      </c>
      <c r="N2243" s="9" t="str">
        <f t="shared" si="17"/>
        <v>ICU</v>
      </c>
      <c r="O2243" s="10">
        <v>9610.25</v>
      </c>
      <c r="P2243" s="10">
        <v>6534.07</v>
      </c>
      <c r="Q2243" s="11">
        <v>11.9</v>
      </c>
      <c r="R2243" s="13" t="str">
        <f>IF(Patient_Data!$L2243&lt;2,"Low Risk",IF(Patient_Data!$L2243&lt;4,"Moderate Risk","High Risk"))</f>
        <v>Moderate Risk</v>
      </c>
      <c r="S2243" s="12" t="str">
        <f>IF(Patient_Data[[#This Row],[Age]]&lt;=18,"Pediatric",IF(Patient_Data[[#This Row],[Age]]&lt;=64,"Adult","Geriatric"))</f>
        <v>Geriatric</v>
      </c>
    </row>
    <row r="2244" spans="1:19" ht="15.75" customHeight="1" x14ac:dyDescent="0.3">
      <c r="A2244" s="4" t="s">
        <v>4461</v>
      </c>
      <c r="B2244" s="5" t="str">
        <f>TEXT(Patient_Data!$E2244,"mmmm")</f>
        <v>June</v>
      </c>
      <c r="C2244" s="6" t="str">
        <f t="shared" si="16"/>
        <v>Jun</v>
      </c>
      <c r="D2244" s="6">
        <f>MONTH(Patient_Data!$E2244)</f>
        <v>6</v>
      </c>
      <c r="E2244" s="7">
        <v>45456</v>
      </c>
      <c r="F2244" s="55" t="str">
        <f>TEXT(Patient_Data[[#This Row],[Admission_Date]],"YYYY")</f>
        <v>2024</v>
      </c>
      <c r="G2244" s="8" t="s">
        <v>4462</v>
      </c>
      <c r="H2244" s="8" t="s">
        <v>82</v>
      </c>
      <c r="I2244" s="4" t="s">
        <v>29</v>
      </c>
      <c r="J2244" s="4">
        <v>6</v>
      </c>
      <c r="K2244" s="4" t="s">
        <v>45</v>
      </c>
      <c r="L2244" s="8">
        <v>3</v>
      </c>
      <c r="M2244" s="9" t="s">
        <v>79</v>
      </c>
      <c r="N2244" s="9" t="str">
        <f t="shared" si="17"/>
        <v>PD</v>
      </c>
      <c r="O2244" s="10">
        <v>1305.26</v>
      </c>
      <c r="P2244" s="10">
        <v>947.28</v>
      </c>
      <c r="Q2244" s="11">
        <v>4.2</v>
      </c>
      <c r="R2244" s="13" t="str">
        <f>IF(Patient_Data!$L2244&lt;2,"Low Risk",IF(Patient_Data!$L2244&lt;4,"Moderate Risk","High Risk"))</f>
        <v>Moderate Risk</v>
      </c>
      <c r="S2244" s="12" t="str">
        <f>IF(Patient_Data[[#This Row],[Age]]&lt;=18,"Pediatric",IF(Patient_Data[[#This Row],[Age]]&lt;=64,"Adult","Geriatric"))</f>
        <v>Pediatric</v>
      </c>
    </row>
    <row r="2245" spans="1:19" ht="15.75" customHeight="1" x14ac:dyDescent="0.3">
      <c r="A2245" s="4" t="s">
        <v>4463</v>
      </c>
      <c r="B2245" s="5" t="str">
        <f>TEXT(Patient_Data!$E2245,"mmmm")</f>
        <v>May</v>
      </c>
      <c r="C2245" s="6" t="str">
        <f t="shared" si="16"/>
        <v>May</v>
      </c>
      <c r="D2245" s="6">
        <f>MONTH(Patient_Data!$E2245)</f>
        <v>5</v>
      </c>
      <c r="E2245" s="7">
        <v>45419</v>
      </c>
      <c r="F2245" s="55" t="str">
        <f>TEXT(Patient_Data[[#This Row],[Admission_Date]],"YYYY")</f>
        <v>2024</v>
      </c>
      <c r="G2245" s="8" t="s">
        <v>4464</v>
      </c>
      <c r="H2245" s="8" t="s">
        <v>49</v>
      </c>
      <c r="I2245" s="4" t="s">
        <v>35</v>
      </c>
      <c r="J2245" s="4">
        <v>73</v>
      </c>
      <c r="K2245" s="4" t="s">
        <v>54</v>
      </c>
      <c r="L2245" s="8">
        <v>3</v>
      </c>
      <c r="M2245" s="9" t="s">
        <v>39</v>
      </c>
      <c r="N2245" s="9" t="str">
        <f t="shared" si="17"/>
        <v>GM</v>
      </c>
      <c r="O2245" s="10">
        <v>3582.36</v>
      </c>
      <c r="P2245" s="10">
        <v>2691.12</v>
      </c>
      <c r="Q2245" s="11">
        <v>9.5</v>
      </c>
      <c r="R2245" s="13" t="str">
        <f>IF(Patient_Data!$L2245&lt;2,"Low Risk",IF(Patient_Data!$L2245&lt;4,"Moderate Risk","High Risk"))</f>
        <v>Moderate Risk</v>
      </c>
      <c r="S2245" s="12" t="str">
        <f>IF(Patient_Data[[#This Row],[Age]]&lt;=18,"Pediatric",IF(Patient_Data[[#This Row],[Age]]&lt;=64,"Adult","Geriatric"))</f>
        <v>Geriatric</v>
      </c>
    </row>
    <row r="2246" spans="1:19" ht="15.75" customHeight="1" x14ac:dyDescent="0.3">
      <c r="A2246" s="4" t="s">
        <v>4465</v>
      </c>
      <c r="B2246" s="5" t="str">
        <f>TEXT(Patient_Data!$E2246,"mmmm")</f>
        <v>November</v>
      </c>
      <c r="C2246" s="6" t="str">
        <f t="shared" si="16"/>
        <v>Nov</v>
      </c>
      <c r="D2246" s="6">
        <f>MONTH(Patient_Data!$E2246)</f>
        <v>11</v>
      </c>
      <c r="E2246" s="7">
        <v>45252</v>
      </c>
      <c r="F2246" s="55" t="str">
        <f>TEXT(Patient_Data[[#This Row],[Admission_Date]],"YYYY")</f>
        <v>2023</v>
      </c>
      <c r="G2246" s="8" t="s">
        <v>4466</v>
      </c>
      <c r="H2246" s="8" t="s">
        <v>132</v>
      </c>
      <c r="I2246" s="4" t="s">
        <v>29</v>
      </c>
      <c r="J2246" s="4">
        <v>32</v>
      </c>
      <c r="K2246" s="4" t="s">
        <v>30</v>
      </c>
      <c r="L2246" s="8">
        <v>1</v>
      </c>
      <c r="M2246" s="9" t="s">
        <v>83</v>
      </c>
      <c r="N2246" s="9" t="str">
        <f t="shared" si="17"/>
        <v>ER</v>
      </c>
      <c r="O2246" s="10">
        <v>8374.5300000000007</v>
      </c>
      <c r="P2246" s="10">
        <v>6457.44</v>
      </c>
      <c r="Q2246" s="11">
        <v>11.6</v>
      </c>
      <c r="R2246" s="13" t="str">
        <f>IF(Patient_Data!$L2246&lt;2,"Low Risk",IF(Patient_Data!$L2246&lt;4,"Moderate Risk","High Risk"))</f>
        <v>Low Risk</v>
      </c>
      <c r="S2246" s="12" t="str">
        <f>IF(Patient_Data[[#This Row],[Age]]&lt;=18,"Pediatric",IF(Patient_Data[[#This Row],[Age]]&lt;=64,"Adult","Geriatric"))</f>
        <v>Adult</v>
      </c>
    </row>
    <row r="2247" spans="1:19" ht="15.75" customHeight="1" x14ac:dyDescent="0.3">
      <c r="A2247" s="4" t="s">
        <v>4467</v>
      </c>
      <c r="B2247" s="5" t="str">
        <f>TEXT(Patient_Data!$E2247,"mmmm")</f>
        <v>September</v>
      </c>
      <c r="C2247" s="6" t="str">
        <f t="shared" si="16"/>
        <v>Sep</v>
      </c>
      <c r="D2247" s="6">
        <f>MONTH(Patient_Data!$E2247)</f>
        <v>9</v>
      </c>
      <c r="E2247" s="7">
        <v>45177</v>
      </c>
      <c r="F2247" s="55" t="str">
        <f>TEXT(Patient_Data[[#This Row],[Admission_Date]],"YYYY")</f>
        <v>2023</v>
      </c>
      <c r="G2247" s="8" t="s">
        <v>4468</v>
      </c>
      <c r="H2247" s="8" t="s">
        <v>53</v>
      </c>
      <c r="I2247" s="4" t="s">
        <v>29</v>
      </c>
      <c r="J2247" s="4">
        <v>57</v>
      </c>
      <c r="K2247" s="4" t="s">
        <v>45</v>
      </c>
      <c r="L2247" s="8">
        <v>3</v>
      </c>
      <c r="M2247" s="9" t="s">
        <v>36</v>
      </c>
      <c r="N2247" s="9" t="str">
        <f t="shared" si="17"/>
        <v>Cardio</v>
      </c>
      <c r="O2247" s="10">
        <v>8479.2900000000009</v>
      </c>
      <c r="P2247" s="10">
        <v>4942.79</v>
      </c>
      <c r="Q2247" s="11">
        <v>3.1</v>
      </c>
      <c r="R2247" s="13" t="str">
        <f>IF(Patient_Data!$L2247&lt;2,"Low Risk",IF(Patient_Data!$L2247&lt;4,"Moderate Risk","High Risk"))</f>
        <v>Moderate Risk</v>
      </c>
      <c r="S2247" s="12" t="str">
        <f>IF(Patient_Data[[#This Row],[Age]]&lt;=18,"Pediatric",IF(Patient_Data[[#This Row],[Age]]&lt;=64,"Adult","Geriatric"))</f>
        <v>Adult</v>
      </c>
    </row>
    <row r="2248" spans="1:19" ht="15.75" customHeight="1" x14ac:dyDescent="0.3">
      <c r="A2248" s="4" t="s">
        <v>4469</v>
      </c>
      <c r="B2248" s="5" t="str">
        <f>TEXT(Patient_Data!$E2248,"mmmm")</f>
        <v>November</v>
      </c>
      <c r="C2248" s="6" t="str">
        <f t="shared" si="16"/>
        <v>Nov</v>
      </c>
      <c r="D2248" s="6">
        <f>MONTH(Patient_Data!$E2248)</f>
        <v>11</v>
      </c>
      <c r="E2248" s="7">
        <v>45974</v>
      </c>
      <c r="F2248" s="55" t="str">
        <f>TEXT(Patient_Data[[#This Row],[Admission_Date]],"YYYY")</f>
        <v>2025</v>
      </c>
      <c r="G2248" s="8" t="s">
        <v>4470</v>
      </c>
      <c r="H2248" s="8" t="s">
        <v>132</v>
      </c>
      <c r="I2248" s="4" t="s">
        <v>29</v>
      </c>
      <c r="J2248" s="4">
        <v>54</v>
      </c>
      <c r="K2248" s="4" t="s">
        <v>54</v>
      </c>
      <c r="L2248" s="8">
        <v>4</v>
      </c>
      <c r="M2248" s="9" t="s">
        <v>36</v>
      </c>
      <c r="N2248" s="9" t="str">
        <f t="shared" si="17"/>
        <v>Cardio</v>
      </c>
      <c r="O2248" s="10">
        <v>14178.39</v>
      </c>
      <c r="P2248" s="10">
        <v>8717.6200000000008</v>
      </c>
      <c r="Q2248" s="11">
        <v>8.6</v>
      </c>
      <c r="R2248" s="13" t="str">
        <f>IF(Patient_Data!$L2248&lt;2,"Low Risk",IF(Patient_Data!$L2248&lt;4,"Moderate Risk","High Risk"))</f>
        <v>High Risk</v>
      </c>
      <c r="S2248" s="12" t="str">
        <f>IF(Patient_Data[[#This Row],[Age]]&lt;=18,"Pediatric",IF(Patient_Data[[#This Row],[Age]]&lt;=64,"Adult","Geriatric"))</f>
        <v>Adult</v>
      </c>
    </row>
    <row r="2249" spans="1:19" ht="15.75" customHeight="1" x14ac:dyDescent="0.3">
      <c r="A2249" s="4" t="s">
        <v>4471</v>
      </c>
      <c r="B2249" s="5" t="str">
        <f>TEXT(Patient_Data!$E2249,"mmmm")</f>
        <v>February</v>
      </c>
      <c r="C2249" s="6" t="str">
        <f t="shared" si="16"/>
        <v>Feb</v>
      </c>
      <c r="D2249" s="6">
        <f>MONTH(Patient_Data!$E2249)</f>
        <v>2</v>
      </c>
      <c r="E2249" s="7">
        <v>45341</v>
      </c>
      <c r="F2249" s="55" t="str">
        <f>TEXT(Patient_Data[[#This Row],[Admission_Date]],"YYYY")</f>
        <v>2024</v>
      </c>
      <c r="G2249" s="8" t="s">
        <v>2807</v>
      </c>
      <c r="H2249" s="8" t="s">
        <v>28</v>
      </c>
      <c r="I2249" s="4" t="s">
        <v>35</v>
      </c>
      <c r="J2249" s="4">
        <v>63</v>
      </c>
      <c r="K2249" s="4" t="s">
        <v>30</v>
      </c>
      <c r="L2249" s="8">
        <v>1</v>
      </c>
      <c r="M2249" s="9" t="s">
        <v>36</v>
      </c>
      <c r="N2249" s="9" t="str">
        <f t="shared" si="17"/>
        <v>Cardio</v>
      </c>
      <c r="O2249" s="10">
        <v>7845.45</v>
      </c>
      <c r="P2249" s="10">
        <v>5077.09</v>
      </c>
      <c r="Q2249" s="11">
        <v>7</v>
      </c>
      <c r="R2249" s="13" t="str">
        <f>IF(Patient_Data!$L2249&lt;2,"Low Risk",IF(Patient_Data!$L2249&lt;4,"Moderate Risk","High Risk"))</f>
        <v>Low Risk</v>
      </c>
      <c r="S2249" s="12" t="str">
        <f>IF(Patient_Data[[#This Row],[Age]]&lt;=18,"Pediatric",IF(Patient_Data[[#This Row],[Age]]&lt;=64,"Adult","Geriatric"))</f>
        <v>Adult</v>
      </c>
    </row>
    <row r="2250" spans="1:19" ht="15.75" customHeight="1" x14ac:dyDescent="0.3">
      <c r="A2250" s="4" t="s">
        <v>4472</v>
      </c>
      <c r="B2250" s="5" t="str">
        <f>TEXT(Patient_Data!$E2250,"mmmm")</f>
        <v>May</v>
      </c>
      <c r="C2250" s="6" t="str">
        <f t="shared" si="16"/>
        <v>May</v>
      </c>
      <c r="D2250" s="6">
        <f>MONTH(Patient_Data!$E2250)</f>
        <v>5</v>
      </c>
      <c r="E2250" s="7">
        <v>45791</v>
      </c>
      <c r="F2250" s="55" t="str">
        <f>TEXT(Patient_Data[[#This Row],[Admission_Date]],"YYYY")</f>
        <v>2025</v>
      </c>
      <c r="G2250" s="8" t="s">
        <v>4473</v>
      </c>
      <c r="H2250" s="8" t="s">
        <v>49</v>
      </c>
      <c r="I2250" s="4" t="s">
        <v>29</v>
      </c>
      <c r="J2250" s="4">
        <v>47</v>
      </c>
      <c r="K2250" s="4" t="s">
        <v>54</v>
      </c>
      <c r="L2250" s="8">
        <v>4</v>
      </c>
      <c r="M2250" s="9" t="s">
        <v>72</v>
      </c>
      <c r="N2250" s="9" t="str">
        <f t="shared" si="17"/>
        <v>Surgery</v>
      </c>
      <c r="O2250" s="10">
        <v>16633.11</v>
      </c>
      <c r="P2250" s="10">
        <v>11165.78</v>
      </c>
      <c r="Q2250" s="11">
        <v>2.7</v>
      </c>
      <c r="R2250" s="13" t="str">
        <f>IF(Patient_Data!$L2250&lt;2,"Low Risk",IF(Patient_Data!$L2250&lt;4,"Moderate Risk","High Risk"))</f>
        <v>High Risk</v>
      </c>
      <c r="S2250" s="12" t="str">
        <f>IF(Patient_Data[[#This Row],[Age]]&lt;=18,"Pediatric",IF(Patient_Data[[#This Row],[Age]]&lt;=64,"Adult","Geriatric"))</f>
        <v>Adult</v>
      </c>
    </row>
    <row r="2251" spans="1:19" ht="15.75" customHeight="1" x14ac:dyDescent="0.3">
      <c r="A2251" s="4" t="s">
        <v>4474</v>
      </c>
      <c r="B2251" s="5" t="str">
        <f>TEXT(Patient_Data!$E2251,"mmmm")</f>
        <v>November</v>
      </c>
      <c r="C2251" s="6" t="str">
        <f t="shared" si="16"/>
        <v>Nov</v>
      </c>
      <c r="D2251" s="6">
        <f>MONTH(Patient_Data!$E2251)</f>
        <v>11</v>
      </c>
      <c r="E2251" s="7">
        <v>45597</v>
      </c>
      <c r="F2251" s="55" t="str">
        <f>TEXT(Patient_Data[[#This Row],[Admission_Date]],"YYYY")</f>
        <v>2024</v>
      </c>
      <c r="G2251" s="8" t="s">
        <v>4475</v>
      </c>
      <c r="H2251" s="8" t="s">
        <v>28</v>
      </c>
      <c r="I2251" s="4" t="s">
        <v>29</v>
      </c>
      <c r="J2251" s="4">
        <v>26</v>
      </c>
      <c r="K2251" s="4" t="s">
        <v>30</v>
      </c>
      <c r="L2251" s="8">
        <v>2</v>
      </c>
      <c r="M2251" s="9" t="s">
        <v>36</v>
      </c>
      <c r="N2251" s="9" t="str">
        <f t="shared" si="17"/>
        <v>Cardio</v>
      </c>
      <c r="O2251" s="10">
        <v>9678.6200000000008</v>
      </c>
      <c r="P2251" s="10">
        <v>6823.83</v>
      </c>
      <c r="Q2251" s="11">
        <v>6.1</v>
      </c>
      <c r="R2251" s="13" t="str">
        <f>IF(Patient_Data!$L2251&lt;2,"Low Risk",IF(Patient_Data!$L2251&lt;4,"Moderate Risk","High Risk"))</f>
        <v>Moderate Risk</v>
      </c>
      <c r="S2251" s="12" t="str">
        <f>IF(Patient_Data[[#This Row],[Age]]&lt;=18,"Pediatric",IF(Patient_Data[[#This Row],[Age]]&lt;=64,"Adult","Geriatric"))</f>
        <v>Adult</v>
      </c>
    </row>
    <row r="2252" spans="1:19" ht="15.75" customHeight="1" x14ac:dyDescent="0.3">
      <c r="A2252" s="4" t="s">
        <v>4476</v>
      </c>
      <c r="B2252" s="5" t="str">
        <f>TEXT(Patient_Data!$E2252,"mmmm")</f>
        <v>July</v>
      </c>
      <c r="C2252" s="6" t="str">
        <f t="shared" si="16"/>
        <v>Jul</v>
      </c>
      <c r="D2252" s="6">
        <f>MONTH(Patient_Data!$E2252)</f>
        <v>7</v>
      </c>
      <c r="E2252" s="7">
        <v>46216</v>
      </c>
      <c r="F2252" s="55" t="str">
        <f>TEXT(Patient_Data[[#This Row],[Admission_Date]],"YYYY")</f>
        <v>2026</v>
      </c>
      <c r="G2252" s="8" t="s">
        <v>4477</v>
      </c>
      <c r="H2252" s="8" t="s">
        <v>34</v>
      </c>
      <c r="I2252" s="4" t="s">
        <v>35</v>
      </c>
      <c r="J2252" s="4">
        <v>52</v>
      </c>
      <c r="K2252" s="4" t="s">
        <v>30</v>
      </c>
      <c r="L2252" s="8">
        <v>2</v>
      </c>
      <c r="M2252" s="9" t="s">
        <v>39</v>
      </c>
      <c r="N2252" s="9" t="str">
        <f t="shared" si="17"/>
        <v>GM</v>
      </c>
      <c r="O2252" s="10">
        <v>4469.43</v>
      </c>
      <c r="P2252" s="10">
        <v>3262.68</v>
      </c>
      <c r="Q2252" s="11"/>
      <c r="R2252" s="13" t="str">
        <f>IF(Patient_Data!$L2252&lt;2,"Low Risk",IF(Patient_Data!$L2252&lt;4,"Moderate Risk","High Risk"))</f>
        <v>Moderate Risk</v>
      </c>
      <c r="S2252" s="12" t="str">
        <f>IF(Patient_Data[[#This Row],[Age]]&lt;=18,"Pediatric",IF(Patient_Data[[#This Row],[Age]]&lt;=64,"Adult","Geriatric"))</f>
        <v>Adult</v>
      </c>
    </row>
    <row r="2253" spans="1:19" ht="15.75" customHeight="1" x14ac:dyDescent="0.3">
      <c r="A2253" s="4" t="s">
        <v>4478</v>
      </c>
      <c r="B2253" s="5" t="str">
        <f>TEXT(Patient_Data!$E2253,"mmmm")</f>
        <v>January</v>
      </c>
      <c r="C2253" s="6" t="str">
        <f t="shared" si="16"/>
        <v>Jan</v>
      </c>
      <c r="D2253" s="6">
        <f>MONTH(Patient_Data!$E2253)</f>
        <v>1</v>
      </c>
      <c r="E2253" s="7">
        <v>45684</v>
      </c>
      <c r="F2253" s="55" t="str">
        <f>TEXT(Patient_Data[[#This Row],[Admission_Date]],"YYYY")</f>
        <v>2025</v>
      </c>
      <c r="G2253" s="8" t="s">
        <v>4479</v>
      </c>
      <c r="H2253" s="8" t="s">
        <v>28</v>
      </c>
      <c r="I2253" s="4" t="s">
        <v>35</v>
      </c>
      <c r="J2253" s="4">
        <v>33</v>
      </c>
      <c r="K2253" s="4" t="s">
        <v>30</v>
      </c>
      <c r="L2253" s="8">
        <v>1</v>
      </c>
      <c r="M2253" s="9" t="s">
        <v>39</v>
      </c>
      <c r="N2253" s="9" t="str">
        <f t="shared" si="17"/>
        <v>GM</v>
      </c>
      <c r="O2253" s="10">
        <v>1844.52</v>
      </c>
      <c r="P2253" s="10">
        <v>1441.84</v>
      </c>
      <c r="Q2253" s="11">
        <v>5</v>
      </c>
      <c r="R2253" s="13" t="str">
        <f>IF(Patient_Data!$L2253&lt;2,"Low Risk",IF(Patient_Data!$L2253&lt;4,"Moderate Risk","High Risk"))</f>
        <v>Low Risk</v>
      </c>
      <c r="S2253" s="12" t="str">
        <f>IF(Patient_Data[[#This Row],[Age]]&lt;=18,"Pediatric",IF(Patient_Data[[#This Row],[Age]]&lt;=64,"Adult","Geriatric"))</f>
        <v>Adult</v>
      </c>
    </row>
    <row r="2254" spans="1:19" ht="15.75" customHeight="1" x14ac:dyDescent="0.3">
      <c r="A2254" s="4" t="s">
        <v>4480</v>
      </c>
      <c r="B2254" s="5" t="str">
        <f>TEXT(Patient_Data!$E2254,"mmmm")</f>
        <v>September</v>
      </c>
      <c r="C2254" s="6" t="str">
        <f t="shared" si="16"/>
        <v>Sep</v>
      </c>
      <c r="D2254" s="6">
        <f>MONTH(Patient_Data!$E2254)</f>
        <v>9</v>
      </c>
      <c r="E2254" s="7">
        <v>45564</v>
      </c>
      <c r="F2254" s="55" t="str">
        <f>TEXT(Patient_Data[[#This Row],[Admission_Date]],"YYYY")</f>
        <v>2024</v>
      </c>
      <c r="G2254" s="8" t="s">
        <v>4481</v>
      </c>
      <c r="H2254" s="8" t="s">
        <v>98</v>
      </c>
      <c r="I2254" s="4" t="s">
        <v>29</v>
      </c>
      <c r="J2254" s="4">
        <v>73</v>
      </c>
      <c r="K2254" s="4" t="s">
        <v>45</v>
      </c>
      <c r="L2254" s="8">
        <v>3</v>
      </c>
      <c r="M2254" s="9" t="s">
        <v>83</v>
      </c>
      <c r="N2254" s="9" t="str">
        <f t="shared" si="17"/>
        <v>ER</v>
      </c>
      <c r="O2254" s="10">
        <v>8580.11</v>
      </c>
      <c r="P2254" s="10">
        <v>5099.66</v>
      </c>
      <c r="Q2254" s="11">
        <v>15.4</v>
      </c>
      <c r="R2254" s="13" t="str">
        <f>IF(Patient_Data!$L2254&lt;2,"Low Risk",IF(Patient_Data!$L2254&lt;4,"Moderate Risk","High Risk"))</f>
        <v>Moderate Risk</v>
      </c>
      <c r="S2254" s="12" t="str">
        <f>IF(Patient_Data[[#This Row],[Age]]&lt;=18,"Pediatric",IF(Patient_Data[[#This Row],[Age]]&lt;=64,"Adult","Geriatric"))</f>
        <v>Geriatric</v>
      </c>
    </row>
    <row r="2255" spans="1:19" ht="15.75" customHeight="1" x14ac:dyDescent="0.3">
      <c r="A2255" s="4" t="s">
        <v>4482</v>
      </c>
      <c r="B2255" s="5" t="str">
        <f>TEXT(Patient_Data!$E2255,"mmmm")</f>
        <v>December</v>
      </c>
      <c r="C2255" s="6" t="str">
        <f t="shared" si="16"/>
        <v>Dec</v>
      </c>
      <c r="D2255" s="6">
        <f>MONTH(Patient_Data!$E2255)</f>
        <v>12</v>
      </c>
      <c r="E2255" s="7">
        <v>45278</v>
      </c>
      <c r="F2255" s="55" t="str">
        <f>TEXT(Patient_Data[[#This Row],[Admission_Date]],"YYYY")</f>
        <v>2023</v>
      </c>
      <c r="G2255" s="8" t="s">
        <v>4483</v>
      </c>
      <c r="H2255" s="8" t="s">
        <v>34</v>
      </c>
      <c r="I2255" s="4" t="s">
        <v>35</v>
      </c>
      <c r="J2255" s="4">
        <v>38</v>
      </c>
      <c r="K2255" s="4" t="s">
        <v>45</v>
      </c>
      <c r="L2255" s="8">
        <v>2</v>
      </c>
      <c r="M2255" s="9" t="s">
        <v>39</v>
      </c>
      <c r="N2255" s="9" t="str">
        <f t="shared" si="17"/>
        <v>GM</v>
      </c>
      <c r="O2255" s="10">
        <v>3202.3</v>
      </c>
      <c r="P2255" s="10">
        <v>2011</v>
      </c>
      <c r="Q2255" s="11">
        <v>7.2</v>
      </c>
      <c r="R2255" s="13" t="str">
        <f>IF(Patient_Data!$L2255&lt;2,"Low Risk",IF(Patient_Data!$L2255&lt;4,"Moderate Risk","High Risk"))</f>
        <v>Moderate Risk</v>
      </c>
      <c r="S2255" s="12" t="str">
        <f>IF(Patient_Data[[#This Row],[Age]]&lt;=18,"Pediatric",IF(Patient_Data[[#This Row],[Age]]&lt;=64,"Adult","Geriatric"))</f>
        <v>Adult</v>
      </c>
    </row>
    <row r="2256" spans="1:19" ht="15.75" customHeight="1" x14ac:dyDescent="0.3">
      <c r="A2256" s="4" t="s">
        <v>4484</v>
      </c>
      <c r="B2256" s="5" t="str">
        <f>TEXT(Patient_Data!$E2256,"mmmm")</f>
        <v>March</v>
      </c>
      <c r="C2256" s="6" t="str">
        <f t="shared" si="16"/>
        <v>Mar</v>
      </c>
      <c r="D2256" s="6">
        <f>MONTH(Patient_Data!$E2256)</f>
        <v>3</v>
      </c>
      <c r="E2256" s="7">
        <v>46111</v>
      </c>
      <c r="F2256" s="55" t="str">
        <f>TEXT(Patient_Data[[#This Row],[Admission_Date]],"YYYY")</f>
        <v>2026</v>
      </c>
      <c r="G2256" s="8" t="s">
        <v>4485</v>
      </c>
      <c r="H2256" s="8" t="s">
        <v>28</v>
      </c>
      <c r="I2256" s="4" t="s">
        <v>35</v>
      </c>
      <c r="J2256" s="4">
        <v>76</v>
      </c>
      <c r="K2256" s="4" t="s">
        <v>30</v>
      </c>
      <c r="L2256" s="8">
        <v>2</v>
      </c>
      <c r="M2256" s="9" t="s">
        <v>83</v>
      </c>
      <c r="N2256" s="9" t="str">
        <f t="shared" si="17"/>
        <v>ER</v>
      </c>
      <c r="O2256" s="10">
        <v>5673.48</v>
      </c>
      <c r="P2256" s="10">
        <v>3770.23</v>
      </c>
      <c r="Q2256" s="11">
        <v>17.399999999999999</v>
      </c>
      <c r="R2256" s="13" t="str">
        <f>IF(Patient_Data!$L2256&lt;2,"Low Risk",IF(Patient_Data!$L2256&lt;4,"Moderate Risk","High Risk"))</f>
        <v>Moderate Risk</v>
      </c>
      <c r="S2256" s="12" t="str">
        <f>IF(Patient_Data[[#This Row],[Age]]&lt;=18,"Pediatric",IF(Patient_Data[[#This Row],[Age]]&lt;=64,"Adult","Geriatric"))</f>
        <v>Geriatric</v>
      </c>
    </row>
    <row r="2257" spans="1:19" ht="15.75" customHeight="1" x14ac:dyDescent="0.3">
      <c r="A2257" s="4" t="s">
        <v>4486</v>
      </c>
      <c r="B2257" s="5" t="str">
        <f>TEXT(Patient_Data!$E2257,"mmmm")</f>
        <v>January</v>
      </c>
      <c r="C2257" s="6" t="str">
        <f t="shared" si="16"/>
        <v>Jan</v>
      </c>
      <c r="D2257" s="6">
        <f>MONTH(Patient_Data!$E2257)</f>
        <v>1</v>
      </c>
      <c r="E2257" s="7">
        <v>45316</v>
      </c>
      <c r="F2257" s="55" t="str">
        <f>TEXT(Patient_Data[[#This Row],[Admission_Date]],"YYYY")</f>
        <v>2024</v>
      </c>
      <c r="G2257" s="8" t="s">
        <v>1743</v>
      </c>
      <c r="H2257" s="8" t="s">
        <v>28</v>
      </c>
      <c r="I2257" s="4" t="s">
        <v>29</v>
      </c>
      <c r="J2257" s="4">
        <v>92</v>
      </c>
      <c r="K2257" s="4" t="s">
        <v>54</v>
      </c>
      <c r="L2257" s="8">
        <v>5</v>
      </c>
      <c r="M2257" s="9" t="s">
        <v>46</v>
      </c>
      <c r="N2257" s="9" t="str">
        <f t="shared" si="17"/>
        <v>Ortho</v>
      </c>
      <c r="O2257" s="10">
        <v>14501.05</v>
      </c>
      <c r="P2257" s="10">
        <v>9802.1</v>
      </c>
      <c r="Q2257" s="11">
        <v>10.8</v>
      </c>
      <c r="R2257" s="13" t="str">
        <f>IF(Patient_Data!$L2257&lt;2,"Low Risk",IF(Patient_Data!$L2257&lt;4,"Moderate Risk","High Risk"))</f>
        <v>High Risk</v>
      </c>
      <c r="S2257" s="12" t="str">
        <f>IF(Patient_Data[[#This Row],[Age]]&lt;=18,"Pediatric",IF(Patient_Data[[#This Row],[Age]]&lt;=64,"Adult","Geriatric"))</f>
        <v>Geriatric</v>
      </c>
    </row>
    <row r="2258" spans="1:19" ht="15.75" customHeight="1" x14ac:dyDescent="0.3">
      <c r="A2258" s="4" t="s">
        <v>4487</v>
      </c>
      <c r="B2258" s="5" t="str">
        <f>TEXT(Patient_Data!$E2258,"mmmm")</f>
        <v>April</v>
      </c>
      <c r="C2258" s="6" t="str">
        <f t="shared" si="16"/>
        <v>Apr</v>
      </c>
      <c r="D2258" s="6">
        <f>MONTH(Patient_Data!$E2258)</f>
        <v>4</v>
      </c>
      <c r="E2258" s="7">
        <v>45762</v>
      </c>
      <c r="F2258" s="55" t="str">
        <f>TEXT(Patient_Data[[#This Row],[Admission_Date]],"YYYY")</f>
        <v>2025</v>
      </c>
      <c r="G2258" s="8" t="s">
        <v>4488</v>
      </c>
      <c r="H2258" s="8" t="s">
        <v>28</v>
      </c>
      <c r="I2258" s="4" t="s">
        <v>29</v>
      </c>
      <c r="J2258" s="4">
        <v>65</v>
      </c>
      <c r="K2258" s="4" t="s">
        <v>54</v>
      </c>
      <c r="L2258" s="8">
        <v>2</v>
      </c>
      <c r="M2258" s="9" t="s">
        <v>31</v>
      </c>
      <c r="N2258" s="9" t="str">
        <f t="shared" si="17"/>
        <v>Neuro</v>
      </c>
      <c r="O2258" s="10">
        <v>8014.87</v>
      </c>
      <c r="P2258" s="10">
        <v>5636.81</v>
      </c>
      <c r="Q2258" s="11">
        <v>3.3</v>
      </c>
      <c r="R2258" s="13" t="str">
        <f>IF(Patient_Data!$L2258&lt;2,"Low Risk",IF(Patient_Data!$L2258&lt;4,"Moderate Risk","High Risk"))</f>
        <v>Moderate Risk</v>
      </c>
      <c r="S2258" s="12" t="str">
        <f>IF(Patient_Data[[#This Row],[Age]]&lt;=18,"Pediatric",IF(Patient_Data[[#This Row],[Age]]&lt;=64,"Adult","Geriatric"))</f>
        <v>Geriatric</v>
      </c>
    </row>
    <row r="2259" spans="1:19" ht="15.75" customHeight="1" x14ac:dyDescent="0.3">
      <c r="A2259" s="4" t="s">
        <v>4489</v>
      </c>
      <c r="B2259" s="5" t="str">
        <f>TEXT(Patient_Data!$E2259,"mmmm")</f>
        <v>May</v>
      </c>
      <c r="C2259" s="6" t="str">
        <f t="shared" si="16"/>
        <v>May</v>
      </c>
      <c r="D2259" s="6">
        <f>MONTH(Patient_Data!$E2259)</f>
        <v>5</v>
      </c>
      <c r="E2259" s="7">
        <v>46164</v>
      </c>
      <c r="F2259" s="55" t="str">
        <f>TEXT(Patient_Data[[#This Row],[Admission_Date]],"YYYY")</f>
        <v>2026</v>
      </c>
      <c r="G2259" s="8" t="s">
        <v>4490</v>
      </c>
      <c r="H2259" s="8" t="s">
        <v>132</v>
      </c>
      <c r="I2259" s="4" t="s">
        <v>35</v>
      </c>
      <c r="J2259" s="4">
        <v>55</v>
      </c>
      <c r="K2259" s="4" t="s">
        <v>54</v>
      </c>
      <c r="L2259" s="8">
        <v>5</v>
      </c>
      <c r="M2259" s="9" t="s">
        <v>72</v>
      </c>
      <c r="N2259" s="9" t="str">
        <f t="shared" si="17"/>
        <v>Surgery</v>
      </c>
      <c r="O2259" s="10">
        <v>16792.060000000001</v>
      </c>
      <c r="P2259" s="10">
        <v>12307</v>
      </c>
      <c r="Q2259" s="11">
        <v>6.1</v>
      </c>
      <c r="R2259" s="13" t="str">
        <f>IF(Patient_Data!$L2259&lt;2,"Low Risk",IF(Patient_Data!$L2259&lt;4,"Moderate Risk","High Risk"))</f>
        <v>High Risk</v>
      </c>
      <c r="S2259" s="12" t="str">
        <f>IF(Patient_Data[[#This Row],[Age]]&lt;=18,"Pediatric",IF(Patient_Data[[#This Row],[Age]]&lt;=64,"Adult","Geriatric"))</f>
        <v>Adult</v>
      </c>
    </row>
    <row r="2260" spans="1:19" ht="15.75" customHeight="1" x14ac:dyDescent="0.3">
      <c r="A2260" s="4" t="s">
        <v>4491</v>
      </c>
      <c r="B2260" s="5" t="str">
        <f>TEXT(Patient_Data!$E2260,"mmmm")</f>
        <v>December</v>
      </c>
      <c r="C2260" s="6" t="str">
        <f t="shared" si="16"/>
        <v>Dec</v>
      </c>
      <c r="D2260" s="6">
        <f>MONTH(Patient_Data!$E2260)</f>
        <v>12</v>
      </c>
      <c r="E2260" s="7">
        <v>45647</v>
      </c>
      <c r="F2260" s="55" t="str">
        <f>TEXT(Patient_Data[[#This Row],[Admission_Date]],"YYYY")</f>
        <v>2024</v>
      </c>
      <c r="G2260" s="8" t="s">
        <v>4492</v>
      </c>
      <c r="H2260" s="8" t="s">
        <v>82</v>
      </c>
      <c r="I2260" s="4" t="s">
        <v>35</v>
      </c>
      <c r="J2260" s="4">
        <v>47</v>
      </c>
      <c r="K2260" s="4" t="s">
        <v>30</v>
      </c>
      <c r="L2260" s="8">
        <v>1</v>
      </c>
      <c r="M2260" s="9" t="s">
        <v>36</v>
      </c>
      <c r="N2260" s="9" t="str">
        <f t="shared" si="17"/>
        <v>Cardio</v>
      </c>
      <c r="O2260" s="10">
        <v>5623.53</v>
      </c>
      <c r="P2260" s="10">
        <v>4323.4799999999996</v>
      </c>
      <c r="Q2260" s="11">
        <v>6.2</v>
      </c>
      <c r="R2260" s="13" t="str">
        <f>IF(Patient_Data!$L2260&lt;2,"Low Risk",IF(Patient_Data!$L2260&lt;4,"Moderate Risk","High Risk"))</f>
        <v>Low Risk</v>
      </c>
      <c r="S2260" s="12" t="str">
        <f>IF(Patient_Data[[#This Row],[Age]]&lt;=18,"Pediatric",IF(Patient_Data[[#This Row],[Age]]&lt;=64,"Adult","Geriatric"))</f>
        <v>Adult</v>
      </c>
    </row>
    <row r="2261" spans="1:19" ht="15.75" customHeight="1" x14ac:dyDescent="0.3">
      <c r="A2261" s="4" t="s">
        <v>4493</v>
      </c>
      <c r="B2261" s="5" t="str">
        <f>TEXT(Patient_Data!$E2261,"mmmm")</f>
        <v>January</v>
      </c>
      <c r="C2261" s="6" t="str">
        <f t="shared" si="16"/>
        <v>Jan</v>
      </c>
      <c r="D2261" s="6">
        <f>MONTH(Patient_Data!$E2261)</f>
        <v>1</v>
      </c>
      <c r="E2261" s="7">
        <v>45309</v>
      </c>
      <c r="F2261" s="55" t="str">
        <f>TEXT(Patient_Data[[#This Row],[Admission_Date]],"YYYY")</f>
        <v>2024</v>
      </c>
      <c r="G2261" s="8" t="s">
        <v>4494</v>
      </c>
      <c r="H2261" s="8" t="s">
        <v>28</v>
      </c>
      <c r="I2261" s="4" t="s">
        <v>35</v>
      </c>
      <c r="J2261" s="4">
        <v>41</v>
      </c>
      <c r="K2261" s="4" t="s">
        <v>30</v>
      </c>
      <c r="L2261" s="8">
        <v>1</v>
      </c>
      <c r="M2261" s="9" t="s">
        <v>83</v>
      </c>
      <c r="N2261" s="9" t="str">
        <f t="shared" si="17"/>
        <v>ER</v>
      </c>
      <c r="O2261" s="10">
        <v>7456.03</v>
      </c>
      <c r="P2261" s="10">
        <v>4409.3</v>
      </c>
      <c r="Q2261" s="11">
        <v>10.6</v>
      </c>
      <c r="R2261" s="13" t="str">
        <f>IF(Patient_Data!$L2261&lt;2,"Low Risk",IF(Patient_Data!$L2261&lt;4,"Moderate Risk","High Risk"))</f>
        <v>Low Risk</v>
      </c>
      <c r="S2261" s="12" t="str">
        <f>IF(Patient_Data[[#This Row],[Age]]&lt;=18,"Pediatric",IF(Patient_Data[[#This Row],[Age]]&lt;=64,"Adult","Geriatric"))</f>
        <v>Adult</v>
      </c>
    </row>
    <row r="2262" spans="1:19" ht="15.75" customHeight="1" x14ac:dyDescent="0.3">
      <c r="A2262" s="4" t="s">
        <v>4495</v>
      </c>
      <c r="B2262" s="5" t="str">
        <f>TEXT(Patient_Data!$E2262,"mmmm")</f>
        <v>May</v>
      </c>
      <c r="C2262" s="6" t="str">
        <f t="shared" si="16"/>
        <v>May</v>
      </c>
      <c r="D2262" s="6">
        <f>MONTH(Patient_Data!$E2262)</f>
        <v>5</v>
      </c>
      <c r="E2262" s="7">
        <v>45793</v>
      </c>
      <c r="F2262" s="55" t="str">
        <f>TEXT(Patient_Data[[#This Row],[Admission_Date]],"YYYY")</f>
        <v>2025</v>
      </c>
      <c r="G2262" s="8" t="s">
        <v>4496</v>
      </c>
      <c r="H2262" s="8" t="s">
        <v>53</v>
      </c>
      <c r="I2262" s="4" t="s">
        <v>35</v>
      </c>
      <c r="J2262" s="4">
        <v>6</v>
      </c>
      <c r="K2262" s="4" t="s">
        <v>30</v>
      </c>
      <c r="L2262" s="8">
        <v>1</v>
      </c>
      <c r="M2262" s="9" t="s">
        <v>79</v>
      </c>
      <c r="N2262" s="9" t="str">
        <f t="shared" si="17"/>
        <v>PD</v>
      </c>
      <c r="O2262" s="10">
        <v>1472.35</v>
      </c>
      <c r="P2262" s="10">
        <v>903.73</v>
      </c>
      <c r="Q2262" s="11">
        <v>0.7</v>
      </c>
      <c r="R2262" s="13" t="str">
        <f>IF(Patient_Data!$L2262&lt;2,"Low Risk",IF(Patient_Data!$L2262&lt;4,"Moderate Risk","High Risk"))</f>
        <v>Low Risk</v>
      </c>
      <c r="S2262" s="12" t="str">
        <f>IF(Patient_Data[[#This Row],[Age]]&lt;=18,"Pediatric",IF(Patient_Data[[#This Row],[Age]]&lt;=64,"Adult","Geriatric"))</f>
        <v>Pediatric</v>
      </c>
    </row>
    <row r="2263" spans="1:19" ht="15.75" customHeight="1" x14ac:dyDescent="0.3">
      <c r="A2263" s="4" t="s">
        <v>4497</v>
      </c>
      <c r="B2263" s="5" t="str">
        <f>TEXT(Patient_Data!$E2263,"mmmm")</f>
        <v>January</v>
      </c>
      <c r="C2263" s="6" t="str">
        <f t="shared" si="16"/>
        <v>Jan</v>
      </c>
      <c r="D2263" s="6">
        <f>MONTH(Patient_Data!$E2263)</f>
        <v>1</v>
      </c>
      <c r="E2263" s="7">
        <v>46044</v>
      </c>
      <c r="F2263" s="55" t="str">
        <f>TEXT(Patient_Data[[#This Row],[Admission_Date]],"YYYY")</f>
        <v>2026</v>
      </c>
      <c r="G2263" s="8" t="s">
        <v>4498</v>
      </c>
      <c r="H2263" s="8" t="s">
        <v>49</v>
      </c>
      <c r="I2263" s="4" t="s">
        <v>29</v>
      </c>
      <c r="J2263" s="4">
        <v>29</v>
      </c>
      <c r="K2263" s="4" t="s">
        <v>54</v>
      </c>
      <c r="L2263" s="8">
        <v>4</v>
      </c>
      <c r="M2263" s="9" t="s">
        <v>31</v>
      </c>
      <c r="N2263" s="9" t="str">
        <f t="shared" si="17"/>
        <v>Neuro</v>
      </c>
      <c r="O2263" s="10">
        <v>14216.94</v>
      </c>
      <c r="P2263" s="10">
        <v>9128.44</v>
      </c>
      <c r="Q2263" s="11">
        <v>3.7</v>
      </c>
      <c r="R2263" s="13" t="str">
        <f>IF(Patient_Data!$L2263&lt;2,"Low Risk",IF(Patient_Data!$L2263&lt;4,"Moderate Risk","High Risk"))</f>
        <v>High Risk</v>
      </c>
      <c r="S2263" s="12" t="str">
        <f>IF(Patient_Data[[#This Row],[Age]]&lt;=18,"Pediatric",IF(Patient_Data[[#This Row],[Age]]&lt;=64,"Adult","Geriatric"))</f>
        <v>Adult</v>
      </c>
    </row>
    <row r="2264" spans="1:19" ht="15.75" customHeight="1" x14ac:dyDescent="0.3">
      <c r="A2264" s="4" t="s">
        <v>4499</v>
      </c>
      <c r="B2264" s="5" t="str">
        <f>TEXT(Patient_Data!$E2264,"mmmm")</f>
        <v>August</v>
      </c>
      <c r="C2264" s="6" t="str">
        <f t="shared" si="16"/>
        <v>Aug</v>
      </c>
      <c r="D2264" s="6">
        <f>MONTH(Patient_Data!$E2264)</f>
        <v>8</v>
      </c>
      <c r="E2264" s="7">
        <v>45512</v>
      </c>
      <c r="F2264" s="55" t="str">
        <f>TEXT(Patient_Data[[#This Row],[Admission_Date]],"YYYY")</f>
        <v>2024</v>
      </c>
      <c r="G2264" s="8" t="s">
        <v>4500</v>
      </c>
      <c r="H2264" s="8" t="s">
        <v>82</v>
      </c>
      <c r="I2264" s="4" t="s">
        <v>29</v>
      </c>
      <c r="J2264" s="4">
        <v>58</v>
      </c>
      <c r="K2264" s="4" t="s">
        <v>30</v>
      </c>
      <c r="L2264" s="8">
        <v>2</v>
      </c>
      <c r="M2264" s="9" t="s">
        <v>46</v>
      </c>
      <c r="N2264" s="9" t="str">
        <f t="shared" si="17"/>
        <v>Ortho</v>
      </c>
      <c r="O2264" s="10">
        <v>5832.83</v>
      </c>
      <c r="P2264" s="10">
        <v>3977.6</v>
      </c>
      <c r="Q2264" s="11">
        <v>8.6999999999999993</v>
      </c>
      <c r="R2264" s="13" t="str">
        <f>IF(Patient_Data!$L2264&lt;2,"Low Risk",IF(Patient_Data!$L2264&lt;4,"Moderate Risk","High Risk"))</f>
        <v>Moderate Risk</v>
      </c>
      <c r="S2264" s="12" t="str">
        <f>IF(Patient_Data[[#This Row],[Age]]&lt;=18,"Pediatric",IF(Patient_Data[[#This Row],[Age]]&lt;=64,"Adult","Geriatric"))</f>
        <v>Adult</v>
      </c>
    </row>
    <row r="2265" spans="1:19" ht="15.75" customHeight="1" x14ac:dyDescent="0.3">
      <c r="A2265" s="4" t="s">
        <v>4501</v>
      </c>
      <c r="B2265" s="5" t="str">
        <f>TEXT(Patient_Data!$E2265,"mmmm")</f>
        <v>September</v>
      </c>
      <c r="C2265" s="6" t="str">
        <f t="shared" si="16"/>
        <v>Sep</v>
      </c>
      <c r="D2265" s="6">
        <f>MONTH(Patient_Data!$E2265)</f>
        <v>9</v>
      </c>
      <c r="E2265" s="7">
        <v>45176</v>
      </c>
      <c r="F2265" s="55" t="str">
        <f>TEXT(Patient_Data[[#This Row],[Admission_Date]],"YYYY")</f>
        <v>2023</v>
      </c>
      <c r="G2265" s="8" t="s">
        <v>4502</v>
      </c>
      <c r="H2265" s="8" t="s">
        <v>49</v>
      </c>
      <c r="I2265" s="4" t="s">
        <v>29</v>
      </c>
      <c r="J2265" s="4">
        <v>67</v>
      </c>
      <c r="K2265" s="4" t="s">
        <v>30</v>
      </c>
      <c r="L2265" s="8">
        <v>3</v>
      </c>
      <c r="M2265" s="9" t="s">
        <v>46</v>
      </c>
      <c r="N2265" s="9" t="str">
        <f t="shared" si="17"/>
        <v>Ortho</v>
      </c>
      <c r="O2265" s="10">
        <v>6321.2</v>
      </c>
      <c r="P2265" s="10">
        <v>4512.84</v>
      </c>
      <c r="Q2265" s="11">
        <v>11</v>
      </c>
      <c r="R2265" s="13" t="str">
        <f>IF(Patient_Data!$L2265&lt;2,"Low Risk",IF(Patient_Data!$L2265&lt;4,"Moderate Risk","High Risk"))</f>
        <v>Moderate Risk</v>
      </c>
      <c r="S2265" s="12" t="str">
        <f>IF(Patient_Data[[#This Row],[Age]]&lt;=18,"Pediatric",IF(Patient_Data[[#This Row],[Age]]&lt;=64,"Adult","Geriatric"))</f>
        <v>Geriatric</v>
      </c>
    </row>
    <row r="2266" spans="1:19" ht="15.75" customHeight="1" x14ac:dyDescent="0.3">
      <c r="A2266" s="4" t="s">
        <v>4503</v>
      </c>
      <c r="B2266" s="5" t="str">
        <f>TEXT(Patient_Data!$E2266,"mmmm")</f>
        <v>September</v>
      </c>
      <c r="C2266" s="6" t="str">
        <f t="shared" si="16"/>
        <v>Sep</v>
      </c>
      <c r="D2266" s="6">
        <f>MONTH(Patient_Data!$E2266)</f>
        <v>9</v>
      </c>
      <c r="E2266" s="7">
        <v>45903</v>
      </c>
      <c r="F2266" s="55" t="str">
        <f>TEXT(Patient_Data[[#This Row],[Admission_Date]],"YYYY")</f>
        <v>2025</v>
      </c>
      <c r="G2266" s="8" t="s">
        <v>4504</v>
      </c>
      <c r="H2266" s="8" t="s">
        <v>28</v>
      </c>
      <c r="I2266" s="4" t="s">
        <v>29</v>
      </c>
      <c r="J2266" s="4">
        <v>78</v>
      </c>
      <c r="K2266" s="4" t="s">
        <v>54</v>
      </c>
      <c r="L2266" s="8">
        <v>2</v>
      </c>
      <c r="M2266" s="9" t="s">
        <v>46</v>
      </c>
      <c r="N2266" s="9" t="str">
        <f t="shared" si="17"/>
        <v>Ortho</v>
      </c>
      <c r="O2266" s="10">
        <v>9196.89</v>
      </c>
      <c r="P2266" s="10">
        <v>6784.93</v>
      </c>
      <c r="Q2266" s="11">
        <v>8.9</v>
      </c>
      <c r="R2266" s="13" t="str">
        <f>IF(Patient_Data!$L2266&lt;2,"Low Risk",IF(Patient_Data!$L2266&lt;4,"Moderate Risk","High Risk"))</f>
        <v>Moderate Risk</v>
      </c>
      <c r="S2266" s="12" t="str">
        <f>IF(Patient_Data[[#This Row],[Age]]&lt;=18,"Pediatric",IF(Patient_Data[[#This Row],[Age]]&lt;=64,"Adult","Geriatric"))</f>
        <v>Geriatric</v>
      </c>
    </row>
    <row r="2267" spans="1:19" ht="15.75" customHeight="1" x14ac:dyDescent="0.3">
      <c r="A2267" s="4" t="s">
        <v>4505</v>
      </c>
      <c r="B2267" s="5" t="str">
        <f>TEXT(Patient_Data!$E2267,"mmmm")</f>
        <v>May</v>
      </c>
      <c r="C2267" s="6" t="str">
        <f t="shared" si="16"/>
        <v>May</v>
      </c>
      <c r="D2267" s="6">
        <f>MONTH(Patient_Data!$E2267)</f>
        <v>5</v>
      </c>
      <c r="E2267" s="7">
        <v>45442</v>
      </c>
      <c r="F2267" s="55" t="str">
        <f>TEXT(Patient_Data[[#This Row],[Admission_Date]],"YYYY")</f>
        <v>2024</v>
      </c>
      <c r="G2267" s="8" t="s">
        <v>4506</v>
      </c>
      <c r="H2267" s="8" t="s">
        <v>82</v>
      </c>
      <c r="I2267" s="4" t="s">
        <v>35</v>
      </c>
      <c r="J2267" s="4">
        <v>47</v>
      </c>
      <c r="K2267" s="4" t="s">
        <v>30</v>
      </c>
      <c r="L2267" s="8">
        <v>3</v>
      </c>
      <c r="M2267" s="9" t="s">
        <v>36</v>
      </c>
      <c r="N2267" s="9" t="str">
        <f t="shared" si="17"/>
        <v>Cardio</v>
      </c>
      <c r="O2267" s="10">
        <v>15310.89</v>
      </c>
      <c r="P2267" s="10">
        <v>11652.28</v>
      </c>
      <c r="Q2267" s="11">
        <v>2</v>
      </c>
      <c r="R2267" s="13" t="str">
        <f>IF(Patient_Data!$L2267&lt;2,"Low Risk",IF(Patient_Data!$L2267&lt;4,"Moderate Risk","High Risk"))</f>
        <v>Moderate Risk</v>
      </c>
      <c r="S2267" s="12" t="str">
        <f>IF(Patient_Data[[#This Row],[Age]]&lt;=18,"Pediatric",IF(Patient_Data[[#This Row],[Age]]&lt;=64,"Adult","Geriatric"))</f>
        <v>Adult</v>
      </c>
    </row>
    <row r="2268" spans="1:19" ht="15.75" customHeight="1" x14ac:dyDescent="0.3">
      <c r="A2268" s="4" t="s">
        <v>4507</v>
      </c>
      <c r="B2268" s="5" t="str">
        <f>TEXT(Patient_Data!$E2268,"mmmm")</f>
        <v>July</v>
      </c>
      <c r="C2268" s="6" t="str">
        <f t="shared" si="16"/>
        <v>Jul</v>
      </c>
      <c r="D2268" s="6">
        <f>MONTH(Patient_Data!$E2268)</f>
        <v>7</v>
      </c>
      <c r="E2268" s="7">
        <v>45846</v>
      </c>
      <c r="F2268" s="55" t="str">
        <f>TEXT(Patient_Data[[#This Row],[Admission_Date]],"YYYY")</f>
        <v>2025</v>
      </c>
      <c r="G2268" s="8" t="s">
        <v>2801</v>
      </c>
      <c r="H2268" s="8" t="s">
        <v>75</v>
      </c>
      <c r="I2268" s="4" t="s">
        <v>35</v>
      </c>
      <c r="J2268" s="4">
        <v>78</v>
      </c>
      <c r="K2268" s="4" t="s">
        <v>45</v>
      </c>
      <c r="L2268" s="8">
        <v>5</v>
      </c>
      <c r="M2268" s="9" t="s">
        <v>72</v>
      </c>
      <c r="N2268" s="9" t="str">
        <f t="shared" si="17"/>
        <v>Surgery</v>
      </c>
      <c r="O2268" s="10">
        <v>22176.33</v>
      </c>
      <c r="P2268" s="10">
        <v>12924.67</v>
      </c>
      <c r="Q2268" s="11">
        <v>7.8</v>
      </c>
      <c r="R2268" s="13" t="str">
        <f>IF(Patient_Data!$L2268&lt;2,"Low Risk",IF(Patient_Data!$L2268&lt;4,"Moderate Risk","High Risk"))</f>
        <v>High Risk</v>
      </c>
      <c r="S2268" s="12" t="str">
        <f>IF(Patient_Data[[#This Row],[Age]]&lt;=18,"Pediatric",IF(Patient_Data[[#This Row],[Age]]&lt;=64,"Adult","Geriatric"))</f>
        <v>Geriatric</v>
      </c>
    </row>
    <row r="2269" spans="1:19" ht="15.75" customHeight="1" x14ac:dyDescent="0.3">
      <c r="A2269" s="4" t="s">
        <v>4508</v>
      </c>
      <c r="B2269" s="5" t="str">
        <f>TEXT(Patient_Data!$E2269,"mmmm")</f>
        <v>May</v>
      </c>
      <c r="C2269" s="6" t="str">
        <f t="shared" si="16"/>
        <v>May</v>
      </c>
      <c r="D2269" s="6">
        <f>MONTH(Patient_Data!$E2269)</f>
        <v>5</v>
      </c>
      <c r="E2269" s="7">
        <v>46149</v>
      </c>
      <c r="F2269" s="55" t="str">
        <f>TEXT(Patient_Data[[#This Row],[Admission_Date]],"YYYY")</f>
        <v>2026</v>
      </c>
      <c r="G2269" s="8" t="s">
        <v>4509</v>
      </c>
      <c r="H2269" s="8" t="s">
        <v>132</v>
      </c>
      <c r="I2269" s="4" t="s">
        <v>29</v>
      </c>
      <c r="J2269" s="4">
        <v>80</v>
      </c>
      <c r="K2269" s="4" t="s">
        <v>30</v>
      </c>
      <c r="L2269" s="8">
        <v>3</v>
      </c>
      <c r="M2269" s="9" t="s">
        <v>36</v>
      </c>
      <c r="N2269" s="9" t="str">
        <f t="shared" si="17"/>
        <v>Cardio</v>
      </c>
      <c r="O2269" s="10">
        <v>9254.83</v>
      </c>
      <c r="P2269" s="10">
        <v>5671.85</v>
      </c>
      <c r="Q2269" s="11">
        <v>3.3</v>
      </c>
      <c r="R2269" s="13" t="str">
        <f>IF(Patient_Data!$L2269&lt;2,"Low Risk",IF(Patient_Data!$L2269&lt;4,"Moderate Risk","High Risk"))</f>
        <v>Moderate Risk</v>
      </c>
      <c r="S2269" s="12" t="str">
        <f>IF(Patient_Data[[#This Row],[Age]]&lt;=18,"Pediatric",IF(Patient_Data[[#This Row],[Age]]&lt;=64,"Adult","Geriatric"))</f>
        <v>Geriatric</v>
      </c>
    </row>
    <row r="2270" spans="1:19" ht="15.75" customHeight="1" x14ac:dyDescent="0.3">
      <c r="A2270" s="4" t="s">
        <v>4510</v>
      </c>
      <c r="B2270" s="5" t="str">
        <f>TEXT(Patient_Data!$E2270,"mmmm")</f>
        <v>April</v>
      </c>
      <c r="C2270" s="6" t="str">
        <f t="shared" si="16"/>
        <v>Apr</v>
      </c>
      <c r="D2270" s="6">
        <f>MONTH(Patient_Data!$E2270)</f>
        <v>4</v>
      </c>
      <c r="E2270" s="7">
        <v>46114</v>
      </c>
      <c r="F2270" s="55" t="str">
        <f>TEXT(Patient_Data[[#This Row],[Admission_Date]],"YYYY")</f>
        <v>2026</v>
      </c>
      <c r="G2270" s="8" t="s">
        <v>4511</v>
      </c>
      <c r="H2270" s="8" t="s">
        <v>28</v>
      </c>
      <c r="I2270" s="4" t="s">
        <v>35</v>
      </c>
      <c r="J2270" s="4">
        <v>81</v>
      </c>
      <c r="K2270" s="4" t="s">
        <v>30</v>
      </c>
      <c r="L2270" s="8">
        <v>2</v>
      </c>
      <c r="M2270" s="9" t="s">
        <v>83</v>
      </c>
      <c r="N2270" s="9" t="str">
        <f t="shared" si="17"/>
        <v>ER</v>
      </c>
      <c r="O2270" s="10">
        <v>7446.71</v>
      </c>
      <c r="P2270" s="10">
        <v>4871.49</v>
      </c>
      <c r="Q2270" s="11">
        <v>13.2</v>
      </c>
      <c r="R2270" s="13" t="str">
        <f>IF(Patient_Data!$L2270&lt;2,"Low Risk",IF(Patient_Data!$L2270&lt;4,"Moderate Risk","High Risk"))</f>
        <v>Moderate Risk</v>
      </c>
      <c r="S2270" s="12" t="str">
        <f>IF(Patient_Data[[#This Row],[Age]]&lt;=18,"Pediatric",IF(Patient_Data[[#This Row],[Age]]&lt;=64,"Adult","Geriatric"))</f>
        <v>Geriatric</v>
      </c>
    </row>
    <row r="2271" spans="1:19" ht="15.75" customHeight="1" x14ac:dyDescent="0.3">
      <c r="A2271" s="4" t="s">
        <v>4512</v>
      </c>
      <c r="B2271" s="5" t="str">
        <f>TEXT(Patient_Data!$E2271,"mmmm")</f>
        <v>February</v>
      </c>
      <c r="C2271" s="6" t="str">
        <f t="shared" si="16"/>
        <v>Feb</v>
      </c>
      <c r="D2271" s="6">
        <f>MONTH(Patient_Data!$E2271)</f>
        <v>2</v>
      </c>
      <c r="E2271" s="7">
        <v>46079</v>
      </c>
      <c r="F2271" s="55" t="str">
        <f>TEXT(Patient_Data[[#This Row],[Admission_Date]],"YYYY")</f>
        <v>2026</v>
      </c>
      <c r="G2271" s="8" t="s">
        <v>3213</v>
      </c>
      <c r="H2271" s="8" t="s">
        <v>53</v>
      </c>
      <c r="I2271" s="4" t="s">
        <v>29</v>
      </c>
      <c r="J2271" s="4">
        <v>27</v>
      </c>
      <c r="K2271" s="4" t="s">
        <v>30</v>
      </c>
      <c r="L2271" s="8">
        <v>1</v>
      </c>
      <c r="M2271" s="9" t="s">
        <v>36</v>
      </c>
      <c r="N2271" s="9" t="str">
        <f t="shared" si="17"/>
        <v>Cardio</v>
      </c>
      <c r="O2271" s="10">
        <v>4825.75</v>
      </c>
      <c r="P2271" s="10">
        <v>3259.65</v>
      </c>
      <c r="Q2271" s="11">
        <v>3.3</v>
      </c>
      <c r="R2271" s="13" t="str">
        <f>IF(Patient_Data!$L2271&lt;2,"Low Risk",IF(Patient_Data!$L2271&lt;4,"Moderate Risk","High Risk"))</f>
        <v>Low Risk</v>
      </c>
      <c r="S2271" s="12" t="str">
        <f>IF(Patient_Data[[#This Row],[Age]]&lt;=18,"Pediatric",IF(Patient_Data[[#This Row],[Age]]&lt;=64,"Adult","Geriatric"))</f>
        <v>Adult</v>
      </c>
    </row>
    <row r="2272" spans="1:19" ht="15.75" customHeight="1" x14ac:dyDescent="0.3">
      <c r="A2272" s="4" t="s">
        <v>4513</v>
      </c>
      <c r="B2272" s="5" t="str">
        <f>TEXT(Patient_Data!$E2272,"mmmm")</f>
        <v>September</v>
      </c>
      <c r="C2272" s="6" t="str">
        <f t="shared" si="16"/>
        <v>Sep</v>
      </c>
      <c r="D2272" s="6">
        <f>MONTH(Patient_Data!$E2272)</f>
        <v>9</v>
      </c>
      <c r="E2272" s="7">
        <v>45901</v>
      </c>
      <c r="F2272" s="55" t="str">
        <f>TEXT(Patient_Data[[#This Row],[Admission_Date]],"YYYY")</f>
        <v>2025</v>
      </c>
      <c r="G2272" s="8" t="s">
        <v>4514</v>
      </c>
      <c r="H2272" s="8" t="s">
        <v>42</v>
      </c>
      <c r="I2272" s="4" t="s">
        <v>35</v>
      </c>
      <c r="J2272" s="4">
        <v>66</v>
      </c>
      <c r="K2272" s="4" t="s">
        <v>45</v>
      </c>
      <c r="L2272" s="8">
        <v>5</v>
      </c>
      <c r="M2272" s="9" t="s">
        <v>50</v>
      </c>
      <c r="N2272" s="9" t="str">
        <f t="shared" si="17"/>
        <v>ICU</v>
      </c>
      <c r="O2272" s="10">
        <v>24773.64</v>
      </c>
      <c r="P2272" s="10">
        <v>17421.55</v>
      </c>
      <c r="Q2272" s="11">
        <v>10</v>
      </c>
      <c r="R2272" s="13" t="str">
        <f>IF(Patient_Data!$L2272&lt;2,"Low Risk",IF(Patient_Data!$L2272&lt;4,"Moderate Risk","High Risk"))</f>
        <v>High Risk</v>
      </c>
      <c r="S2272" s="12" t="str">
        <f>IF(Patient_Data[[#This Row],[Age]]&lt;=18,"Pediatric",IF(Patient_Data[[#This Row],[Age]]&lt;=64,"Adult","Geriatric"))</f>
        <v>Geriatric</v>
      </c>
    </row>
    <row r="2273" spans="1:19" ht="15.75" customHeight="1" x14ac:dyDescent="0.3">
      <c r="A2273" s="4" t="s">
        <v>4515</v>
      </c>
      <c r="B2273" s="5" t="str">
        <f>TEXT(Patient_Data!$E2273,"mmmm")</f>
        <v>May</v>
      </c>
      <c r="C2273" s="6" t="str">
        <f t="shared" si="16"/>
        <v>May</v>
      </c>
      <c r="D2273" s="6">
        <f>MONTH(Patient_Data!$E2273)</f>
        <v>5</v>
      </c>
      <c r="E2273" s="7">
        <v>45792</v>
      </c>
      <c r="F2273" s="55" t="str">
        <f>TEXT(Patient_Data[[#This Row],[Admission_Date]],"YYYY")</f>
        <v>2025</v>
      </c>
      <c r="G2273" s="8" t="s">
        <v>4516</v>
      </c>
      <c r="H2273" s="8" t="s">
        <v>53</v>
      </c>
      <c r="I2273" s="4" t="s">
        <v>35</v>
      </c>
      <c r="J2273" s="4">
        <v>36</v>
      </c>
      <c r="K2273" s="4" t="s">
        <v>30</v>
      </c>
      <c r="L2273" s="8">
        <v>2</v>
      </c>
      <c r="M2273" s="9" t="s">
        <v>39</v>
      </c>
      <c r="N2273" s="9" t="str">
        <f t="shared" si="17"/>
        <v>GM</v>
      </c>
      <c r="O2273" s="10">
        <v>4626.96</v>
      </c>
      <c r="P2273" s="10">
        <v>3430.48</v>
      </c>
      <c r="Q2273" s="11">
        <v>6.6</v>
      </c>
      <c r="R2273" s="13" t="str">
        <f>IF(Patient_Data!$L2273&lt;2,"Low Risk",IF(Patient_Data!$L2273&lt;4,"Moderate Risk","High Risk"))</f>
        <v>Moderate Risk</v>
      </c>
      <c r="S2273" s="12" t="str">
        <f>IF(Patient_Data[[#This Row],[Age]]&lt;=18,"Pediatric",IF(Patient_Data[[#This Row],[Age]]&lt;=64,"Adult","Geriatric"))</f>
        <v>Adult</v>
      </c>
    </row>
    <row r="2274" spans="1:19" ht="15.75" customHeight="1" x14ac:dyDescent="0.3">
      <c r="A2274" s="4" t="s">
        <v>4517</v>
      </c>
      <c r="B2274" s="5" t="str">
        <f>TEXT(Patient_Data!$E2274,"mmmm")</f>
        <v>May</v>
      </c>
      <c r="C2274" s="6" t="str">
        <f t="shared" si="16"/>
        <v>May</v>
      </c>
      <c r="D2274" s="6">
        <f>MONTH(Patient_Data!$E2274)</f>
        <v>5</v>
      </c>
      <c r="E2274" s="7">
        <v>46164</v>
      </c>
      <c r="F2274" s="55" t="str">
        <f>TEXT(Patient_Data[[#This Row],[Admission_Date]],"YYYY")</f>
        <v>2026</v>
      </c>
      <c r="G2274" s="8" t="s">
        <v>4518</v>
      </c>
      <c r="H2274" s="8" t="s">
        <v>82</v>
      </c>
      <c r="I2274" s="4" t="s">
        <v>35</v>
      </c>
      <c r="J2274" s="4">
        <v>55</v>
      </c>
      <c r="K2274" s="4" t="s">
        <v>54</v>
      </c>
      <c r="L2274" s="8">
        <v>3</v>
      </c>
      <c r="M2274" s="9" t="s">
        <v>50</v>
      </c>
      <c r="N2274" s="9" t="str">
        <f t="shared" si="17"/>
        <v>ICU</v>
      </c>
      <c r="O2274" s="10">
        <v>16833.259999999998</v>
      </c>
      <c r="P2274" s="10">
        <v>12884.48</v>
      </c>
      <c r="Q2274" s="11">
        <v>11.4</v>
      </c>
      <c r="R2274" s="13" t="str">
        <f>IF(Patient_Data!$L2274&lt;2,"Low Risk",IF(Patient_Data!$L2274&lt;4,"Moderate Risk","High Risk"))</f>
        <v>Moderate Risk</v>
      </c>
      <c r="S2274" s="12" t="str">
        <f>IF(Patient_Data[[#This Row],[Age]]&lt;=18,"Pediatric",IF(Patient_Data[[#This Row],[Age]]&lt;=64,"Adult","Geriatric"))</f>
        <v>Adult</v>
      </c>
    </row>
    <row r="2275" spans="1:19" ht="15.75" customHeight="1" x14ac:dyDescent="0.3">
      <c r="A2275" s="4" t="s">
        <v>4519</v>
      </c>
      <c r="B2275" s="5" t="str">
        <f>TEXT(Patient_Data!$E2275,"mmmm")</f>
        <v>February</v>
      </c>
      <c r="C2275" s="6" t="str">
        <f t="shared" si="16"/>
        <v>Feb</v>
      </c>
      <c r="D2275" s="6">
        <f>MONTH(Patient_Data!$E2275)</f>
        <v>2</v>
      </c>
      <c r="E2275" s="7">
        <v>45334</v>
      </c>
      <c r="F2275" s="55" t="str">
        <f>TEXT(Patient_Data[[#This Row],[Admission_Date]],"YYYY")</f>
        <v>2024</v>
      </c>
      <c r="G2275" s="8" t="s">
        <v>4520</v>
      </c>
      <c r="H2275" s="8" t="s">
        <v>49</v>
      </c>
      <c r="I2275" s="4" t="s">
        <v>35</v>
      </c>
      <c r="J2275" s="4">
        <v>68</v>
      </c>
      <c r="K2275" s="4" t="s">
        <v>45</v>
      </c>
      <c r="L2275" s="8">
        <v>4</v>
      </c>
      <c r="M2275" s="9" t="s">
        <v>50</v>
      </c>
      <c r="N2275" s="9" t="str">
        <f t="shared" si="17"/>
        <v>ICU</v>
      </c>
      <c r="O2275" s="10">
        <v>11729.69</v>
      </c>
      <c r="P2275" s="10">
        <v>6879.22</v>
      </c>
      <c r="Q2275" s="11">
        <v>9.5</v>
      </c>
      <c r="R2275" s="13" t="str">
        <f>IF(Patient_Data!$L2275&lt;2,"Low Risk",IF(Patient_Data!$L2275&lt;4,"Moderate Risk","High Risk"))</f>
        <v>High Risk</v>
      </c>
      <c r="S2275" s="12" t="str">
        <f>IF(Patient_Data[[#This Row],[Age]]&lt;=18,"Pediatric",IF(Patient_Data[[#This Row],[Age]]&lt;=64,"Adult","Geriatric"))</f>
        <v>Geriatric</v>
      </c>
    </row>
    <row r="2276" spans="1:19" ht="15.75" customHeight="1" x14ac:dyDescent="0.3">
      <c r="A2276" s="4" t="s">
        <v>4521</v>
      </c>
      <c r="B2276" s="5" t="str">
        <f>TEXT(Patient_Data!$E2276,"mmmm")</f>
        <v>March</v>
      </c>
      <c r="C2276" s="6" t="str">
        <f t="shared" si="16"/>
        <v>Mar</v>
      </c>
      <c r="D2276" s="6">
        <f>MONTH(Patient_Data!$E2276)</f>
        <v>3</v>
      </c>
      <c r="E2276" s="7">
        <v>45741</v>
      </c>
      <c r="F2276" s="55" t="str">
        <f>TEXT(Patient_Data[[#This Row],[Admission_Date]],"YYYY")</f>
        <v>2025</v>
      </c>
      <c r="G2276" s="8" t="s">
        <v>4522</v>
      </c>
      <c r="H2276" s="8" t="s">
        <v>75</v>
      </c>
      <c r="I2276" s="4" t="s">
        <v>35</v>
      </c>
      <c r="J2276" s="4">
        <v>70</v>
      </c>
      <c r="K2276" s="4" t="s">
        <v>30</v>
      </c>
      <c r="L2276" s="8">
        <v>5</v>
      </c>
      <c r="M2276" s="9" t="s">
        <v>83</v>
      </c>
      <c r="N2276" s="9" t="str">
        <f t="shared" si="17"/>
        <v>ER</v>
      </c>
      <c r="O2276" s="10">
        <v>12939.41</v>
      </c>
      <c r="P2276" s="10">
        <v>8004.24</v>
      </c>
      <c r="Q2276" s="11">
        <v>13.9</v>
      </c>
      <c r="R2276" s="13" t="str">
        <f>IF(Patient_Data!$L2276&lt;2,"Low Risk",IF(Patient_Data!$L2276&lt;4,"Moderate Risk","High Risk"))</f>
        <v>High Risk</v>
      </c>
      <c r="S2276" s="12" t="str">
        <f>IF(Patient_Data[[#This Row],[Age]]&lt;=18,"Pediatric",IF(Patient_Data[[#This Row],[Age]]&lt;=64,"Adult","Geriatric"))</f>
        <v>Geriatric</v>
      </c>
    </row>
    <row r="2277" spans="1:19" ht="15.75" customHeight="1" x14ac:dyDescent="0.3">
      <c r="A2277" s="4" t="s">
        <v>4523</v>
      </c>
      <c r="B2277" s="5" t="str">
        <f>TEXT(Patient_Data!$E2277,"mmmm")</f>
        <v>June</v>
      </c>
      <c r="C2277" s="6" t="str">
        <f t="shared" si="16"/>
        <v>Jun</v>
      </c>
      <c r="D2277" s="6">
        <f>MONTH(Patient_Data!$E2277)</f>
        <v>6</v>
      </c>
      <c r="E2277" s="7">
        <v>45453</v>
      </c>
      <c r="F2277" s="55" t="str">
        <f>TEXT(Patient_Data[[#This Row],[Admission_Date]],"YYYY")</f>
        <v>2024</v>
      </c>
      <c r="G2277" s="8" t="s">
        <v>2071</v>
      </c>
      <c r="H2277" s="8" t="s">
        <v>98</v>
      </c>
      <c r="I2277" s="4" t="s">
        <v>35</v>
      </c>
      <c r="J2277" s="4">
        <v>65</v>
      </c>
      <c r="K2277" s="4" t="s">
        <v>30</v>
      </c>
      <c r="L2277" s="8">
        <v>2</v>
      </c>
      <c r="M2277" s="9" t="s">
        <v>39</v>
      </c>
      <c r="N2277" s="9" t="str">
        <f t="shared" si="17"/>
        <v>GM</v>
      </c>
      <c r="O2277" s="10">
        <v>3943.42</v>
      </c>
      <c r="P2277" s="10">
        <v>2594.19</v>
      </c>
      <c r="Q2277" s="11">
        <v>8.8000000000000007</v>
      </c>
      <c r="R2277" s="13" t="str">
        <f>IF(Patient_Data!$L2277&lt;2,"Low Risk",IF(Patient_Data!$L2277&lt;4,"Moderate Risk","High Risk"))</f>
        <v>Moderate Risk</v>
      </c>
      <c r="S2277" s="12" t="str">
        <f>IF(Patient_Data[[#This Row],[Age]]&lt;=18,"Pediatric",IF(Patient_Data[[#This Row],[Age]]&lt;=64,"Adult","Geriatric"))</f>
        <v>Geriatric</v>
      </c>
    </row>
    <row r="2278" spans="1:19" ht="15.75" customHeight="1" x14ac:dyDescent="0.3">
      <c r="A2278" s="4" t="s">
        <v>4524</v>
      </c>
      <c r="B2278" s="5" t="str">
        <f>TEXT(Patient_Data!$E2278,"mmmm")</f>
        <v>October</v>
      </c>
      <c r="C2278" s="6" t="str">
        <f t="shared" si="16"/>
        <v>Oct</v>
      </c>
      <c r="D2278" s="6">
        <f>MONTH(Patient_Data!$E2278)</f>
        <v>10</v>
      </c>
      <c r="E2278" s="7">
        <v>45569</v>
      </c>
      <c r="F2278" s="55" t="str">
        <f>TEXT(Patient_Data[[#This Row],[Admission_Date]],"YYYY")</f>
        <v>2024</v>
      </c>
      <c r="G2278" s="8" t="s">
        <v>4525</v>
      </c>
      <c r="H2278" s="8" t="s">
        <v>49</v>
      </c>
      <c r="I2278" s="4" t="s">
        <v>29</v>
      </c>
      <c r="J2278" s="4">
        <v>31</v>
      </c>
      <c r="K2278" s="4" t="s">
        <v>45</v>
      </c>
      <c r="L2278" s="8">
        <v>4</v>
      </c>
      <c r="M2278" s="9" t="s">
        <v>72</v>
      </c>
      <c r="N2278" s="9" t="str">
        <f t="shared" si="17"/>
        <v>Surgery</v>
      </c>
      <c r="O2278" s="10">
        <v>12003.93</v>
      </c>
      <c r="P2278" s="10">
        <v>8104.23</v>
      </c>
      <c r="Q2278" s="11">
        <v>7.7</v>
      </c>
      <c r="R2278" s="13" t="str">
        <f>IF(Patient_Data!$L2278&lt;2,"Low Risk",IF(Patient_Data!$L2278&lt;4,"Moderate Risk","High Risk"))</f>
        <v>High Risk</v>
      </c>
      <c r="S2278" s="12" t="str">
        <f>IF(Patient_Data[[#This Row],[Age]]&lt;=18,"Pediatric",IF(Patient_Data[[#This Row],[Age]]&lt;=64,"Adult","Geriatric"))</f>
        <v>Adult</v>
      </c>
    </row>
    <row r="2279" spans="1:19" ht="15.75" customHeight="1" x14ac:dyDescent="0.3">
      <c r="A2279" s="4" t="s">
        <v>4526</v>
      </c>
      <c r="B2279" s="5" t="str">
        <f>TEXT(Patient_Data!$E2279,"mmmm")</f>
        <v>February</v>
      </c>
      <c r="C2279" s="6" t="str">
        <f t="shared" si="16"/>
        <v>Feb</v>
      </c>
      <c r="D2279" s="6">
        <f>MONTH(Patient_Data!$E2279)</f>
        <v>2</v>
      </c>
      <c r="E2279" s="7">
        <v>45706</v>
      </c>
      <c r="F2279" s="55" t="str">
        <f>TEXT(Patient_Data[[#This Row],[Admission_Date]],"YYYY")</f>
        <v>2025</v>
      </c>
      <c r="G2279" s="8" t="s">
        <v>4527</v>
      </c>
      <c r="H2279" s="8" t="s">
        <v>28</v>
      </c>
      <c r="I2279" s="4" t="s">
        <v>35</v>
      </c>
      <c r="J2279" s="4">
        <v>62</v>
      </c>
      <c r="K2279" s="4" t="s">
        <v>54</v>
      </c>
      <c r="L2279" s="8">
        <v>4</v>
      </c>
      <c r="M2279" s="9" t="s">
        <v>50</v>
      </c>
      <c r="N2279" s="9" t="str">
        <f t="shared" si="17"/>
        <v>ICU</v>
      </c>
      <c r="O2279" s="10">
        <v>16142.89</v>
      </c>
      <c r="P2279" s="10">
        <v>11372.82</v>
      </c>
      <c r="Q2279" s="11">
        <v>9.1</v>
      </c>
      <c r="R2279" s="13" t="str">
        <f>IF(Patient_Data!$L2279&lt;2,"Low Risk",IF(Patient_Data!$L2279&lt;4,"Moderate Risk","High Risk"))</f>
        <v>High Risk</v>
      </c>
      <c r="S2279" s="12" t="str">
        <f>IF(Patient_Data[[#This Row],[Age]]&lt;=18,"Pediatric",IF(Patient_Data[[#This Row],[Age]]&lt;=64,"Adult","Geriatric"))</f>
        <v>Adult</v>
      </c>
    </row>
    <row r="2280" spans="1:19" ht="15.75" customHeight="1" x14ac:dyDescent="0.3">
      <c r="A2280" s="4" t="s">
        <v>4528</v>
      </c>
      <c r="B2280" s="5" t="str">
        <f>TEXT(Patient_Data!$E2280,"mmmm")</f>
        <v>February</v>
      </c>
      <c r="C2280" s="6" t="str">
        <f t="shared" si="16"/>
        <v>Feb</v>
      </c>
      <c r="D2280" s="6">
        <f>MONTH(Patient_Data!$E2280)</f>
        <v>2</v>
      </c>
      <c r="E2280" s="7">
        <v>45323</v>
      </c>
      <c r="F2280" s="55" t="str">
        <f>TEXT(Patient_Data[[#This Row],[Admission_Date]],"YYYY")</f>
        <v>2024</v>
      </c>
      <c r="G2280" s="8" t="s">
        <v>950</v>
      </c>
      <c r="H2280" s="8" t="s">
        <v>28</v>
      </c>
      <c r="I2280" s="4" t="s">
        <v>35</v>
      </c>
      <c r="J2280" s="4">
        <v>2</v>
      </c>
      <c r="K2280" s="4" t="s">
        <v>30</v>
      </c>
      <c r="L2280" s="8">
        <v>1</v>
      </c>
      <c r="M2280" s="9" t="s">
        <v>79</v>
      </c>
      <c r="N2280" s="9" t="str">
        <f t="shared" si="17"/>
        <v>PD</v>
      </c>
      <c r="O2280" s="10">
        <v>783.67</v>
      </c>
      <c r="P2280" s="10">
        <v>579.28</v>
      </c>
      <c r="Q2280" s="11">
        <v>0.9</v>
      </c>
      <c r="R2280" s="13" t="str">
        <f>IF(Patient_Data!$L2280&lt;2,"Low Risk",IF(Patient_Data!$L2280&lt;4,"Moderate Risk","High Risk"))</f>
        <v>Low Risk</v>
      </c>
      <c r="S2280" s="12" t="str">
        <f>IF(Patient_Data[[#This Row],[Age]]&lt;=18,"Pediatric",IF(Patient_Data[[#This Row],[Age]]&lt;=64,"Adult","Geriatric"))</f>
        <v>Pediatric</v>
      </c>
    </row>
    <row r="2281" spans="1:19" ht="15.75" customHeight="1" x14ac:dyDescent="0.3">
      <c r="A2281" s="4" t="s">
        <v>4529</v>
      </c>
      <c r="B2281" s="5" t="str">
        <f>TEXT(Patient_Data!$E2281,"mmmm")</f>
        <v>January</v>
      </c>
      <c r="C2281" s="6" t="str">
        <f t="shared" si="16"/>
        <v>Jan</v>
      </c>
      <c r="D2281" s="6">
        <f>MONTH(Patient_Data!$E2281)</f>
        <v>1</v>
      </c>
      <c r="E2281" s="7">
        <v>45321</v>
      </c>
      <c r="F2281" s="55" t="str">
        <f>TEXT(Patient_Data[[#This Row],[Admission_Date]],"YYYY")</f>
        <v>2024</v>
      </c>
      <c r="G2281" s="8" t="s">
        <v>4530</v>
      </c>
      <c r="H2281" s="8" t="s">
        <v>82</v>
      </c>
      <c r="I2281" s="4" t="s">
        <v>35</v>
      </c>
      <c r="J2281" s="4">
        <v>48</v>
      </c>
      <c r="K2281" s="4" t="s">
        <v>30</v>
      </c>
      <c r="L2281" s="8">
        <v>1</v>
      </c>
      <c r="M2281" s="9" t="s">
        <v>83</v>
      </c>
      <c r="N2281" s="9" t="str">
        <f t="shared" si="17"/>
        <v>ER</v>
      </c>
      <c r="O2281" s="10">
        <v>3758.05</v>
      </c>
      <c r="P2281" s="10">
        <v>2950.52</v>
      </c>
      <c r="Q2281" s="11">
        <v>11.8</v>
      </c>
      <c r="R2281" s="13" t="str">
        <f>IF(Patient_Data!$L2281&lt;2,"Low Risk",IF(Patient_Data!$L2281&lt;4,"Moderate Risk","High Risk"))</f>
        <v>Low Risk</v>
      </c>
      <c r="S2281" s="12" t="str">
        <f>IF(Patient_Data[[#This Row],[Age]]&lt;=18,"Pediatric",IF(Patient_Data[[#This Row],[Age]]&lt;=64,"Adult","Geriatric"))</f>
        <v>Adult</v>
      </c>
    </row>
    <row r="2282" spans="1:19" ht="15.75" customHeight="1" x14ac:dyDescent="0.3">
      <c r="A2282" s="4" t="s">
        <v>4531</v>
      </c>
      <c r="B2282" s="5" t="str">
        <f>TEXT(Patient_Data!$E2282,"mmmm")</f>
        <v>October</v>
      </c>
      <c r="C2282" s="6" t="str">
        <f t="shared" si="16"/>
        <v>Oct</v>
      </c>
      <c r="D2282" s="6">
        <f>MONTH(Patient_Data!$E2282)</f>
        <v>10</v>
      </c>
      <c r="E2282" s="7">
        <v>45205</v>
      </c>
      <c r="F2282" s="55" t="str">
        <f>TEXT(Patient_Data[[#This Row],[Admission_Date]],"YYYY")</f>
        <v>2023</v>
      </c>
      <c r="G2282" s="8" t="s">
        <v>4532</v>
      </c>
      <c r="H2282" s="8" t="s">
        <v>34</v>
      </c>
      <c r="I2282" s="4" t="s">
        <v>35</v>
      </c>
      <c r="J2282" s="4">
        <v>0</v>
      </c>
      <c r="K2282" s="4" t="s">
        <v>30</v>
      </c>
      <c r="L2282" s="8">
        <v>1</v>
      </c>
      <c r="M2282" s="9" t="s">
        <v>79</v>
      </c>
      <c r="N2282" s="9" t="str">
        <f t="shared" si="17"/>
        <v>PD</v>
      </c>
      <c r="O2282" s="10">
        <v>1518.35</v>
      </c>
      <c r="P2282" s="10">
        <v>888.64</v>
      </c>
      <c r="Q2282" s="11">
        <v>1</v>
      </c>
      <c r="R2282" s="13" t="str">
        <f>IF(Patient_Data!$L2282&lt;2,"Low Risk",IF(Patient_Data!$L2282&lt;4,"Moderate Risk","High Risk"))</f>
        <v>Low Risk</v>
      </c>
      <c r="S2282" s="12" t="str">
        <f>IF(Patient_Data[[#This Row],[Age]]&lt;=18,"Pediatric",IF(Patient_Data[[#This Row],[Age]]&lt;=64,"Adult","Geriatric"))</f>
        <v>Pediatric</v>
      </c>
    </row>
    <row r="2283" spans="1:19" ht="15.75" customHeight="1" x14ac:dyDescent="0.3">
      <c r="A2283" s="4" t="s">
        <v>4533</v>
      </c>
      <c r="B2283" s="5" t="str">
        <f>TEXT(Patient_Data!$E2283,"mmmm")</f>
        <v>July</v>
      </c>
      <c r="C2283" s="6" t="str">
        <f t="shared" si="16"/>
        <v>Jul</v>
      </c>
      <c r="D2283" s="6">
        <f>MONTH(Patient_Data!$E2283)</f>
        <v>7</v>
      </c>
      <c r="E2283" s="7">
        <v>46205</v>
      </c>
      <c r="F2283" s="55" t="str">
        <f>TEXT(Patient_Data[[#This Row],[Admission_Date]],"YYYY")</f>
        <v>2026</v>
      </c>
      <c r="G2283" s="8" t="s">
        <v>4534</v>
      </c>
      <c r="H2283" s="8" t="s">
        <v>53</v>
      </c>
      <c r="I2283" s="4" t="s">
        <v>29</v>
      </c>
      <c r="J2283" s="4">
        <v>79</v>
      </c>
      <c r="K2283" s="4" t="s">
        <v>45</v>
      </c>
      <c r="L2283" s="8">
        <v>4</v>
      </c>
      <c r="M2283" s="9" t="s">
        <v>50</v>
      </c>
      <c r="N2283" s="9" t="str">
        <f t="shared" si="17"/>
        <v>ICU</v>
      </c>
      <c r="O2283" s="10">
        <v>18814.5</v>
      </c>
      <c r="P2283" s="10">
        <v>11544.05</v>
      </c>
      <c r="Q2283" s="11">
        <v>8.4</v>
      </c>
      <c r="R2283" s="13" t="str">
        <f>IF(Patient_Data!$L2283&lt;2,"Low Risk",IF(Patient_Data!$L2283&lt;4,"Moderate Risk","High Risk"))</f>
        <v>High Risk</v>
      </c>
      <c r="S2283" s="12" t="str">
        <f>IF(Patient_Data[[#This Row],[Age]]&lt;=18,"Pediatric",IF(Patient_Data[[#This Row],[Age]]&lt;=64,"Adult","Geriatric"))</f>
        <v>Geriatric</v>
      </c>
    </row>
    <row r="2284" spans="1:19" ht="15.75" customHeight="1" x14ac:dyDescent="0.3">
      <c r="A2284" s="4" t="s">
        <v>4535</v>
      </c>
      <c r="B2284" s="5" t="str">
        <f>TEXT(Patient_Data!$E2284,"mmmm")</f>
        <v>October</v>
      </c>
      <c r="C2284" s="6" t="str">
        <f t="shared" si="16"/>
        <v>Oct</v>
      </c>
      <c r="D2284" s="6">
        <f>MONTH(Patient_Data!$E2284)</f>
        <v>10</v>
      </c>
      <c r="E2284" s="7">
        <v>45230</v>
      </c>
      <c r="F2284" s="55" t="str">
        <f>TEXT(Patient_Data[[#This Row],[Admission_Date]],"YYYY")</f>
        <v>2023</v>
      </c>
      <c r="G2284" s="8" t="s">
        <v>4536</v>
      </c>
      <c r="H2284" s="8" t="s">
        <v>132</v>
      </c>
      <c r="I2284" s="4" t="s">
        <v>29</v>
      </c>
      <c r="J2284" s="4">
        <v>39</v>
      </c>
      <c r="K2284" s="4" t="s">
        <v>54</v>
      </c>
      <c r="L2284" s="8">
        <v>1</v>
      </c>
      <c r="M2284" s="9" t="s">
        <v>83</v>
      </c>
      <c r="N2284" s="9" t="str">
        <f t="shared" si="17"/>
        <v>ER</v>
      </c>
      <c r="O2284" s="10">
        <v>7186.89</v>
      </c>
      <c r="P2284" s="10">
        <v>4780.41</v>
      </c>
      <c r="Q2284" s="11">
        <v>22.6</v>
      </c>
      <c r="R2284" s="13" t="str">
        <f>IF(Patient_Data!$L2284&lt;2,"Low Risk",IF(Patient_Data!$L2284&lt;4,"Moderate Risk","High Risk"))</f>
        <v>Low Risk</v>
      </c>
      <c r="S2284" s="12" t="str">
        <f>IF(Patient_Data[[#This Row],[Age]]&lt;=18,"Pediatric",IF(Patient_Data[[#This Row],[Age]]&lt;=64,"Adult","Geriatric"))</f>
        <v>Adult</v>
      </c>
    </row>
    <row r="2285" spans="1:19" ht="15.75" customHeight="1" x14ac:dyDescent="0.3">
      <c r="A2285" s="4" t="s">
        <v>4537</v>
      </c>
      <c r="B2285" s="5" t="str">
        <f>TEXT(Patient_Data!$E2285,"mmmm")</f>
        <v>December</v>
      </c>
      <c r="C2285" s="6" t="str">
        <f t="shared" si="16"/>
        <v>Dec</v>
      </c>
      <c r="D2285" s="6">
        <f>MONTH(Patient_Data!$E2285)</f>
        <v>12</v>
      </c>
      <c r="E2285" s="7">
        <v>45996</v>
      </c>
      <c r="F2285" s="55" t="str">
        <f>TEXT(Patient_Data[[#This Row],[Admission_Date]],"YYYY")</f>
        <v>2025</v>
      </c>
      <c r="G2285" s="8" t="s">
        <v>4538</v>
      </c>
      <c r="H2285" s="8" t="s">
        <v>132</v>
      </c>
      <c r="I2285" s="4" t="s">
        <v>35</v>
      </c>
      <c r="J2285" s="4">
        <v>73</v>
      </c>
      <c r="K2285" s="4" t="s">
        <v>54</v>
      </c>
      <c r="L2285" s="8">
        <v>1</v>
      </c>
      <c r="M2285" s="9" t="s">
        <v>83</v>
      </c>
      <c r="N2285" s="9" t="str">
        <f t="shared" si="17"/>
        <v>ER</v>
      </c>
      <c r="O2285" s="10">
        <v>9115.4699999999993</v>
      </c>
      <c r="P2285" s="10">
        <v>6287.36</v>
      </c>
      <c r="Q2285" s="11">
        <v>22.5</v>
      </c>
      <c r="R2285" s="13" t="str">
        <f>IF(Patient_Data!$L2285&lt;2,"Low Risk",IF(Patient_Data!$L2285&lt;4,"Moderate Risk","High Risk"))</f>
        <v>Low Risk</v>
      </c>
      <c r="S2285" s="12" t="str">
        <f>IF(Patient_Data[[#This Row],[Age]]&lt;=18,"Pediatric",IF(Patient_Data[[#This Row],[Age]]&lt;=64,"Adult","Geriatric"))</f>
        <v>Geriatric</v>
      </c>
    </row>
    <row r="2286" spans="1:19" ht="15.75" customHeight="1" x14ac:dyDescent="0.3">
      <c r="A2286" s="4" t="s">
        <v>4539</v>
      </c>
      <c r="B2286" s="5" t="str">
        <f>TEXT(Patient_Data!$E2286,"mmmm")</f>
        <v>November</v>
      </c>
      <c r="C2286" s="6" t="str">
        <f t="shared" si="16"/>
        <v>Nov</v>
      </c>
      <c r="D2286" s="6">
        <f>MONTH(Patient_Data!$E2286)</f>
        <v>11</v>
      </c>
      <c r="E2286" s="7">
        <v>45602</v>
      </c>
      <c r="F2286" s="55" t="str">
        <f>TEXT(Patient_Data[[#This Row],[Admission_Date]],"YYYY")</f>
        <v>2024</v>
      </c>
      <c r="G2286" s="8" t="s">
        <v>4540</v>
      </c>
      <c r="H2286" s="8" t="s">
        <v>49</v>
      </c>
      <c r="I2286" s="4" t="s">
        <v>35</v>
      </c>
      <c r="J2286" s="4">
        <v>46</v>
      </c>
      <c r="K2286" s="4" t="s">
        <v>30</v>
      </c>
      <c r="L2286" s="8">
        <v>1</v>
      </c>
      <c r="M2286" s="9" t="s">
        <v>36</v>
      </c>
      <c r="N2286" s="9" t="str">
        <f t="shared" si="17"/>
        <v>Cardio</v>
      </c>
      <c r="O2286" s="10">
        <v>6259.97</v>
      </c>
      <c r="P2286" s="10">
        <v>4407.58</v>
      </c>
      <c r="Q2286" s="11">
        <v>3.2</v>
      </c>
      <c r="R2286" s="13" t="str">
        <f>IF(Patient_Data!$L2286&lt;2,"Low Risk",IF(Patient_Data!$L2286&lt;4,"Moderate Risk","High Risk"))</f>
        <v>Low Risk</v>
      </c>
      <c r="S2286" s="12" t="str">
        <f>IF(Patient_Data[[#This Row],[Age]]&lt;=18,"Pediatric",IF(Patient_Data[[#This Row],[Age]]&lt;=64,"Adult","Geriatric"))</f>
        <v>Adult</v>
      </c>
    </row>
    <row r="2287" spans="1:19" ht="15.75" customHeight="1" x14ac:dyDescent="0.3">
      <c r="A2287" s="4" t="s">
        <v>4541</v>
      </c>
      <c r="B2287" s="5" t="str">
        <f>TEXT(Patient_Data!$E2287,"mmmm")</f>
        <v>April</v>
      </c>
      <c r="C2287" s="6" t="str">
        <f t="shared" si="16"/>
        <v>Apr</v>
      </c>
      <c r="D2287" s="6">
        <f>MONTH(Patient_Data!$E2287)</f>
        <v>4</v>
      </c>
      <c r="E2287" s="7">
        <v>46133</v>
      </c>
      <c r="F2287" s="55" t="str">
        <f>TEXT(Patient_Data[[#This Row],[Admission_Date]],"YYYY")</f>
        <v>2026</v>
      </c>
      <c r="G2287" s="8" t="s">
        <v>4542</v>
      </c>
      <c r="H2287" s="8" t="s">
        <v>34</v>
      </c>
      <c r="I2287" s="4" t="s">
        <v>35</v>
      </c>
      <c r="J2287" s="4">
        <v>75</v>
      </c>
      <c r="K2287" s="4" t="s">
        <v>30</v>
      </c>
      <c r="L2287" s="8">
        <v>3</v>
      </c>
      <c r="M2287" s="9" t="s">
        <v>31</v>
      </c>
      <c r="N2287" s="9" t="str">
        <f t="shared" si="17"/>
        <v>Neuro</v>
      </c>
      <c r="O2287" s="10">
        <v>13630.2</v>
      </c>
      <c r="P2287" s="10">
        <v>10000.450000000001</v>
      </c>
      <c r="Q2287" s="11">
        <v>6.3</v>
      </c>
      <c r="R2287" s="13" t="str">
        <f>IF(Patient_Data!$L2287&lt;2,"Low Risk",IF(Patient_Data!$L2287&lt;4,"Moderate Risk","High Risk"))</f>
        <v>Moderate Risk</v>
      </c>
      <c r="S2287" s="12" t="str">
        <f>IF(Patient_Data[[#This Row],[Age]]&lt;=18,"Pediatric",IF(Patient_Data[[#This Row],[Age]]&lt;=64,"Adult","Geriatric"))</f>
        <v>Geriatric</v>
      </c>
    </row>
    <row r="2288" spans="1:19" ht="15.75" customHeight="1" x14ac:dyDescent="0.3">
      <c r="A2288" s="4" t="s">
        <v>4543</v>
      </c>
      <c r="B2288" s="5" t="str">
        <f>TEXT(Patient_Data!$E2288,"mmmm")</f>
        <v>June</v>
      </c>
      <c r="C2288" s="6" t="str">
        <f t="shared" si="16"/>
        <v>Jun</v>
      </c>
      <c r="D2288" s="6">
        <f>MONTH(Patient_Data!$E2288)</f>
        <v>6</v>
      </c>
      <c r="E2288" s="7">
        <v>45471</v>
      </c>
      <c r="F2288" s="55" t="str">
        <f>TEXT(Patient_Data[[#This Row],[Admission_Date]],"YYYY")</f>
        <v>2024</v>
      </c>
      <c r="G2288" s="8" t="s">
        <v>4544</v>
      </c>
      <c r="H2288" s="8" t="s">
        <v>75</v>
      </c>
      <c r="I2288" s="4" t="s">
        <v>35</v>
      </c>
      <c r="J2288" s="4">
        <v>55</v>
      </c>
      <c r="K2288" s="4" t="s">
        <v>30</v>
      </c>
      <c r="L2288" s="8">
        <v>1</v>
      </c>
      <c r="M2288" s="9" t="s">
        <v>83</v>
      </c>
      <c r="N2288" s="9" t="str">
        <f t="shared" si="17"/>
        <v>ER</v>
      </c>
      <c r="O2288" s="10">
        <v>3900.32</v>
      </c>
      <c r="P2288" s="10">
        <v>3145.84</v>
      </c>
      <c r="Q2288" s="11">
        <v>22.7</v>
      </c>
      <c r="R2288" s="13" t="str">
        <f>IF(Patient_Data!$L2288&lt;2,"Low Risk",IF(Patient_Data!$L2288&lt;4,"Moderate Risk","High Risk"))</f>
        <v>Low Risk</v>
      </c>
      <c r="S2288" s="12" t="str">
        <f>IF(Patient_Data[[#This Row],[Age]]&lt;=18,"Pediatric",IF(Patient_Data[[#This Row],[Age]]&lt;=64,"Adult","Geriatric"))</f>
        <v>Adult</v>
      </c>
    </row>
    <row r="2289" spans="1:19" ht="15.75" customHeight="1" x14ac:dyDescent="0.3">
      <c r="A2289" s="4" t="s">
        <v>4545</v>
      </c>
      <c r="B2289" s="5" t="str">
        <f>TEXT(Patient_Data!$E2289,"mmmm")</f>
        <v>September</v>
      </c>
      <c r="C2289" s="6" t="str">
        <f t="shared" si="16"/>
        <v>Sep</v>
      </c>
      <c r="D2289" s="6">
        <f>MONTH(Patient_Data!$E2289)</f>
        <v>9</v>
      </c>
      <c r="E2289" s="7">
        <v>45916</v>
      </c>
      <c r="F2289" s="55" t="str">
        <f>TEXT(Patient_Data[[#This Row],[Admission_Date]],"YYYY")</f>
        <v>2025</v>
      </c>
      <c r="G2289" s="8" t="s">
        <v>4546</v>
      </c>
      <c r="H2289" s="8" t="s">
        <v>82</v>
      </c>
      <c r="I2289" s="4" t="s">
        <v>29</v>
      </c>
      <c r="J2289" s="4">
        <v>70</v>
      </c>
      <c r="K2289" s="4" t="s">
        <v>54</v>
      </c>
      <c r="L2289" s="8">
        <v>5</v>
      </c>
      <c r="M2289" s="9" t="s">
        <v>46</v>
      </c>
      <c r="N2289" s="9" t="str">
        <f t="shared" si="17"/>
        <v>Ortho</v>
      </c>
      <c r="O2289" s="10">
        <v>10390.94</v>
      </c>
      <c r="P2289" s="10">
        <v>6108.35</v>
      </c>
      <c r="Q2289" s="11">
        <v>10.199999999999999</v>
      </c>
      <c r="R2289" s="13" t="str">
        <f>IF(Patient_Data!$L2289&lt;2,"Low Risk",IF(Patient_Data!$L2289&lt;4,"Moderate Risk","High Risk"))</f>
        <v>High Risk</v>
      </c>
      <c r="S2289" s="12" t="str">
        <f>IF(Patient_Data[[#This Row],[Age]]&lt;=18,"Pediatric",IF(Patient_Data[[#This Row],[Age]]&lt;=64,"Adult","Geriatric"))</f>
        <v>Geriatric</v>
      </c>
    </row>
    <row r="2290" spans="1:19" ht="15.75" customHeight="1" x14ac:dyDescent="0.3">
      <c r="A2290" s="4" t="s">
        <v>4547</v>
      </c>
      <c r="B2290" s="5" t="str">
        <f>TEXT(Patient_Data!$E2290,"mmmm")</f>
        <v>April</v>
      </c>
      <c r="C2290" s="6" t="str">
        <f t="shared" si="16"/>
        <v>Apr</v>
      </c>
      <c r="D2290" s="6">
        <f>MONTH(Patient_Data!$E2290)</f>
        <v>4</v>
      </c>
      <c r="E2290" s="7">
        <v>45762</v>
      </c>
      <c r="F2290" s="55" t="str">
        <f>TEXT(Patient_Data[[#This Row],[Admission_Date]],"YYYY")</f>
        <v>2025</v>
      </c>
      <c r="G2290" s="8" t="s">
        <v>4548</v>
      </c>
      <c r="H2290" s="8" t="s">
        <v>4549</v>
      </c>
      <c r="I2290" s="4" t="s">
        <v>35</v>
      </c>
      <c r="J2290" s="4">
        <v>76</v>
      </c>
      <c r="K2290" s="4" t="s">
        <v>45</v>
      </c>
      <c r="L2290" s="8">
        <v>3</v>
      </c>
      <c r="M2290" s="9" t="s">
        <v>46</v>
      </c>
      <c r="N2290" s="9" t="str">
        <f t="shared" si="17"/>
        <v>Ortho</v>
      </c>
      <c r="O2290" s="10">
        <v>5710.07</v>
      </c>
      <c r="P2290" s="10">
        <v>3483.14</v>
      </c>
      <c r="Q2290" s="11"/>
      <c r="R2290" s="13" t="str">
        <f>IF(Patient_Data!$L2290&lt;2,"Low Risk",IF(Patient_Data!$L2290&lt;4,"Moderate Risk","High Risk"))</f>
        <v>Moderate Risk</v>
      </c>
      <c r="S2290" s="12" t="str">
        <f>IF(Patient_Data[[#This Row],[Age]]&lt;=18,"Pediatric",IF(Patient_Data[[#This Row],[Age]]&lt;=64,"Adult","Geriatric"))</f>
        <v>Geriatric</v>
      </c>
    </row>
    <row r="2291" spans="1:19" ht="15.75" customHeight="1" x14ac:dyDescent="0.3">
      <c r="A2291" s="4" t="s">
        <v>4550</v>
      </c>
      <c r="B2291" s="5" t="str">
        <f>TEXT(Patient_Data!$E2291,"mmmm")</f>
        <v>May</v>
      </c>
      <c r="C2291" s="6" t="str">
        <f t="shared" si="16"/>
        <v>May</v>
      </c>
      <c r="D2291" s="6">
        <f>MONTH(Patient_Data!$E2291)</f>
        <v>5</v>
      </c>
      <c r="E2291" s="7">
        <v>45441</v>
      </c>
      <c r="F2291" s="55" t="str">
        <f>TEXT(Patient_Data[[#This Row],[Admission_Date]],"YYYY")</f>
        <v>2024</v>
      </c>
      <c r="G2291" s="8" t="s">
        <v>4551</v>
      </c>
      <c r="H2291" s="8" t="s">
        <v>34</v>
      </c>
      <c r="I2291" s="4" t="s">
        <v>29</v>
      </c>
      <c r="J2291" s="4">
        <v>73</v>
      </c>
      <c r="K2291" s="4" t="s">
        <v>30</v>
      </c>
      <c r="L2291" s="8">
        <v>1</v>
      </c>
      <c r="M2291" s="9" t="s">
        <v>31</v>
      </c>
      <c r="N2291" s="9" t="str">
        <f t="shared" si="17"/>
        <v>Neuro</v>
      </c>
      <c r="O2291" s="10">
        <v>5939.61</v>
      </c>
      <c r="P2291" s="10">
        <v>3893.35</v>
      </c>
      <c r="Q2291" s="11">
        <v>11.5</v>
      </c>
      <c r="R2291" s="13" t="str">
        <f>IF(Patient_Data!$L2291&lt;2,"Low Risk",IF(Patient_Data!$L2291&lt;4,"Moderate Risk","High Risk"))</f>
        <v>Low Risk</v>
      </c>
      <c r="S2291" s="12" t="str">
        <f>IF(Patient_Data[[#This Row],[Age]]&lt;=18,"Pediatric",IF(Patient_Data[[#This Row],[Age]]&lt;=64,"Adult","Geriatric"))</f>
        <v>Geriatric</v>
      </c>
    </row>
    <row r="2292" spans="1:19" ht="15.75" customHeight="1" x14ac:dyDescent="0.3">
      <c r="A2292" s="4" t="s">
        <v>4552</v>
      </c>
      <c r="B2292" s="5" t="str">
        <f>TEXT(Patient_Data!$E2292,"mmmm")</f>
        <v>April</v>
      </c>
      <c r="C2292" s="6" t="str">
        <f t="shared" si="16"/>
        <v>Apr</v>
      </c>
      <c r="D2292" s="6">
        <f>MONTH(Patient_Data!$E2292)</f>
        <v>4</v>
      </c>
      <c r="E2292" s="7">
        <v>46118</v>
      </c>
      <c r="F2292" s="55" t="str">
        <f>TEXT(Patient_Data[[#This Row],[Admission_Date]],"YYYY")</f>
        <v>2026</v>
      </c>
      <c r="G2292" s="8" t="s">
        <v>4553</v>
      </c>
      <c r="H2292" s="8" t="s">
        <v>53</v>
      </c>
      <c r="I2292" s="4" t="s">
        <v>35</v>
      </c>
      <c r="J2292" s="4">
        <v>22</v>
      </c>
      <c r="K2292" s="4" t="s">
        <v>30</v>
      </c>
      <c r="L2292" s="8">
        <v>2</v>
      </c>
      <c r="M2292" s="9" t="s">
        <v>36</v>
      </c>
      <c r="N2292" s="9" t="str">
        <f t="shared" si="17"/>
        <v>Cardio</v>
      </c>
      <c r="O2292" s="10">
        <v>6412.82</v>
      </c>
      <c r="P2292" s="10">
        <v>4333.3900000000003</v>
      </c>
      <c r="Q2292" s="11">
        <v>4.5999999999999996</v>
      </c>
      <c r="R2292" s="13" t="str">
        <f>IF(Patient_Data!$L2292&lt;2,"Low Risk",IF(Patient_Data!$L2292&lt;4,"Moderate Risk","High Risk"))</f>
        <v>Moderate Risk</v>
      </c>
      <c r="S2292" s="12" t="str">
        <f>IF(Patient_Data[[#This Row],[Age]]&lt;=18,"Pediatric",IF(Patient_Data[[#This Row],[Age]]&lt;=64,"Adult","Geriatric"))</f>
        <v>Adult</v>
      </c>
    </row>
    <row r="2293" spans="1:19" ht="15.75" customHeight="1" x14ac:dyDescent="0.3">
      <c r="A2293" s="4" t="s">
        <v>4554</v>
      </c>
      <c r="B2293" s="5" t="str">
        <f>TEXT(Patient_Data!$E2293,"mmmm")</f>
        <v>November</v>
      </c>
      <c r="C2293" s="6" t="str">
        <f t="shared" si="16"/>
        <v>Nov</v>
      </c>
      <c r="D2293" s="6">
        <f>MONTH(Patient_Data!$E2293)</f>
        <v>11</v>
      </c>
      <c r="E2293" s="7">
        <v>45979</v>
      </c>
      <c r="F2293" s="55" t="str">
        <f>TEXT(Patient_Data[[#This Row],[Admission_Date]],"YYYY")</f>
        <v>2025</v>
      </c>
      <c r="G2293" s="8" t="s">
        <v>4555</v>
      </c>
      <c r="H2293" s="8" t="s">
        <v>98</v>
      </c>
      <c r="I2293" s="4" t="s">
        <v>35</v>
      </c>
      <c r="J2293" s="4">
        <v>3</v>
      </c>
      <c r="K2293" s="4" t="s">
        <v>30</v>
      </c>
      <c r="L2293" s="8">
        <v>2</v>
      </c>
      <c r="M2293" s="9" t="s">
        <v>79</v>
      </c>
      <c r="N2293" s="9" t="str">
        <f t="shared" si="17"/>
        <v>PD</v>
      </c>
      <c r="O2293" s="10">
        <v>1169.05</v>
      </c>
      <c r="P2293" s="10">
        <v>831.93</v>
      </c>
      <c r="Q2293" s="11">
        <v>1.7</v>
      </c>
      <c r="R2293" s="13" t="str">
        <f>IF(Patient_Data!$L2293&lt;2,"Low Risk",IF(Patient_Data!$L2293&lt;4,"Moderate Risk","High Risk"))</f>
        <v>Moderate Risk</v>
      </c>
      <c r="S2293" s="12" t="str">
        <f>IF(Patient_Data[[#This Row],[Age]]&lt;=18,"Pediatric",IF(Patient_Data[[#This Row],[Age]]&lt;=64,"Adult","Geriatric"))</f>
        <v>Pediatric</v>
      </c>
    </row>
    <row r="2294" spans="1:19" ht="15.75" customHeight="1" x14ac:dyDescent="0.3">
      <c r="A2294" s="4" t="s">
        <v>4556</v>
      </c>
      <c r="B2294" s="5" t="str">
        <f>TEXT(Patient_Data!$E2294,"mmmm")</f>
        <v>September</v>
      </c>
      <c r="C2294" s="6" t="str">
        <f t="shared" si="16"/>
        <v>Sep</v>
      </c>
      <c r="D2294" s="6">
        <f>MONTH(Patient_Data!$E2294)</f>
        <v>9</v>
      </c>
      <c r="E2294" s="7">
        <v>45912</v>
      </c>
      <c r="F2294" s="55" t="str">
        <f>TEXT(Patient_Data[[#This Row],[Admission_Date]],"YYYY")</f>
        <v>2025</v>
      </c>
      <c r="G2294" s="8" t="s">
        <v>4557</v>
      </c>
      <c r="H2294" s="8" t="s">
        <v>28</v>
      </c>
      <c r="I2294" s="4" t="s">
        <v>35</v>
      </c>
      <c r="J2294" s="4">
        <v>73</v>
      </c>
      <c r="K2294" s="4" t="s">
        <v>54</v>
      </c>
      <c r="L2294" s="8">
        <v>4</v>
      </c>
      <c r="M2294" s="9" t="s">
        <v>50</v>
      </c>
      <c r="N2294" s="9" t="str">
        <f t="shared" si="17"/>
        <v>ICU</v>
      </c>
      <c r="O2294" s="10">
        <v>16472.3</v>
      </c>
      <c r="P2294" s="10">
        <v>12095.98</v>
      </c>
      <c r="Q2294" s="11">
        <v>8.9</v>
      </c>
      <c r="R2294" s="13" t="str">
        <f>IF(Patient_Data!$L2294&lt;2,"Low Risk",IF(Patient_Data!$L2294&lt;4,"Moderate Risk","High Risk"))</f>
        <v>High Risk</v>
      </c>
      <c r="S2294" s="12" t="str">
        <f>IF(Patient_Data[[#This Row],[Age]]&lt;=18,"Pediatric",IF(Patient_Data[[#This Row],[Age]]&lt;=64,"Adult","Geriatric"))</f>
        <v>Geriatric</v>
      </c>
    </row>
    <row r="2295" spans="1:19" ht="15.75" customHeight="1" x14ac:dyDescent="0.3">
      <c r="A2295" s="4" t="s">
        <v>4558</v>
      </c>
      <c r="B2295" s="5" t="str">
        <f>TEXT(Patient_Data!$E2295,"mmmm")</f>
        <v>June</v>
      </c>
      <c r="C2295" s="6" t="str">
        <f t="shared" si="16"/>
        <v>Jun</v>
      </c>
      <c r="D2295" s="6">
        <f>MONTH(Patient_Data!$E2295)</f>
        <v>6</v>
      </c>
      <c r="E2295" s="7">
        <v>46195</v>
      </c>
      <c r="F2295" s="55" t="str">
        <f>TEXT(Patient_Data[[#This Row],[Admission_Date]],"YYYY")</f>
        <v>2026</v>
      </c>
      <c r="G2295" s="8" t="s">
        <v>4559</v>
      </c>
      <c r="H2295" s="8" t="s">
        <v>34</v>
      </c>
      <c r="I2295" s="4" t="s">
        <v>29</v>
      </c>
      <c r="J2295" s="4">
        <v>33</v>
      </c>
      <c r="K2295" s="4" t="s">
        <v>30</v>
      </c>
      <c r="L2295" s="8">
        <v>1</v>
      </c>
      <c r="M2295" s="9" t="s">
        <v>31</v>
      </c>
      <c r="N2295" s="9" t="str">
        <f t="shared" si="17"/>
        <v>Neuro</v>
      </c>
      <c r="O2295" s="10">
        <v>7648.88</v>
      </c>
      <c r="P2295" s="10">
        <v>5889.15</v>
      </c>
      <c r="Q2295" s="11">
        <v>9.5</v>
      </c>
      <c r="R2295" s="13" t="str">
        <f>IF(Patient_Data!$L2295&lt;2,"Low Risk",IF(Patient_Data!$L2295&lt;4,"Moderate Risk","High Risk"))</f>
        <v>Low Risk</v>
      </c>
      <c r="S2295" s="12" t="str">
        <f>IF(Patient_Data[[#This Row],[Age]]&lt;=18,"Pediatric",IF(Patient_Data[[#This Row],[Age]]&lt;=64,"Adult","Geriatric"))</f>
        <v>Adult</v>
      </c>
    </row>
    <row r="2296" spans="1:19" ht="15.75" customHeight="1" x14ac:dyDescent="0.3">
      <c r="A2296" s="4" t="s">
        <v>4560</v>
      </c>
      <c r="B2296" s="5" t="str">
        <f>TEXT(Patient_Data!$E2296,"mmmm")</f>
        <v>September</v>
      </c>
      <c r="C2296" s="6" t="str">
        <f t="shared" si="16"/>
        <v>Sep</v>
      </c>
      <c r="D2296" s="6">
        <f>MONTH(Patient_Data!$E2296)</f>
        <v>9</v>
      </c>
      <c r="E2296" s="7">
        <v>45188</v>
      </c>
      <c r="F2296" s="55" t="str">
        <f>TEXT(Patient_Data[[#This Row],[Admission_Date]],"YYYY")</f>
        <v>2023</v>
      </c>
      <c r="G2296" s="8" t="s">
        <v>4561</v>
      </c>
      <c r="H2296" s="8" t="s">
        <v>49</v>
      </c>
      <c r="I2296" s="4" t="s">
        <v>29</v>
      </c>
      <c r="J2296" s="4">
        <v>40</v>
      </c>
      <c r="K2296" s="4" t="s">
        <v>30</v>
      </c>
      <c r="L2296" s="8">
        <v>1</v>
      </c>
      <c r="M2296" s="9" t="s">
        <v>83</v>
      </c>
      <c r="N2296" s="9" t="str">
        <f t="shared" si="17"/>
        <v>ER</v>
      </c>
      <c r="O2296" s="10">
        <v>8672.3799999999992</v>
      </c>
      <c r="P2296" s="10">
        <v>5137.18</v>
      </c>
      <c r="Q2296" s="11">
        <v>13.4</v>
      </c>
      <c r="R2296" s="13" t="str">
        <f>IF(Patient_Data!$L2296&lt;2,"Low Risk",IF(Patient_Data!$L2296&lt;4,"Moderate Risk","High Risk"))</f>
        <v>Low Risk</v>
      </c>
      <c r="S2296" s="12" t="str">
        <f>IF(Patient_Data[[#This Row],[Age]]&lt;=18,"Pediatric",IF(Patient_Data[[#This Row],[Age]]&lt;=64,"Adult","Geriatric"))</f>
        <v>Adult</v>
      </c>
    </row>
    <row r="2297" spans="1:19" ht="15.75" customHeight="1" x14ac:dyDescent="0.3">
      <c r="A2297" s="4" t="s">
        <v>4562</v>
      </c>
      <c r="B2297" s="5" t="str">
        <f>TEXT(Patient_Data!$E2297,"mmmm")</f>
        <v>December</v>
      </c>
      <c r="C2297" s="6" t="str">
        <f t="shared" ref="C2297:C2506" si="18">LEFT(B2297,3)</f>
        <v>Dec</v>
      </c>
      <c r="D2297" s="6">
        <f>MONTH(Patient_Data!$E2297)</f>
        <v>12</v>
      </c>
      <c r="E2297" s="7">
        <v>45656</v>
      </c>
      <c r="F2297" s="55" t="str">
        <f>TEXT(Patient_Data[[#This Row],[Admission_Date]],"YYYY")</f>
        <v>2024</v>
      </c>
      <c r="G2297" s="8" t="s">
        <v>4563</v>
      </c>
      <c r="H2297" s="8" t="s">
        <v>42</v>
      </c>
      <c r="I2297" s="4" t="s">
        <v>35</v>
      </c>
      <c r="J2297" s="4">
        <v>59</v>
      </c>
      <c r="K2297" s="4" t="s">
        <v>54</v>
      </c>
      <c r="L2297" s="8">
        <v>4</v>
      </c>
      <c r="M2297" s="9" t="s">
        <v>50</v>
      </c>
      <c r="N2297" s="9" t="str">
        <f t="shared" ref="N2297:N2506" si="19">IF(M2297="Cardiology","Cardio",IF(M2297="Intensive Care Unit","ICU",IF(M2297="Neurology","Neuro",IF(M2297="Emergency Room","ER",IF(M2297="Pediatrics","PD",IF(M2297="Surgery","Surgery",IF(M2297="General Medicine","GM",IF(M2297="Orthopedics","Ortho",""))))))))</f>
        <v>ICU</v>
      </c>
      <c r="O2297" s="10">
        <v>15231.64</v>
      </c>
      <c r="P2297" s="10">
        <v>9389.7000000000007</v>
      </c>
      <c r="Q2297" s="11">
        <v>12.3</v>
      </c>
      <c r="R2297" s="13" t="str">
        <f>IF(Patient_Data!$L2297&lt;2,"Low Risk",IF(Patient_Data!$L2297&lt;4,"Moderate Risk","High Risk"))</f>
        <v>High Risk</v>
      </c>
      <c r="S2297" s="12" t="str">
        <f>IF(Patient_Data[[#This Row],[Age]]&lt;=18,"Pediatric",IF(Patient_Data[[#This Row],[Age]]&lt;=64,"Adult","Geriatric"))</f>
        <v>Adult</v>
      </c>
    </row>
    <row r="2298" spans="1:19" ht="15.75" customHeight="1" x14ac:dyDescent="0.3">
      <c r="A2298" s="4" t="s">
        <v>4564</v>
      </c>
      <c r="B2298" s="5" t="str">
        <f>TEXT(Patient_Data!$E2298,"mmmm")</f>
        <v>August</v>
      </c>
      <c r="C2298" s="6" t="str">
        <f t="shared" si="18"/>
        <v>Aug</v>
      </c>
      <c r="D2298" s="6">
        <f>MONTH(Patient_Data!$E2298)</f>
        <v>8</v>
      </c>
      <c r="E2298" s="7">
        <v>45506</v>
      </c>
      <c r="F2298" s="55" t="str">
        <f>TEXT(Patient_Data[[#This Row],[Admission_Date]],"YYYY")</f>
        <v>2024</v>
      </c>
      <c r="G2298" s="8" t="s">
        <v>4565</v>
      </c>
      <c r="H2298" s="8" t="s">
        <v>98</v>
      </c>
      <c r="I2298" s="4" t="s">
        <v>35</v>
      </c>
      <c r="J2298" s="4">
        <v>13</v>
      </c>
      <c r="K2298" s="4" t="s">
        <v>30</v>
      </c>
      <c r="L2298" s="8">
        <v>1</v>
      </c>
      <c r="M2298" s="9" t="s">
        <v>79</v>
      </c>
      <c r="N2298" s="9" t="str">
        <f t="shared" si="19"/>
        <v>PD</v>
      </c>
      <c r="O2298" s="10">
        <v>2052.25</v>
      </c>
      <c r="P2298" s="10">
        <v>1324.64</v>
      </c>
      <c r="Q2298" s="11">
        <v>1.4</v>
      </c>
      <c r="R2298" s="13" t="str">
        <f>IF(Patient_Data!$L2298&lt;2,"Low Risk",IF(Patient_Data!$L2298&lt;4,"Moderate Risk","High Risk"))</f>
        <v>Low Risk</v>
      </c>
      <c r="S2298" s="12" t="str">
        <f>IF(Patient_Data[[#This Row],[Age]]&lt;=18,"Pediatric",IF(Patient_Data[[#This Row],[Age]]&lt;=64,"Adult","Geriatric"))</f>
        <v>Pediatric</v>
      </c>
    </row>
    <row r="2299" spans="1:19" ht="15.75" customHeight="1" x14ac:dyDescent="0.3">
      <c r="A2299" s="4" t="s">
        <v>4566</v>
      </c>
      <c r="B2299" s="5" t="str">
        <f>TEXT(Patient_Data!$E2299,"mmmm")</f>
        <v>July</v>
      </c>
      <c r="C2299" s="6" t="str">
        <f t="shared" si="18"/>
        <v>Jul</v>
      </c>
      <c r="D2299" s="6">
        <f>MONTH(Patient_Data!$E2299)</f>
        <v>7</v>
      </c>
      <c r="E2299" s="7">
        <v>46219</v>
      </c>
      <c r="F2299" s="55" t="str">
        <f>TEXT(Patient_Data[[#This Row],[Admission_Date]],"YYYY")</f>
        <v>2026</v>
      </c>
      <c r="G2299" s="8" t="s">
        <v>4567</v>
      </c>
      <c r="H2299" s="8" t="s">
        <v>42</v>
      </c>
      <c r="I2299" s="4" t="s">
        <v>29</v>
      </c>
      <c r="J2299" s="4">
        <v>17</v>
      </c>
      <c r="K2299" s="4" t="s">
        <v>30</v>
      </c>
      <c r="L2299" s="8">
        <v>1</v>
      </c>
      <c r="M2299" s="9" t="s">
        <v>79</v>
      </c>
      <c r="N2299" s="9" t="str">
        <f t="shared" si="19"/>
        <v>PD</v>
      </c>
      <c r="O2299" s="10">
        <v>1414.08</v>
      </c>
      <c r="P2299" s="10">
        <v>988.23</v>
      </c>
      <c r="Q2299" s="11">
        <v>5.0999999999999996</v>
      </c>
      <c r="R2299" s="13" t="str">
        <f>IF(Patient_Data!$L2299&lt;2,"Low Risk",IF(Patient_Data!$L2299&lt;4,"Moderate Risk","High Risk"))</f>
        <v>Low Risk</v>
      </c>
      <c r="S2299" s="12" t="str">
        <f>IF(Patient_Data[[#This Row],[Age]]&lt;=18,"Pediatric",IF(Patient_Data[[#This Row],[Age]]&lt;=64,"Adult","Geriatric"))</f>
        <v>Pediatric</v>
      </c>
    </row>
    <row r="2300" spans="1:19" ht="15.75" customHeight="1" x14ac:dyDescent="0.3">
      <c r="A2300" s="4" t="s">
        <v>4568</v>
      </c>
      <c r="B2300" s="5" t="str">
        <f>TEXT(Patient_Data!$E2300,"mmmm")</f>
        <v>June</v>
      </c>
      <c r="C2300" s="6" t="str">
        <f t="shared" si="18"/>
        <v>Jun</v>
      </c>
      <c r="D2300" s="6">
        <f>MONTH(Patient_Data!$E2300)</f>
        <v>6</v>
      </c>
      <c r="E2300" s="7">
        <v>45454</v>
      </c>
      <c r="F2300" s="55" t="str">
        <f>TEXT(Patient_Data[[#This Row],[Admission_Date]],"YYYY")</f>
        <v>2024</v>
      </c>
      <c r="G2300" s="8" t="s">
        <v>1412</v>
      </c>
      <c r="H2300" s="8" t="s">
        <v>82</v>
      </c>
      <c r="I2300" s="4" t="s">
        <v>29</v>
      </c>
      <c r="J2300" s="4">
        <v>68</v>
      </c>
      <c r="K2300" s="4" t="s">
        <v>45</v>
      </c>
      <c r="L2300" s="8">
        <v>4</v>
      </c>
      <c r="M2300" s="9" t="s">
        <v>83</v>
      </c>
      <c r="N2300" s="9" t="str">
        <f t="shared" si="19"/>
        <v>ER</v>
      </c>
      <c r="O2300" s="10">
        <v>4069.09</v>
      </c>
      <c r="P2300" s="10">
        <v>2936.36</v>
      </c>
      <c r="Q2300" s="11">
        <v>11</v>
      </c>
      <c r="R2300" s="13" t="str">
        <f>IF(Patient_Data!$L2300&lt;2,"Low Risk",IF(Patient_Data!$L2300&lt;4,"Moderate Risk","High Risk"))</f>
        <v>High Risk</v>
      </c>
      <c r="S2300" s="12" t="str">
        <f>IF(Patient_Data[[#This Row],[Age]]&lt;=18,"Pediatric",IF(Patient_Data[[#This Row],[Age]]&lt;=64,"Adult","Geriatric"))</f>
        <v>Geriatric</v>
      </c>
    </row>
    <row r="2301" spans="1:19" ht="15.75" customHeight="1" x14ac:dyDescent="0.3">
      <c r="A2301" s="4" t="s">
        <v>4569</v>
      </c>
      <c r="B2301" s="5" t="str">
        <f>TEXT(Patient_Data!$E2301,"mmmm")</f>
        <v>February</v>
      </c>
      <c r="C2301" s="6" t="str">
        <f t="shared" si="18"/>
        <v>Feb</v>
      </c>
      <c r="D2301" s="6">
        <f>MONTH(Patient_Data!$E2301)</f>
        <v>2</v>
      </c>
      <c r="E2301" s="7">
        <v>46080</v>
      </c>
      <c r="F2301" s="55" t="str">
        <f>TEXT(Patient_Data[[#This Row],[Admission_Date]],"YYYY")</f>
        <v>2026</v>
      </c>
      <c r="G2301" s="8" t="s">
        <v>4570</v>
      </c>
      <c r="H2301" s="8" t="s">
        <v>82</v>
      </c>
      <c r="I2301" s="4" t="s">
        <v>35</v>
      </c>
      <c r="J2301" s="4">
        <v>32</v>
      </c>
      <c r="K2301" s="4" t="s">
        <v>54</v>
      </c>
      <c r="L2301" s="8">
        <v>1</v>
      </c>
      <c r="M2301" s="9" t="s">
        <v>83</v>
      </c>
      <c r="N2301" s="9" t="str">
        <f t="shared" si="19"/>
        <v>ER</v>
      </c>
      <c r="O2301" s="10">
        <v>7913.15</v>
      </c>
      <c r="P2301" s="10">
        <v>5897.4</v>
      </c>
      <c r="Q2301" s="11">
        <v>15.1</v>
      </c>
      <c r="R2301" s="13" t="str">
        <f>IF(Patient_Data!$L2301&lt;2,"Low Risk",IF(Patient_Data!$L2301&lt;4,"Moderate Risk","High Risk"))</f>
        <v>Low Risk</v>
      </c>
      <c r="S2301" s="12" t="str">
        <f>IF(Patient_Data[[#This Row],[Age]]&lt;=18,"Pediatric",IF(Patient_Data[[#This Row],[Age]]&lt;=64,"Adult","Geriatric"))</f>
        <v>Adult</v>
      </c>
    </row>
    <row r="2302" spans="1:19" ht="15.75" customHeight="1" x14ac:dyDescent="0.3">
      <c r="A2302" s="4" t="s">
        <v>4571</v>
      </c>
      <c r="B2302" s="5" t="str">
        <f>TEXT(Patient_Data!$E2302,"mmmm")</f>
        <v>May</v>
      </c>
      <c r="C2302" s="6" t="str">
        <f t="shared" si="18"/>
        <v>May</v>
      </c>
      <c r="D2302" s="6">
        <f>MONTH(Patient_Data!$E2302)</f>
        <v>5</v>
      </c>
      <c r="E2302" s="7">
        <v>46157</v>
      </c>
      <c r="F2302" s="55" t="str">
        <f>TEXT(Patient_Data[[#This Row],[Admission_Date]],"YYYY")</f>
        <v>2026</v>
      </c>
      <c r="G2302" s="8" t="s">
        <v>4572</v>
      </c>
      <c r="H2302" s="8" t="s">
        <v>132</v>
      </c>
      <c r="I2302" s="4" t="s">
        <v>35</v>
      </c>
      <c r="J2302" s="4">
        <v>76</v>
      </c>
      <c r="K2302" s="4" t="s">
        <v>30</v>
      </c>
      <c r="L2302" s="8">
        <v>2</v>
      </c>
      <c r="M2302" s="9" t="s">
        <v>31</v>
      </c>
      <c r="N2302" s="9" t="str">
        <f t="shared" si="19"/>
        <v>Neuro</v>
      </c>
      <c r="O2302" s="10">
        <v>9200.99</v>
      </c>
      <c r="P2302" s="10">
        <v>7074.35</v>
      </c>
      <c r="Q2302" s="11">
        <v>10.199999999999999</v>
      </c>
      <c r="R2302" s="13" t="str">
        <f>IF(Patient_Data!$L2302&lt;2,"Low Risk",IF(Patient_Data!$L2302&lt;4,"Moderate Risk","High Risk"))</f>
        <v>Moderate Risk</v>
      </c>
      <c r="S2302" s="12" t="str">
        <f>IF(Patient_Data[[#This Row],[Age]]&lt;=18,"Pediatric",IF(Patient_Data[[#This Row],[Age]]&lt;=64,"Adult","Geriatric"))</f>
        <v>Geriatric</v>
      </c>
    </row>
    <row r="2303" spans="1:19" ht="15.75" customHeight="1" x14ac:dyDescent="0.3">
      <c r="A2303" s="4" t="s">
        <v>4573</v>
      </c>
      <c r="B2303" s="5" t="str">
        <f>TEXT(Patient_Data!$E2303,"mmmm")</f>
        <v>September</v>
      </c>
      <c r="C2303" s="6" t="str">
        <f t="shared" si="18"/>
        <v>Sep</v>
      </c>
      <c r="D2303" s="6">
        <f>MONTH(Patient_Data!$E2303)</f>
        <v>9</v>
      </c>
      <c r="E2303" s="7">
        <v>45901</v>
      </c>
      <c r="F2303" s="55" t="str">
        <f>TEXT(Patient_Data[[#This Row],[Admission_Date]],"YYYY")</f>
        <v>2025</v>
      </c>
      <c r="G2303" s="8" t="s">
        <v>4574</v>
      </c>
      <c r="H2303" s="8" t="s">
        <v>28</v>
      </c>
      <c r="I2303" s="4" t="s">
        <v>35</v>
      </c>
      <c r="J2303" s="4">
        <v>61</v>
      </c>
      <c r="K2303" s="4" t="s">
        <v>30</v>
      </c>
      <c r="L2303" s="8">
        <v>5</v>
      </c>
      <c r="M2303" s="9" t="s">
        <v>39</v>
      </c>
      <c r="N2303" s="9" t="str">
        <f t="shared" si="19"/>
        <v>GM</v>
      </c>
      <c r="O2303" s="10">
        <v>5289.35</v>
      </c>
      <c r="P2303" s="10">
        <v>3103.02</v>
      </c>
      <c r="Q2303" s="11">
        <v>4.4000000000000004</v>
      </c>
      <c r="R2303" s="13" t="str">
        <f>IF(Patient_Data!$L2303&lt;2,"Low Risk",IF(Patient_Data!$L2303&lt;4,"Moderate Risk","High Risk"))</f>
        <v>High Risk</v>
      </c>
      <c r="S2303" s="12" t="str">
        <f>IF(Patient_Data[[#This Row],[Age]]&lt;=18,"Pediatric",IF(Patient_Data[[#This Row],[Age]]&lt;=64,"Adult","Geriatric"))</f>
        <v>Adult</v>
      </c>
    </row>
    <row r="2304" spans="1:19" ht="15.75" customHeight="1" x14ac:dyDescent="0.3">
      <c r="A2304" s="4" t="s">
        <v>4575</v>
      </c>
      <c r="B2304" s="5" t="str">
        <f>TEXT(Patient_Data!$E2304,"mmmm")</f>
        <v>February</v>
      </c>
      <c r="C2304" s="6" t="str">
        <f t="shared" si="18"/>
        <v>Feb</v>
      </c>
      <c r="D2304" s="6">
        <f>MONTH(Patient_Data!$E2304)</f>
        <v>2</v>
      </c>
      <c r="E2304" s="7">
        <v>45708</v>
      </c>
      <c r="F2304" s="55" t="str">
        <f>TEXT(Patient_Data[[#This Row],[Admission_Date]],"YYYY")</f>
        <v>2025</v>
      </c>
      <c r="G2304" s="8" t="s">
        <v>4576</v>
      </c>
      <c r="H2304" s="8" t="s">
        <v>132</v>
      </c>
      <c r="I2304" s="4" t="s">
        <v>35</v>
      </c>
      <c r="J2304" s="4">
        <v>61</v>
      </c>
      <c r="K2304" s="4" t="s">
        <v>30</v>
      </c>
      <c r="L2304" s="8">
        <v>1</v>
      </c>
      <c r="M2304" s="9" t="s">
        <v>46</v>
      </c>
      <c r="N2304" s="9" t="str">
        <f t="shared" si="19"/>
        <v>Ortho</v>
      </c>
      <c r="O2304" s="10">
        <v>6736.41</v>
      </c>
      <c r="P2304" s="10">
        <v>4154.01</v>
      </c>
      <c r="Q2304" s="11">
        <v>5.6</v>
      </c>
      <c r="R2304" s="13" t="str">
        <f>IF(Patient_Data!$L2304&lt;2,"Low Risk",IF(Patient_Data!$L2304&lt;4,"Moderate Risk","High Risk"))</f>
        <v>Low Risk</v>
      </c>
      <c r="S2304" s="12" t="str">
        <f>IF(Patient_Data[[#This Row],[Age]]&lt;=18,"Pediatric",IF(Patient_Data[[#This Row],[Age]]&lt;=64,"Adult","Geriatric"))</f>
        <v>Adult</v>
      </c>
    </row>
    <row r="2305" spans="1:19" ht="15.75" customHeight="1" x14ac:dyDescent="0.3">
      <c r="A2305" s="4" t="s">
        <v>4577</v>
      </c>
      <c r="B2305" s="5" t="str">
        <f>TEXT(Patient_Data!$E2305,"mmmm")</f>
        <v>September</v>
      </c>
      <c r="C2305" s="6" t="str">
        <f t="shared" si="18"/>
        <v>Sep</v>
      </c>
      <c r="D2305" s="6">
        <f>MONTH(Patient_Data!$E2305)</f>
        <v>9</v>
      </c>
      <c r="E2305" s="7">
        <v>45923</v>
      </c>
      <c r="F2305" s="55" t="str">
        <f>TEXT(Patient_Data[[#This Row],[Admission_Date]],"YYYY")</f>
        <v>2025</v>
      </c>
      <c r="G2305" s="8" t="s">
        <v>4578</v>
      </c>
      <c r="H2305" s="8" t="s">
        <v>53</v>
      </c>
      <c r="I2305" s="4" t="s">
        <v>35</v>
      </c>
      <c r="J2305" s="4">
        <v>62</v>
      </c>
      <c r="K2305" s="4" t="s">
        <v>30</v>
      </c>
      <c r="L2305" s="8">
        <v>1</v>
      </c>
      <c r="M2305" s="9" t="s">
        <v>83</v>
      </c>
      <c r="N2305" s="9" t="str">
        <f t="shared" si="19"/>
        <v>ER</v>
      </c>
      <c r="O2305" s="10">
        <v>6453.78</v>
      </c>
      <c r="P2305" s="10">
        <v>4267.22</v>
      </c>
      <c r="Q2305" s="11">
        <v>17.100000000000001</v>
      </c>
      <c r="R2305" s="13" t="str">
        <f>IF(Patient_Data!$L2305&lt;2,"Low Risk",IF(Patient_Data!$L2305&lt;4,"Moderate Risk","High Risk"))</f>
        <v>Low Risk</v>
      </c>
      <c r="S2305" s="12" t="str">
        <f>IF(Patient_Data[[#This Row],[Age]]&lt;=18,"Pediatric",IF(Patient_Data[[#This Row],[Age]]&lt;=64,"Adult","Geriatric"))</f>
        <v>Adult</v>
      </c>
    </row>
    <row r="2306" spans="1:19" ht="15.75" customHeight="1" x14ac:dyDescent="0.3">
      <c r="A2306" s="4" t="s">
        <v>4579</v>
      </c>
      <c r="B2306" s="5" t="str">
        <f>TEXT(Patient_Data!$E2306,"mmmm")</f>
        <v>December</v>
      </c>
      <c r="C2306" s="6" t="str">
        <f t="shared" si="18"/>
        <v>Dec</v>
      </c>
      <c r="D2306" s="6">
        <f>MONTH(Patient_Data!$E2306)</f>
        <v>12</v>
      </c>
      <c r="E2306" s="7">
        <v>45646</v>
      </c>
      <c r="F2306" s="55" t="str">
        <f>TEXT(Patient_Data[[#This Row],[Admission_Date]],"YYYY")</f>
        <v>2024</v>
      </c>
      <c r="G2306" s="8" t="s">
        <v>4580</v>
      </c>
      <c r="H2306" s="8" t="s">
        <v>28</v>
      </c>
      <c r="I2306" s="4" t="s">
        <v>35</v>
      </c>
      <c r="J2306" s="4">
        <v>71</v>
      </c>
      <c r="K2306" s="4" t="s">
        <v>30</v>
      </c>
      <c r="L2306" s="8">
        <v>2</v>
      </c>
      <c r="M2306" s="9" t="s">
        <v>46</v>
      </c>
      <c r="N2306" s="9" t="str">
        <f t="shared" si="19"/>
        <v>Ortho</v>
      </c>
      <c r="O2306" s="10">
        <v>8812.64</v>
      </c>
      <c r="P2306" s="10">
        <v>5986.87</v>
      </c>
      <c r="Q2306" s="11">
        <v>10.3</v>
      </c>
      <c r="R2306" s="13" t="str">
        <f>IF(Patient_Data!$L2306&lt;2,"Low Risk",IF(Patient_Data!$L2306&lt;4,"Moderate Risk","High Risk"))</f>
        <v>Moderate Risk</v>
      </c>
      <c r="S2306" s="12" t="str">
        <f>IF(Patient_Data[[#This Row],[Age]]&lt;=18,"Pediatric",IF(Patient_Data[[#This Row],[Age]]&lt;=64,"Adult","Geriatric"))</f>
        <v>Geriatric</v>
      </c>
    </row>
    <row r="2307" spans="1:19" ht="15.75" customHeight="1" x14ac:dyDescent="0.3">
      <c r="A2307" s="4" t="s">
        <v>4581</v>
      </c>
      <c r="B2307" s="5" t="str">
        <f>TEXT(Patient_Data!$E2307,"mmmm")</f>
        <v>November</v>
      </c>
      <c r="C2307" s="6" t="str">
        <f t="shared" si="18"/>
        <v>Nov</v>
      </c>
      <c r="D2307" s="6">
        <f>MONTH(Patient_Data!$E2307)</f>
        <v>11</v>
      </c>
      <c r="E2307" s="7">
        <v>45254</v>
      </c>
      <c r="F2307" s="55" t="str">
        <f>TEXT(Patient_Data[[#This Row],[Admission_Date]],"YYYY")</f>
        <v>2023</v>
      </c>
      <c r="G2307" s="8" t="s">
        <v>4582</v>
      </c>
      <c r="H2307" s="8" t="s">
        <v>132</v>
      </c>
      <c r="I2307" s="4" t="s">
        <v>29</v>
      </c>
      <c r="J2307" s="4">
        <v>52</v>
      </c>
      <c r="K2307" s="4" t="s">
        <v>54</v>
      </c>
      <c r="L2307" s="8">
        <v>5</v>
      </c>
      <c r="M2307" s="9" t="s">
        <v>31</v>
      </c>
      <c r="N2307" s="9" t="str">
        <f t="shared" si="19"/>
        <v>Neuro</v>
      </c>
      <c r="O2307" s="10">
        <v>13321.63</v>
      </c>
      <c r="P2307" s="10">
        <v>9375.5400000000009</v>
      </c>
      <c r="Q2307" s="11">
        <v>6.3</v>
      </c>
      <c r="R2307" s="13" t="str">
        <f>IF(Patient_Data!$L2307&lt;2,"Low Risk",IF(Patient_Data!$L2307&lt;4,"Moderate Risk","High Risk"))</f>
        <v>High Risk</v>
      </c>
      <c r="S2307" s="12" t="str">
        <f>IF(Patient_Data[[#This Row],[Age]]&lt;=18,"Pediatric",IF(Patient_Data[[#This Row],[Age]]&lt;=64,"Adult","Geriatric"))</f>
        <v>Adult</v>
      </c>
    </row>
    <row r="2308" spans="1:19" ht="15.75" customHeight="1" x14ac:dyDescent="0.3">
      <c r="A2308" s="4" t="s">
        <v>4583</v>
      </c>
      <c r="B2308" s="5" t="str">
        <f>TEXT(Patient_Data!$E2308,"mmmm")</f>
        <v>October</v>
      </c>
      <c r="C2308" s="6" t="str">
        <f t="shared" si="18"/>
        <v>Oct</v>
      </c>
      <c r="D2308" s="6">
        <f>MONTH(Patient_Data!$E2308)</f>
        <v>10</v>
      </c>
      <c r="E2308" s="7">
        <v>45590</v>
      </c>
      <c r="F2308" s="55" t="str">
        <f>TEXT(Patient_Data[[#This Row],[Admission_Date]],"YYYY")</f>
        <v>2024</v>
      </c>
      <c r="G2308" s="8" t="s">
        <v>4584</v>
      </c>
      <c r="H2308" s="8" t="s">
        <v>82</v>
      </c>
      <c r="I2308" s="4" t="s">
        <v>35</v>
      </c>
      <c r="J2308" s="4">
        <v>8</v>
      </c>
      <c r="K2308" s="4" t="s">
        <v>30</v>
      </c>
      <c r="L2308" s="8">
        <v>1</v>
      </c>
      <c r="M2308" s="9" t="s">
        <v>79</v>
      </c>
      <c r="N2308" s="9" t="str">
        <f t="shared" si="19"/>
        <v>PD</v>
      </c>
      <c r="O2308" s="10">
        <v>923.66</v>
      </c>
      <c r="P2308" s="10">
        <v>693.47</v>
      </c>
      <c r="Q2308" s="11">
        <v>2.4</v>
      </c>
      <c r="R2308" s="13" t="str">
        <f>IF(Patient_Data!$L2308&lt;2,"Low Risk",IF(Patient_Data!$L2308&lt;4,"Moderate Risk","High Risk"))</f>
        <v>Low Risk</v>
      </c>
      <c r="S2308" s="12" t="str">
        <f>IF(Patient_Data[[#This Row],[Age]]&lt;=18,"Pediatric",IF(Patient_Data[[#This Row],[Age]]&lt;=64,"Adult","Geriatric"))</f>
        <v>Pediatric</v>
      </c>
    </row>
    <row r="2309" spans="1:19" ht="15.75" customHeight="1" x14ac:dyDescent="0.3">
      <c r="A2309" s="4" t="s">
        <v>4585</v>
      </c>
      <c r="B2309" s="5" t="str">
        <f>TEXT(Patient_Data!$E2309,"mmmm")</f>
        <v>March</v>
      </c>
      <c r="C2309" s="6" t="str">
        <f t="shared" si="18"/>
        <v>Mar</v>
      </c>
      <c r="D2309" s="6">
        <f>MONTH(Patient_Data!$E2309)</f>
        <v>3</v>
      </c>
      <c r="E2309" s="7">
        <v>46098</v>
      </c>
      <c r="F2309" s="55" t="str">
        <f>TEXT(Patient_Data[[#This Row],[Admission_Date]],"YYYY")</f>
        <v>2026</v>
      </c>
      <c r="G2309" s="8" t="s">
        <v>4586</v>
      </c>
      <c r="H2309" s="8" t="s">
        <v>53</v>
      </c>
      <c r="I2309" s="4" t="s">
        <v>35</v>
      </c>
      <c r="J2309" s="4">
        <v>94</v>
      </c>
      <c r="K2309" s="4" t="s">
        <v>30</v>
      </c>
      <c r="L2309" s="8">
        <v>3</v>
      </c>
      <c r="M2309" s="9" t="s">
        <v>50</v>
      </c>
      <c r="N2309" s="9" t="str">
        <f t="shared" si="19"/>
        <v>ICU</v>
      </c>
      <c r="O2309" s="10">
        <v>19500.310000000001</v>
      </c>
      <c r="P2309" s="10">
        <v>14949.84</v>
      </c>
      <c r="Q2309" s="11">
        <v>16.2</v>
      </c>
      <c r="R2309" s="13" t="str">
        <f>IF(Patient_Data!$L2309&lt;2,"Low Risk",IF(Patient_Data!$L2309&lt;4,"Moderate Risk","High Risk"))</f>
        <v>Moderate Risk</v>
      </c>
      <c r="S2309" s="12" t="str">
        <f>IF(Patient_Data[[#This Row],[Age]]&lt;=18,"Pediatric",IF(Patient_Data[[#This Row],[Age]]&lt;=64,"Adult","Geriatric"))</f>
        <v>Geriatric</v>
      </c>
    </row>
    <row r="2310" spans="1:19" ht="15.75" customHeight="1" x14ac:dyDescent="0.3">
      <c r="A2310" s="4" t="s">
        <v>4587</v>
      </c>
      <c r="B2310" s="5" t="str">
        <f>TEXT(Patient_Data!$E2310,"mmmm")</f>
        <v>December</v>
      </c>
      <c r="C2310" s="6" t="str">
        <f t="shared" si="18"/>
        <v>Dec</v>
      </c>
      <c r="D2310" s="6">
        <f>MONTH(Patient_Data!$E2310)</f>
        <v>12</v>
      </c>
      <c r="E2310" s="7">
        <v>45262</v>
      </c>
      <c r="F2310" s="55" t="str">
        <f>TEXT(Patient_Data[[#This Row],[Admission_Date]],"YYYY")</f>
        <v>2023</v>
      </c>
      <c r="G2310" s="8" t="s">
        <v>4588</v>
      </c>
      <c r="H2310" s="8" t="s">
        <v>98</v>
      </c>
      <c r="I2310" s="4" t="s">
        <v>29</v>
      </c>
      <c r="J2310" s="4">
        <v>38</v>
      </c>
      <c r="K2310" s="4" t="s">
        <v>30</v>
      </c>
      <c r="L2310" s="8">
        <v>1</v>
      </c>
      <c r="M2310" s="9" t="s">
        <v>83</v>
      </c>
      <c r="N2310" s="9" t="str">
        <f t="shared" si="19"/>
        <v>ER</v>
      </c>
      <c r="O2310" s="10">
        <v>5598.44</v>
      </c>
      <c r="P2310" s="10">
        <v>3363.9</v>
      </c>
      <c r="Q2310" s="11">
        <v>14.6</v>
      </c>
      <c r="R2310" s="13" t="str">
        <f>IF(Patient_Data!$L2310&lt;2,"Low Risk",IF(Patient_Data!$L2310&lt;4,"Moderate Risk","High Risk"))</f>
        <v>Low Risk</v>
      </c>
      <c r="S2310" s="12" t="str">
        <f>IF(Patient_Data[[#This Row],[Age]]&lt;=18,"Pediatric",IF(Patient_Data[[#This Row],[Age]]&lt;=64,"Adult","Geriatric"))</f>
        <v>Adult</v>
      </c>
    </row>
    <row r="2311" spans="1:19" ht="15.75" customHeight="1" x14ac:dyDescent="0.3">
      <c r="A2311" s="4" t="s">
        <v>4589</v>
      </c>
      <c r="B2311" s="5" t="str">
        <f>TEXT(Patient_Data!$E2311,"mmmm")</f>
        <v>June</v>
      </c>
      <c r="C2311" s="6" t="str">
        <f t="shared" si="18"/>
        <v>Jun</v>
      </c>
      <c r="D2311" s="6">
        <f>MONTH(Patient_Data!$E2311)</f>
        <v>6</v>
      </c>
      <c r="E2311" s="7">
        <v>45830</v>
      </c>
      <c r="F2311" s="55" t="str">
        <f>TEXT(Patient_Data[[#This Row],[Admission_Date]],"YYYY")</f>
        <v>2025</v>
      </c>
      <c r="G2311" s="8" t="s">
        <v>4590</v>
      </c>
      <c r="H2311" s="8" t="s">
        <v>82</v>
      </c>
      <c r="I2311" s="4" t="s">
        <v>35</v>
      </c>
      <c r="J2311" s="4">
        <v>92</v>
      </c>
      <c r="K2311" s="4" t="s">
        <v>30</v>
      </c>
      <c r="L2311" s="8">
        <v>2</v>
      </c>
      <c r="M2311" s="9" t="s">
        <v>46</v>
      </c>
      <c r="N2311" s="9" t="str">
        <f t="shared" si="19"/>
        <v>Ortho</v>
      </c>
      <c r="O2311" s="10">
        <v>4859.08</v>
      </c>
      <c r="P2311" s="10">
        <v>3048.04</v>
      </c>
      <c r="Q2311" s="11">
        <v>10.5</v>
      </c>
      <c r="R2311" s="13" t="str">
        <f>IF(Patient_Data!$L2311&lt;2,"Low Risk",IF(Patient_Data!$L2311&lt;4,"Moderate Risk","High Risk"))</f>
        <v>Moderate Risk</v>
      </c>
      <c r="S2311" s="12" t="str">
        <f>IF(Patient_Data[[#This Row],[Age]]&lt;=18,"Pediatric",IF(Patient_Data[[#This Row],[Age]]&lt;=64,"Adult","Geriatric"))</f>
        <v>Geriatric</v>
      </c>
    </row>
    <row r="2312" spans="1:19" ht="15.75" customHeight="1" x14ac:dyDescent="0.3">
      <c r="A2312" s="4" t="s">
        <v>4591</v>
      </c>
      <c r="B2312" s="5" t="str">
        <f>TEXT(Patient_Data!$E2312,"mmmm")</f>
        <v>March</v>
      </c>
      <c r="C2312" s="6" t="str">
        <f t="shared" si="18"/>
        <v>Mar</v>
      </c>
      <c r="D2312" s="6">
        <f>MONTH(Patient_Data!$E2312)</f>
        <v>3</v>
      </c>
      <c r="E2312" s="7">
        <v>45727</v>
      </c>
      <c r="F2312" s="55" t="str">
        <f>TEXT(Patient_Data[[#This Row],[Admission_Date]],"YYYY")</f>
        <v>2025</v>
      </c>
      <c r="G2312" s="8" t="s">
        <v>4592</v>
      </c>
      <c r="H2312" s="8" t="s">
        <v>53</v>
      </c>
      <c r="I2312" s="4" t="s">
        <v>29</v>
      </c>
      <c r="J2312" s="4">
        <v>91</v>
      </c>
      <c r="K2312" s="4" t="s">
        <v>54</v>
      </c>
      <c r="L2312" s="8">
        <v>4</v>
      </c>
      <c r="M2312" s="9" t="s">
        <v>50</v>
      </c>
      <c r="N2312" s="9" t="str">
        <f t="shared" si="19"/>
        <v>ICU</v>
      </c>
      <c r="O2312" s="10">
        <v>19937.580000000002</v>
      </c>
      <c r="P2312" s="10">
        <v>12836.05</v>
      </c>
      <c r="Q2312" s="11">
        <v>9.5</v>
      </c>
      <c r="R2312" s="13" t="str">
        <f>IF(Patient_Data!$L2312&lt;2,"Low Risk",IF(Patient_Data!$L2312&lt;4,"Moderate Risk","High Risk"))</f>
        <v>High Risk</v>
      </c>
      <c r="S2312" s="12" t="str">
        <f>IF(Patient_Data[[#This Row],[Age]]&lt;=18,"Pediatric",IF(Patient_Data[[#This Row],[Age]]&lt;=64,"Adult","Geriatric"))</f>
        <v>Geriatric</v>
      </c>
    </row>
    <row r="2313" spans="1:19" ht="15.75" customHeight="1" x14ac:dyDescent="0.3">
      <c r="A2313" s="4" t="s">
        <v>4593</v>
      </c>
      <c r="B2313" s="5" t="str">
        <f>TEXT(Patient_Data!$E2313,"mmmm")</f>
        <v>February</v>
      </c>
      <c r="C2313" s="6" t="str">
        <f t="shared" si="18"/>
        <v>Feb</v>
      </c>
      <c r="D2313" s="6">
        <f>MONTH(Patient_Data!$E2313)</f>
        <v>2</v>
      </c>
      <c r="E2313" s="7">
        <v>45706</v>
      </c>
      <c r="F2313" s="55" t="str">
        <f>TEXT(Patient_Data[[#This Row],[Admission_Date]],"YYYY")</f>
        <v>2025</v>
      </c>
      <c r="G2313" s="8" t="s">
        <v>4594</v>
      </c>
      <c r="H2313" s="8" t="s">
        <v>34</v>
      </c>
      <c r="I2313" s="4" t="s">
        <v>35</v>
      </c>
      <c r="J2313" s="4">
        <v>42</v>
      </c>
      <c r="K2313" s="4" t="s">
        <v>30</v>
      </c>
      <c r="L2313" s="8">
        <v>2</v>
      </c>
      <c r="M2313" s="9" t="s">
        <v>36</v>
      </c>
      <c r="N2313" s="9" t="str">
        <f t="shared" si="19"/>
        <v>Cardio</v>
      </c>
      <c r="O2313" s="10">
        <v>8481.5300000000007</v>
      </c>
      <c r="P2313" s="10">
        <v>5739.43</v>
      </c>
      <c r="Q2313" s="11">
        <v>7.1</v>
      </c>
      <c r="R2313" s="13" t="str">
        <f>IF(Patient_Data!$L2313&lt;2,"Low Risk",IF(Patient_Data!$L2313&lt;4,"Moderate Risk","High Risk"))</f>
        <v>Moderate Risk</v>
      </c>
      <c r="S2313" s="12" t="str">
        <f>IF(Patient_Data[[#This Row],[Age]]&lt;=18,"Pediatric",IF(Patient_Data[[#This Row],[Age]]&lt;=64,"Adult","Geriatric"))</f>
        <v>Adult</v>
      </c>
    </row>
    <row r="2314" spans="1:19" ht="15.75" customHeight="1" x14ac:dyDescent="0.3">
      <c r="A2314" s="4" t="s">
        <v>4595</v>
      </c>
      <c r="B2314" s="5" t="str">
        <f>TEXT(Patient_Data!$E2314,"mmmm")</f>
        <v>August</v>
      </c>
      <c r="C2314" s="6" t="str">
        <f t="shared" si="18"/>
        <v>Aug</v>
      </c>
      <c r="D2314" s="6">
        <f>MONTH(Patient_Data!$E2314)</f>
        <v>8</v>
      </c>
      <c r="E2314" s="7">
        <v>45523</v>
      </c>
      <c r="F2314" s="55" t="str">
        <f>TEXT(Patient_Data[[#This Row],[Admission_Date]],"YYYY")</f>
        <v>2024</v>
      </c>
      <c r="G2314" s="8" t="s">
        <v>593</v>
      </c>
      <c r="H2314" s="8" t="s">
        <v>75</v>
      </c>
      <c r="I2314" s="4" t="s">
        <v>29</v>
      </c>
      <c r="J2314" s="4">
        <v>80</v>
      </c>
      <c r="K2314" s="4" t="s">
        <v>54</v>
      </c>
      <c r="L2314" s="8">
        <v>5</v>
      </c>
      <c r="M2314" s="9" t="s">
        <v>50</v>
      </c>
      <c r="N2314" s="9" t="str">
        <f t="shared" si="19"/>
        <v>ICU</v>
      </c>
      <c r="O2314" s="10">
        <v>18179.28</v>
      </c>
      <c r="P2314" s="10">
        <v>12790.3</v>
      </c>
      <c r="Q2314" s="11">
        <v>8.1</v>
      </c>
      <c r="R2314" s="13" t="str">
        <f>IF(Patient_Data!$L2314&lt;2,"Low Risk",IF(Patient_Data!$L2314&lt;4,"Moderate Risk","High Risk"))</f>
        <v>High Risk</v>
      </c>
      <c r="S2314" s="12" t="str">
        <f>IF(Patient_Data[[#This Row],[Age]]&lt;=18,"Pediatric",IF(Patient_Data[[#This Row],[Age]]&lt;=64,"Adult","Geriatric"))</f>
        <v>Geriatric</v>
      </c>
    </row>
    <row r="2315" spans="1:19" ht="15.75" customHeight="1" x14ac:dyDescent="0.3">
      <c r="A2315" s="4" t="s">
        <v>4596</v>
      </c>
      <c r="B2315" s="5" t="str">
        <f>TEXT(Patient_Data!$E2315,"mmmm")</f>
        <v>October</v>
      </c>
      <c r="C2315" s="6" t="str">
        <f t="shared" si="18"/>
        <v>Oct</v>
      </c>
      <c r="D2315" s="6">
        <f>MONTH(Patient_Data!$E2315)</f>
        <v>10</v>
      </c>
      <c r="E2315" s="7">
        <v>45938</v>
      </c>
      <c r="F2315" s="55" t="str">
        <f>TEXT(Patient_Data[[#This Row],[Admission_Date]],"YYYY")</f>
        <v>2025</v>
      </c>
      <c r="G2315" s="8" t="s">
        <v>4597</v>
      </c>
      <c r="H2315" s="8" t="s">
        <v>98</v>
      </c>
      <c r="I2315" s="4" t="s">
        <v>29</v>
      </c>
      <c r="J2315" s="4">
        <v>92</v>
      </c>
      <c r="K2315" s="4" t="s">
        <v>54</v>
      </c>
      <c r="L2315" s="8">
        <v>4</v>
      </c>
      <c r="M2315" s="9" t="s">
        <v>50</v>
      </c>
      <c r="N2315" s="9" t="str">
        <f t="shared" si="19"/>
        <v>ICU</v>
      </c>
      <c r="O2315" s="10">
        <v>17012.57</v>
      </c>
      <c r="P2315" s="10">
        <v>12487.98</v>
      </c>
      <c r="Q2315" s="11">
        <v>8.6</v>
      </c>
      <c r="R2315" s="13" t="str">
        <f>IF(Patient_Data!$L2315&lt;2,"Low Risk",IF(Patient_Data!$L2315&lt;4,"Moderate Risk","High Risk"))</f>
        <v>High Risk</v>
      </c>
      <c r="S2315" s="12" t="str">
        <f>IF(Patient_Data[[#This Row],[Age]]&lt;=18,"Pediatric",IF(Patient_Data[[#This Row],[Age]]&lt;=64,"Adult","Geriatric"))</f>
        <v>Geriatric</v>
      </c>
    </row>
    <row r="2316" spans="1:19" ht="15.75" customHeight="1" x14ac:dyDescent="0.3">
      <c r="A2316" s="4" t="s">
        <v>4598</v>
      </c>
      <c r="B2316" s="5" t="str">
        <f>TEXT(Patient_Data!$E2316,"mmmm")</f>
        <v>October</v>
      </c>
      <c r="C2316" s="6" t="str">
        <f t="shared" si="18"/>
        <v>Oct</v>
      </c>
      <c r="D2316" s="6">
        <f>MONTH(Patient_Data!$E2316)</f>
        <v>10</v>
      </c>
      <c r="E2316" s="7">
        <v>45937</v>
      </c>
      <c r="F2316" s="55" t="str">
        <f>TEXT(Patient_Data[[#This Row],[Admission_Date]],"YYYY")</f>
        <v>2025</v>
      </c>
      <c r="G2316" s="8" t="s">
        <v>4599</v>
      </c>
      <c r="H2316" s="8" t="s">
        <v>28</v>
      </c>
      <c r="I2316" s="4" t="s">
        <v>35</v>
      </c>
      <c r="J2316" s="4">
        <v>23</v>
      </c>
      <c r="K2316" s="4" t="s">
        <v>54</v>
      </c>
      <c r="L2316" s="8">
        <v>4</v>
      </c>
      <c r="M2316" s="9" t="s">
        <v>83</v>
      </c>
      <c r="N2316" s="9" t="str">
        <f t="shared" si="19"/>
        <v>ER</v>
      </c>
      <c r="O2316" s="10">
        <v>10102.18</v>
      </c>
      <c r="P2316" s="10">
        <v>7851.26</v>
      </c>
      <c r="Q2316" s="11">
        <v>21.7</v>
      </c>
      <c r="R2316" s="13" t="str">
        <f>IF(Patient_Data!$L2316&lt;2,"Low Risk",IF(Patient_Data!$L2316&lt;4,"Moderate Risk","High Risk"))</f>
        <v>High Risk</v>
      </c>
      <c r="S2316" s="12" t="str">
        <f>IF(Patient_Data[[#This Row],[Age]]&lt;=18,"Pediatric",IF(Patient_Data[[#This Row],[Age]]&lt;=64,"Adult","Geriatric"))</f>
        <v>Adult</v>
      </c>
    </row>
    <row r="2317" spans="1:19" ht="15.75" customHeight="1" x14ac:dyDescent="0.3">
      <c r="A2317" s="4" t="s">
        <v>4600</v>
      </c>
      <c r="B2317" s="5" t="str">
        <f>TEXT(Patient_Data!$E2317,"mmmm")</f>
        <v>November</v>
      </c>
      <c r="C2317" s="6" t="str">
        <f t="shared" si="18"/>
        <v>Nov</v>
      </c>
      <c r="D2317" s="6">
        <f>MONTH(Patient_Data!$E2317)</f>
        <v>11</v>
      </c>
      <c r="E2317" s="7">
        <v>45623</v>
      </c>
      <c r="F2317" s="55" t="str">
        <f>TEXT(Patient_Data[[#This Row],[Admission_Date]],"YYYY")</f>
        <v>2024</v>
      </c>
      <c r="G2317" s="8" t="s">
        <v>4601</v>
      </c>
      <c r="H2317" s="8" t="s">
        <v>132</v>
      </c>
      <c r="I2317" s="4" t="s">
        <v>35</v>
      </c>
      <c r="J2317" s="4">
        <v>21</v>
      </c>
      <c r="K2317" s="4" t="s">
        <v>54</v>
      </c>
      <c r="L2317" s="8">
        <v>1</v>
      </c>
      <c r="M2317" s="9" t="s">
        <v>31</v>
      </c>
      <c r="N2317" s="9" t="str">
        <f t="shared" si="19"/>
        <v>Neuro</v>
      </c>
      <c r="O2317" s="10">
        <v>9115.17</v>
      </c>
      <c r="P2317" s="10">
        <v>5342</v>
      </c>
      <c r="Q2317" s="11">
        <v>6.9</v>
      </c>
      <c r="R2317" s="13" t="str">
        <f>IF(Patient_Data!$L2317&lt;2,"Low Risk",IF(Patient_Data!$L2317&lt;4,"Moderate Risk","High Risk"))</f>
        <v>Low Risk</v>
      </c>
      <c r="S2317" s="12" t="str">
        <f>IF(Patient_Data[[#This Row],[Age]]&lt;=18,"Pediatric",IF(Patient_Data[[#This Row],[Age]]&lt;=64,"Adult","Geriatric"))</f>
        <v>Adult</v>
      </c>
    </row>
    <row r="2318" spans="1:19" ht="15.75" customHeight="1" x14ac:dyDescent="0.3">
      <c r="A2318" s="4" t="s">
        <v>4602</v>
      </c>
      <c r="B2318" s="5" t="str">
        <f>TEXT(Patient_Data!$E2318,"mmmm")</f>
        <v>July</v>
      </c>
      <c r="C2318" s="6" t="str">
        <f t="shared" si="18"/>
        <v>Jul</v>
      </c>
      <c r="D2318" s="6">
        <f>MONTH(Patient_Data!$E2318)</f>
        <v>7</v>
      </c>
      <c r="E2318" s="7">
        <v>46224</v>
      </c>
      <c r="F2318" s="55" t="str">
        <f>TEXT(Patient_Data[[#This Row],[Admission_Date]],"YYYY")</f>
        <v>2026</v>
      </c>
      <c r="G2318" s="8" t="s">
        <v>4603</v>
      </c>
      <c r="H2318" s="8" t="s">
        <v>82</v>
      </c>
      <c r="I2318" s="4" t="s">
        <v>35</v>
      </c>
      <c r="J2318" s="4">
        <v>15</v>
      </c>
      <c r="K2318" s="4" t="s">
        <v>54</v>
      </c>
      <c r="L2318" s="8">
        <v>1</v>
      </c>
      <c r="M2318" s="9" t="s">
        <v>79</v>
      </c>
      <c r="N2318" s="9" t="str">
        <f t="shared" si="19"/>
        <v>PD</v>
      </c>
      <c r="O2318" s="10">
        <v>1739.03</v>
      </c>
      <c r="P2318" s="10">
        <v>1077.6099999999999</v>
      </c>
      <c r="Q2318" s="11">
        <v>2.1</v>
      </c>
      <c r="R2318" s="13" t="str">
        <f>IF(Patient_Data!$L2318&lt;2,"Low Risk",IF(Patient_Data!$L2318&lt;4,"Moderate Risk","High Risk"))</f>
        <v>Low Risk</v>
      </c>
      <c r="S2318" s="12" t="str">
        <f>IF(Patient_Data[[#This Row],[Age]]&lt;=18,"Pediatric",IF(Patient_Data[[#This Row],[Age]]&lt;=64,"Adult","Geriatric"))</f>
        <v>Pediatric</v>
      </c>
    </row>
    <row r="2319" spans="1:19" ht="15.75" customHeight="1" x14ac:dyDescent="0.3">
      <c r="A2319" s="4" t="s">
        <v>4604</v>
      </c>
      <c r="B2319" s="5" t="str">
        <f>TEXT(Patient_Data!$E2319,"mmmm")</f>
        <v>August</v>
      </c>
      <c r="C2319" s="6" t="str">
        <f t="shared" si="18"/>
        <v>Aug</v>
      </c>
      <c r="D2319" s="6">
        <f>MONTH(Patient_Data!$E2319)</f>
        <v>8</v>
      </c>
      <c r="E2319" s="7">
        <v>45873</v>
      </c>
      <c r="F2319" s="55" t="str">
        <f>TEXT(Patient_Data[[#This Row],[Admission_Date]],"YYYY")</f>
        <v>2025</v>
      </c>
      <c r="G2319" s="8" t="s">
        <v>4605</v>
      </c>
      <c r="H2319" s="8" t="s">
        <v>82</v>
      </c>
      <c r="I2319" s="4" t="s">
        <v>29</v>
      </c>
      <c r="J2319" s="4">
        <v>3</v>
      </c>
      <c r="K2319" s="4" t="s">
        <v>30</v>
      </c>
      <c r="L2319" s="8">
        <v>1</v>
      </c>
      <c r="M2319" s="9" t="s">
        <v>79</v>
      </c>
      <c r="N2319" s="9" t="str">
        <f t="shared" si="19"/>
        <v>PD</v>
      </c>
      <c r="O2319" s="10">
        <v>1431.74</v>
      </c>
      <c r="P2319" s="10">
        <v>949.91</v>
      </c>
      <c r="Q2319" s="11">
        <v>4.2</v>
      </c>
      <c r="R2319" s="13" t="str">
        <f>IF(Patient_Data!$L2319&lt;2,"Low Risk",IF(Patient_Data!$L2319&lt;4,"Moderate Risk","High Risk"))</f>
        <v>Low Risk</v>
      </c>
      <c r="S2319" s="12" t="str">
        <f>IF(Patient_Data[[#This Row],[Age]]&lt;=18,"Pediatric",IF(Patient_Data[[#This Row],[Age]]&lt;=64,"Adult","Geriatric"))</f>
        <v>Pediatric</v>
      </c>
    </row>
    <row r="2320" spans="1:19" ht="15.75" customHeight="1" x14ac:dyDescent="0.3">
      <c r="A2320" s="4" t="s">
        <v>4606</v>
      </c>
      <c r="B2320" s="5" t="str">
        <f>TEXT(Patient_Data!$E2320,"mmmm")</f>
        <v>May</v>
      </c>
      <c r="C2320" s="6" t="str">
        <f t="shared" si="18"/>
        <v>May</v>
      </c>
      <c r="D2320" s="6">
        <f>MONTH(Patient_Data!$E2320)</f>
        <v>5</v>
      </c>
      <c r="E2320" s="7">
        <v>46164</v>
      </c>
      <c r="F2320" s="55" t="str">
        <f>TEXT(Patient_Data[[#This Row],[Admission_Date]],"YYYY")</f>
        <v>2026</v>
      </c>
      <c r="G2320" s="8" t="s">
        <v>4607</v>
      </c>
      <c r="H2320" s="8" t="s">
        <v>82</v>
      </c>
      <c r="I2320" s="4" t="s">
        <v>29</v>
      </c>
      <c r="J2320" s="4">
        <v>76</v>
      </c>
      <c r="K2320" s="4" t="s">
        <v>45</v>
      </c>
      <c r="L2320" s="8">
        <v>4</v>
      </c>
      <c r="M2320" s="9" t="s">
        <v>72</v>
      </c>
      <c r="N2320" s="9" t="str">
        <f t="shared" si="19"/>
        <v>Surgery</v>
      </c>
      <c r="O2320" s="10">
        <v>12219.17</v>
      </c>
      <c r="P2320" s="10">
        <v>8209.24</v>
      </c>
      <c r="Q2320" s="11">
        <v>2.8</v>
      </c>
      <c r="R2320" s="13" t="str">
        <f>IF(Patient_Data!$L2320&lt;2,"Low Risk",IF(Patient_Data!$L2320&lt;4,"Moderate Risk","High Risk"))</f>
        <v>High Risk</v>
      </c>
      <c r="S2320" s="12" t="str">
        <f>IF(Patient_Data[[#This Row],[Age]]&lt;=18,"Pediatric",IF(Patient_Data[[#This Row],[Age]]&lt;=64,"Adult","Geriatric"))</f>
        <v>Geriatric</v>
      </c>
    </row>
    <row r="2321" spans="1:19" ht="15.75" customHeight="1" x14ac:dyDescent="0.3">
      <c r="A2321" s="4" t="s">
        <v>4608</v>
      </c>
      <c r="B2321" s="5" t="str">
        <f>TEXT(Patient_Data!$E2321,"mmmm")</f>
        <v>May</v>
      </c>
      <c r="C2321" s="6" t="str">
        <f t="shared" si="18"/>
        <v>May</v>
      </c>
      <c r="D2321" s="6">
        <f>MONTH(Patient_Data!$E2321)</f>
        <v>5</v>
      </c>
      <c r="E2321" s="7">
        <v>46154</v>
      </c>
      <c r="F2321" s="55" t="str">
        <f>TEXT(Patient_Data[[#This Row],[Admission_Date]],"YYYY")</f>
        <v>2026</v>
      </c>
      <c r="G2321" s="8" t="s">
        <v>4609</v>
      </c>
      <c r="H2321" s="8" t="s">
        <v>82</v>
      </c>
      <c r="I2321" s="4" t="s">
        <v>35</v>
      </c>
      <c r="J2321" s="4">
        <v>67</v>
      </c>
      <c r="K2321" s="4" t="s">
        <v>54</v>
      </c>
      <c r="L2321" s="8">
        <v>5</v>
      </c>
      <c r="M2321" s="9" t="s">
        <v>50</v>
      </c>
      <c r="N2321" s="9" t="str">
        <f t="shared" si="19"/>
        <v>ICU</v>
      </c>
      <c r="O2321" s="10">
        <v>22996.16</v>
      </c>
      <c r="P2321" s="10">
        <v>16179.71</v>
      </c>
      <c r="Q2321" s="11">
        <v>10.3</v>
      </c>
      <c r="R2321" s="13" t="str">
        <f>IF(Patient_Data!$L2321&lt;2,"Low Risk",IF(Patient_Data!$L2321&lt;4,"Moderate Risk","High Risk"))</f>
        <v>High Risk</v>
      </c>
      <c r="S2321" s="12" t="str">
        <f>IF(Patient_Data[[#This Row],[Age]]&lt;=18,"Pediatric",IF(Patient_Data[[#This Row],[Age]]&lt;=64,"Adult","Geriatric"))</f>
        <v>Geriatric</v>
      </c>
    </row>
    <row r="2322" spans="1:19" ht="15.75" customHeight="1" x14ac:dyDescent="0.3">
      <c r="A2322" s="4" t="s">
        <v>4610</v>
      </c>
      <c r="B2322" s="5" t="str">
        <f>TEXT(Patient_Data!$E2322,"mmmm")</f>
        <v>September</v>
      </c>
      <c r="C2322" s="6" t="str">
        <f t="shared" si="18"/>
        <v>Sep</v>
      </c>
      <c r="D2322" s="6">
        <f>MONTH(Patient_Data!$E2322)</f>
        <v>9</v>
      </c>
      <c r="E2322" s="7">
        <v>45180</v>
      </c>
      <c r="F2322" s="55" t="str">
        <f>TEXT(Patient_Data[[#This Row],[Admission_Date]],"YYYY")</f>
        <v>2023</v>
      </c>
      <c r="G2322" s="8" t="s">
        <v>4611</v>
      </c>
      <c r="H2322" s="8" t="s">
        <v>53</v>
      </c>
      <c r="I2322" s="4" t="s">
        <v>29</v>
      </c>
      <c r="J2322" s="4">
        <v>24</v>
      </c>
      <c r="K2322" s="4" t="s">
        <v>30</v>
      </c>
      <c r="L2322" s="8">
        <v>1</v>
      </c>
      <c r="M2322" s="9" t="s">
        <v>39</v>
      </c>
      <c r="N2322" s="9" t="str">
        <f t="shared" si="19"/>
        <v>GM</v>
      </c>
      <c r="O2322" s="10">
        <v>1444.15</v>
      </c>
      <c r="P2322" s="10">
        <v>1128.6300000000001</v>
      </c>
      <c r="Q2322" s="11">
        <v>9.3000000000000007</v>
      </c>
      <c r="R2322" s="13" t="str">
        <f>IF(Patient_Data!$L2322&lt;2,"Low Risk",IF(Patient_Data!$L2322&lt;4,"Moderate Risk","High Risk"))</f>
        <v>Low Risk</v>
      </c>
      <c r="S2322" s="12" t="str">
        <f>IF(Patient_Data[[#This Row],[Age]]&lt;=18,"Pediatric",IF(Patient_Data[[#This Row],[Age]]&lt;=64,"Adult","Geriatric"))</f>
        <v>Adult</v>
      </c>
    </row>
    <row r="2323" spans="1:19" ht="15.75" customHeight="1" x14ac:dyDescent="0.3">
      <c r="A2323" s="4" t="s">
        <v>4612</v>
      </c>
      <c r="B2323" s="5" t="str">
        <f>TEXT(Patient_Data!$E2323,"mmmm")</f>
        <v>February</v>
      </c>
      <c r="C2323" s="6" t="str">
        <f t="shared" si="18"/>
        <v>Feb</v>
      </c>
      <c r="D2323" s="6">
        <f>MONTH(Patient_Data!$E2323)</f>
        <v>2</v>
      </c>
      <c r="E2323" s="7">
        <v>45324</v>
      </c>
      <c r="F2323" s="55" t="str">
        <f>TEXT(Patient_Data[[#This Row],[Admission_Date]],"YYYY")</f>
        <v>2024</v>
      </c>
      <c r="G2323" s="8" t="s">
        <v>4613</v>
      </c>
      <c r="H2323" s="8" t="s">
        <v>34</v>
      </c>
      <c r="I2323" s="4" t="s">
        <v>29</v>
      </c>
      <c r="J2323" s="4">
        <v>82</v>
      </c>
      <c r="K2323" s="4" t="s">
        <v>45</v>
      </c>
      <c r="L2323" s="8">
        <v>5</v>
      </c>
      <c r="M2323" s="9" t="s">
        <v>46</v>
      </c>
      <c r="N2323" s="9" t="str">
        <f t="shared" si="19"/>
        <v>Ortho</v>
      </c>
      <c r="O2323" s="10">
        <v>12046.22</v>
      </c>
      <c r="P2323" s="10">
        <v>9183.1299999999992</v>
      </c>
      <c r="Q2323" s="11">
        <v>3.5</v>
      </c>
      <c r="R2323" s="13" t="str">
        <f>IF(Patient_Data!$L2323&lt;2,"Low Risk",IF(Patient_Data!$L2323&lt;4,"Moderate Risk","High Risk"))</f>
        <v>High Risk</v>
      </c>
      <c r="S2323" s="12" t="str">
        <f>IF(Patient_Data[[#This Row],[Age]]&lt;=18,"Pediatric",IF(Patient_Data[[#This Row],[Age]]&lt;=64,"Adult","Geriatric"))</f>
        <v>Geriatric</v>
      </c>
    </row>
    <row r="2324" spans="1:19" ht="15.75" customHeight="1" x14ac:dyDescent="0.3">
      <c r="A2324" s="4" t="s">
        <v>4614</v>
      </c>
      <c r="B2324" s="5" t="str">
        <f>TEXT(Patient_Data!$E2324,"mmmm")</f>
        <v>July</v>
      </c>
      <c r="C2324" s="6" t="str">
        <f t="shared" si="18"/>
        <v>Jul</v>
      </c>
      <c r="D2324" s="6">
        <f>MONTH(Patient_Data!$E2324)</f>
        <v>7</v>
      </c>
      <c r="E2324" s="7">
        <v>46220</v>
      </c>
      <c r="F2324" s="55" t="str">
        <f>TEXT(Patient_Data[[#This Row],[Admission_Date]],"YYYY")</f>
        <v>2026</v>
      </c>
      <c r="G2324" s="8" t="s">
        <v>3894</v>
      </c>
      <c r="H2324" s="8" t="s">
        <v>4549</v>
      </c>
      <c r="I2324" s="4" t="s">
        <v>29</v>
      </c>
      <c r="J2324" s="4">
        <v>71</v>
      </c>
      <c r="K2324" s="4" t="s">
        <v>30</v>
      </c>
      <c r="L2324" s="8">
        <v>1</v>
      </c>
      <c r="M2324" s="9" t="s">
        <v>36</v>
      </c>
      <c r="N2324" s="9" t="str">
        <f t="shared" si="19"/>
        <v>Cardio</v>
      </c>
      <c r="O2324" s="10">
        <v>6504.21</v>
      </c>
      <c r="P2324" s="10">
        <v>3792.44</v>
      </c>
      <c r="Q2324" s="11">
        <v>2.5</v>
      </c>
      <c r="R2324" s="13" t="str">
        <f>IF(Patient_Data!$L2324&lt;2,"Low Risk",IF(Patient_Data!$L2324&lt;4,"Moderate Risk","High Risk"))</f>
        <v>Low Risk</v>
      </c>
      <c r="S2324" s="12" t="str">
        <f>IF(Patient_Data[[#This Row],[Age]]&lt;=18,"Pediatric",IF(Patient_Data[[#This Row],[Age]]&lt;=64,"Adult","Geriatric"))</f>
        <v>Geriatric</v>
      </c>
    </row>
    <row r="2325" spans="1:19" ht="15.75" customHeight="1" x14ac:dyDescent="0.3">
      <c r="A2325" s="4" t="s">
        <v>4615</v>
      </c>
      <c r="B2325" s="5" t="str">
        <f>TEXT(Patient_Data!$E2325,"mmmm")</f>
        <v>March</v>
      </c>
      <c r="C2325" s="6" t="str">
        <f t="shared" si="18"/>
        <v>Mar</v>
      </c>
      <c r="D2325" s="6">
        <f>MONTH(Patient_Data!$E2325)</f>
        <v>3</v>
      </c>
      <c r="E2325" s="7">
        <v>45742</v>
      </c>
      <c r="F2325" s="55" t="str">
        <f>TEXT(Patient_Data[[#This Row],[Admission_Date]],"YYYY")</f>
        <v>2025</v>
      </c>
      <c r="G2325" s="8" t="s">
        <v>4616</v>
      </c>
      <c r="H2325" s="8" t="s">
        <v>82</v>
      </c>
      <c r="I2325" s="4" t="s">
        <v>35</v>
      </c>
      <c r="J2325" s="4">
        <v>1</v>
      </c>
      <c r="K2325" s="4" t="s">
        <v>45</v>
      </c>
      <c r="L2325" s="8">
        <v>3</v>
      </c>
      <c r="M2325" s="9" t="s">
        <v>79</v>
      </c>
      <c r="N2325" s="9" t="str">
        <f t="shared" si="19"/>
        <v>PD</v>
      </c>
      <c r="O2325" s="10">
        <v>908.9</v>
      </c>
      <c r="P2325" s="10">
        <v>600.83000000000004</v>
      </c>
      <c r="Q2325" s="11">
        <v>5.8</v>
      </c>
      <c r="R2325" s="13" t="str">
        <f>IF(Patient_Data!$L2325&lt;2,"Low Risk",IF(Patient_Data!$L2325&lt;4,"Moderate Risk","High Risk"))</f>
        <v>Moderate Risk</v>
      </c>
      <c r="S2325" s="12" t="str">
        <f>IF(Patient_Data[[#This Row],[Age]]&lt;=18,"Pediatric",IF(Patient_Data[[#This Row],[Age]]&lt;=64,"Adult","Geriatric"))</f>
        <v>Pediatric</v>
      </c>
    </row>
    <row r="2326" spans="1:19" ht="15.75" customHeight="1" x14ac:dyDescent="0.3">
      <c r="A2326" s="4" t="s">
        <v>4617</v>
      </c>
      <c r="B2326" s="5" t="str">
        <f>TEXT(Patient_Data!$E2326,"mmmm")</f>
        <v>November</v>
      </c>
      <c r="C2326" s="6" t="str">
        <f t="shared" si="18"/>
        <v>Nov</v>
      </c>
      <c r="D2326" s="6">
        <f>MONTH(Patient_Data!$E2326)</f>
        <v>11</v>
      </c>
      <c r="E2326" s="7">
        <v>45600</v>
      </c>
      <c r="F2326" s="55" t="str">
        <f>TEXT(Patient_Data[[#This Row],[Admission_Date]],"YYYY")</f>
        <v>2024</v>
      </c>
      <c r="G2326" s="8" t="s">
        <v>4618</v>
      </c>
      <c r="H2326" s="8" t="s">
        <v>53</v>
      </c>
      <c r="I2326" s="4" t="s">
        <v>35</v>
      </c>
      <c r="J2326" s="4">
        <v>95</v>
      </c>
      <c r="K2326" s="4" t="s">
        <v>45</v>
      </c>
      <c r="L2326" s="8">
        <v>4</v>
      </c>
      <c r="M2326" s="9" t="s">
        <v>50</v>
      </c>
      <c r="N2326" s="9" t="str">
        <f t="shared" si="19"/>
        <v>ICU</v>
      </c>
      <c r="O2326" s="10">
        <v>10275.77</v>
      </c>
      <c r="P2326" s="10">
        <v>6694.89</v>
      </c>
      <c r="Q2326" s="11">
        <v>14.8</v>
      </c>
      <c r="R2326" s="13" t="str">
        <f>IF(Patient_Data!$L2326&lt;2,"Low Risk",IF(Patient_Data!$L2326&lt;4,"Moderate Risk","High Risk"))</f>
        <v>High Risk</v>
      </c>
      <c r="S2326" s="12" t="str">
        <f>IF(Patient_Data[[#This Row],[Age]]&lt;=18,"Pediatric",IF(Patient_Data[[#This Row],[Age]]&lt;=64,"Adult","Geriatric"))</f>
        <v>Geriatric</v>
      </c>
    </row>
    <row r="2327" spans="1:19" ht="15.75" customHeight="1" x14ac:dyDescent="0.3">
      <c r="A2327" s="4" t="s">
        <v>4619</v>
      </c>
      <c r="B2327" s="5" t="str">
        <f>TEXT(Patient_Data!$E2327,"mmmm")</f>
        <v>July</v>
      </c>
      <c r="C2327" s="6" t="str">
        <f t="shared" si="18"/>
        <v>Jul</v>
      </c>
      <c r="D2327" s="6">
        <f>MONTH(Patient_Data!$E2327)</f>
        <v>7</v>
      </c>
      <c r="E2327" s="7">
        <v>45474</v>
      </c>
      <c r="F2327" s="55" t="str">
        <f>TEXT(Patient_Data[[#This Row],[Admission_Date]],"YYYY")</f>
        <v>2024</v>
      </c>
      <c r="G2327" s="8" t="s">
        <v>4470</v>
      </c>
      <c r="H2327" s="8" t="s">
        <v>82</v>
      </c>
      <c r="I2327" s="4" t="s">
        <v>29</v>
      </c>
      <c r="J2327" s="4">
        <v>55</v>
      </c>
      <c r="K2327" s="4" t="s">
        <v>45</v>
      </c>
      <c r="L2327" s="8">
        <v>5</v>
      </c>
      <c r="M2327" s="9" t="s">
        <v>50</v>
      </c>
      <c r="N2327" s="9" t="str">
        <f t="shared" si="19"/>
        <v>ICU</v>
      </c>
      <c r="O2327" s="10">
        <v>16182.71</v>
      </c>
      <c r="P2327" s="10">
        <v>10954.42</v>
      </c>
      <c r="Q2327" s="11">
        <v>14</v>
      </c>
      <c r="R2327" s="13" t="str">
        <f>IF(Patient_Data!$L2327&lt;2,"Low Risk",IF(Patient_Data!$L2327&lt;4,"Moderate Risk","High Risk"))</f>
        <v>High Risk</v>
      </c>
      <c r="S2327" s="12" t="str">
        <f>IF(Patient_Data[[#This Row],[Age]]&lt;=18,"Pediatric",IF(Patient_Data[[#This Row],[Age]]&lt;=64,"Adult","Geriatric"))</f>
        <v>Adult</v>
      </c>
    </row>
    <row r="2328" spans="1:19" ht="15.75" customHeight="1" x14ac:dyDescent="0.3">
      <c r="A2328" s="4" t="s">
        <v>4620</v>
      </c>
      <c r="B2328" s="5" t="str">
        <f>TEXT(Patient_Data!$E2328,"mmmm")</f>
        <v>December</v>
      </c>
      <c r="C2328" s="6" t="str">
        <f t="shared" si="18"/>
        <v>Dec</v>
      </c>
      <c r="D2328" s="6">
        <f>MONTH(Patient_Data!$E2328)</f>
        <v>12</v>
      </c>
      <c r="E2328" s="7">
        <v>46016</v>
      </c>
      <c r="F2328" s="55" t="str">
        <f>TEXT(Patient_Data[[#This Row],[Admission_Date]],"YYYY")</f>
        <v>2025</v>
      </c>
      <c r="G2328" s="8" t="s">
        <v>4621</v>
      </c>
      <c r="H2328" s="8" t="s">
        <v>53</v>
      </c>
      <c r="I2328" s="4" t="s">
        <v>29</v>
      </c>
      <c r="J2328" s="4">
        <v>47</v>
      </c>
      <c r="K2328" s="4" t="s">
        <v>45</v>
      </c>
      <c r="L2328" s="8">
        <v>5</v>
      </c>
      <c r="M2328" s="9" t="s">
        <v>46</v>
      </c>
      <c r="N2328" s="9" t="str">
        <f t="shared" si="19"/>
        <v>Ortho</v>
      </c>
      <c r="O2328" s="10">
        <v>9810.84</v>
      </c>
      <c r="P2328" s="10">
        <v>6953.99</v>
      </c>
      <c r="Q2328" s="11">
        <v>10.8</v>
      </c>
      <c r="R2328" s="13" t="str">
        <f>IF(Patient_Data!$L2328&lt;2,"Low Risk",IF(Patient_Data!$L2328&lt;4,"Moderate Risk","High Risk"))</f>
        <v>High Risk</v>
      </c>
      <c r="S2328" s="12" t="str">
        <f>IF(Patient_Data[[#This Row],[Age]]&lt;=18,"Pediatric",IF(Patient_Data[[#This Row],[Age]]&lt;=64,"Adult","Geriatric"))</f>
        <v>Adult</v>
      </c>
    </row>
    <row r="2329" spans="1:19" ht="15.75" customHeight="1" x14ac:dyDescent="0.3">
      <c r="A2329" s="4" t="s">
        <v>4622</v>
      </c>
      <c r="B2329" s="5" t="str">
        <f>TEXT(Patient_Data!$E2329,"mmmm")</f>
        <v>May</v>
      </c>
      <c r="C2329" s="6" t="str">
        <f t="shared" si="18"/>
        <v>May</v>
      </c>
      <c r="D2329" s="6">
        <f>MONTH(Patient_Data!$E2329)</f>
        <v>5</v>
      </c>
      <c r="E2329" s="7">
        <v>46153</v>
      </c>
      <c r="F2329" s="55" t="str">
        <f>TEXT(Patient_Data[[#This Row],[Admission_Date]],"YYYY")</f>
        <v>2026</v>
      </c>
      <c r="G2329" s="8" t="s">
        <v>4623</v>
      </c>
      <c r="H2329" s="8" t="s">
        <v>34</v>
      </c>
      <c r="I2329" s="4" t="s">
        <v>35</v>
      </c>
      <c r="J2329" s="4">
        <v>71</v>
      </c>
      <c r="K2329" s="4" t="s">
        <v>54</v>
      </c>
      <c r="L2329" s="8">
        <v>4</v>
      </c>
      <c r="M2329" s="9" t="s">
        <v>39</v>
      </c>
      <c r="N2329" s="9" t="str">
        <f t="shared" si="19"/>
        <v>GM</v>
      </c>
      <c r="O2329" s="10">
        <v>2319.94</v>
      </c>
      <c r="P2329" s="10">
        <v>1764.76</v>
      </c>
      <c r="Q2329" s="11">
        <v>8.9</v>
      </c>
      <c r="R2329" s="13" t="str">
        <f>IF(Patient_Data!$L2329&lt;2,"Low Risk",IF(Patient_Data!$L2329&lt;4,"Moderate Risk","High Risk"))</f>
        <v>High Risk</v>
      </c>
      <c r="S2329" s="12" t="str">
        <f>IF(Patient_Data[[#This Row],[Age]]&lt;=18,"Pediatric",IF(Patient_Data[[#This Row],[Age]]&lt;=64,"Adult","Geriatric"))</f>
        <v>Geriatric</v>
      </c>
    </row>
    <row r="2330" spans="1:19" ht="15.75" customHeight="1" x14ac:dyDescent="0.3">
      <c r="A2330" s="4" t="s">
        <v>4624</v>
      </c>
      <c r="B2330" s="5" t="str">
        <f>TEXT(Patient_Data!$E2330,"mmmm")</f>
        <v>May</v>
      </c>
      <c r="C2330" s="6" t="str">
        <f t="shared" si="18"/>
        <v>May</v>
      </c>
      <c r="D2330" s="6">
        <f>MONTH(Patient_Data!$E2330)</f>
        <v>5</v>
      </c>
      <c r="E2330" s="7">
        <v>46147</v>
      </c>
      <c r="F2330" s="55" t="str">
        <f>TEXT(Patient_Data[[#This Row],[Admission_Date]],"YYYY")</f>
        <v>2026</v>
      </c>
      <c r="G2330" s="8" t="s">
        <v>4625</v>
      </c>
      <c r="H2330" s="8" t="s">
        <v>28</v>
      </c>
      <c r="I2330" s="4" t="s">
        <v>29</v>
      </c>
      <c r="J2330" s="4">
        <v>93</v>
      </c>
      <c r="K2330" s="4" t="s">
        <v>54</v>
      </c>
      <c r="L2330" s="8">
        <v>4</v>
      </c>
      <c r="M2330" s="9" t="s">
        <v>50</v>
      </c>
      <c r="N2330" s="9" t="str">
        <f t="shared" si="19"/>
        <v>ICU</v>
      </c>
      <c r="O2330" s="10">
        <v>11036.6</v>
      </c>
      <c r="P2330" s="10">
        <v>8524.6200000000008</v>
      </c>
      <c r="Q2330" s="11">
        <v>17.100000000000001</v>
      </c>
      <c r="R2330" s="13" t="str">
        <f>IF(Patient_Data!$L2330&lt;2,"Low Risk",IF(Patient_Data!$L2330&lt;4,"Moderate Risk","High Risk"))</f>
        <v>High Risk</v>
      </c>
      <c r="S2330" s="12" t="str">
        <f>IF(Patient_Data[[#This Row],[Age]]&lt;=18,"Pediatric",IF(Patient_Data[[#This Row],[Age]]&lt;=64,"Adult","Geriatric"))</f>
        <v>Geriatric</v>
      </c>
    </row>
    <row r="2331" spans="1:19" ht="15.75" customHeight="1" x14ac:dyDescent="0.3">
      <c r="A2331" s="4" t="s">
        <v>4626</v>
      </c>
      <c r="B2331" s="5" t="str">
        <f>TEXT(Patient_Data!$E2331,"mmmm")</f>
        <v>May</v>
      </c>
      <c r="C2331" s="6" t="str">
        <f t="shared" si="18"/>
        <v>May</v>
      </c>
      <c r="D2331" s="6">
        <f>MONTH(Patient_Data!$E2331)</f>
        <v>5</v>
      </c>
      <c r="E2331" s="7">
        <v>46148</v>
      </c>
      <c r="F2331" s="55" t="str">
        <f>TEXT(Patient_Data[[#This Row],[Admission_Date]],"YYYY")</f>
        <v>2026</v>
      </c>
      <c r="G2331" s="8" t="s">
        <v>4627</v>
      </c>
      <c r="H2331" s="8" t="s">
        <v>34</v>
      </c>
      <c r="I2331" s="4" t="s">
        <v>35</v>
      </c>
      <c r="J2331" s="4">
        <v>17</v>
      </c>
      <c r="K2331" s="4" t="s">
        <v>30</v>
      </c>
      <c r="L2331" s="8">
        <v>1</v>
      </c>
      <c r="M2331" s="9" t="s">
        <v>79</v>
      </c>
      <c r="N2331" s="9" t="str">
        <f t="shared" si="19"/>
        <v>PD</v>
      </c>
      <c r="O2331" s="10">
        <v>1146.0899999999999</v>
      </c>
      <c r="P2331" s="10">
        <v>695.13</v>
      </c>
      <c r="Q2331" s="11">
        <v>3.8</v>
      </c>
      <c r="R2331" s="13" t="str">
        <f>IF(Patient_Data!$L2331&lt;2,"Low Risk",IF(Patient_Data!$L2331&lt;4,"Moderate Risk","High Risk"))</f>
        <v>Low Risk</v>
      </c>
      <c r="S2331" s="12" t="str">
        <f>IF(Patient_Data[[#This Row],[Age]]&lt;=18,"Pediatric",IF(Patient_Data[[#This Row],[Age]]&lt;=64,"Adult","Geriatric"))</f>
        <v>Pediatric</v>
      </c>
    </row>
    <row r="2332" spans="1:19" ht="15.75" customHeight="1" x14ac:dyDescent="0.3">
      <c r="A2332" s="4" t="s">
        <v>4628</v>
      </c>
      <c r="B2332" s="5" t="str">
        <f>TEXT(Patient_Data!$E2332,"mmmm")</f>
        <v>December</v>
      </c>
      <c r="C2332" s="6" t="str">
        <f t="shared" si="18"/>
        <v>Dec</v>
      </c>
      <c r="D2332" s="6">
        <f>MONTH(Patient_Data!$E2332)</f>
        <v>12</v>
      </c>
      <c r="E2332" s="7">
        <v>46008</v>
      </c>
      <c r="F2332" s="55" t="str">
        <f>TEXT(Patient_Data[[#This Row],[Admission_Date]],"YYYY")</f>
        <v>2025</v>
      </c>
      <c r="G2332" s="8" t="s">
        <v>4629</v>
      </c>
      <c r="H2332" s="8" t="s">
        <v>28</v>
      </c>
      <c r="I2332" s="4" t="s">
        <v>35</v>
      </c>
      <c r="J2332" s="4">
        <v>70</v>
      </c>
      <c r="K2332" s="4" t="s">
        <v>45</v>
      </c>
      <c r="L2332" s="8">
        <v>3</v>
      </c>
      <c r="M2332" s="9" t="s">
        <v>46</v>
      </c>
      <c r="N2332" s="9" t="str">
        <f t="shared" si="19"/>
        <v>Ortho</v>
      </c>
      <c r="O2332" s="10">
        <v>8427.85</v>
      </c>
      <c r="P2332" s="10">
        <v>5221.79</v>
      </c>
      <c r="Q2332" s="11">
        <v>10.1</v>
      </c>
      <c r="R2332" s="13" t="str">
        <f>IF(Patient_Data!$L2332&lt;2,"Low Risk",IF(Patient_Data!$L2332&lt;4,"Moderate Risk","High Risk"))</f>
        <v>Moderate Risk</v>
      </c>
      <c r="S2332" s="12" t="str">
        <f>IF(Patient_Data[[#This Row],[Age]]&lt;=18,"Pediatric",IF(Patient_Data[[#This Row],[Age]]&lt;=64,"Adult","Geriatric"))</f>
        <v>Geriatric</v>
      </c>
    </row>
    <row r="2333" spans="1:19" ht="15.75" customHeight="1" x14ac:dyDescent="0.3">
      <c r="A2333" s="4" t="s">
        <v>4630</v>
      </c>
      <c r="B2333" s="5" t="str">
        <f>TEXT(Patient_Data!$E2333,"mmmm")</f>
        <v>October</v>
      </c>
      <c r="C2333" s="6" t="str">
        <f t="shared" si="18"/>
        <v>Oct</v>
      </c>
      <c r="D2333" s="6">
        <f>MONTH(Patient_Data!$E2333)</f>
        <v>10</v>
      </c>
      <c r="E2333" s="7">
        <v>45212</v>
      </c>
      <c r="F2333" s="55" t="str">
        <f>TEXT(Patient_Data[[#This Row],[Admission_Date]],"YYYY")</f>
        <v>2023</v>
      </c>
      <c r="G2333" s="8" t="s">
        <v>4631</v>
      </c>
      <c r="H2333" s="8" t="s">
        <v>28</v>
      </c>
      <c r="I2333" s="4" t="s">
        <v>29</v>
      </c>
      <c r="J2333" s="4">
        <v>82</v>
      </c>
      <c r="K2333" s="4" t="s">
        <v>45</v>
      </c>
      <c r="L2333" s="8">
        <v>4</v>
      </c>
      <c r="M2333" s="9" t="s">
        <v>39</v>
      </c>
      <c r="N2333" s="9" t="str">
        <f t="shared" si="19"/>
        <v>GM</v>
      </c>
      <c r="O2333" s="10">
        <v>2559.39</v>
      </c>
      <c r="P2333" s="10">
        <v>1709.21</v>
      </c>
      <c r="Q2333" s="11">
        <v>8.9</v>
      </c>
      <c r="R2333" s="13" t="str">
        <f>IF(Patient_Data!$L2333&lt;2,"Low Risk",IF(Patient_Data!$L2333&lt;4,"Moderate Risk","High Risk"))</f>
        <v>High Risk</v>
      </c>
      <c r="S2333" s="12" t="str">
        <f>IF(Patient_Data[[#This Row],[Age]]&lt;=18,"Pediatric",IF(Patient_Data[[#This Row],[Age]]&lt;=64,"Adult","Geriatric"))</f>
        <v>Geriatric</v>
      </c>
    </row>
    <row r="2334" spans="1:19" ht="15.75" customHeight="1" x14ac:dyDescent="0.3">
      <c r="A2334" s="4" t="s">
        <v>4632</v>
      </c>
      <c r="B2334" s="5" t="str">
        <f>TEXT(Patient_Data!$E2334,"mmmm")</f>
        <v>January</v>
      </c>
      <c r="C2334" s="6" t="str">
        <f t="shared" si="18"/>
        <v>Jan</v>
      </c>
      <c r="D2334" s="6">
        <f>MONTH(Patient_Data!$E2334)</f>
        <v>1</v>
      </c>
      <c r="E2334" s="7">
        <v>45666</v>
      </c>
      <c r="F2334" s="55" t="str">
        <f>TEXT(Patient_Data[[#This Row],[Admission_Date]],"YYYY")</f>
        <v>2025</v>
      </c>
      <c r="G2334" s="8" t="s">
        <v>4633</v>
      </c>
      <c r="H2334" s="8" t="s">
        <v>53</v>
      </c>
      <c r="I2334" s="4" t="s">
        <v>29</v>
      </c>
      <c r="J2334" s="4">
        <v>52</v>
      </c>
      <c r="K2334" s="4" t="s">
        <v>45</v>
      </c>
      <c r="L2334" s="8">
        <v>4</v>
      </c>
      <c r="M2334" s="9" t="s">
        <v>72</v>
      </c>
      <c r="N2334" s="9" t="str">
        <f t="shared" si="19"/>
        <v>Surgery</v>
      </c>
      <c r="O2334" s="10">
        <v>14110.96</v>
      </c>
      <c r="P2334" s="10">
        <v>9479.94</v>
      </c>
      <c r="Q2334" s="11">
        <v>3.2</v>
      </c>
      <c r="R2334" s="13" t="str">
        <f>IF(Patient_Data!$L2334&lt;2,"Low Risk",IF(Patient_Data!$L2334&lt;4,"Moderate Risk","High Risk"))</f>
        <v>High Risk</v>
      </c>
      <c r="S2334" s="12" t="str">
        <f>IF(Patient_Data[[#This Row],[Age]]&lt;=18,"Pediatric",IF(Patient_Data[[#This Row],[Age]]&lt;=64,"Adult","Geriatric"))</f>
        <v>Adult</v>
      </c>
    </row>
    <row r="2335" spans="1:19" ht="15.75" customHeight="1" x14ac:dyDescent="0.3">
      <c r="A2335" s="4" t="s">
        <v>4634</v>
      </c>
      <c r="B2335" s="5" t="str">
        <f>TEXT(Patient_Data!$E2335,"mmmm")</f>
        <v>November</v>
      </c>
      <c r="C2335" s="6" t="str">
        <f t="shared" si="18"/>
        <v>Nov</v>
      </c>
      <c r="D2335" s="6">
        <f>MONTH(Patient_Data!$E2335)</f>
        <v>11</v>
      </c>
      <c r="E2335" s="7">
        <v>45255</v>
      </c>
      <c r="F2335" s="55" t="str">
        <f>TEXT(Patient_Data[[#This Row],[Admission_Date]],"YYYY")</f>
        <v>2023</v>
      </c>
      <c r="G2335" s="8" t="s">
        <v>4635</v>
      </c>
      <c r="H2335" s="8" t="s">
        <v>98</v>
      </c>
      <c r="I2335" s="4" t="s">
        <v>35</v>
      </c>
      <c r="J2335" s="4">
        <v>74</v>
      </c>
      <c r="K2335" s="4" t="s">
        <v>45</v>
      </c>
      <c r="L2335" s="8">
        <v>3</v>
      </c>
      <c r="M2335" s="9" t="s">
        <v>46</v>
      </c>
      <c r="N2335" s="9" t="str">
        <f t="shared" si="19"/>
        <v>Ortho</v>
      </c>
      <c r="O2335" s="10">
        <v>8458.57</v>
      </c>
      <c r="P2335" s="10">
        <v>5982.6</v>
      </c>
      <c r="Q2335" s="11">
        <v>7.7</v>
      </c>
      <c r="R2335" s="13" t="str">
        <f>IF(Patient_Data!$L2335&lt;2,"Low Risk",IF(Patient_Data!$L2335&lt;4,"Moderate Risk","High Risk"))</f>
        <v>Moderate Risk</v>
      </c>
      <c r="S2335" s="12" t="str">
        <f>IF(Patient_Data[[#This Row],[Age]]&lt;=18,"Pediatric",IF(Patient_Data[[#This Row],[Age]]&lt;=64,"Adult","Geriatric"))</f>
        <v>Geriatric</v>
      </c>
    </row>
    <row r="2336" spans="1:19" ht="15.75" customHeight="1" x14ac:dyDescent="0.3">
      <c r="A2336" s="4" t="s">
        <v>4636</v>
      </c>
      <c r="B2336" s="5" t="str">
        <f>TEXT(Patient_Data!$E2336,"mmmm")</f>
        <v>July</v>
      </c>
      <c r="C2336" s="6" t="str">
        <f t="shared" si="18"/>
        <v>Jul</v>
      </c>
      <c r="D2336" s="6">
        <f>MONTH(Patient_Data!$E2336)</f>
        <v>7</v>
      </c>
      <c r="E2336" s="7">
        <v>45496</v>
      </c>
      <c r="F2336" s="55" t="str">
        <f>TEXT(Patient_Data[[#This Row],[Admission_Date]],"YYYY")</f>
        <v>2024</v>
      </c>
      <c r="G2336" s="8" t="s">
        <v>4637</v>
      </c>
      <c r="H2336" s="8" t="s">
        <v>132</v>
      </c>
      <c r="I2336" s="4" t="s">
        <v>29</v>
      </c>
      <c r="J2336" s="4">
        <v>18</v>
      </c>
      <c r="K2336" s="4" t="s">
        <v>30</v>
      </c>
      <c r="L2336" s="8">
        <v>1</v>
      </c>
      <c r="M2336" s="9" t="s">
        <v>83</v>
      </c>
      <c r="N2336" s="9" t="str">
        <f t="shared" si="19"/>
        <v>ER</v>
      </c>
      <c r="O2336" s="10">
        <v>8713.08</v>
      </c>
      <c r="P2336" s="10">
        <v>6492.55</v>
      </c>
      <c r="Q2336" s="11">
        <v>16.5</v>
      </c>
      <c r="R2336" s="13" t="str">
        <f>IF(Patient_Data!$L2336&lt;2,"Low Risk",IF(Patient_Data!$L2336&lt;4,"Moderate Risk","High Risk"))</f>
        <v>Low Risk</v>
      </c>
      <c r="S2336" s="12" t="str">
        <f>IF(Patient_Data[[#This Row],[Age]]&lt;=18,"Pediatric",IF(Patient_Data[[#This Row],[Age]]&lt;=64,"Adult","Geriatric"))</f>
        <v>Pediatric</v>
      </c>
    </row>
    <row r="2337" spans="1:19" ht="15.75" customHeight="1" x14ac:dyDescent="0.3">
      <c r="A2337" s="4" t="s">
        <v>4638</v>
      </c>
      <c r="B2337" s="5" t="str">
        <f>TEXT(Patient_Data!$E2337,"mmmm")</f>
        <v>May</v>
      </c>
      <c r="C2337" s="6" t="str">
        <f t="shared" si="18"/>
        <v>May</v>
      </c>
      <c r="D2337" s="6">
        <f>MONTH(Patient_Data!$E2337)</f>
        <v>5</v>
      </c>
      <c r="E2337" s="7">
        <v>45442</v>
      </c>
      <c r="F2337" s="55" t="str">
        <f>TEXT(Patient_Data[[#This Row],[Admission_Date]],"YYYY")</f>
        <v>2024</v>
      </c>
      <c r="G2337" s="8" t="s">
        <v>4639</v>
      </c>
      <c r="H2337" s="8" t="s">
        <v>82</v>
      </c>
      <c r="I2337" s="4" t="s">
        <v>29</v>
      </c>
      <c r="J2337" s="4">
        <v>43</v>
      </c>
      <c r="K2337" s="4" t="s">
        <v>54</v>
      </c>
      <c r="L2337" s="8">
        <v>2</v>
      </c>
      <c r="M2337" s="9" t="s">
        <v>39</v>
      </c>
      <c r="N2337" s="9" t="str">
        <f t="shared" si="19"/>
        <v>GM</v>
      </c>
      <c r="O2337" s="10">
        <v>3945.7</v>
      </c>
      <c r="P2337" s="10">
        <v>3078.73</v>
      </c>
      <c r="Q2337" s="11">
        <v>10</v>
      </c>
      <c r="R2337" s="13" t="str">
        <f>IF(Patient_Data!$L2337&lt;2,"Low Risk",IF(Patient_Data!$L2337&lt;4,"Moderate Risk","High Risk"))</f>
        <v>Moderate Risk</v>
      </c>
      <c r="S2337" s="12" t="str">
        <f>IF(Patient_Data[[#This Row],[Age]]&lt;=18,"Pediatric",IF(Patient_Data[[#This Row],[Age]]&lt;=64,"Adult","Geriatric"))</f>
        <v>Adult</v>
      </c>
    </row>
    <row r="2338" spans="1:19" ht="15.75" customHeight="1" x14ac:dyDescent="0.3">
      <c r="A2338" s="4" t="s">
        <v>4640</v>
      </c>
      <c r="B2338" s="5" t="str">
        <f>TEXT(Patient_Data!$E2338,"mmmm")</f>
        <v>July</v>
      </c>
      <c r="C2338" s="6" t="str">
        <f t="shared" si="18"/>
        <v>Jul</v>
      </c>
      <c r="D2338" s="6">
        <f>MONTH(Patient_Data!$E2338)</f>
        <v>7</v>
      </c>
      <c r="E2338" s="7">
        <v>46216</v>
      </c>
      <c r="F2338" s="55" t="str">
        <f>TEXT(Patient_Data[[#This Row],[Admission_Date]],"YYYY")</f>
        <v>2026</v>
      </c>
      <c r="G2338" s="8" t="s">
        <v>4641</v>
      </c>
      <c r="H2338" s="8" t="s">
        <v>34</v>
      </c>
      <c r="I2338" s="4" t="s">
        <v>29</v>
      </c>
      <c r="J2338" s="4">
        <v>56</v>
      </c>
      <c r="K2338" s="4" t="s">
        <v>30</v>
      </c>
      <c r="L2338" s="8">
        <v>1</v>
      </c>
      <c r="M2338" s="9" t="s">
        <v>83</v>
      </c>
      <c r="N2338" s="9" t="str">
        <f t="shared" si="19"/>
        <v>ER</v>
      </c>
      <c r="O2338" s="10">
        <v>3047.44</v>
      </c>
      <c r="P2338" s="10">
        <v>1900.32</v>
      </c>
      <c r="Q2338" s="11">
        <v>16.600000000000001</v>
      </c>
      <c r="R2338" s="13" t="str">
        <f>IF(Patient_Data!$L2338&lt;2,"Low Risk",IF(Patient_Data!$L2338&lt;4,"Moderate Risk","High Risk"))</f>
        <v>Low Risk</v>
      </c>
      <c r="S2338" s="12" t="str">
        <f>IF(Patient_Data[[#This Row],[Age]]&lt;=18,"Pediatric",IF(Patient_Data[[#This Row],[Age]]&lt;=64,"Adult","Geriatric"))</f>
        <v>Adult</v>
      </c>
    </row>
    <row r="2339" spans="1:19" ht="15.75" customHeight="1" x14ac:dyDescent="0.3">
      <c r="A2339" s="4" t="s">
        <v>4642</v>
      </c>
      <c r="B2339" s="5" t="str">
        <f>TEXT(Patient_Data!$E2339,"mmmm")</f>
        <v>November</v>
      </c>
      <c r="C2339" s="6" t="str">
        <f t="shared" si="18"/>
        <v>Nov</v>
      </c>
      <c r="D2339" s="6">
        <f>MONTH(Patient_Data!$E2339)</f>
        <v>11</v>
      </c>
      <c r="E2339" s="7">
        <v>45247</v>
      </c>
      <c r="F2339" s="55" t="str">
        <f>TEXT(Patient_Data[[#This Row],[Admission_Date]],"YYYY")</f>
        <v>2023</v>
      </c>
      <c r="G2339" s="8" t="s">
        <v>4643</v>
      </c>
      <c r="H2339" s="8" t="s">
        <v>42</v>
      </c>
      <c r="I2339" s="4" t="s">
        <v>35</v>
      </c>
      <c r="J2339" s="4">
        <v>62</v>
      </c>
      <c r="K2339" s="4" t="s">
        <v>45</v>
      </c>
      <c r="L2339" s="8">
        <v>4</v>
      </c>
      <c r="M2339" s="9" t="s">
        <v>46</v>
      </c>
      <c r="N2339" s="9" t="str">
        <f t="shared" si="19"/>
        <v>Ortho</v>
      </c>
      <c r="O2339" s="10">
        <v>7006.47</v>
      </c>
      <c r="P2339" s="10">
        <v>4298.75</v>
      </c>
      <c r="Q2339" s="11">
        <v>3.1</v>
      </c>
      <c r="R2339" s="13" t="str">
        <f>IF(Patient_Data!$L2339&lt;2,"Low Risk",IF(Patient_Data!$L2339&lt;4,"Moderate Risk","High Risk"))</f>
        <v>High Risk</v>
      </c>
      <c r="S2339" s="12" t="str">
        <f>IF(Patient_Data[[#This Row],[Age]]&lt;=18,"Pediatric",IF(Patient_Data[[#This Row],[Age]]&lt;=64,"Adult","Geriatric"))</f>
        <v>Adult</v>
      </c>
    </row>
    <row r="2340" spans="1:19" ht="15.75" customHeight="1" x14ac:dyDescent="0.3">
      <c r="A2340" s="4" t="s">
        <v>4644</v>
      </c>
      <c r="B2340" s="5" t="str">
        <f>TEXT(Patient_Data!$E2340,"mmmm")</f>
        <v>June</v>
      </c>
      <c r="C2340" s="6" t="str">
        <f t="shared" si="18"/>
        <v>Jun</v>
      </c>
      <c r="D2340" s="6">
        <f>MONTH(Patient_Data!$E2340)</f>
        <v>6</v>
      </c>
      <c r="E2340" s="7">
        <v>45467</v>
      </c>
      <c r="F2340" s="55" t="str">
        <f>TEXT(Patient_Data[[#This Row],[Admission_Date]],"YYYY")</f>
        <v>2024</v>
      </c>
      <c r="G2340" s="8" t="s">
        <v>4645</v>
      </c>
      <c r="H2340" s="8" t="s">
        <v>28</v>
      </c>
      <c r="I2340" s="4" t="s">
        <v>29</v>
      </c>
      <c r="J2340" s="4">
        <v>73</v>
      </c>
      <c r="K2340" s="4" t="s">
        <v>30</v>
      </c>
      <c r="L2340" s="8">
        <v>4</v>
      </c>
      <c r="M2340" s="9" t="s">
        <v>72</v>
      </c>
      <c r="N2340" s="9" t="str">
        <f t="shared" si="19"/>
        <v>Surgery</v>
      </c>
      <c r="O2340" s="10">
        <v>12144.34</v>
      </c>
      <c r="P2340" s="10">
        <v>7818.78</v>
      </c>
      <c r="Q2340" s="11">
        <v>5.8</v>
      </c>
      <c r="R2340" s="13" t="str">
        <f>IF(Patient_Data!$L2340&lt;2,"Low Risk",IF(Patient_Data!$L2340&lt;4,"Moderate Risk","High Risk"))</f>
        <v>High Risk</v>
      </c>
      <c r="S2340" s="12" t="str">
        <f>IF(Patient_Data[[#This Row],[Age]]&lt;=18,"Pediatric",IF(Patient_Data[[#This Row],[Age]]&lt;=64,"Adult","Geriatric"))</f>
        <v>Geriatric</v>
      </c>
    </row>
    <row r="2341" spans="1:19" ht="15.75" customHeight="1" x14ac:dyDescent="0.3">
      <c r="A2341" s="4" t="s">
        <v>4646</v>
      </c>
      <c r="B2341" s="5" t="str">
        <f>TEXT(Patient_Data!$E2341,"mmmm")</f>
        <v>December</v>
      </c>
      <c r="C2341" s="6" t="str">
        <f t="shared" si="18"/>
        <v>Dec</v>
      </c>
      <c r="D2341" s="6">
        <f>MONTH(Patient_Data!$E2341)</f>
        <v>12</v>
      </c>
      <c r="E2341" s="7">
        <v>45281</v>
      </c>
      <c r="F2341" s="55" t="str">
        <f>TEXT(Patient_Data[[#This Row],[Admission_Date]],"YYYY")</f>
        <v>2023</v>
      </c>
      <c r="G2341" s="8" t="s">
        <v>4647</v>
      </c>
      <c r="H2341" s="8" t="s">
        <v>42</v>
      </c>
      <c r="I2341" s="4" t="s">
        <v>35</v>
      </c>
      <c r="J2341" s="4">
        <v>30</v>
      </c>
      <c r="K2341" s="4" t="s">
        <v>54</v>
      </c>
      <c r="L2341" s="8">
        <v>1</v>
      </c>
      <c r="M2341" s="9" t="s">
        <v>31</v>
      </c>
      <c r="N2341" s="9" t="str">
        <f t="shared" si="19"/>
        <v>Neuro</v>
      </c>
      <c r="O2341" s="10">
        <v>9179.5</v>
      </c>
      <c r="P2341" s="10">
        <v>6207.86</v>
      </c>
      <c r="Q2341" s="11">
        <v>7.2</v>
      </c>
      <c r="R2341" s="13" t="str">
        <f>IF(Patient_Data!$L2341&lt;2,"Low Risk",IF(Patient_Data!$L2341&lt;4,"Moderate Risk","High Risk"))</f>
        <v>Low Risk</v>
      </c>
      <c r="S2341" s="12" t="str">
        <f>IF(Patient_Data[[#This Row],[Age]]&lt;=18,"Pediatric",IF(Patient_Data[[#This Row],[Age]]&lt;=64,"Adult","Geriatric"))</f>
        <v>Adult</v>
      </c>
    </row>
    <row r="2342" spans="1:19" ht="15.75" customHeight="1" x14ac:dyDescent="0.3">
      <c r="A2342" s="4" t="s">
        <v>4648</v>
      </c>
      <c r="B2342" s="5" t="str">
        <f>TEXT(Patient_Data!$E2342,"mmmm")</f>
        <v>October</v>
      </c>
      <c r="C2342" s="6" t="str">
        <f t="shared" si="18"/>
        <v>Oct</v>
      </c>
      <c r="D2342" s="6">
        <f>MONTH(Patient_Data!$E2342)</f>
        <v>10</v>
      </c>
      <c r="E2342" s="7">
        <v>45205</v>
      </c>
      <c r="F2342" s="55" t="str">
        <f>TEXT(Patient_Data[[#This Row],[Admission_Date]],"YYYY")</f>
        <v>2023</v>
      </c>
      <c r="G2342" s="8" t="s">
        <v>4649</v>
      </c>
      <c r="H2342" s="8" t="s">
        <v>82</v>
      </c>
      <c r="I2342" s="4" t="s">
        <v>35</v>
      </c>
      <c r="J2342" s="4">
        <v>6</v>
      </c>
      <c r="K2342" s="4" t="s">
        <v>30</v>
      </c>
      <c r="L2342" s="8">
        <v>2</v>
      </c>
      <c r="M2342" s="9" t="s">
        <v>79</v>
      </c>
      <c r="N2342" s="9" t="str">
        <f t="shared" si="19"/>
        <v>PD</v>
      </c>
      <c r="O2342" s="10">
        <v>1769.05</v>
      </c>
      <c r="P2342" s="10">
        <v>1239.1300000000001</v>
      </c>
      <c r="Q2342" s="11">
        <v>0.1</v>
      </c>
      <c r="R2342" s="13" t="str">
        <f>IF(Patient_Data!$L2342&lt;2,"Low Risk",IF(Patient_Data!$L2342&lt;4,"Moderate Risk","High Risk"))</f>
        <v>Moderate Risk</v>
      </c>
      <c r="S2342" s="12" t="str">
        <f>IF(Patient_Data[[#This Row],[Age]]&lt;=18,"Pediatric",IF(Patient_Data[[#This Row],[Age]]&lt;=64,"Adult","Geriatric"))</f>
        <v>Pediatric</v>
      </c>
    </row>
    <row r="2343" spans="1:19" ht="15.75" customHeight="1" x14ac:dyDescent="0.3">
      <c r="A2343" s="4" t="s">
        <v>4650</v>
      </c>
      <c r="B2343" s="5" t="str">
        <f>TEXT(Patient_Data!$E2343,"mmmm")</f>
        <v>March</v>
      </c>
      <c r="C2343" s="6" t="str">
        <f t="shared" si="18"/>
        <v>Mar</v>
      </c>
      <c r="D2343" s="6">
        <f>MONTH(Patient_Data!$E2343)</f>
        <v>3</v>
      </c>
      <c r="E2343" s="7">
        <v>45747</v>
      </c>
      <c r="F2343" s="55" t="str">
        <f>TEXT(Patient_Data[[#This Row],[Admission_Date]],"YYYY")</f>
        <v>2025</v>
      </c>
      <c r="G2343" s="8" t="s">
        <v>4651</v>
      </c>
      <c r="H2343" s="8" t="s">
        <v>4549</v>
      </c>
      <c r="I2343" s="4" t="s">
        <v>29</v>
      </c>
      <c r="J2343" s="4">
        <v>60</v>
      </c>
      <c r="K2343" s="4" t="s">
        <v>30</v>
      </c>
      <c r="L2343" s="8">
        <v>1</v>
      </c>
      <c r="M2343" s="9" t="s">
        <v>46</v>
      </c>
      <c r="N2343" s="9" t="str">
        <f t="shared" si="19"/>
        <v>Ortho</v>
      </c>
      <c r="O2343" s="10">
        <v>8046.19</v>
      </c>
      <c r="P2343" s="10">
        <v>5893.72</v>
      </c>
      <c r="Q2343" s="11">
        <v>2.5</v>
      </c>
      <c r="R2343" s="13" t="str">
        <f>IF(Patient_Data!$L2343&lt;2,"Low Risk",IF(Patient_Data!$L2343&lt;4,"Moderate Risk","High Risk"))</f>
        <v>Low Risk</v>
      </c>
      <c r="S2343" s="12" t="str">
        <f>IF(Patient_Data[[#This Row],[Age]]&lt;=18,"Pediatric",IF(Patient_Data[[#This Row],[Age]]&lt;=64,"Adult","Geriatric"))</f>
        <v>Adult</v>
      </c>
    </row>
    <row r="2344" spans="1:19" ht="15.75" customHeight="1" x14ac:dyDescent="0.3">
      <c r="A2344" s="4" t="s">
        <v>4652</v>
      </c>
      <c r="B2344" s="5" t="str">
        <f>TEXT(Patient_Data!$E2344,"mmmm")</f>
        <v>February</v>
      </c>
      <c r="C2344" s="6" t="str">
        <f t="shared" si="18"/>
        <v>Feb</v>
      </c>
      <c r="D2344" s="6">
        <f>MONTH(Patient_Data!$E2344)</f>
        <v>2</v>
      </c>
      <c r="E2344" s="7">
        <v>45342</v>
      </c>
      <c r="F2344" s="55" t="str">
        <f>TEXT(Patient_Data[[#This Row],[Admission_Date]],"YYYY")</f>
        <v>2024</v>
      </c>
      <c r="G2344" s="8" t="s">
        <v>4653</v>
      </c>
      <c r="H2344" s="8" t="s">
        <v>49</v>
      </c>
      <c r="I2344" s="4" t="s">
        <v>35</v>
      </c>
      <c r="J2344" s="4">
        <v>3</v>
      </c>
      <c r="K2344" s="4" t="s">
        <v>30</v>
      </c>
      <c r="L2344" s="8">
        <v>2</v>
      </c>
      <c r="M2344" s="9" t="s">
        <v>79</v>
      </c>
      <c r="N2344" s="9" t="str">
        <f t="shared" si="19"/>
        <v>PD</v>
      </c>
      <c r="O2344" s="10">
        <v>2378.2800000000002</v>
      </c>
      <c r="P2344" s="10">
        <v>1845.89</v>
      </c>
      <c r="Q2344" s="11">
        <v>4.8</v>
      </c>
      <c r="R2344" s="13" t="str">
        <f>IF(Patient_Data!$L2344&lt;2,"Low Risk",IF(Patient_Data!$L2344&lt;4,"Moderate Risk","High Risk"))</f>
        <v>Moderate Risk</v>
      </c>
      <c r="S2344" s="12" t="str">
        <f>IF(Patient_Data[[#This Row],[Age]]&lt;=18,"Pediatric",IF(Patient_Data[[#This Row],[Age]]&lt;=64,"Adult","Geriatric"))</f>
        <v>Pediatric</v>
      </c>
    </row>
    <row r="2345" spans="1:19" ht="15.75" customHeight="1" x14ac:dyDescent="0.3">
      <c r="A2345" s="4" t="s">
        <v>4654</v>
      </c>
      <c r="B2345" s="5" t="str">
        <f>TEXT(Patient_Data!$E2345,"mmmm")</f>
        <v>November</v>
      </c>
      <c r="C2345" s="6" t="str">
        <f t="shared" si="18"/>
        <v>Nov</v>
      </c>
      <c r="D2345" s="6">
        <f>MONTH(Patient_Data!$E2345)</f>
        <v>11</v>
      </c>
      <c r="E2345" s="7">
        <v>45610</v>
      </c>
      <c r="F2345" s="55" t="str">
        <f>TEXT(Patient_Data[[#This Row],[Admission_Date]],"YYYY")</f>
        <v>2024</v>
      </c>
      <c r="G2345" s="8" t="s">
        <v>4655</v>
      </c>
      <c r="H2345" s="8" t="s">
        <v>82</v>
      </c>
      <c r="I2345" s="4" t="s">
        <v>29</v>
      </c>
      <c r="J2345" s="4">
        <v>58</v>
      </c>
      <c r="K2345" s="4" t="s">
        <v>45</v>
      </c>
      <c r="L2345" s="8">
        <v>4</v>
      </c>
      <c r="M2345" s="9" t="s">
        <v>72</v>
      </c>
      <c r="N2345" s="9" t="str">
        <f t="shared" si="19"/>
        <v>Surgery</v>
      </c>
      <c r="O2345" s="10">
        <v>21352.91</v>
      </c>
      <c r="P2345" s="10">
        <v>12402.29</v>
      </c>
      <c r="Q2345" s="11">
        <v>2.2000000000000002</v>
      </c>
      <c r="R2345" s="13" t="str">
        <f>IF(Patient_Data!$L2345&lt;2,"Low Risk",IF(Patient_Data!$L2345&lt;4,"Moderate Risk","High Risk"))</f>
        <v>High Risk</v>
      </c>
      <c r="S2345" s="12" t="str">
        <f>IF(Patient_Data[[#This Row],[Age]]&lt;=18,"Pediatric",IF(Patient_Data[[#This Row],[Age]]&lt;=64,"Adult","Geriatric"))</f>
        <v>Adult</v>
      </c>
    </row>
    <row r="2346" spans="1:19" ht="15.75" customHeight="1" x14ac:dyDescent="0.3">
      <c r="A2346" s="4" t="s">
        <v>4656</v>
      </c>
      <c r="B2346" s="5" t="str">
        <f>TEXT(Patient_Data!$E2346,"mmmm")</f>
        <v>March</v>
      </c>
      <c r="C2346" s="6" t="str">
        <f t="shared" si="18"/>
        <v>Mar</v>
      </c>
      <c r="D2346" s="6">
        <f>MONTH(Patient_Data!$E2346)</f>
        <v>3</v>
      </c>
      <c r="E2346" s="7">
        <v>46086</v>
      </c>
      <c r="F2346" s="55" t="str">
        <f>TEXT(Patient_Data[[#This Row],[Admission_Date]],"YYYY")</f>
        <v>2026</v>
      </c>
      <c r="G2346" s="8" t="s">
        <v>4657</v>
      </c>
      <c r="H2346" s="8" t="s">
        <v>82</v>
      </c>
      <c r="I2346" s="4" t="s">
        <v>35</v>
      </c>
      <c r="J2346" s="4">
        <v>7</v>
      </c>
      <c r="K2346" s="4" t="s">
        <v>45</v>
      </c>
      <c r="L2346" s="8">
        <v>4</v>
      </c>
      <c r="M2346" s="9" t="s">
        <v>79</v>
      </c>
      <c r="N2346" s="9" t="str">
        <f t="shared" si="19"/>
        <v>PD</v>
      </c>
      <c r="O2346" s="10">
        <v>3838.76</v>
      </c>
      <c r="P2346" s="10">
        <v>2355.2399999999998</v>
      </c>
      <c r="Q2346" s="11">
        <v>1.7</v>
      </c>
      <c r="R2346" s="13" t="str">
        <f>IF(Patient_Data!$L2346&lt;2,"Low Risk",IF(Patient_Data!$L2346&lt;4,"Moderate Risk","High Risk"))</f>
        <v>High Risk</v>
      </c>
      <c r="S2346" s="12" t="str">
        <f>IF(Patient_Data[[#This Row],[Age]]&lt;=18,"Pediatric",IF(Patient_Data[[#This Row],[Age]]&lt;=64,"Adult","Geriatric"))</f>
        <v>Pediatric</v>
      </c>
    </row>
    <row r="2347" spans="1:19" ht="15.75" customHeight="1" x14ac:dyDescent="0.3">
      <c r="A2347" s="4" t="s">
        <v>4658</v>
      </c>
      <c r="B2347" s="5" t="str">
        <f>TEXT(Patient_Data!$E2347,"mmmm")</f>
        <v>April</v>
      </c>
      <c r="C2347" s="6" t="str">
        <f t="shared" si="18"/>
        <v>Apr</v>
      </c>
      <c r="D2347" s="6">
        <f>MONTH(Patient_Data!$E2347)</f>
        <v>4</v>
      </c>
      <c r="E2347" s="7">
        <v>46132</v>
      </c>
      <c r="F2347" s="55" t="str">
        <f>TEXT(Patient_Data[[#This Row],[Admission_Date]],"YYYY")</f>
        <v>2026</v>
      </c>
      <c r="G2347" s="8" t="s">
        <v>4659</v>
      </c>
      <c r="H2347" s="8" t="s">
        <v>28</v>
      </c>
      <c r="I2347" s="4" t="s">
        <v>35</v>
      </c>
      <c r="J2347" s="4">
        <v>23</v>
      </c>
      <c r="K2347" s="4" t="s">
        <v>30</v>
      </c>
      <c r="L2347" s="8">
        <v>3</v>
      </c>
      <c r="M2347" s="9" t="s">
        <v>36</v>
      </c>
      <c r="N2347" s="9" t="str">
        <f t="shared" si="19"/>
        <v>Cardio</v>
      </c>
      <c r="O2347" s="10">
        <v>8081.13</v>
      </c>
      <c r="P2347" s="10">
        <v>5259.12</v>
      </c>
      <c r="Q2347" s="11">
        <v>10.9</v>
      </c>
      <c r="R2347" s="13" t="str">
        <f>IF(Patient_Data!$L2347&lt;2,"Low Risk",IF(Patient_Data!$L2347&lt;4,"Moderate Risk","High Risk"))</f>
        <v>Moderate Risk</v>
      </c>
      <c r="S2347" s="12" t="str">
        <f>IF(Patient_Data[[#This Row],[Age]]&lt;=18,"Pediatric",IF(Patient_Data[[#This Row],[Age]]&lt;=64,"Adult","Geriatric"))</f>
        <v>Adult</v>
      </c>
    </row>
    <row r="2348" spans="1:19" ht="15.75" customHeight="1" x14ac:dyDescent="0.3">
      <c r="A2348" s="4" t="s">
        <v>4660</v>
      </c>
      <c r="B2348" s="5" t="str">
        <f>TEXT(Patient_Data!$E2348,"mmmm")</f>
        <v>May</v>
      </c>
      <c r="C2348" s="6" t="str">
        <f t="shared" si="18"/>
        <v>May</v>
      </c>
      <c r="D2348" s="6">
        <f>MONTH(Patient_Data!$E2348)</f>
        <v>5</v>
      </c>
      <c r="E2348" s="7">
        <v>46153</v>
      </c>
      <c r="F2348" s="55" t="str">
        <f>TEXT(Patient_Data[[#This Row],[Admission_Date]],"YYYY")</f>
        <v>2026</v>
      </c>
      <c r="G2348" s="8" t="s">
        <v>4661</v>
      </c>
      <c r="H2348" s="8" t="s">
        <v>53</v>
      </c>
      <c r="I2348" s="4" t="s">
        <v>29</v>
      </c>
      <c r="J2348" s="4">
        <v>79</v>
      </c>
      <c r="K2348" s="4" t="s">
        <v>45</v>
      </c>
      <c r="L2348" s="8">
        <v>4</v>
      </c>
      <c r="M2348" s="9" t="s">
        <v>72</v>
      </c>
      <c r="N2348" s="9" t="str">
        <f t="shared" si="19"/>
        <v>Surgery</v>
      </c>
      <c r="O2348" s="10">
        <v>15851.84</v>
      </c>
      <c r="P2348" s="10">
        <v>10679.13</v>
      </c>
      <c r="Q2348" s="11">
        <v>7.3</v>
      </c>
      <c r="R2348" s="13" t="str">
        <f>IF(Patient_Data!$L2348&lt;2,"Low Risk",IF(Patient_Data!$L2348&lt;4,"Moderate Risk","High Risk"))</f>
        <v>High Risk</v>
      </c>
      <c r="S2348" s="12" t="str">
        <f>IF(Patient_Data[[#This Row],[Age]]&lt;=18,"Pediatric",IF(Patient_Data[[#This Row],[Age]]&lt;=64,"Adult","Geriatric"))</f>
        <v>Geriatric</v>
      </c>
    </row>
    <row r="2349" spans="1:19" ht="15.75" customHeight="1" x14ac:dyDescent="0.3">
      <c r="A2349" s="4" t="s">
        <v>4662</v>
      </c>
      <c r="B2349" s="5" t="str">
        <f>TEXT(Patient_Data!$E2349,"mmmm")</f>
        <v>August</v>
      </c>
      <c r="C2349" s="6" t="str">
        <f t="shared" si="18"/>
        <v>Aug</v>
      </c>
      <c r="D2349" s="6">
        <f>MONTH(Patient_Data!$E2349)</f>
        <v>8</v>
      </c>
      <c r="E2349" s="7">
        <v>45516</v>
      </c>
      <c r="F2349" s="55" t="str">
        <f>TEXT(Patient_Data[[#This Row],[Admission_Date]],"YYYY")</f>
        <v>2024</v>
      </c>
      <c r="G2349" s="8" t="s">
        <v>4663</v>
      </c>
      <c r="H2349" s="8" t="s">
        <v>28</v>
      </c>
      <c r="I2349" s="4" t="s">
        <v>29</v>
      </c>
      <c r="J2349" s="4">
        <v>83</v>
      </c>
      <c r="K2349" s="4" t="s">
        <v>30</v>
      </c>
      <c r="L2349" s="8">
        <v>3</v>
      </c>
      <c r="M2349" s="9" t="s">
        <v>31</v>
      </c>
      <c r="N2349" s="9" t="str">
        <f t="shared" si="19"/>
        <v>Neuro</v>
      </c>
      <c r="O2349" s="10">
        <v>8178.47</v>
      </c>
      <c r="P2349" s="10">
        <v>5770.53</v>
      </c>
      <c r="Q2349" s="11">
        <v>5.7</v>
      </c>
      <c r="R2349" s="13" t="str">
        <f>IF(Patient_Data!$L2349&lt;2,"Low Risk",IF(Patient_Data!$L2349&lt;4,"Moderate Risk","High Risk"))</f>
        <v>Moderate Risk</v>
      </c>
      <c r="S2349" s="12" t="str">
        <f>IF(Patient_Data[[#This Row],[Age]]&lt;=18,"Pediatric",IF(Patient_Data[[#This Row],[Age]]&lt;=64,"Adult","Geriatric"))</f>
        <v>Geriatric</v>
      </c>
    </row>
    <row r="2350" spans="1:19" ht="15.75" customHeight="1" x14ac:dyDescent="0.3">
      <c r="A2350" s="4" t="s">
        <v>4664</v>
      </c>
      <c r="B2350" s="5" t="str">
        <f>TEXT(Patient_Data!$E2350,"mmmm")</f>
        <v>November</v>
      </c>
      <c r="C2350" s="6" t="str">
        <f t="shared" si="18"/>
        <v>Nov</v>
      </c>
      <c r="D2350" s="6">
        <f>MONTH(Patient_Data!$E2350)</f>
        <v>11</v>
      </c>
      <c r="E2350" s="7">
        <v>45616</v>
      </c>
      <c r="F2350" s="55" t="str">
        <f>TEXT(Patient_Data[[#This Row],[Admission_Date]],"YYYY")</f>
        <v>2024</v>
      </c>
      <c r="G2350" s="8" t="s">
        <v>4665</v>
      </c>
      <c r="H2350" s="8" t="s">
        <v>34</v>
      </c>
      <c r="I2350" s="4" t="s">
        <v>35</v>
      </c>
      <c r="J2350" s="4">
        <v>87</v>
      </c>
      <c r="K2350" s="4" t="s">
        <v>54</v>
      </c>
      <c r="L2350" s="8">
        <v>3</v>
      </c>
      <c r="M2350" s="9" t="s">
        <v>46</v>
      </c>
      <c r="N2350" s="9" t="str">
        <f t="shared" si="19"/>
        <v>Ortho</v>
      </c>
      <c r="O2350" s="10">
        <v>8727.85</v>
      </c>
      <c r="P2350" s="10">
        <v>6395.33</v>
      </c>
      <c r="Q2350" s="11">
        <v>3</v>
      </c>
      <c r="R2350" s="13" t="str">
        <f>IF(Patient_Data!$L2350&lt;2,"Low Risk",IF(Patient_Data!$L2350&lt;4,"Moderate Risk","High Risk"))</f>
        <v>Moderate Risk</v>
      </c>
      <c r="S2350" s="12" t="str">
        <f>IF(Patient_Data[[#This Row],[Age]]&lt;=18,"Pediatric",IF(Patient_Data[[#This Row],[Age]]&lt;=64,"Adult","Geriatric"))</f>
        <v>Geriatric</v>
      </c>
    </row>
    <row r="2351" spans="1:19" ht="15.75" customHeight="1" x14ac:dyDescent="0.3">
      <c r="A2351" s="4" t="s">
        <v>4666</v>
      </c>
      <c r="B2351" s="5" t="str">
        <f>TEXT(Patient_Data!$E2351,"mmmm")</f>
        <v>December</v>
      </c>
      <c r="C2351" s="6" t="str">
        <f t="shared" si="18"/>
        <v>Dec</v>
      </c>
      <c r="D2351" s="6">
        <f>MONTH(Patient_Data!$E2351)</f>
        <v>12</v>
      </c>
      <c r="E2351" s="7">
        <v>46008</v>
      </c>
      <c r="F2351" s="55" t="str">
        <f>TEXT(Patient_Data[[#This Row],[Admission_Date]],"YYYY")</f>
        <v>2025</v>
      </c>
      <c r="G2351" s="8" t="s">
        <v>2337</v>
      </c>
      <c r="H2351" s="8" t="s">
        <v>53</v>
      </c>
      <c r="I2351" s="4" t="s">
        <v>29</v>
      </c>
      <c r="J2351" s="4">
        <v>71</v>
      </c>
      <c r="K2351" s="4" t="s">
        <v>54</v>
      </c>
      <c r="L2351" s="8">
        <v>4</v>
      </c>
      <c r="M2351" s="9" t="s">
        <v>50</v>
      </c>
      <c r="N2351" s="9" t="str">
        <f t="shared" si="19"/>
        <v>ICU</v>
      </c>
      <c r="O2351" s="10">
        <v>14394.94</v>
      </c>
      <c r="P2351" s="10">
        <v>11075.35</v>
      </c>
      <c r="Q2351" s="11">
        <v>16.899999999999999</v>
      </c>
      <c r="R2351" s="13" t="str">
        <f>IF(Patient_Data!$L2351&lt;2,"Low Risk",IF(Patient_Data!$L2351&lt;4,"Moderate Risk","High Risk"))</f>
        <v>High Risk</v>
      </c>
      <c r="S2351" s="12" t="str">
        <f>IF(Patient_Data[[#This Row],[Age]]&lt;=18,"Pediatric",IF(Patient_Data[[#This Row],[Age]]&lt;=64,"Adult","Geriatric"))</f>
        <v>Geriatric</v>
      </c>
    </row>
    <row r="2352" spans="1:19" ht="15.75" customHeight="1" x14ac:dyDescent="0.3">
      <c r="A2352" s="4" t="s">
        <v>4667</v>
      </c>
      <c r="B2352" s="5" t="str">
        <f>TEXT(Patient_Data!$E2352,"mmmm")</f>
        <v>September</v>
      </c>
      <c r="C2352" s="6" t="str">
        <f t="shared" si="18"/>
        <v>Sep</v>
      </c>
      <c r="D2352" s="6">
        <f>MONTH(Patient_Data!$E2352)</f>
        <v>9</v>
      </c>
      <c r="E2352" s="7">
        <v>45539</v>
      </c>
      <c r="F2352" s="55" t="str">
        <f>TEXT(Patient_Data[[#This Row],[Admission_Date]],"YYYY")</f>
        <v>2024</v>
      </c>
      <c r="G2352" s="8" t="s">
        <v>4668</v>
      </c>
      <c r="H2352" s="8" t="s">
        <v>28</v>
      </c>
      <c r="I2352" s="4" t="s">
        <v>35</v>
      </c>
      <c r="J2352" s="4">
        <v>5</v>
      </c>
      <c r="K2352" s="4" t="s">
        <v>30</v>
      </c>
      <c r="L2352" s="8">
        <v>1</v>
      </c>
      <c r="M2352" s="9" t="s">
        <v>79</v>
      </c>
      <c r="N2352" s="9" t="str">
        <f t="shared" si="19"/>
        <v>PD</v>
      </c>
      <c r="O2352" s="10">
        <v>1033.77</v>
      </c>
      <c r="P2352" s="10">
        <v>613.19000000000005</v>
      </c>
      <c r="Q2352" s="11">
        <v>1.7</v>
      </c>
      <c r="R2352" s="13" t="str">
        <f>IF(Patient_Data!$L2352&lt;2,"Low Risk",IF(Patient_Data!$L2352&lt;4,"Moderate Risk","High Risk"))</f>
        <v>Low Risk</v>
      </c>
      <c r="S2352" s="12" t="str">
        <f>IF(Patient_Data[[#This Row],[Age]]&lt;=18,"Pediatric",IF(Patient_Data[[#This Row],[Age]]&lt;=64,"Adult","Geriatric"))</f>
        <v>Pediatric</v>
      </c>
    </row>
    <row r="2353" spans="1:19" ht="15.75" customHeight="1" x14ac:dyDescent="0.3">
      <c r="A2353" s="4" t="s">
        <v>4669</v>
      </c>
      <c r="B2353" s="5" t="str">
        <f>TEXT(Patient_Data!$E2353,"mmmm")</f>
        <v>July</v>
      </c>
      <c r="C2353" s="6" t="str">
        <f t="shared" si="18"/>
        <v>Jul</v>
      </c>
      <c r="D2353" s="6">
        <f>MONTH(Patient_Data!$E2353)</f>
        <v>7</v>
      </c>
      <c r="E2353" s="7">
        <v>46213</v>
      </c>
      <c r="F2353" s="55" t="str">
        <f>TEXT(Patient_Data[[#This Row],[Admission_Date]],"YYYY")</f>
        <v>2026</v>
      </c>
      <c r="G2353" s="8" t="s">
        <v>4670</v>
      </c>
      <c r="H2353" s="8" t="s">
        <v>28</v>
      </c>
      <c r="I2353" s="4" t="s">
        <v>29</v>
      </c>
      <c r="J2353" s="4">
        <v>3</v>
      </c>
      <c r="K2353" s="4" t="s">
        <v>30</v>
      </c>
      <c r="L2353" s="8">
        <v>1</v>
      </c>
      <c r="M2353" s="9" t="s">
        <v>79</v>
      </c>
      <c r="N2353" s="9" t="str">
        <f t="shared" si="19"/>
        <v>PD</v>
      </c>
      <c r="O2353" s="10">
        <v>1800.64</v>
      </c>
      <c r="P2353" s="10">
        <v>1107.19</v>
      </c>
      <c r="Q2353" s="11">
        <v>1.1000000000000001</v>
      </c>
      <c r="R2353" s="13" t="str">
        <f>IF(Patient_Data!$L2353&lt;2,"Low Risk",IF(Patient_Data!$L2353&lt;4,"Moderate Risk","High Risk"))</f>
        <v>Low Risk</v>
      </c>
      <c r="S2353" s="12" t="str">
        <f>IF(Patient_Data[[#This Row],[Age]]&lt;=18,"Pediatric",IF(Patient_Data[[#This Row],[Age]]&lt;=64,"Adult","Geriatric"))</f>
        <v>Pediatric</v>
      </c>
    </row>
    <row r="2354" spans="1:19" ht="15.75" customHeight="1" x14ac:dyDescent="0.3">
      <c r="A2354" s="4" t="s">
        <v>4671</v>
      </c>
      <c r="B2354" s="5" t="str">
        <f>TEXT(Patient_Data!$E2354,"mmmm")</f>
        <v>February</v>
      </c>
      <c r="C2354" s="6" t="str">
        <f t="shared" si="18"/>
        <v>Feb</v>
      </c>
      <c r="D2354" s="6">
        <f>MONTH(Patient_Data!$E2354)</f>
        <v>2</v>
      </c>
      <c r="E2354" s="7">
        <v>45708</v>
      </c>
      <c r="F2354" s="55" t="str">
        <f>TEXT(Patient_Data[[#This Row],[Admission_Date]],"YYYY")</f>
        <v>2025</v>
      </c>
      <c r="G2354" s="8" t="s">
        <v>4672</v>
      </c>
      <c r="H2354" s="8" t="s">
        <v>82</v>
      </c>
      <c r="I2354" s="4" t="s">
        <v>35</v>
      </c>
      <c r="J2354" s="4">
        <v>39</v>
      </c>
      <c r="K2354" s="4" t="s">
        <v>30</v>
      </c>
      <c r="L2354" s="8">
        <v>1</v>
      </c>
      <c r="M2354" s="9" t="s">
        <v>36</v>
      </c>
      <c r="N2354" s="9" t="str">
        <f t="shared" si="19"/>
        <v>Cardio</v>
      </c>
      <c r="O2354" s="10">
        <v>9167.8799999999992</v>
      </c>
      <c r="P2354" s="10">
        <v>5911.44</v>
      </c>
      <c r="Q2354" s="11">
        <v>5.5</v>
      </c>
      <c r="R2354" s="13" t="str">
        <f>IF(Patient_Data!$L2354&lt;2,"Low Risk",IF(Patient_Data!$L2354&lt;4,"Moderate Risk","High Risk"))</f>
        <v>Low Risk</v>
      </c>
      <c r="S2354" s="12" t="str">
        <f>IF(Patient_Data[[#This Row],[Age]]&lt;=18,"Pediatric",IF(Patient_Data[[#This Row],[Age]]&lt;=64,"Adult","Geriatric"))</f>
        <v>Adult</v>
      </c>
    </row>
    <row r="2355" spans="1:19" ht="15.75" customHeight="1" x14ac:dyDescent="0.3">
      <c r="A2355" s="4" t="s">
        <v>4673</v>
      </c>
      <c r="B2355" s="5" t="str">
        <f>TEXT(Patient_Data!$E2355,"mmmm")</f>
        <v>August</v>
      </c>
      <c r="C2355" s="6" t="str">
        <f t="shared" si="18"/>
        <v>Aug</v>
      </c>
      <c r="D2355" s="6">
        <f>MONTH(Patient_Data!$E2355)</f>
        <v>8</v>
      </c>
      <c r="E2355" s="7">
        <v>45510</v>
      </c>
      <c r="F2355" s="55" t="str">
        <f>TEXT(Patient_Data[[#This Row],[Admission_Date]],"YYYY")</f>
        <v>2024</v>
      </c>
      <c r="G2355" s="8" t="s">
        <v>4674</v>
      </c>
      <c r="H2355" s="8" t="s">
        <v>34</v>
      </c>
      <c r="I2355" s="4" t="s">
        <v>35</v>
      </c>
      <c r="J2355" s="4">
        <v>60</v>
      </c>
      <c r="K2355" s="4" t="s">
        <v>30</v>
      </c>
      <c r="L2355" s="8">
        <v>4</v>
      </c>
      <c r="M2355" s="9" t="s">
        <v>72</v>
      </c>
      <c r="N2355" s="9" t="str">
        <f t="shared" si="19"/>
        <v>Surgery</v>
      </c>
      <c r="O2355" s="10">
        <v>12817.11</v>
      </c>
      <c r="P2355" s="10">
        <v>8678.66</v>
      </c>
      <c r="Q2355" s="11">
        <v>11.4</v>
      </c>
      <c r="R2355" s="13" t="str">
        <f>IF(Patient_Data!$L2355&lt;2,"Low Risk",IF(Patient_Data!$L2355&lt;4,"Moderate Risk","High Risk"))</f>
        <v>High Risk</v>
      </c>
      <c r="S2355" s="12" t="str">
        <f>IF(Patient_Data[[#This Row],[Age]]&lt;=18,"Pediatric",IF(Patient_Data[[#This Row],[Age]]&lt;=64,"Adult","Geriatric"))</f>
        <v>Adult</v>
      </c>
    </row>
    <row r="2356" spans="1:19" ht="15.75" customHeight="1" x14ac:dyDescent="0.3">
      <c r="A2356" s="4" t="s">
        <v>4675</v>
      </c>
      <c r="B2356" s="5" t="str">
        <f>TEXT(Patient_Data!$E2356,"mmmm")</f>
        <v>July</v>
      </c>
      <c r="C2356" s="6" t="str">
        <f t="shared" si="18"/>
        <v>Jul</v>
      </c>
      <c r="D2356" s="6">
        <f>MONTH(Patient_Data!$E2356)</f>
        <v>7</v>
      </c>
      <c r="E2356" s="7">
        <v>45868</v>
      </c>
      <c r="F2356" s="55" t="str">
        <f>TEXT(Patient_Data[[#This Row],[Admission_Date]],"YYYY")</f>
        <v>2025</v>
      </c>
      <c r="G2356" s="8" t="s">
        <v>4676</v>
      </c>
      <c r="H2356" s="8" t="s">
        <v>42</v>
      </c>
      <c r="I2356" s="4" t="s">
        <v>29</v>
      </c>
      <c r="J2356" s="4">
        <v>70</v>
      </c>
      <c r="K2356" s="4" t="s">
        <v>45</v>
      </c>
      <c r="L2356" s="8">
        <v>3</v>
      </c>
      <c r="M2356" s="9" t="s">
        <v>46</v>
      </c>
      <c r="N2356" s="9" t="str">
        <f t="shared" si="19"/>
        <v>Ortho</v>
      </c>
      <c r="O2356" s="10">
        <v>11700.62</v>
      </c>
      <c r="P2356" s="10">
        <v>8244.0300000000007</v>
      </c>
      <c r="Q2356" s="11">
        <v>6.7</v>
      </c>
      <c r="R2356" s="13" t="str">
        <f>IF(Patient_Data!$L2356&lt;2,"Low Risk",IF(Patient_Data!$L2356&lt;4,"Moderate Risk","High Risk"))</f>
        <v>Moderate Risk</v>
      </c>
      <c r="S2356" s="12" t="str">
        <f>IF(Patient_Data[[#This Row],[Age]]&lt;=18,"Pediatric",IF(Patient_Data[[#This Row],[Age]]&lt;=64,"Adult","Geriatric"))</f>
        <v>Geriatric</v>
      </c>
    </row>
    <row r="2357" spans="1:19" ht="15.75" customHeight="1" x14ac:dyDescent="0.3">
      <c r="A2357" s="4" t="s">
        <v>4677</v>
      </c>
      <c r="B2357" s="5" t="str">
        <f>TEXT(Patient_Data!$E2357,"mmmm")</f>
        <v>January</v>
      </c>
      <c r="C2357" s="6" t="str">
        <f t="shared" si="18"/>
        <v>Jan</v>
      </c>
      <c r="D2357" s="6">
        <f>MONTH(Patient_Data!$E2357)</f>
        <v>1</v>
      </c>
      <c r="E2357" s="7">
        <v>45307</v>
      </c>
      <c r="F2357" s="55" t="str">
        <f>TEXT(Patient_Data[[#This Row],[Admission_Date]],"YYYY")</f>
        <v>2024</v>
      </c>
      <c r="G2357" s="8" t="s">
        <v>3494</v>
      </c>
      <c r="H2357" s="8" t="s">
        <v>49</v>
      </c>
      <c r="I2357" s="4" t="s">
        <v>29</v>
      </c>
      <c r="J2357" s="4">
        <v>18</v>
      </c>
      <c r="K2357" s="4" t="s">
        <v>30</v>
      </c>
      <c r="L2357" s="8">
        <v>1</v>
      </c>
      <c r="M2357" s="9" t="s">
        <v>31</v>
      </c>
      <c r="N2357" s="9" t="str">
        <f t="shared" si="19"/>
        <v>Neuro</v>
      </c>
      <c r="O2357" s="10">
        <v>6307.65</v>
      </c>
      <c r="P2357" s="10">
        <v>4678.9799999999996</v>
      </c>
      <c r="Q2357" s="11">
        <v>9.3000000000000007</v>
      </c>
      <c r="R2357" s="13" t="str">
        <f>IF(Patient_Data!$L2357&lt;2,"Low Risk",IF(Patient_Data!$L2357&lt;4,"Moderate Risk","High Risk"))</f>
        <v>Low Risk</v>
      </c>
      <c r="S2357" s="12" t="str">
        <f>IF(Patient_Data[[#This Row],[Age]]&lt;=18,"Pediatric",IF(Patient_Data[[#This Row],[Age]]&lt;=64,"Adult","Geriatric"))</f>
        <v>Pediatric</v>
      </c>
    </row>
    <row r="2358" spans="1:19" ht="15.75" customHeight="1" x14ac:dyDescent="0.3">
      <c r="A2358" s="4" t="s">
        <v>4678</v>
      </c>
      <c r="B2358" s="5" t="str">
        <f>TEXT(Patient_Data!$E2358,"mmmm")</f>
        <v>December</v>
      </c>
      <c r="C2358" s="6" t="str">
        <f t="shared" si="18"/>
        <v>Dec</v>
      </c>
      <c r="D2358" s="6">
        <f>MONTH(Patient_Data!$E2358)</f>
        <v>12</v>
      </c>
      <c r="E2358" s="7">
        <v>45637</v>
      </c>
      <c r="F2358" s="55" t="str">
        <f>TEXT(Patient_Data[[#This Row],[Admission_Date]],"YYYY")</f>
        <v>2024</v>
      </c>
      <c r="G2358" s="8" t="s">
        <v>4679</v>
      </c>
      <c r="H2358" s="8" t="s">
        <v>28</v>
      </c>
      <c r="I2358" s="4" t="s">
        <v>35</v>
      </c>
      <c r="J2358" s="4">
        <v>60</v>
      </c>
      <c r="K2358" s="4" t="s">
        <v>30</v>
      </c>
      <c r="L2358" s="8">
        <v>1</v>
      </c>
      <c r="M2358" s="9" t="s">
        <v>31</v>
      </c>
      <c r="N2358" s="9" t="str">
        <f t="shared" si="19"/>
        <v>Neuro</v>
      </c>
      <c r="O2358" s="10">
        <v>7302.33</v>
      </c>
      <c r="P2358" s="10">
        <v>5596.97</v>
      </c>
      <c r="Q2358" s="11">
        <v>5.9</v>
      </c>
      <c r="R2358" s="13" t="str">
        <f>IF(Patient_Data!$L2358&lt;2,"Low Risk",IF(Patient_Data!$L2358&lt;4,"Moderate Risk","High Risk"))</f>
        <v>Low Risk</v>
      </c>
      <c r="S2358" s="12" t="str">
        <f>IF(Patient_Data[[#This Row],[Age]]&lt;=18,"Pediatric",IF(Patient_Data[[#This Row],[Age]]&lt;=64,"Adult","Geriatric"))</f>
        <v>Adult</v>
      </c>
    </row>
    <row r="2359" spans="1:19" ht="15.75" customHeight="1" x14ac:dyDescent="0.3">
      <c r="A2359" s="4" t="s">
        <v>4680</v>
      </c>
      <c r="B2359" s="5" t="str">
        <f>TEXT(Patient_Data!$E2359,"mmmm")</f>
        <v>April</v>
      </c>
      <c r="C2359" s="6" t="str">
        <f t="shared" si="18"/>
        <v>Apr</v>
      </c>
      <c r="D2359" s="6">
        <f>MONTH(Patient_Data!$E2359)</f>
        <v>4</v>
      </c>
      <c r="E2359" s="7">
        <v>45389</v>
      </c>
      <c r="F2359" s="55" t="str">
        <f>TEXT(Patient_Data[[#This Row],[Admission_Date]],"YYYY")</f>
        <v>2024</v>
      </c>
      <c r="G2359" s="8" t="s">
        <v>4681</v>
      </c>
      <c r="H2359" s="8" t="s">
        <v>4549</v>
      </c>
      <c r="I2359" s="4" t="s">
        <v>29</v>
      </c>
      <c r="J2359" s="4">
        <v>78</v>
      </c>
      <c r="K2359" s="4" t="s">
        <v>30</v>
      </c>
      <c r="L2359" s="8">
        <v>2</v>
      </c>
      <c r="M2359" s="9" t="s">
        <v>46</v>
      </c>
      <c r="N2359" s="9" t="str">
        <f t="shared" si="19"/>
        <v>Ortho</v>
      </c>
      <c r="O2359" s="10">
        <v>7848.78</v>
      </c>
      <c r="P2359" s="10">
        <v>4587.49</v>
      </c>
      <c r="Q2359" s="11">
        <v>4.4000000000000004</v>
      </c>
      <c r="R2359" s="13" t="str">
        <f>IF(Patient_Data!$L2359&lt;2,"Low Risk",IF(Patient_Data!$L2359&lt;4,"Moderate Risk","High Risk"))</f>
        <v>Moderate Risk</v>
      </c>
      <c r="S2359" s="12" t="str">
        <f>IF(Patient_Data[[#This Row],[Age]]&lt;=18,"Pediatric",IF(Patient_Data[[#This Row],[Age]]&lt;=64,"Adult","Geriatric"))</f>
        <v>Geriatric</v>
      </c>
    </row>
    <row r="2360" spans="1:19" ht="15.75" customHeight="1" x14ac:dyDescent="0.3">
      <c r="A2360" s="4" t="s">
        <v>4682</v>
      </c>
      <c r="B2360" s="5" t="str">
        <f>TEXT(Patient_Data!$E2360,"mmmm")</f>
        <v>June</v>
      </c>
      <c r="C2360" s="6" t="str">
        <f t="shared" si="18"/>
        <v>Jun</v>
      </c>
      <c r="D2360" s="6">
        <f>MONTH(Patient_Data!$E2360)</f>
        <v>6</v>
      </c>
      <c r="E2360" s="7">
        <v>46199</v>
      </c>
      <c r="F2360" s="55" t="str">
        <f>TEXT(Patient_Data[[#This Row],[Admission_Date]],"YYYY")</f>
        <v>2026</v>
      </c>
      <c r="G2360" s="8" t="s">
        <v>4683</v>
      </c>
      <c r="H2360" s="8" t="s">
        <v>49</v>
      </c>
      <c r="I2360" s="4" t="s">
        <v>29</v>
      </c>
      <c r="J2360" s="4">
        <v>69</v>
      </c>
      <c r="K2360" s="4" t="s">
        <v>30</v>
      </c>
      <c r="L2360" s="8">
        <v>2</v>
      </c>
      <c r="M2360" s="9" t="s">
        <v>46</v>
      </c>
      <c r="N2360" s="9" t="str">
        <f t="shared" si="19"/>
        <v>Ortho</v>
      </c>
      <c r="O2360" s="10">
        <v>9740.2800000000007</v>
      </c>
      <c r="P2360" s="10">
        <v>5963.17</v>
      </c>
      <c r="Q2360" s="11">
        <v>2.7</v>
      </c>
      <c r="R2360" s="13" t="str">
        <f>IF(Patient_Data!$L2360&lt;2,"Low Risk",IF(Patient_Data!$L2360&lt;4,"Moderate Risk","High Risk"))</f>
        <v>Moderate Risk</v>
      </c>
      <c r="S2360" s="12" t="str">
        <f>IF(Patient_Data[[#This Row],[Age]]&lt;=18,"Pediatric",IF(Patient_Data[[#This Row],[Age]]&lt;=64,"Adult","Geriatric"))</f>
        <v>Geriatric</v>
      </c>
    </row>
    <row r="2361" spans="1:19" ht="15.75" customHeight="1" x14ac:dyDescent="0.3">
      <c r="A2361" s="4" t="s">
        <v>4684</v>
      </c>
      <c r="B2361" s="5" t="str">
        <f>TEXT(Patient_Data!$E2361,"mmmm")</f>
        <v>March</v>
      </c>
      <c r="C2361" s="6" t="str">
        <f t="shared" si="18"/>
        <v>Mar</v>
      </c>
      <c r="D2361" s="6">
        <f>MONTH(Patient_Data!$E2361)</f>
        <v>3</v>
      </c>
      <c r="E2361" s="7">
        <v>45364</v>
      </c>
      <c r="F2361" s="55" t="str">
        <f>TEXT(Patient_Data[[#This Row],[Admission_Date]],"YYYY")</f>
        <v>2024</v>
      </c>
      <c r="G2361" s="8" t="s">
        <v>4685</v>
      </c>
      <c r="H2361" s="8" t="s">
        <v>132</v>
      </c>
      <c r="I2361" s="4" t="s">
        <v>35</v>
      </c>
      <c r="J2361" s="4">
        <v>58</v>
      </c>
      <c r="K2361" s="4" t="s">
        <v>30</v>
      </c>
      <c r="L2361" s="8">
        <v>1</v>
      </c>
      <c r="M2361" s="9" t="s">
        <v>46</v>
      </c>
      <c r="N2361" s="9" t="str">
        <f t="shared" si="19"/>
        <v>Ortho</v>
      </c>
      <c r="O2361" s="10">
        <v>5604.61</v>
      </c>
      <c r="P2361" s="10">
        <v>3643.75</v>
      </c>
      <c r="Q2361" s="11">
        <v>7.1</v>
      </c>
      <c r="R2361" s="13" t="str">
        <f>IF(Patient_Data!$L2361&lt;2,"Low Risk",IF(Patient_Data!$L2361&lt;4,"Moderate Risk","High Risk"))</f>
        <v>Low Risk</v>
      </c>
      <c r="S2361" s="12" t="str">
        <f>IF(Patient_Data[[#This Row],[Age]]&lt;=18,"Pediatric",IF(Patient_Data[[#This Row],[Age]]&lt;=64,"Adult","Geriatric"))</f>
        <v>Adult</v>
      </c>
    </row>
    <row r="2362" spans="1:19" ht="15.75" customHeight="1" x14ac:dyDescent="0.3">
      <c r="A2362" s="4" t="s">
        <v>4686</v>
      </c>
      <c r="B2362" s="5" t="str">
        <f>TEXT(Patient_Data!$E2362,"mmmm")</f>
        <v>August</v>
      </c>
      <c r="C2362" s="6" t="str">
        <f t="shared" si="18"/>
        <v>Aug</v>
      </c>
      <c r="D2362" s="6">
        <f>MONTH(Patient_Data!$E2362)</f>
        <v>8</v>
      </c>
      <c r="E2362" s="7">
        <v>45530</v>
      </c>
      <c r="F2362" s="55" t="str">
        <f>TEXT(Patient_Data[[#This Row],[Admission_Date]],"YYYY")</f>
        <v>2024</v>
      </c>
      <c r="G2362" s="8" t="s">
        <v>4687</v>
      </c>
      <c r="H2362" s="8" t="s">
        <v>34</v>
      </c>
      <c r="I2362" s="4" t="s">
        <v>35</v>
      </c>
      <c r="J2362" s="4">
        <v>40</v>
      </c>
      <c r="K2362" s="4" t="s">
        <v>45</v>
      </c>
      <c r="L2362" s="8">
        <v>4</v>
      </c>
      <c r="M2362" s="9" t="s">
        <v>36</v>
      </c>
      <c r="N2362" s="9" t="str">
        <f t="shared" si="19"/>
        <v>Cardio</v>
      </c>
      <c r="O2362" s="10">
        <v>14519.34</v>
      </c>
      <c r="P2362" s="10">
        <v>9803.16</v>
      </c>
      <c r="Q2362" s="11">
        <v>9.4</v>
      </c>
      <c r="R2362" s="13" t="str">
        <f>IF(Patient_Data!$L2362&lt;2,"Low Risk",IF(Patient_Data!$L2362&lt;4,"Moderate Risk","High Risk"))</f>
        <v>High Risk</v>
      </c>
      <c r="S2362" s="12" t="str">
        <f>IF(Patient_Data[[#This Row],[Age]]&lt;=18,"Pediatric",IF(Patient_Data[[#This Row],[Age]]&lt;=64,"Adult","Geriatric"))</f>
        <v>Adult</v>
      </c>
    </row>
    <row r="2363" spans="1:19" ht="15.75" customHeight="1" x14ac:dyDescent="0.3">
      <c r="A2363" s="4" t="s">
        <v>4688</v>
      </c>
      <c r="B2363" s="5" t="str">
        <f>TEXT(Patient_Data!$E2363,"mmmm")</f>
        <v>April</v>
      </c>
      <c r="C2363" s="6" t="str">
        <f t="shared" si="18"/>
        <v>Apr</v>
      </c>
      <c r="D2363" s="6">
        <f>MONTH(Patient_Data!$E2363)</f>
        <v>4</v>
      </c>
      <c r="E2363" s="7">
        <v>46141</v>
      </c>
      <c r="F2363" s="55" t="str">
        <f>TEXT(Patient_Data[[#This Row],[Admission_Date]],"YYYY")</f>
        <v>2026</v>
      </c>
      <c r="G2363" s="8" t="s">
        <v>4689</v>
      </c>
      <c r="H2363" s="8" t="s">
        <v>28</v>
      </c>
      <c r="I2363" s="4" t="s">
        <v>29</v>
      </c>
      <c r="J2363" s="4">
        <v>49</v>
      </c>
      <c r="K2363" s="4" t="s">
        <v>45</v>
      </c>
      <c r="L2363" s="8">
        <v>5</v>
      </c>
      <c r="M2363" s="9" t="s">
        <v>72</v>
      </c>
      <c r="N2363" s="9" t="str">
        <f t="shared" si="19"/>
        <v>Surgery</v>
      </c>
      <c r="O2363" s="10">
        <v>12881.62</v>
      </c>
      <c r="P2363" s="10">
        <v>9063.5300000000007</v>
      </c>
      <c r="Q2363" s="11">
        <v>5.8</v>
      </c>
      <c r="R2363" s="13" t="str">
        <f>IF(Patient_Data!$L2363&lt;2,"Low Risk",IF(Patient_Data!$L2363&lt;4,"Moderate Risk","High Risk"))</f>
        <v>High Risk</v>
      </c>
      <c r="S2363" s="12" t="str">
        <f>IF(Patient_Data[[#This Row],[Age]]&lt;=18,"Pediatric",IF(Patient_Data[[#This Row],[Age]]&lt;=64,"Adult","Geriatric"))</f>
        <v>Adult</v>
      </c>
    </row>
    <row r="2364" spans="1:19" ht="15.75" customHeight="1" x14ac:dyDescent="0.3">
      <c r="A2364" s="4" t="s">
        <v>4690</v>
      </c>
      <c r="B2364" s="5" t="str">
        <f>TEXT(Patient_Data!$E2364,"mmmm")</f>
        <v>November</v>
      </c>
      <c r="C2364" s="6" t="str">
        <f t="shared" si="18"/>
        <v>Nov</v>
      </c>
      <c r="D2364" s="6">
        <f>MONTH(Patient_Data!$E2364)</f>
        <v>11</v>
      </c>
      <c r="E2364" s="7">
        <v>45246</v>
      </c>
      <c r="F2364" s="55" t="str">
        <f>TEXT(Patient_Data[[#This Row],[Admission_Date]],"YYYY")</f>
        <v>2023</v>
      </c>
      <c r="G2364" s="8" t="s">
        <v>4691</v>
      </c>
      <c r="H2364" s="8" t="s">
        <v>49</v>
      </c>
      <c r="I2364" s="4" t="s">
        <v>29</v>
      </c>
      <c r="J2364" s="4">
        <v>2</v>
      </c>
      <c r="K2364" s="4" t="s">
        <v>30</v>
      </c>
      <c r="L2364" s="8">
        <v>2</v>
      </c>
      <c r="M2364" s="9" t="s">
        <v>79</v>
      </c>
      <c r="N2364" s="9" t="str">
        <f t="shared" si="19"/>
        <v>PD</v>
      </c>
      <c r="O2364" s="10">
        <v>1355.41</v>
      </c>
      <c r="P2364" s="10">
        <v>1003.85</v>
      </c>
      <c r="Q2364" s="11">
        <v>1.8</v>
      </c>
      <c r="R2364" s="13" t="str">
        <f>IF(Patient_Data!$L2364&lt;2,"Low Risk",IF(Patient_Data!$L2364&lt;4,"Moderate Risk","High Risk"))</f>
        <v>Moderate Risk</v>
      </c>
      <c r="S2364" s="12" t="str">
        <f>IF(Patient_Data[[#This Row],[Age]]&lt;=18,"Pediatric",IF(Patient_Data[[#This Row],[Age]]&lt;=64,"Adult","Geriatric"))</f>
        <v>Pediatric</v>
      </c>
    </row>
    <row r="2365" spans="1:19" ht="15.75" customHeight="1" x14ac:dyDescent="0.3">
      <c r="A2365" s="4" t="s">
        <v>4692</v>
      </c>
      <c r="B2365" s="5" t="str">
        <f>TEXT(Patient_Data!$E2365,"mmmm")</f>
        <v>June</v>
      </c>
      <c r="C2365" s="6" t="str">
        <f t="shared" si="18"/>
        <v>Jun</v>
      </c>
      <c r="D2365" s="6">
        <f>MONTH(Patient_Data!$E2365)</f>
        <v>6</v>
      </c>
      <c r="E2365" s="7">
        <v>46197</v>
      </c>
      <c r="F2365" s="55" t="str">
        <f>TEXT(Patient_Data[[#This Row],[Admission_Date]],"YYYY")</f>
        <v>2026</v>
      </c>
      <c r="G2365" s="8" t="s">
        <v>2299</v>
      </c>
      <c r="H2365" s="8" t="s">
        <v>53</v>
      </c>
      <c r="I2365" s="4" t="s">
        <v>35</v>
      </c>
      <c r="J2365" s="4">
        <v>79</v>
      </c>
      <c r="K2365" s="4" t="s">
        <v>54</v>
      </c>
      <c r="L2365" s="8">
        <v>1</v>
      </c>
      <c r="M2365" s="9" t="s">
        <v>36</v>
      </c>
      <c r="N2365" s="9" t="str">
        <f t="shared" si="19"/>
        <v>Cardio</v>
      </c>
      <c r="O2365" s="10">
        <v>8552.14</v>
      </c>
      <c r="P2365" s="10">
        <v>6548.43</v>
      </c>
      <c r="Q2365" s="11">
        <v>6.1</v>
      </c>
      <c r="R2365" s="13" t="str">
        <f>IF(Patient_Data!$L2365&lt;2,"Low Risk",IF(Patient_Data!$L2365&lt;4,"Moderate Risk","High Risk"))</f>
        <v>Low Risk</v>
      </c>
      <c r="S2365" s="12" t="str">
        <f>IF(Patient_Data[[#This Row],[Age]]&lt;=18,"Pediatric",IF(Patient_Data[[#This Row],[Age]]&lt;=64,"Adult","Geriatric"))</f>
        <v>Geriatric</v>
      </c>
    </row>
    <row r="2366" spans="1:19" ht="15.75" customHeight="1" x14ac:dyDescent="0.3">
      <c r="A2366" s="4" t="s">
        <v>4693</v>
      </c>
      <c r="B2366" s="5" t="str">
        <f>TEXT(Patient_Data!$E2366,"mmmm")</f>
        <v>April</v>
      </c>
      <c r="C2366" s="6" t="str">
        <f t="shared" si="18"/>
        <v>Apr</v>
      </c>
      <c r="D2366" s="6">
        <f>MONTH(Patient_Data!$E2366)</f>
        <v>4</v>
      </c>
      <c r="E2366" s="7">
        <v>45407</v>
      </c>
      <c r="F2366" s="55" t="str">
        <f>TEXT(Patient_Data[[#This Row],[Admission_Date]],"YYYY")</f>
        <v>2024</v>
      </c>
      <c r="G2366" s="8" t="s">
        <v>4694</v>
      </c>
      <c r="H2366" s="8" t="s">
        <v>53</v>
      </c>
      <c r="I2366" s="4" t="s">
        <v>29</v>
      </c>
      <c r="J2366" s="4">
        <v>3</v>
      </c>
      <c r="K2366" s="4" t="s">
        <v>54</v>
      </c>
      <c r="L2366" s="8">
        <v>4</v>
      </c>
      <c r="M2366" s="9" t="s">
        <v>79</v>
      </c>
      <c r="N2366" s="9" t="str">
        <f t="shared" si="19"/>
        <v>PD</v>
      </c>
      <c r="O2366" s="10">
        <v>2928.9</v>
      </c>
      <c r="P2366" s="10">
        <v>1720.36</v>
      </c>
      <c r="Q2366" s="11">
        <v>2.7</v>
      </c>
      <c r="R2366" s="13" t="str">
        <f>IF(Patient_Data!$L2366&lt;2,"Low Risk",IF(Patient_Data!$L2366&lt;4,"Moderate Risk","High Risk"))</f>
        <v>High Risk</v>
      </c>
      <c r="S2366" s="12" t="str">
        <f>IF(Patient_Data[[#This Row],[Age]]&lt;=18,"Pediatric",IF(Patient_Data[[#This Row],[Age]]&lt;=64,"Adult","Geriatric"))</f>
        <v>Pediatric</v>
      </c>
    </row>
    <row r="2367" spans="1:19" ht="15.75" customHeight="1" x14ac:dyDescent="0.3">
      <c r="A2367" s="4" t="s">
        <v>4695</v>
      </c>
      <c r="B2367" s="5" t="str">
        <f>TEXT(Patient_Data!$E2367,"mmmm")</f>
        <v>March</v>
      </c>
      <c r="C2367" s="6" t="str">
        <f t="shared" si="18"/>
        <v>Mar</v>
      </c>
      <c r="D2367" s="6">
        <f>MONTH(Patient_Data!$E2367)</f>
        <v>3</v>
      </c>
      <c r="E2367" s="7">
        <v>45357</v>
      </c>
      <c r="F2367" s="55" t="str">
        <f>TEXT(Patient_Data[[#This Row],[Admission_Date]],"YYYY")</f>
        <v>2024</v>
      </c>
      <c r="G2367" s="8" t="s">
        <v>4696</v>
      </c>
      <c r="H2367" s="8" t="s">
        <v>49</v>
      </c>
      <c r="I2367" s="4" t="s">
        <v>35</v>
      </c>
      <c r="J2367" s="4">
        <v>66</v>
      </c>
      <c r="K2367" s="4" t="s">
        <v>45</v>
      </c>
      <c r="L2367" s="8">
        <v>5</v>
      </c>
      <c r="M2367" s="9" t="s">
        <v>72</v>
      </c>
      <c r="N2367" s="9" t="str">
        <f t="shared" si="19"/>
        <v>Surgery</v>
      </c>
      <c r="O2367" s="10">
        <v>15368.56</v>
      </c>
      <c r="P2367" s="10">
        <v>9403.6200000000008</v>
      </c>
      <c r="Q2367" s="11">
        <v>3.6</v>
      </c>
      <c r="R2367" s="13" t="str">
        <f>IF(Patient_Data!$L2367&lt;2,"Low Risk",IF(Patient_Data!$L2367&lt;4,"Moderate Risk","High Risk"))</f>
        <v>High Risk</v>
      </c>
      <c r="S2367" s="12" t="str">
        <f>IF(Patient_Data[[#This Row],[Age]]&lt;=18,"Pediatric",IF(Patient_Data[[#This Row],[Age]]&lt;=64,"Adult","Geriatric"))</f>
        <v>Geriatric</v>
      </c>
    </row>
    <row r="2368" spans="1:19" ht="15.75" customHeight="1" x14ac:dyDescent="0.3">
      <c r="A2368" s="4" t="s">
        <v>4697</v>
      </c>
      <c r="B2368" s="5" t="str">
        <f>TEXT(Patient_Data!$E2368,"mmmm")</f>
        <v>May</v>
      </c>
      <c r="C2368" s="6" t="str">
        <f t="shared" si="18"/>
        <v>May</v>
      </c>
      <c r="D2368" s="6">
        <f>MONTH(Patient_Data!$E2368)</f>
        <v>5</v>
      </c>
      <c r="E2368" s="7">
        <v>46154</v>
      </c>
      <c r="F2368" s="55" t="str">
        <f>TEXT(Patient_Data[[#This Row],[Admission_Date]],"YYYY")</f>
        <v>2026</v>
      </c>
      <c r="G2368" s="8" t="s">
        <v>4698</v>
      </c>
      <c r="H2368" s="8" t="s">
        <v>34</v>
      </c>
      <c r="I2368" s="4" t="s">
        <v>29</v>
      </c>
      <c r="J2368" s="4">
        <v>10</v>
      </c>
      <c r="K2368" s="4" t="s">
        <v>30</v>
      </c>
      <c r="L2368" s="8">
        <v>1</v>
      </c>
      <c r="M2368" s="9" t="s">
        <v>79</v>
      </c>
      <c r="N2368" s="9" t="str">
        <f t="shared" si="19"/>
        <v>PD</v>
      </c>
      <c r="O2368" s="10">
        <v>1676.62</v>
      </c>
      <c r="P2368" s="10">
        <v>1093.8399999999999</v>
      </c>
      <c r="Q2368" s="11">
        <v>2.6</v>
      </c>
      <c r="R2368" s="13" t="str">
        <f>IF(Patient_Data!$L2368&lt;2,"Low Risk",IF(Patient_Data!$L2368&lt;4,"Moderate Risk","High Risk"))</f>
        <v>Low Risk</v>
      </c>
      <c r="S2368" s="12" t="str">
        <f>IF(Patient_Data[[#This Row],[Age]]&lt;=18,"Pediatric",IF(Patient_Data[[#This Row],[Age]]&lt;=64,"Adult","Geriatric"))</f>
        <v>Pediatric</v>
      </c>
    </row>
    <row r="2369" spans="1:19" ht="15.75" customHeight="1" x14ac:dyDescent="0.3">
      <c r="A2369" s="4" t="s">
        <v>4699</v>
      </c>
      <c r="B2369" s="5" t="str">
        <f>TEXT(Patient_Data!$E2369,"mmmm")</f>
        <v>May</v>
      </c>
      <c r="C2369" s="6" t="str">
        <f t="shared" si="18"/>
        <v>May</v>
      </c>
      <c r="D2369" s="6">
        <f>MONTH(Patient_Data!$E2369)</f>
        <v>5</v>
      </c>
      <c r="E2369" s="7">
        <v>45433</v>
      </c>
      <c r="F2369" s="55" t="str">
        <f>TEXT(Patient_Data[[#This Row],[Admission_Date]],"YYYY")</f>
        <v>2024</v>
      </c>
      <c r="G2369" s="8" t="s">
        <v>4700</v>
      </c>
      <c r="H2369" s="8" t="s">
        <v>28</v>
      </c>
      <c r="I2369" s="4" t="s">
        <v>29</v>
      </c>
      <c r="J2369" s="4">
        <v>55</v>
      </c>
      <c r="K2369" s="4" t="s">
        <v>54</v>
      </c>
      <c r="L2369" s="8">
        <v>3</v>
      </c>
      <c r="M2369" s="9" t="s">
        <v>36</v>
      </c>
      <c r="N2369" s="9" t="str">
        <f t="shared" si="19"/>
        <v>Cardio</v>
      </c>
      <c r="O2369" s="10">
        <v>11774.51</v>
      </c>
      <c r="P2369" s="10">
        <v>7967.32</v>
      </c>
      <c r="Q2369" s="11">
        <v>9.8000000000000007</v>
      </c>
      <c r="R2369" s="13" t="str">
        <f>IF(Patient_Data!$L2369&lt;2,"Low Risk",IF(Patient_Data!$L2369&lt;4,"Moderate Risk","High Risk"))</f>
        <v>Moderate Risk</v>
      </c>
      <c r="S2369" s="12" t="str">
        <f>IF(Patient_Data[[#This Row],[Age]]&lt;=18,"Pediatric",IF(Patient_Data[[#This Row],[Age]]&lt;=64,"Adult","Geriatric"))</f>
        <v>Adult</v>
      </c>
    </row>
    <row r="2370" spans="1:19" ht="15.75" customHeight="1" x14ac:dyDescent="0.3">
      <c r="A2370" s="4" t="s">
        <v>4701</v>
      </c>
      <c r="B2370" s="5" t="str">
        <f>TEXT(Patient_Data!$E2370,"mmmm")</f>
        <v>August</v>
      </c>
      <c r="C2370" s="6" t="str">
        <f t="shared" si="18"/>
        <v>Aug</v>
      </c>
      <c r="D2370" s="6">
        <f>MONTH(Patient_Data!$E2370)</f>
        <v>8</v>
      </c>
      <c r="E2370" s="7">
        <v>45169</v>
      </c>
      <c r="F2370" s="55" t="str">
        <f>TEXT(Patient_Data[[#This Row],[Admission_Date]],"YYYY")</f>
        <v>2023</v>
      </c>
      <c r="G2370" s="8" t="s">
        <v>4702</v>
      </c>
      <c r="H2370" s="8" t="s">
        <v>98</v>
      </c>
      <c r="I2370" s="4" t="s">
        <v>29</v>
      </c>
      <c r="J2370" s="4">
        <v>57</v>
      </c>
      <c r="K2370" s="4" t="s">
        <v>30</v>
      </c>
      <c r="L2370" s="8">
        <v>3</v>
      </c>
      <c r="M2370" s="9" t="s">
        <v>72</v>
      </c>
      <c r="N2370" s="9" t="str">
        <f t="shared" si="19"/>
        <v>Surgery</v>
      </c>
      <c r="O2370" s="10">
        <v>10145.92</v>
      </c>
      <c r="P2370" s="10">
        <v>7134.94</v>
      </c>
      <c r="Q2370" s="11">
        <v>4.0999999999999996</v>
      </c>
      <c r="R2370" s="13" t="str">
        <f>IF(Patient_Data!$L2370&lt;2,"Low Risk",IF(Patient_Data!$L2370&lt;4,"Moderate Risk","High Risk"))</f>
        <v>Moderate Risk</v>
      </c>
      <c r="S2370" s="12" t="str">
        <f>IF(Patient_Data[[#This Row],[Age]]&lt;=18,"Pediatric",IF(Patient_Data[[#This Row],[Age]]&lt;=64,"Adult","Geriatric"))</f>
        <v>Adult</v>
      </c>
    </row>
    <row r="2371" spans="1:19" ht="15.75" customHeight="1" x14ac:dyDescent="0.3">
      <c r="A2371" s="4" t="s">
        <v>4703</v>
      </c>
      <c r="B2371" s="5" t="str">
        <f>TEXT(Patient_Data!$E2371,"mmmm")</f>
        <v>January</v>
      </c>
      <c r="C2371" s="6" t="str">
        <f t="shared" si="18"/>
        <v>Jan</v>
      </c>
      <c r="D2371" s="6">
        <f>MONTH(Patient_Data!$E2371)</f>
        <v>1</v>
      </c>
      <c r="E2371" s="7">
        <v>46050</v>
      </c>
      <c r="F2371" s="55" t="str">
        <f>TEXT(Patient_Data[[#This Row],[Admission_Date]],"YYYY")</f>
        <v>2026</v>
      </c>
      <c r="G2371" s="8" t="s">
        <v>4704</v>
      </c>
      <c r="H2371" s="8" t="s">
        <v>28</v>
      </c>
      <c r="I2371" s="4" t="s">
        <v>29</v>
      </c>
      <c r="J2371" s="4">
        <v>91</v>
      </c>
      <c r="K2371" s="4" t="s">
        <v>30</v>
      </c>
      <c r="L2371" s="8">
        <v>4</v>
      </c>
      <c r="M2371" s="9" t="s">
        <v>50</v>
      </c>
      <c r="N2371" s="9" t="str">
        <f t="shared" si="19"/>
        <v>ICU</v>
      </c>
      <c r="O2371" s="10">
        <v>10899.97</v>
      </c>
      <c r="P2371" s="10">
        <v>8084.98</v>
      </c>
      <c r="Q2371" s="11">
        <v>16</v>
      </c>
      <c r="R2371" s="13" t="str">
        <f>IF(Patient_Data!$L2371&lt;2,"Low Risk",IF(Patient_Data!$L2371&lt;4,"Moderate Risk","High Risk"))</f>
        <v>High Risk</v>
      </c>
      <c r="S2371" s="12" t="str">
        <f>IF(Patient_Data[[#This Row],[Age]]&lt;=18,"Pediatric",IF(Patient_Data[[#This Row],[Age]]&lt;=64,"Adult","Geriatric"))</f>
        <v>Geriatric</v>
      </c>
    </row>
    <row r="2372" spans="1:19" ht="15.75" customHeight="1" x14ac:dyDescent="0.3">
      <c r="A2372" s="4" t="s">
        <v>4705</v>
      </c>
      <c r="B2372" s="5" t="str">
        <f>TEXT(Patient_Data!$E2372,"mmmm")</f>
        <v>January</v>
      </c>
      <c r="C2372" s="6" t="str">
        <f t="shared" si="18"/>
        <v>Jan</v>
      </c>
      <c r="D2372" s="6">
        <f>MONTH(Patient_Data!$E2372)</f>
        <v>1</v>
      </c>
      <c r="E2372" s="7">
        <v>46028</v>
      </c>
      <c r="F2372" s="55" t="str">
        <f>TEXT(Patient_Data[[#This Row],[Admission_Date]],"YYYY")</f>
        <v>2026</v>
      </c>
      <c r="G2372" s="8" t="s">
        <v>4706</v>
      </c>
      <c r="H2372" s="8" t="s">
        <v>98</v>
      </c>
      <c r="I2372" s="4" t="s">
        <v>35</v>
      </c>
      <c r="J2372" s="4">
        <v>37</v>
      </c>
      <c r="K2372" s="4" t="s">
        <v>30</v>
      </c>
      <c r="L2372" s="8">
        <v>2</v>
      </c>
      <c r="M2372" s="9" t="s">
        <v>36</v>
      </c>
      <c r="N2372" s="9" t="str">
        <f t="shared" si="19"/>
        <v>Cardio</v>
      </c>
      <c r="O2372" s="10">
        <v>6574.67</v>
      </c>
      <c r="P2372" s="10">
        <v>5076.75</v>
      </c>
      <c r="Q2372" s="11">
        <v>10</v>
      </c>
      <c r="R2372" s="13" t="str">
        <f>IF(Patient_Data!$L2372&lt;2,"Low Risk",IF(Patient_Data!$L2372&lt;4,"Moderate Risk","High Risk"))</f>
        <v>Moderate Risk</v>
      </c>
      <c r="S2372" s="12" t="str">
        <f>IF(Patient_Data[[#This Row],[Age]]&lt;=18,"Pediatric",IF(Patient_Data[[#This Row],[Age]]&lt;=64,"Adult","Geriatric"))</f>
        <v>Adult</v>
      </c>
    </row>
    <row r="2373" spans="1:19" ht="15.75" customHeight="1" x14ac:dyDescent="0.3">
      <c r="A2373" s="4" t="s">
        <v>4707</v>
      </c>
      <c r="B2373" s="5" t="str">
        <f>TEXT(Patient_Data!$E2373,"mmmm")</f>
        <v>September</v>
      </c>
      <c r="C2373" s="6" t="str">
        <f t="shared" si="18"/>
        <v>Sep</v>
      </c>
      <c r="D2373" s="6">
        <f>MONTH(Patient_Data!$E2373)</f>
        <v>9</v>
      </c>
      <c r="E2373" s="7">
        <v>45925</v>
      </c>
      <c r="F2373" s="55" t="str">
        <f>TEXT(Patient_Data[[#This Row],[Admission_Date]],"YYYY")</f>
        <v>2025</v>
      </c>
      <c r="G2373" s="8" t="s">
        <v>4708</v>
      </c>
      <c r="H2373" s="8" t="s">
        <v>4549</v>
      </c>
      <c r="I2373" s="4" t="s">
        <v>29</v>
      </c>
      <c r="J2373" s="4">
        <v>35</v>
      </c>
      <c r="K2373" s="4" t="s">
        <v>54</v>
      </c>
      <c r="L2373" s="8">
        <v>5</v>
      </c>
      <c r="M2373" s="9" t="s">
        <v>72</v>
      </c>
      <c r="N2373" s="9" t="str">
        <f t="shared" si="19"/>
        <v>Surgery</v>
      </c>
      <c r="O2373" s="10">
        <v>19397.37</v>
      </c>
      <c r="P2373" s="10">
        <v>11303.27</v>
      </c>
      <c r="Q2373" s="11">
        <v>6.6</v>
      </c>
      <c r="R2373" s="13" t="str">
        <f>IF(Patient_Data!$L2373&lt;2,"Low Risk",IF(Patient_Data!$L2373&lt;4,"Moderate Risk","High Risk"))</f>
        <v>High Risk</v>
      </c>
      <c r="S2373" s="12" t="str">
        <f>IF(Patient_Data[[#This Row],[Age]]&lt;=18,"Pediatric",IF(Patient_Data[[#This Row],[Age]]&lt;=64,"Adult","Geriatric"))</f>
        <v>Adult</v>
      </c>
    </row>
    <row r="2374" spans="1:19" ht="15.75" customHeight="1" x14ac:dyDescent="0.3">
      <c r="A2374" s="4" t="s">
        <v>4709</v>
      </c>
      <c r="B2374" s="5" t="str">
        <f>TEXT(Patient_Data!$E2374,"mmmm")</f>
        <v>January</v>
      </c>
      <c r="C2374" s="6" t="str">
        <f t="shared" si="18"/>
        <v>Jan</v>
      </c>
      <c r="D2374" s="6">
        <f>MONTH(Patient_Data!$E2374)</f>
        <v>1</v>
      </c>
      <c r="E2374" s="7">
        <v>46045</v>
      </c>
      <c r="F2374" s="55" t="str">
        <f>TEXT(Patient_Data[[#This Row],[Admission_Date]],"YYYY")</f>
        <v>2026</v>
      </c>
      <c r="G2374" s="8" t="s">
        <v>4710</v>
      </c>
      <c r="H2374" s="8" t="s">
        <v>28</v>
      </c>
      <c r="I2374" s="4" t="s">
        <v>35</v>
      </c>
      <c r="J2374" s="4">
        <v>17</v>
      </c>
      <c r="K2374" s="4" t="s">
        <v>30</v>
      </c>
      <c r="L2374" s="8">
        <v>2</v>
      </c>
      <c r="M2374" s="9" t="s">
        <v>79</v>
      </c>
      <c r="N2374" s="9" t="str">
        <f t="shared" si="19"/>
        <v>PD</v>
      </c>
      <c r="O2374" s="10">
        <v>2558.6799999999998</v>
      </c>
      <c r="P2374" s="10">
        <v>1575.19</v>
      </c>
      <c r="Q2374" s="11">
        <v>1.8</v>
      </c>
      <c r="R2374" s="13" t="str">
        <f>IF(Patient_Data!$L2374&lt;2,"Low Risk",IF(Patient_Data!$L2374&lt;4,"Moderate Risk","High Risk"))</f>
        <v>Moderate Risk</v>
      </c>
      <c r="S2374" s="12" t="str">
        <f>IF(Patient_Data[[#This Row],[Age]]&lt;=18,"Pediatric",IF(Patient_Data[[#This Row],[Age]]&lt;=64,"Adult","Geriatric"))</f>
        <v>Pediatric</v>
      </c>
    </row>
    <row r="2375" spans="1:19" ht="15.75" customHeight="1" x14ac:dyDescent="0.3">
      <c r="A2375" s="4" t="s">
        <v>4711</v>
      </c>
      <c r="B2375" s="5" t="str">
        <f>TEXT(Patient_Data!$E2375,"mmmm")</f>
        <v>December</v>
      </c>
      <c r="C2375" s="6" t="str">
        <f t="shared" si="18"/>
        <v>Dec</v>
      </c>
      <c r="D2375" s="6">
        <f>MONTH(Patient_Data!$E2375)</f>
        <v>12</v>
      </c>
      <c r="E2375" s="7">
        <v>45636</v>
      </c>
      <c r="F2375" s="55" t="str">
        <f>TEXT(Patient_Data[[#This Row],[Admission_Date]],"YYYY")</f>
        <v>2024</v>
      </c>
      <c r="G2375" s="8" t="s">
        <v>4712</v>
      </c>
      <c r="H2375" s="8" t="s">
        <v>132</v>
      </c>
      <c r="I2375" s="4" t="s">
        <v>35</v>
      </c>
      <c r="J2375" s="4">
        <v>44</v>
      </c>
      <c r="K2375" s="4" t="s">
        <v>30</v>
      </c>
      <c r="L2375" s="8">
        <v>2</v>
      </c>
      <c r="M2375" s="9" t="s">
        <v>39</v>
      </c>
      <c r="N2375" s="9" t="str">
        <f t="shared" si="19"/>
        <v>GM</v>
      </c>
      <c r="O2375" s="10">
        <v>1848.04</v>
      </c>
      <c r="P2375" s="10">
        <v>1238.75</v>
      </c>
      <c r="Q2375" s="11">
        <v>7</v>
      </c>
      <c r="R2375" s="13" t="str">
        <f>IF(Patient_Data!$L2375&lt;2,"Low Risk",IF(Patient_Data!$L2375&lt;4,"Moderate Risk","High Risk"))</f>
        <v>Moderate Risk</v>
      </c>
      <c r="S2375" s="12" t="str">
        <f>IF(Patient_Data[[#This Row],[Age]]&lt;=18,"Pediatric",IF(Patient_Data[[#This Row],[Age]]&lt;=64,"Adult","Geriatric"))</f>
        <v>Adult</v>
      </c>
    </row>
    <row r="2376" spans="1:19" ht="15.75" customHeight="1" x14ac:dyDescent="0.3">
      <c r="A2376" s="4" t="s">
        <v>4713</v>
      </c>
      <c r="B2376" s="5" t="str">
        <f>TEXT(Patient_Data!$E2376,"mmmm")</f>
        <v>May</v>
      </c>
      <c r="C2376" s="6" t="str">
        <f t="shared" si="18"/>
        <v>May</v>
      </c>
      <c r="D2376" s="6">
        <f>MONTH(Patient_Data!$E2376)</f>
        <v>5</v>
      </c>
      <c r="E2376" s="7">
        <v>46154</v>
      </c>
      <c r="F2376" s="55" t="str">
        <f>TEXT(Patient_Data[[#This Row],[Admission_Date]],"YYYY")</f>
        <v>2026</v>
      </c>
      <c r="G2376" s="8" t="s">
        <v>2766</v>
      </c>
      <c r="H2376" s="8" t="s">
        <v>34</v>
      </c>
      <c r="I2376" s="4" t="s">
        <v>29</v>
      </c>
      <c r="J2376" s="4">
        <v>66</v>
      </c>
      <c r="K2376" s="4" t="s">
        <v>54</v>
      </c>
      <c r="L2376" s="8">
        <v>5</v>
      </c>
      <c r="M2376" s="9" t="s">
        <v>50</v>
      </c>
      <c r="N2376" s="9" t="str">
        <f t="shared" si="19"/>
        <v>ICU</v>
      </c>
      <c r="O2376" s="10">
        <v>14379.07</v>
      </c>
      <c r="P2376" s="10">
        <v>9717.98</v>
      </c>
      <c r="Q2376" s="11">
        <v>10.5</v>
      </c>
      <c r="R2376" s="13" t="str">
        <f>IF(Patient_Data!$L2376&lt;2,"Low Risk",IF(Patient_Data!$L2376&lt;4,"Moderate Risk","High Risk"))</f>
        <v>High Risk</v>
      </c>
      <c r="S2376" s="12" t="str">
        <f>IF(Patient_Data[[#This Row],[Age]]&lt;=18,"Pediatric",IF(Patient_Data[[#This Row],[Age]]&lt;=64,"Adult","Geriatric"))</f>
        <v>Geriatric</v>
      </c>
    </row>
    <row r="2377" spans="1:19" ht="15.75" customHeight="1" x14ac:dyDescent="0.3">
      <c r="A2377" s="4" t="s">
        <v>4714</v>
      </c>
      <c r="B2377" s="5" t="str">
        <f>TEXT(Patient_Data!$E2377,"mmmm")</f>
        <v>October</v>
      </c>
      <c r="C2377" s="6" t="str">
        <f t="shared" si="18"/>
        <v>Oct</v>
      </c>
      <c r="D2377" s="6">
        <f>MONTH(Patient_Data!$E2377)</f>
        <v>10</v>
      </c>
      <c r="E2377" s="7">
        <v>45947</v>
      </c>
      <c r="F2377" s="55" t="str">
        <f>TEXT(Patient_Data[[#This Row],[Admission_Date]],"YYYY")</f>
        <v>2025</v>
      </c>
      <c r="G2377" s="8" t="s">
        <v>4715</v>
      </c>
      <c r="H2377" s="8" t="s">
        <v>28</v>
      </c>
      <c r="I2377" s="4" t="s">
        <v>35</v>
      </c>
      <c r="J2377" s="4">
        <v>63</v>
      </c>
      <c r="K2377" s="4" t="s">
        <v>30</v>
      </c>
      <c r="L2377" s="8">
        <v>1</v>
      </c>
      <c r="M2377" s="9" t="s">
        <v>39</v>
      </c>
      <c r="N2377" s="9" t="str">
        <f t="shared" si="19"/>
        <v>GM</v>
      </c>
      <c r="O2377" s="10">
        <v>2087.04</v>
      </c>
      <c r="P2377" s="10">
        <v>1524.13</v>
      </c>
      <c r="Q2377" s="11">
        <v>7.9</v>
      </c>
      <c r="R2377" s="13" t="str">
        <f>IF(Patient_Data!$L2377&lt;2,"Low Risk",IF(Patient_Data!$L2377&lt;4,"Moderate Risk","High Risk"))</f>
        <v>Low Risk</v>
      </c>
      <c r="S2377" s="12" t="str">
        <f>IF(Patient_Data[[#This Row],[Age]]&lt;=18,"Pediatric",IF(Patient_Data[[#This Row],[Age]]&lt;=64,"Adult","Geriatric"))</f>
        <v>Adult</v>
      </c>
    </row>
    <row r="2378" spans="1:19" ht="15.75" customHeight="1" x14ac:dyDescent="0.3">
      <c r="A2378" s="4" t="s">
        <v>4716</v>
      </c>
      <c r="B2378" s="5" t="str">
        <f>TEXT(Patient_Data!$E2378,"mmmm")</f>
        <v>August</v>
      </c>
      <c r="C2378" s="6" t="str">
        <f t="shared" si="18"/>
        <v>Aug</v>
      </c>
      <c r="D2378" s="6">
        <f>MONTH(Patient_Data!$E2378)</f>
        <v>8</v>
      </c>
      <c r="E2378" s="7">
        <v>45884</v>
      </c>
      <c r="F2378" s="55" t="str">
        <f>TEXT(Patient_Data[[#This Row],[Admission_Date]],"YYYY")</f>
        <v>2025</v>
      </c>
      <c r="G2378" s="8" t="s">
        <v>4717</v>
      </c>
      <c r="H2378" s="8" t="s">
        <v>53</v>
      </c>
      <c r="I2378" s="4" t="s">
        <v>29</v>
      </c>
      <c r="J2378" s="4">
        <v>79</v>
      </c>
      <c r="K2378" s="4" t="s">
        <v>45</v>
      </c>
      <c r="L2378" s="8">
        <v>5</v>
      </c>
      <c r="M2378" s="9" t="s">
        <v>46</v>
      </c>
      <c r="N2378" s="9" t="str">
        <f t="shared" si="19"/>
        <v>Ortho</v>
      </c>
      <c r="O2378" s="10">
        <v>12980.57</v>
      </c>
      <c r="P2378" s="10">
        <v>9519.82</v>
      </c>
      <c r="Q2378" s="11">
        <v>5.5</v>
      </c>
      <c r="R2378" s="13" t="str">
        <f>IF(Patient_Data!$L2378&lt;2,"Low Risk",IF(Patient_Data!$L2378&lt;4,"Moderate Risk","High Risk"))</f>
        <v>High Risk</v>
      </c>
      <c r="S2378" s="12" t="str">
        <f>IF(Patient_Data[[#This Row],[Age]]&lt;=18,"Pediatric",IF(Patient_Data[[#This Row],[Age]]&lt;=64,"Adult","Geriatric"))</f>
        <v>Geriatric</v>
      </c>
    </row>
    <row r="2379" spans="1:19" ht="15.75" customHeight="1" x14ac:dyDescent="0.3">
      <c r="A2379" s="4" t="s">
        <v>4718</v>
      </c>
      <c r="B2379" s="5" t="str">
        <f>TEXT(Patient_Data!$E2379,"mmmm")</f>
        <v>January</v>
      </c>
      <c r="C2379" s="6" t="str">
        <f t="shared" si="18"/>
        <v>Jan</v>
      </c>
      <c r="D2379" s="6">
        <f>MONTH(Patient_Data!$E2379)</f>
        <v>1</v>
      </c>
      <c r="E2379" s="7">
        <v>45688</v>
      </c>
      <c r="F2379" s="55" t="str">
        <f>TEXT(Patient_Data[[#This Row],[Admission_Date]],"YYYY")</f>
        <v>2025</v>
      </c>
      <c r="G2379" s="8" t="s">
        <v>4719</v>
      </c>
      <c r="H2379" s="8" t="s">
        <v>49</v>
      </c>
      <c r="I2379" s="4" t="s">
        <v>29</v>
      </c>
      <c r="J2379" s="4">
        <v>73</v>
      </c>
      <c r="K2379" s="4" t="s">
        <v>45</v>
      </c>
      <c r="L2379" s="8">
        <v>2</v>
      </c>
      <c r="M2379" s="9" t="s">
        <v>31</v>
      </c>
      <c r="N2379" s="9" t="str">
        <f t="shared" si="19"/>
        <v>Neuro</v>
      </c>
      <c r="O2379" s="10">
        <v>6666.17</v>
      </c>
      <c r="P2379" s="10">
        <v>5103.09</v>
      </c>
      <c r="Q2379" s="11">
        <v>4.5999999999999996</v>
      </c>
      <c r="R2379" s="13" t="str">
        <f>IF(Patient_Data!$L2379&lt;2,"Low Risk",IF(Patient_Data!$L2379&lt;4,"Moderate Risk","High Risk"))</f>
        <v>Moderate Risk</v>
      </c>
      <c r="S2379" s="12" t="str">
        <f>IF(Patient_Data[[#This Row],[Age]]&lt;=18,"Pediatric",IF(Patient_Data[[#This Row],[Age]]&lt;=64,"Adult","Geriatric"))</f>
        <v>Geriatric</v>
      </c>
    </row>
    <row r="2380" spans="1:19" ht="15.75" customHeight="1" x14ac:dyDescent="0.3">
      <c r="A2380" s="4" t="s">
        <v>4720</v>
      </c>
      <c r="B2380" s="5" t="str">
        <f>TEXT(Patient_Data!$E2380,"mmmm")</f>
        <v>February</v>
      </c>
      <c r="C2380" s="6" t="str">
        <f t="shared" si="18"/>
        <v>Feb</v>
      </c>
      <c r="D2380" s="6">
        <f>MONTH(Patient_Data!$E2380)</f>
        <v>2</v>
      </c>
      <c r="E2380" s="7">
        <v>45338</v>
      </c>
      <c r="F2380" s="55" t="str">
        <f>TEXT(Patient_Data[[#This Row],[Admission_Date]],"YYYY")</f>
        <v>2024</v>
      </c>
      <c r="G2380" s="8" t="s">
        <v>4721</v>
      </c>
      <c r="H2380" s="8" t="s">
        <v>132</v>
      </c>
      <c r="I2380" s="4" t="s">
        <v>35</v>
      </c>
      <c r="J2380" s="4">
        <v>84</v>
      </c>
      <c r="K2380" s="4" t="s">
        <v>45</v>
      </c>
      <c r="L2380" s="8">
        <v>3</v>
      </c>
      <c r="M2380" s="9" t="s">
        <v>72</v>
      </c>
      <c r="N2380" s="9" t="str">
        <f t="shared" si="19"/>
        <v>Surgery</v>
      </c>
      <c r="O2380" s="10">
        <v>10034.32</v>
      </c>
      <c r="P2380" s="10">
        <v>5895.11</v>
      </c>
      <c r="Q2380" s="11">
        <v>9.4</v>
      </c>
      <c r="R2380" s="13" t="str">
        <f>IF(Patient_Data!$L2380&lt;2,"Low Risk",IF(Patient_Data!$L2380&lt;4,"Moderate Risk","High Risk"))</f>
        <v>Moderate Risk</v>
      </c>
      <c r="S2380" s="12" t="str">
        <f>IF(Patient_Data[[#This Row],[Age]]&lt;=18,"Pediatric",IF(Patient_Data[[#This Row],[Age]]&lt;=64,"Adult","Geriatric"))</f>
        <v>Geriatric</v>
      </c>
    </row>
    <row r="2381" spans="1:19" ht="15.75" customHeight="1" x14ac:dyDescent="0.3">
      <c r="A2381" s="4" t="s">
        <v>4722</v>
      </c>
      <c r="B2381" s="5" t="str">
        <f>TEXT(Patient_Data!$E2381,"mmmm")</f>
        <v>March</v>
      </c>
      <c r="C2381" s="6" t="str">
        <f t="shared" si="18"/>
        <v>Mar</v>
      </c>
      <c r="D2381" s="6">
        <f>MONTH(Patient_Data!$E2381)</f>
        <v>3</v>
      </c>
      <c r="E2381" s="7">
        <v>45747</v>
      </c>
      <c r="F2381" s="55" t="str">
        <f>TEXT(Patient_Data[[#This Row],[Admission_Date]],"YYYY")</f>
        <v>2025</v>
      </c>
      <c r="G2381" s="8" t="s">
        <v>4723</v>
      </c>
      <c r="H2381" s="8" t="s">
        <v>53</v>
      </c>
      <c r="I2381" s="4" t="s">
        <v>29</v>
      </c>
      <c r="J2381" s="4">
        <v>54</v>
      </c>
      <c r="K2381" s="4" t="s">
        <v>45</v>
      </c>
      <c r="L2381" s="8">
        <v>2</v>
      </c>
      <c r="M2381" s="9" t="s">
        <v>83</v>
      </c>
      <c r="N2381" s="9" t="str">
        <f t="shared" si="19"/>
        <v>ER</v>
      </c>
      <c r="O2381" s="10">
        <v>4045.14</v>
      </c>
      <c r="P2381" s="10">
        <v>2559.54</v>
      </c>
      <c r="Q2381" s="11">
        <v>11.5</v>
      </c>
      <c r="R2381" s="13" t="str">
        <f>IF(Patient_Data!$L2381&lt;2,"Low Risk",IF(Patient_Data!$L2381&lt;4,"Moderate Risk","High Risk"))</f>
        <v>Moderate Risk</v>
      </c>
      <c r="S2381" s="12" t="str">
        <f>IF(Patient_Data[[#This Row],[Age]]&lt;=18,"Pediatric",IF(Patient_Data[[#This Row],[Age]]&lt;=64,"Adult","Geriatric"))</f>
        <v>Adult</v>
      </c>
    </row>
    <row r="2382" spans="1:19" ht="15.75" customHeight="1" x14ac:dyDescent="0.3">
      <c r="A2382" s="4" t="s">
        <v>4724</v>
      </c>
      <c r="B2382" s="5" t="str">
        <f>TEXT(Patient_Data!$E2382,"mmmm")</f>
        <v>December</v>
      </c>
      <c r="C2382" s="6" t="str">
        <f t="shared" si="18"/>
        <v>Dec</v>
      </c>
      <c r="D2382" s="6">
        <f>MONTH(Patient_Data!$E2382)</f>
        <v>12</v>
      </c>
      <c r="E2382" s="7">
        <v>46003</v>
      </c>
      <c r="F2382" s="55" t="str">
        <f>TEXT(Patient_Data[[#This Row],[Admission_Date]],"YYYY")</f>
        <v>2025</v>
      </c>
      <c r="G2382" s="8" t="s">
        <v>4725</v>
      </c>
      <c r="H2382" s="8" t="s">
        <v>28</v>
      </c>
      <c r="I2382" s="4" t="s">
        <v>35</v>
      </c>
      <c r="J2382" s="4">
        <v>81</v>
      </c>
      <c r="K2382" s="4" t="s">
        <v>54</v>
      </c>
      <c r="L2382" s="8">
        <v>3</v>
      </c>
      <c r="M2382" s="9" t="s">
        <v>50</v>
      </c>
      <c r="N2382" s="9" t="str">
        <f t="shared" si="19"/>
        <v>ICU</v>
      </c>
      <c r="O2382" s="10">
        <v>15575.64</v>
      </c>
      <c r="P2382" s="10">
        <v>10044.41</v>
      </c>
      <c r="Q2382" s="11">
        <v>9.5</v>
      </c>
      <c r="R2382" s="13" t="str">
        <f>IF(Patient_Data!$L2382&lt;2,"Low Risk",IF(Patient_Data!$L2382&lt;4,"Moderate Risk","High Risk"))</f>
        <v>Moderate Risk</v>
      </c>
      <c r="S2382" s="12" t="str">
        <f>IF(Patient_Data[[#This Row],[Age]]&lt;=18,"Pediatric",IF(Patient_Data[[#This Row],[Age]]&lt;=64,"Adult","Geriatric"))</f>
        <v>Geriatric</v>
      </c>
    </row>
    <row r="2383" spans="1:19" ht="15.75" customHeight="1" x14ac:dyDescent="0.3">
      <c r="A2383" s="4" t="s">
        <v>4726</v>
      </c>
      <c r="B2383" s="5" t="str">
        <f>TEXT(Patient_Data!$E2383,"mmmm")</f>
        <v>February</v>
      </c>
      <c r="C2383" s="6" t="str">
        <f t="shared" si="18"/>
        <v>Feb</v>
      </c>
      <c r="D2383" s="6">
        <f>MONTH(Patient_Data!$E2383)</f>
        <v>2</v>
      </c>
      <c r="E2383" s="7">
        <v>45694</v>
      </c>
      <c r="F2383" s="55" t="str">
        <f>TEXT(Patient_Data[[#This Row],[Admission_Date]],"YYYY")</f>
        <v>2025</v>
      </c>
      <c r="G2383" s="8" t="s">
        <v>4727</v>
      </c>
      <c r="H2383" s="8" t="s">
        <v>53</v>
      </c>
      <c r="I2383" s="4" t="s">
        <v>35</v>
      </c>
      <c r="J2383" s="4">
        <v>80</v>
      </c>
      <c r="K2383" s="4" t="s">
        <v>30</v>
      </c>
      <c r="L2383" s="8">
        <v>1</v>
      </c>
      <c r="M2383" s="9" t="s">
        <v>36</v>
      </c>
      <c r="N2383" s="9" t="str">
        <f t="shared" si="19"/>
        <v>Cardio</v>
      </c>
      <c r="O2383" s="10">
        <v>6397</v>
      </c>
      <c r="P2383" s="10">
        <v>4368.3900000000003</v>
      </c>
      <c r="Q2383" s="11">
        <v>10.3</v>
      </c>
      <c r="R2383" s="13" t="str">
        <f>IF(Patient_Data!$L2383&lt;2,"Low Risk",IF(Patient_Data!$L2383&lt;4,"Moderate Risk","High Risk"))</f>
        <v>Low Risk</v>
      </c>
      <c r="S2383" s="12" t="str">
        <f>IF(Patient_Data[[#This Row],[Age]]&lt;=18,"Pediatric",IF(Patient_Data[[#This Row],[Age]]&lt;=64,"Adult","Geriatric"))</f>
        <v>Geriatric</v>
      </c>
    </row>
    <row r="2384" spans="1:19" ht="15.75" customHeight="1" x14ac:dyDescent="0.3">
      <c r="A2384" s="4" t="s">
        <v>4728</v>
      </c>
      <c r="B2384" s="5" t="str">
        <f>TEXT(Patient_Data!$E2384,"mmmm")</f>
        <v>September</v>
      </c>
      <c r="C2384" s="6" t="str">
        <f t="shared" si="18"/>
        <v>Sep</v>
      </c>
      <c r="D2384" s="6">
        <f>MONTH(Patient_Data!$E2384)</f>
        <v>9</v>
      </c>
      <c r="E2384" s="7">
        <v>45554</v>
      </c>
      <c r="F2384" s="55" t="str">
        <f>TEXT(Patient_Data[[#This Row],[Admission_Date]],"YYYY")</f>
        <v>2024</v>
      </c>
      <c r="G2384" s="8" t="s">
        <v>4729</v>
      </c>
      <c r="H2384" s="8" t="s">
        <v>82</v>
      </c>
      <c r="I2384" s="4" t="s">
        <v>35</v>
      </c>
      <c r="J2384" s="4">
        <v>58</v>
      </c>
      <c r="K2384" s="4" t="s">
        <v>30</v>
      </c>
      <c r="L2384" s="8">
        <v>3</v>
      </c>
      <c r="M2384" s="9" t="s">
        <v>31</v>
      </c>
      <c r="N2384" s="9" t="str">
        <f t="shared" si="19"/>
        <v>Neuro</v>
      </c>
      <c r="O2384" s="10">
        <v>8864.24</v>
      </c>
      <c r="P2384" s="10">
        <v>6294.57</v>
      </c>
      <c r="Q2384" s="11">
        <v>11.2</v>
      </c>
      <c r="R2384" s="13" t="str">
        <f>IF(Patient_Data!$L2384&lt;2,"Low Risk",IF(Patient_Data!$L2384&lt;4,"Moderate Risk","High Risk"))</f>
        <v>Moderate Risk</v>
      </c>
      <c r="S2384" s="12" t="str">
        <f>IF(Patient_Data[[#This Row],[Age]]&lt;=18,"Pediatric",IF(Patient_Data[[#This Row],[Age]]&lt;=64,"Adult","Geriatric"))</f>
        <v>Adult</v>
      </c>
    </row>
    <row r="2385" spans="1:19" ht="15.75" customHeight="1" x14ac:dyDescent="0.3">
      <c r="A2385" s="4" t="s">
        <v>4730</v>
      </c>
      <c r="B2385" s="5" t="str">
        <f>TEXT(Patient_Data!$E2385,"mmmm")</f>
        <v>September</v>
      </c>
      <c r="C2385" s="6" t="str">
        <f t="shared" si="18"/>
        <v>Sep</v>
      </c>
      <c r="D2385" s="6">
        <f>MONTH(Patient_Data!$E2385)</f>
        <v>9</v>
      </c>
      <c r="E2385" s="7">
        <v>45181</v>
      </c>
      <c r="F2385" s="55" t="str">
        <f>TEXT(Patient_Data[[#This Row],[Admission_Date]],"YYYY")</f>
        <v>2023</v>
      </c>
      <c r="G2385" s="8" t="s">
        <v>4731</v>
      </c>
      <c r="H2385" s="8" t="s">
        <v>132</v>
      </c>
      <c r="I2385" s="4" t="s">
        <v>35</v>
      </c>
      <c r="J2385" s="4">
        <v>63</v>
      </c>
      <c r="K2385" s="4" t="s">
        <v>54</v>
      </c>
      <c r="L2385" s="8">
        <v>3</v>
      </c>
      <c r="M2385" s="9" t="s">
        <v>36</v>
      </c>
      <c r="N2385" s="9" t="str">
        <f t="shared" si="19"/>
        <v>Cardio</v>
      </c>
      <c r="O2385" s="10">
        <v>9159.9500000000007</v>
      </c>
      <c r="P2385" s="10">
        <v>6723.56</v>
      </c>
      <c r="Q2385" s="11">
        <v>4.5999999999999996</v>
      </c>
      <c r="R2385" s="13" t="str">
        <f>IF(Patient_Data!$L2385&lt;2,"Low Risk",IF(Patient_Data!$L2385&lt;4,"Moderate Risk","High Risk"))</f>
        <v>Moderate Risk</v>
      </c>
      <c r="S2385" s="12" t="str">
        <f>IF(Patient_Data[[#This Row],[Age]]&lt;=18,"Pediatric",IF(Patient_Data[[#This Row],[Age]]&lt;=64,"Adult","Geriatric"))</f>
        <v>Adult</v>
      </c>
    </row>
    <row r="2386" spans="1:19" ht="15.75" customHeight="1" x14ac:dyDescent="0.3">
      <c r="A2386" s="4" t="s">
        <v>4732</v>
      </c>
      <c r="B2386" s="5" t="str">
        <f>TEXT(Patient_Data!$E2386,"mmmm")</f>
        <v>April</v>
      </c>
      <c r="C2386" s="6" t="str">
        <f t="shared" si="18"/>
        <v>Apr</v>
      </c>
      <c r="D2386" s="6">
        <f>MONTH(Patient_Data!$E2386)</f>
        <v>4</v>
      </c>
      <c r="E2386" s="7">
        <v>45408</v>
      </c>
      <c r="F2386" s="55" t="str">
        <f>TEXT(Patient_Data[[#This Row],[Admission_Date]],"YYYY")</f>
        <v>2024</v>
      </c>
      <c r="G2386" s="8" t="s">
        <v>4733</v>
      </c>
      <c r="H2386" s="8" t="s">
        <v>4549</v>
      </c>
      <c r="I2386" s="4" t="s">
        <v>29</v>
      </c>
      <c r="J2386" s="4">
        <v>68</v>
      </c>
      <c r="K2386" s="4" t="s">
        <v>54</v>
      </c>
      <c r="L2386" s="8">
        <v>4</v>
      </c>
      <c r="M2386" s="9" t="s">
        <v>72</v>
      </c>
      <c r="N2386" s="9" t="str">
        <f t="shared" si="19"/>
        <v>Surgery</v>
      </c>
      <c r="O2386" s="10">
        <v>21694.75</v>
      </c>
      <c r="P2386" s="10">
        <v>16558.41</v>
      </c>
      <c r="Q2386" s="11">
        <v>8.8000000000000007</v>
      </c>
      <c r="R2386" s="13" t="str">
        <f>IF(Patient_Data!$L2386&lt;2,"Low Risk",IF(Patient_Data!$L2386&lt;4,"Moderate Risk","High Risk"))</f>
        <v>High Risk</v>
      </c>
      <c r="S2386" s="12" t="str">
        <f>IF(Patient_Data[[#This Row],[Age]]&lt;=18,"Pediatric",IF(Patient_Data[[#This Row],[Age]]&lt;=64,"Adult","Geriatric"))</f>
        <v>Geriatric</v>
      </c>
    </row>
    <row r="2387" spans="1:19" ht="15.75" customHeight="1" x14ac:dyDescent="0.3">
      <c r="A2387" s="4" t="s">
        <v>4734</v>
      </c>
      <c r="B2387" s="5" t="str">
        <f>TEXT(Patient_Data!$E2387,"mmmm")</f>
        <v>September</v>
      </c>
      <c r="C2387" s="6" t="str">
        <f t="shared" si="18"/>
        <v>Sep</v>
      </c>
      <c r="D2387" s="6">
        <f>MONTH(Patient_Data!$E2387)</f>
        <v>9</v>
      </c>
      <c r="E2387" s="7">
        <v>45181</v>
      </c>
      <c r="F2387" s="55" t="str">
        <f>TEXT(Patient_Data[[#This Row],[Admission_Date]],"YYYY")</f>
        <v>2023</v>
      </c>
      <c r="G2387" s="8" t="s">
        <v>4735</v>
      </c>
      <c r="H2387" s="8" t="s">
        <v>98</v>
      </c>
      <c r="I2387" s="4" t="s">
        <v>35</v>
      </c>
      <c r="J2387" s="4">
        <v>59</v>
      </c>
      <c r="K2387" s="4" t="s">
        <v>45</v>
      </c>
      <c r="L2387" s="8">
        <v>4</v>
      </c>
      <c r="M2387" s="9" t="s">
        <v>50</v>
      </c>
      <c r="N2387" s="9" t="str">
        <f t="shared" si="19"/>
        <v>ICU</v>
      </c>
      <c r="O2387" s="10">
        <v>16798.84</v>
      </c>
      <c r="P2387" s="10">
        <v>9866.5300000000007</v>
      </c>
      <c r="Q2387" s="11">
        <v>15.4</v>
      </c>
      <c r="R2387" s="13" t="str">
        <f>IF(Patient_Data!$L2387&lt;2,"Low Risk",IF(Patient_Data!$L2387&lt;4,"Moderate Risk","High Risk"))</f>
        <v>High Risk</v>
      </c>
      <c r="S2387" s="12" t="str">
        <f>IF(Patient_Data[[#This Row],[Age]]&lt;=18,"Pediatric",IF(Patient_Data[[#This Row],[Age]]&lt;=64,"Adult","Geriatric"))</f>
        <v>Adult</v>
      </c>
    </row>
    <row r="2388" spans="1:19" ht="15.75" customHeight="1" x14ac:dyDescent="0.3">
      <c r="A2388" s="4" t="s">
        <v>4736</v>
      </c>
      <c r="B2388" s="5" t="str">
        <f>TEXT(Patient_Data!$E2388,"mmmm")</f>
        <v>June</v>
      </c>
      <c r="C2388" s="6" t="str">
        <f t="shared" si="18"/>
        <v>Jun</v>
      </c>
      <c r="D2388" s="6">
        <f>MONTH(Patient_Data!$E2388)</f>
        <v>6</v>
      </c>
      <c r="E2388" s="7">
        <v>45813</v>
      </c>
      <c r="F2388" s="55" t="str">
        <f>TEXT(Patient_Data[[#This Row],[Admission_Date]],"YYYY")</f>
        <v>2025</v>
      </c>
      <c r="G2388" s="8" t="s">
        <v>4737</v>
      </c>
      <c r="H2388" s="8" t="s">
        <v>132</v>
      </c>
      <c r="I2388" s="4" t="s">
        <v>35</v>
      </c>
      <c r="J2388" s="4">
        <v>75</v>
      </c>
      <c r="K2388" s="4" t="s">
        <v>45</v>
      </c>
      <c r="L2388" s="8">
        <v>5</v>
      </c>
      <c r="M2388" s="9" t="s">
        <v>72</v>
      </c>
      <c r="N2388" s="9" t="str">
        <f t="shared" si="19"/>
        <v>Surgery</v>
      </c>
      <c r="O2388" s="10">
        <v>20509.400000000001</v>
      </c>
      <c r="P2388" s="10">
        <v>12528.33</v>
      </c>
      <c r="Q2388" s="11">
        <v>2.2000000000000002</v>
      </c>
      <c r="R2388" s="13" t="str">
        <f>IF(Patient_Data!$L2388&lt;2,"Low Risk",IF(Patient_Data!$L2388&lt;4,"Moderate Risk","High Risk"))</f>
        <v>High Risk</v>
      </c>
      <c r="S2388" s="12" t="str">
        <f>IF(Patient_Data[[#This Row],[Age]]&lt;=18,"Pediatric",IF(Patient_Data[[#This Row],[Age]]&lt;=64,"Adult","Geriatric"))</f>
        <v>Geriatric</v>
      </c>
    </row>
    <row r="2389" spans="1:19" ht="15.75" customHeight="1" x14ac:dyDescent="0.3">
      <c r="A2389" s="4" t="s">
        <v>4738</v>
      </c>
      <c r="B2389" s="5" t="str">
        <f>TEXT(Patient_Data!$E2389,"mmmm")</f>
        <v>July</v>
      </c>
      <c r="C2389" s="6" t="str">
        <f t="shared" si="18"/>
        <v>Jul</v>
      </c>
      <c r="D2389" s="6">
        <f>MONTH(Patient_Data!$E2389)</f>
        <v>7</v>
      </c>
      <c r="E2389" s="7">
        <v>45483</v>
      </c>
      <c r="F2389" s="55" t="str">
        <f>TEXT(Patient_Data[[#This Row],[Admission_Date]],"YYYY")</f>
        <v>2024</v>
      </c>
      <c r="G2389" s="8" t="s">
        <v>4739</v>
      </c>
      <c r="H2389" s="8" t="s">
        <v>49</v>
      </c>
      <c r="I2389" s="4" t="s">
        <v>35</v>
      </c>
      <c r="J2389" s="4">
        <v>35</v>
      </c>
      <c r="K2389" s="4" t="s">
        <v>54</v>
      </c>
      <c r="L2389" s="8">
        <v>4</v>
      </c>
      <c r="M2389" s="9" t="s">
        <v>72</v>
      </c>
      <c r="N2389" s="9" t="str">
        <f t="shared" si="19"/>
        <v>Surgery</v>
      </c>
      <c r="O2389" s="10">
        <v>16455.93</v>
      </c>
      <c r="P2389" s="10">
        <v>10552.6</v>
      </c>
      <c r="Q2389" s="11">
        <v>2.6</v>
      </c>
      <c r="R2389" s="13" t="str">
        <f>IF(Patient_Data!$L2389&lt;2,"Low Risk",IF(Patient_Data!$L2389&lt;4,"Moderate Risk","High Risk"))</f>
        <v>High Risk</v>
      </c>
      <c r="S2389" s="12" t="str">
        <f>IF(Patient_Data[[#This Row],[Age]]&lt;=18,"Pediatric",IF(Patient_Data[[#This Row],[Age]]&lt;=64,"Adult","Geriatric"))</f>
        <v>Adult</v>
      </c>
    </row>
    <row r="2390" spans="1:19" ht="15.75" customHeight="1" x14ac:dyDescent="0.3">
      <c r="A2390" s="4" t="s">
        <v>4740</v>
      </c>
      <c r="B2390" s="5" t="str">
        <f>TEXT(Patient_Data!$E2390,"mmmm")</f>
        <v>January</v>
      </c>
      <c r="C2390" s="6" t="str">
        <f t="shared" si="18"/>
        <v>Jan</v>
      </c>
      <c r="D2390" s="6">
        <f>MONTH(Patient_Data!$E2390)</f>
        <v>1</v>
      </c>
      <c r="E2390" s="7">
        <v>45686</v>
      </c>
      <c r="F2390" s="55" t="str">
        <f>TEXT(Patient_Data[[#This Row],[Admission_Date]],"YYYY")</f>
        <v>2025</v>
      </c>
      <c r="G2390" s="8" t="s">
        <v>4741</v>
      </c>
      <c r="H2390" s="8" t="s">
        <v>75</v>
      </c>
      <c r="I2390" s="4" t="s">
        <v>35</v>
      </c>
      <c r="J2390" s="4">
        <v>38</v>
      </c>
      <c r="K2390" s="4" t="s">
        <v>30</v>
      </c>
      <c r="L2390" s="8">
        <v>1</v>
      </c>
      <c r="M2390" s="9" t="s">
        <v>31</v>
      </c>
      <c r="N2390" s="9" t="str">
        <f t="shared" si="19"/>
        <v>Neuro</v>
      </c>
      <c r="O2390" s="10">
        <v>8474.43</v>
      </c>
      <c r="P2390" s="10">
        <v>5742.67</v>
      </c>
      <c r="Q2390" s="11">
        <v>8.1</v>
      </c>
      <c r="R2390" s="13" t="str">
        <f>IF(Patient_Data!$L2390&lt;2,"Low Risk",IF(Patient_Data!$L2390&lt;4,"Moderate Risk","High Risk"))</f>
        <v>Low Risk</v>
      </c>
      <c r="S2390" s="12" t="str">
        <f>IF(Patient_Data[[#This Row],[Age]]&lt;=18,"Pediatric",IF(Patient_Data[[#This Row],[Age]]&lt;=64,"Adult","Geriatric"))</f>
        <v>Adult</v>
      </c>
    </row>
    <row r="2391" spans="1:19" ht="15.75" customHeight="1" x14ac:dyDescent="0.3">
      <c r="A2391" s="4" t="s">
        <v>4742</v>
      </c>
      <c r="B2391" s="5" t="str">
        <f>TEXT(Patient_Data!$E2391,"mmmm")</f>
        <v>February</v>
      </c>
      <c r="C2391" s="6" t="str">
        <f t="shared" si="18"/>
        <v>Feb</v>
      </c>
      <c r="D2391" s="6">
        <f>MONTH(Patient_Data!$E2391)</f>
        <v>2</v>
      </c>
      <c r="E2391" s="7">
        <v>45702</v>
      </c>
      <c r="F2391" s="55" t="str">
        <f>TEXT(Patient_Data[[#This Row],[Admission_Date]],"YYYY")</f>
        <v>2025</v>
      </c>
      <c r="G2391" s="8" t="s">
        <v>1849</v>
      </c>
      <c r="H2391" s="8" t="s">
        <v>34</v>
      </c>
      <c r="I2391" s="4" t="s">
        <v>29</v>
      </c>
      <c r="J2391" s="4">
        <v>5</v>
      </c>
      <c r="K2391" s="4" t="s">
        <v>30</v>
      </c>
      <c r="L2391" s="8">
        <v>1</v>
      </c>
      <c r="M2391" s="9" t="s">
        <v>79</v>
      </c>
      <c r="N2391" s="9" t="str">
        <f t="shared" si="19"/>
        <v>PD</v>
      </c>
      <c r="O2391" s="10">
        <v>620.79999999999995</v>
      </c>
      <c r="P2391" s="10">
        <v>454.56</v>
      </c>
      <c r="Q2391" s="11">
        <v>2.5</v>
      </c>
      <c r="R2391" s="13" t="str">
        <f>IF(Patient_Data!$L2391&lt;2,"Low Risk",IF(Patient_Data!$L2391&lt;4,"Moderate Risk","High Risk"))</f>
        <v>Low Risk</v>
      </c>
      <c r="S2391" s="12" t="str">
        <f>IF(Patient_Data[[#This Row],[Age]]&lt;=18,"Pediatric",IF(Patient_Data[[#This Row],[Age]]&lt;=64,"Adult","Geriatric"))</f>
        <v>Pediatric</v>
      </c>
    </row>
    <row r="2392" spans="1:19" ht="15.75" customHeight="1" x14ac:dyDescent="0.3">
      <c r="A2392" s="4" t="s">
        <v>4743</v>
      </c>
      <c r="B2392" s="5" t="str">
        <f>TEXT(Patient_Data!$E2392,"mmmm")</f>
        <v>January</v>
      </c>
      <c r="C2392" s="6" t="str">
        <f t="shared" si="18"/>
        <v>Jan</v>
      </c>
      <c r="D2392" s="6">
        <f>MONTH(Patient_Data!$E2392)</f>
        <v>1</v>
      </c>
      <c r="E2392" s="7">
        <v>46034</v>
      </c>
      <c r="F2392" s="55" t="str">
        <f>TEXT(Patient_Data[[#This Row],[Admission_Date]],"YYYY")</f>
        <v>2026</v>
      </c>
      <c r="G2392" s="8" t="s">
        <v>4744</v>
      </c>
      <c r="H2392" s="8" t="s">
        <v>82</v>
      </c>
      <c r="I2392" s="4" t="s">
        <v>35</v>
      </c>
      <c r="J2392" s="4">
        <v>38</v>
      </c>
      <c r="K2392" s="4" t="s">
        <v>54</v>
      </c>
      <c r="L2392" s="8">
        <v>4</v>
      </c>
      <c r="M2392" s="9" t="s">
        <v>72</v>
      </c>
      <c r="N2392" s="9" t="str">
        <f t="shared" si="19"/>
        <v>Surgery</v>
      </c>
      <c r="O2392" s="10">
        <v>11970.36</v>
      </c>
      <c r="P2392" s="10">
        <v>8789.56</v>
      </c>
      <c r="Q2392" s="11">
        <v>6.4</v>
      </c>
      <c r="R2392" s="13" t="str">
        <f>IF(Patient_Data!$L2392&lt;2,"Low Risk",IF(Patient_Data!$L2392&lt;4,"Moderate Risk","High Risk"))</f>
        <v>High Risk</v>
      </c>
      <c r="S2392" s="12" t="str">
        <f>IF(Patient_Data[[#This Row],[Age]]&lt;=18,"Pediatric",IF(Patient_Data[[#This Row],[Age]]&lt;=64,"Adult","Geriatric"))</f>
        <v>Adult</v>
      </c>
    </row>
    <row r="2393" spans="1:19" ht="15.75" customHeight="1" x14ac:dyDescent="0.3">
      <c r="A2393" s="4" t="s">
        <v>4745</v>
      </c>
      <c r="B2393" s="5" t="str">
        <f>TEXT(Patient_Data!$E2393,"mmmm")</f>
        <v>September</v>
      </c>
      <c r="C2393" s="6" t="str">
        <f t="shared" si="18"/>
        <v>Sep</v>
      </c>
      <c r="D2393" s="6">
        <f>MONTH(Patient_Data!$E2393)</f>
        <v>9</v>
      </c>
      <c r="E2393" s="7">
        <v>45915</v>
      </c>
      <c r="F2393" s="55" t="str">
        <f>TEXT(Patient_Data[[#This Row],[Admission_Date]],"YYYY")</f>
        <v>2025</v>
      </c>
      <c r="G2393" s="8" t="s">
        <v>4746</v>
      </c>
      <c r="H2393" s="8" t="s">
        <v>98</v>
      </c>
      <c r="I2393" s="4" t="s">
        <v>29</v>
      </c>
      <c r="J2393" s="4">
        <v>92</v>
      </c>
      <c r="K2393" s="4" t="s">
        <v>54</v>
      </c>
      <c r="L2393" s="8">
        <v>4</v>
      </c>
      <c r="M2393" s="9" t="s">
        <v>50</v>
      </c>
      <c r="N2393" s="9" t="str">
        <f t="shared" si="19"/>
        <v>ICU</v>
      </c>
      <c r="O2393" s="10">
        <v>17830.75</v>
      </c>
      <c r="P2393" s="10">
        <v>13675.37</v>
      </c>
      <c r="Q2393" s="11">
        <v>15.5</v>
      </c>
      <c r="R2393" s="13" t="str">
        <f>IF(Patient_Data!$L2393&lt;2,"Low Risk",IF(Patient_Data!$L2393&lt;4,"Moderate Risk","High Risk"))</f>
        <v>High Risk</v>
      </c>
      <c r="S2393" s="12" t="str">
        <f>IF(Patient_Data[[#This Row],[Age]]&lt;=18,"Pediatric",IF(Patient_Data[[#This Row],[Age]]&lt;=64,"Adult","Geriatric"))</f>
        <v>Geriatric</v>
      </c>
    </row>
    <row r="2394" spans="1:19" ht="15.75" customHeight="1" x14ac:dyDescent="0.3">
      <c r="A2394" s="4" t="s">
        <v>4747</v>
      </c>
      <c r="B2394" s="5" t="str">
        <f>TEXT(Patient_Data!$E2394,"mmmm")</f>
        <v>November</v>
      </c>
      <c r="C2394" s="6" t="str">
        <f t="shared" si="18"/>
        <v>Nov</v>
      </c>
      <c r="D2394" s="6">
        <f>MONTH(Patient_Data!$E2394)</f>
        <v>11</v>
      </c>
      <c r="E2394" s="7">
        <v>45980</v>
      </c>
      <c r="F2394" s="55" t="str">
        <f>TEXT(Patient_Data[[#This Row],[Admission_Date]],"YYYY")</f>
        <v>2025</v>
      </c>
      <c r="G2394" s="8" t="s">
        <v>4746</v>
      </c>
      <c r="H2394" s="8" t="s">
        <v>28</v>
      </c>
      <c r="I2394" s="4" t="s">
        <v>29</v>
      </c>
      <c r="J2394" s="4">
        <v>75</v>
      </c>
      <c r="K2394" s="4" t="s">
        <v>45</v>
      </c>
      <c r="L2394" s="8">
        <v>4</v>
      </c>
      <c r="M2394" s="9" t="s">
        <v>50</v>
      </c>
      <c r="N2394" s="9" t="str">
        <f t="shared" si="19"/>
        <v>ICU</v>
      </c>
      <c r="O2394" s="10">
        <v>16945.490000000002</v>
      </c>
      <c r="P2394" s="10">
        <v>9936.3799999999992</v>
      </c>
      <c r="Q2394" s="11">
        <v>13.5</v>
      </c>
      <c r="R2394" s="13" t="str">
        <f>IF(Patient_Data!$L2394&lt;2,"Low Risk",IF(Patient_Data!$L2394&lt;4,"Moderate Risk","High Risk"))</f>
        <v>High Risk</v>
      </c>
      <c r="S2394" s="12" t="str">
        <f>IF(Patient_Data[[#This Row],[Age]]&lt;=18,"Pediatric",IF(Patient_Data[[#This Row],[Age]]&lt;=64,"Adult","Geriatric"))</f>
        <v>Geriatric</v>
      </c>
    </row>
    <row r="2395" spans="1:19" ht="15.75" customHeight="1" x14ac:dyDescent="0.3">
      <c r="A2395" s="4" t="s">
        <v>4748</v>
      </c>
      <c r="B2395" s="5" t="str">
        <f>TEXT(Patient_Data!$E2395,"mmmm")</f>
        <v>May</v>
      </c>
      <c r="C2395" s="6" t="str">
        <f t="shared" si="18"/>
        <v>May</v>
      </c>
      <c r="D2395" s="6">
        <f>MONTH(Patient_Data!$E2395)</f>
        <v>5</v>
      </c>
      <c r="E2395" s="7">
        <v>46155</v>
      </c>
      <c r="F2395" s="55" t="str">
        <f>TEXT(Patient_Data[[#This Row],[Admission_Date]],"YYYY")</f>
        <v>2026</v>
      </c>
      <c r="G2395" s="8" t="s">
        <v>4749</v>
      </c>
      <c r="H2395" s="8" t="s">
        <v>4549</v>
      </c>
      <c r="I2395" s="4" t="s">
        <v>35</v>
      </c>
      <c r="J2395" s="4">
        <v>75</v>
      </c>
      <c r="K2395" s="4" t="s">
        <v>45</v>
      </c>
      <c r="L2395" s="8">
        <v>1</v>
      </c>
      <c r="M2395" s="9" t="s">
        <v>31</v>
      </c>
      <c r="N2395" s="9" t="str">
        <f t="shared" si="19"/>
        <v>Neuro</v>
      </c>
      <c r="O2395" s="10">
        <v>10455.17</v>
      </c>
      <c r="P2395" s="10">
        <v>6431.25</v>
      </c>
      <c r="Q2395" s="11">
        <v>6.7</v>
      </c>
      <c r="R2395" s="13" t="str">
        <f>IF(Patient_Data!$L2395&lt;2,"Low Risk",IF(Patient_Data!$L2395&lt;4,"Moderate Risk","High Risk"))</f>
        <v>Low Risk</v>
      </c>
      <c r="S2395" s="12" t="str">
        <f>IF(Patient_Data[[#This Row],[Age]]&lt;=18,"Pediatric",IF(Patient_Data[[#This Row],[Age]]&lt;=64,"Adult","Geriatric"))</f>
        <v>Geriatric</v>
      </c>
    </row>
    <row r="2396" spans="1:19" ht="15.75" customHeight="1" x14ac:dyDescent="0.3">
      <c r="A2396" s="4" t="s">
        <v>4750</v>
      </c>
      <c r="B2396" s="5" t="str">
        <f>TEXT(Patient_Data!$E2396,"mmmm")</f>
        <v>August</v>
      </c>
      <c r="C2396" s="6" t="str">
        <f t="shared" si="18"/>
        <v>Aug</v>
      </c>
      <c r="D2396" s="6">
        <f>MONTH(Patient_Data!$E2396)</f>
        <v>8</v>
      </c>
      <c r="E2396" s="7">
        <v>45533</v>
      </c>
      <c r="F2396" s="55" t="str">
        <f>TEXT(Patient_Data[[#This Row],[Admission_Date]],"YYYY")</f>
        <v>2024</v>
      </c>
      <c r="G2396" s="8" t="s">
        <v>4751</v>
      </c>
      <c r="H2396" s="8" t="s">
        <v>34</v>
      </c>
      <c r="I2396" s="4" t="s">
        <v>35</v>
      </c>
      <c r="J2396" s="4">
        <v>58</v>
      </c>
      <c r="K2396" s="4" t="s">
        <v>45</v>
      </c>
      <c r="L2396" s="8">
        <v>3</v>
      </c>
      <c r="M2396" s="9" t="s">
        <v>50</v>
      </c>
      <c r="N2396" s="9" t="str">
        <f t="shared" si="19"/>
        <v>ICU</v>
      </c>
      <c r="O2396" s="10">
        <v>17692.72</v>
      </c>
      <c r="P2396" s="10">
        <v>11433.74</v>
      </c>
      <c r="Q2396" s="11">
        <v>13.8</v>
      </c>
      <c r="R2396" s="13" t="str">
        <f>IF(Patient_Data!$L2396&lt;2,"Low Risk",IF(Patient_Data!$L2396&lt;4,"Moderate Risk","High Risk"))</f>
        <v>Moderate Risk</v>
      </c>
      <c r="S2396" s="12" t="str">
        <f>IF(Patient_Data[[#This Row],[Age]]&lt;=18,"Pediatric",IF(Patient_Data[[#This Row],[Age]]&lt;=64,"Adult","Geriatric"))</f>
        <v>Adult</v>
      </c>
    </row>
    <row r="2397" spans="1:19" ht="15.75" customHeight="1" x14ac:dyDescent="0.3">
      <c r="A2397" s="4" t="s">
        <v>4752</v>
      </c>
      <c r="B2397" s="5" t="str">
        <f>TEXT(Patient_Data!$E2397,"mmmm")</f>
        <v>September</v>
      </c>
      <c r="C2397" s="6" t="str">
        <f t="shared" si="18"/>
        <v>Sep</v>
      </c>
      <c r="D2397" s="6">
        <f>MONTH(Patient_Data!$E2397)</f>
        <v>9</v>
      </c>
      <c r="E2397" s="7">
        <v>45925</v>
      </c>
      <c r="F2397" s="55" t="str">
        <f>TEXT(Patient_Data[[#This Row],[Admission_Date]],"YYYY")</f>
        <v>2025</v>
      </c>
      <c r="G2397" s="8" t="s">
        <v>4753</v>
      </c>
      <c r="H2397" s="8" t="s">
        <v>82</v>
      </c>
      <c r="I2397" s="4" t="s">
        <v>29</v>
      </c>
      <c r="J2397" s="4">
        <v>66</v>
      </c>
      <c r="K2397" s="4" t="s">
        <v>45</v>
      </c>
      <c r="L2397" s="8">
        <v>1</v>
      </c>
      <c r="M2397" s="9" t="s">
        <v>39</v>
      </c>
      <c r="N2397" s="9" t="str">
        <f t="shared" si="19"/>
        <v>GM</v>
      </c>
      <c r="O2397" s="10">
        <v>1383.55</v>
      </c>
      <c r="P2397" s="10">
        <v>974.18</v>
      </c>
      <c r="Q2397" s="11">
        <v>5.9</v>
      </c>
      <c r="R2397" s="13" t="str">
        <f>IF(Patient_Data!$L2397&lt;2,"Low Risk",IF(Patient_Data!$L2397&lt;4,"Moderate Risk","High Risk"))</f>
        <v>Low Risk</v>
      </c>
      <c r="S2397" s="12" t="str">
        <f>IF(Patient_Data[[#This Row],[Age]]&lt;=18,"Pediatric",IF(Patient_Data[[#This Row],[Age]]&lt;=64,"Adult","Geriatric"))</f>
        <v>Geriatric</v>
      </c>
    </row>
    <row r="2398" spans="1:19" ht="15.75" customHeight="1" x14ac:dyDescent="0.3">
      <c r="A2398" s="4" t="s">
        <v>4754</v>
      </c>
      <c r="B2398" s="5" t="str">
        <f>TEXT(Patient_Data!$E2398,"mmmm")</f>
        <v>May</v>
      </c>
      <c r="C2398" s="6" t="str">
        <f t="shared" si="18"/>
        <v>May</v>
      </c>
      <c r="D2398" s="6">
        <f>MONTH(Patient_Data!$E2398)</f>
        <v>5</v>
      </c>
      <c r="E2398" s="7">
        <v>46157</v>
      </c>
      <c r="F2398" s="55" t="str">
        <f>TEXT(Patient_Data[[#This Row],[Admission_Date]],"YYYY")</f>
        <v>2026</v>
      </c>
      <c r="G2398" s="8" t="s">
        <v>4755</v>
      </c>
      <c r="H2398" s="8" t="s">
        <v>42</v>
      </c>
      <c r="I2398" s="4" t="s">
        <v>35</v>
      </c>
      <c r="J2398" s="4">
        <v>87</v>
      </c>
      <c r="K2398" s="4" t="s">
        <v>30</v>
      </c>
      <c r="L2398" s="8">
        <v>2</v>
      </c>
      <c r="M2398" s="9" t="s">
        <v>46</v>
      </c>
      <c r="N2398" s="9" t="str">
        <f t="shared" si="19"/>
        <v>Ortho</v>
      </c>
      <c r="O2398" s="10">
        <v>8214.84</v>
      </c>
      <c r="P2398" s="10">
        <v>5788.79</v>
      </c>
      <c r="Q2398" s="11">
        <v>4.8</v>
      </c>
      <c r="R2398" s="13" t="str">
        <f>IF(Patient_Data!$L2398&lt;2,"Low Risk",IF(Patient_Data!$L2398&lt;4,"Moderate Risk","High Risk"))</f>
        <v>Moderate Risk</v>
      </c>
      <c r="S2398" s="12" t="str">
        <f>IF(Patient_Data[[#This Row],[Age]]&lt;=18,"Pediatric",IF(Patient_Data[[#This Row],[Age]]&lt;=64,"Adult","Geriatric"))</f>
        <v>Geriatric</v>
      </c>
    </row>
    <row r="2399" spans="1:19" ht="15.75" customHeight="1" x14ac:dyDescent="0.3">
      <c r="A2399" s="4" t="s">
        <v>4756</v>
      </c>
      <c r="B2399" s="5" t="str">
        <f>TEXT(Patient_Data!$E2399,"mmmm")</f>
        <v>January</v>
      </c>
      <c r="C2399" s="6" t="str">
        <f t="shared" si="18"/>
        <v>Jan</v>
      </c>
      <c r="D2399" s="6">
        <f>MONTH(Patient_Data!$E2399)</f>
        <v>1</v>
      </c>
      <c r="E2399" s="7">
        <v>45686</v>
      </c>
      <c r="F2399" s="55" t="str">
        <f>TEXT(Patient_Data[[#This Row],[Admission_Date]],"YYYY")</f>
        <v>2025</v>
      </c>
      <c r="G2399" s="8" t="s">
        <v>4757</v>
      </c>
      <c r="H2399" s="8" t="s">
        <v>98</v>
      </c>
      <c r="I2399" s="4" t="s">
        <v>29</v>
      </c>
      <c r="J2399" s="4">
        <v>60</v>
      </c>
      <c r="K2399" s="4" t="s">
        <v>54</v>
      </c>
      <c r="L2399" s="8">
        <v>5</v>
      </c>
      <c r="M2399" s="9" t="s">
        <v>72</v>
      </c>
      <c r="N2399" s="9" t="str">
        <f t="shared" si="19"/>
        <v>Surgery</v>
      </c>
      <c r="O2399" s="10">
        <v>18381.48</v>
      </c>
      <c r="P2399" s="10">
        <v>13511.28</v>
      </c>
      <c r="Q2399" s="11">
        <v>11.6</v>
      </c>
      <c r="R2399" s="13" t="str">
        <f>IF(Patient_Data!$L2399&lt;2,"Low Risk",IF(Patient_Data!$L2399&lt;4,"Moderate Risk","High Risk"))</f>
        <v>High Risk</v>
      </c>
      <c r="S2399" s="12" t="str">
        <f>IF(Patient_Data[[#This Row],[Age]]&lt;=18,"Pediatric",IF(Patient_Data[[#This Row],[Age]]&lt;=64,"Adult","Geriatric"))</f>
        <v>Adult</v>
      </c>
    </row>
    <row r="2400" spans="1:19" ht="15.75" customHeight="1" x14ac:dyDescent="0.3">
      <c r="A2400" s="4" t="s">
        <v>4758</v>
      </c>
      <c r="B2400" s="5" t="str">
        <f>TEXT(Patient_Data!$E2400,"mmmm")</f>
        <v>November</v>
      </c>
      <c r="C2400" s="6" t="str">
        <f t="shared" si="18"/>
        <v>Nov</v>
      </c>
      <c r="D2400" s="6">
        <f>MONTH(Patient_Data!$E2400)</f>
        <v>11</v>
      </c>
      <c r="E2400" s="7">
        <v>45982</v>
      </c>
      <c r="F2400" s="55" t="str">
        <f>TEXT(Patient_Data[[#This Row],[Admission_Date]],"YYYY")</f>
        <v>2025</v>
      </c>
      <c r="G2400" s="8" t="s">
        <v>1248</v>
      </c>
      <c r="H2400" s="8" t="s">
        <v>42</v>
      </c>
      <c r="I2400" s="4" t="s">
        <v>35</v>
      </c>
      <c r="J2400" s="4">
        <v>63</v>
      </c>
      <c r="K2400" s="4" t="s">
        <v>30</v>
      </c>
      <c r="L2400" s="8">
        <v>1</v>
      </c>
      <c r="M2400" s="9" t="s">
        <v>36</v>
      </c>
      <c r="N2400" s="9" t="str">
        <f t="shared" si="19"/>
        <v>Cardio</v>
      </c>
      <c r="O2400" s="10">
        <v>5571.31</v>
      </c>
      <c r="P2400" s="10">
        <v>4269.3999999999996</v>
      </c>
      <c r="Q2400" s="11">
        <v>4.4000000000000004</v>
      </c>
      <c r="R2400" s="13" t="str">
        <f>IF(Patient_Data!$L2400&lt;2,"Low Risk",IF(Patient_Data!$L2400&lt;4,"Moderate Risk","High Risk"))</f>
        <v>Low Risk</v>
      </c>
      <c r="S2400" s="12" t="str">
        <f>IF(Patient_Data[[#This Row],[Age]]&lt;=18,"Pediatric",IF(Patient_Data[[#This Row],[Age]]&lt;=64,"Adult","Geriatric"))</f>
        <v>Adult</v>
      </c>
    </row>
    <row r="2401" spans="1:19" ht="15.75" customHeight="1" x14ac:dyDescent="0.3">
      <c r="A2401" s="4" t="s">
        <v>4759</v>
      </c>
      <c r="B2401" s="5" t="str">
        <f>TEXT(Patient_Data!$E2401,"mmmm")</f>
        <v>June</v>
      </c>
      <c r="C2401" s="6" t="str">
        <f t="shared" si="18"/>
        <v>Jun</v>
      </c>
      <c r="D2401" s="6">
        <f>MONTH(Patient_Data!$E2401)</f>
        <v>6</v>
      </c>
      <c r="E2401" s="7">
        <v>45449</v>
      </c>
      <c r="F2401" s="55" t="str">
        <f>TEXT(Patient_Data[[#This Row],[Admission_Date]],"YYYY")</f>
        <v>2024</v>
      </c>
      <c r="G2401" s="8" t="s">
        <v>4760</v>
      </c>
      <c r="H2401" s="8" t="s">
        <v>34</v>
      </c>
      <c r="I2401" s="4" t="s">
        <v>35</v>
      </c>
      <c r="J2401" s="4">
        <v>62</v>
      </c>
      <c r="K2401" s="4" t="s">
        <v>54</v>
      </c>
      <c r="L2401" s="8">
        <v>3</v>
      </c>
      <c r="M2401" s="9" t="s">
        <v>83</v>
      </c>
      <c r="N2401" s="9" t="str">
        <f t="shared" si="19"/>
        <v>ER</v>
      </c>
      <c r="O2401" s="10">
        <v>9157.35</v>
      </c>
      <c r="P2401" s="10">
        <v>5413.66</v>
      </c>
      <c r="Q2401" s="11">
        <v>12.8</v>
      </c>
      <c r="R2401" s="13" t="str">
        <f>IF(Patient_Data!$L2401&lt;2,"Low Risk",IF(Patient_Data!$L2401&lt;4,"Moderate Risk","High Risk"))</f>
        <v>Moderate Risk</v>
      </c>
      <c r="S2401" s="12" t="str">
        <f>IF(Patient_Data[[#This Row],[Age]]&lt;=18,"Pediatric",IF(Patient_Data[[#This Row],[Age]]&lt;=64,"Adult","Geriatric"))</f>
        <v>Adult</v>
      </c>
    </row>
    <row r="2402" spans="1:19" ht="15.75" customHeight="1" x14ac:dyDescent="0.3">
      <c r="A2402" s="4" t="s">
        <v>4761</v>
      </c>
      <c r="B2402" s="5" t="str">
        <f>TEXT(Patient_Data!$E2402,"mmmm")</f>
        <v>July</v>
      </c>
      <c r="C2402" s="6" t="str">
        <f t="shared" si="18"/>
        <v>Jul</v>
      </c>
      <c r="D2402" s="6">
        <f>MONTH(Patient_Data!$E2402)</f>
        <v>7</v>
      </c>
      <c r="E2402" s="7">
        <v>45498</v>
      </c>
      <c r="F2402" s="55" t="str">
        <f>TEXT(Patient_Data[[#This Row],[Admission_Date]],"YYYY")</f>
        <v>2024</v>
      </c>
      <c r="G2402" s="8" t="s">
        <v>3473</v>
      </c>
      <c r="H2402" s="8" t="s">
        <v>34</v>
      </c>
      <c r="I2402" s="4" t="s">
        <v>35</v>
      </c>
      <c r="J2402" s="4">
        <v>92</v>
      </c>
      <c r="K2402" s="4" t="s">
        <v>45</v>
      </c>
      <c r="L2402" s="8">
        <v>3</v>
      </c>
      <c r="M2402" s="9" t="s">
        <v>50</v>
      </c>
      <c r="N2402" s="9" t="str">
        <f t="shared" si="19"/>
        <v>ICU</v>
      </c>
      <c r="O2402" s="10">
        <v>16853.41</v>
      </c>
      <c r="P2402" s="10">
        <v>10423.780000000001</v>
      </c>
      <c r="Q2402" s="11">
        <v>17.899999999999999</v>
      </c>
      <c r="R2402" s="13" t="str">
        <f>IF(Patient_Data!$L2402&lt;2,"Low Risk",IF(Patient_Data!$L2402&lt;4,"Moderate Risk","High Risk"))</f>
        <v>Moderate Risk</v>
      </c>
      <c r="S2402" s="12" t="str">
        <f>IF(Patient_Data[[#This Row],[Age]]&lt;=18,"Pediatric",IF(Patient_Data[[#This Row],[Age]]&lt;=64,"Adult","Geriatric"))</f>
        <v>Geriatric</v>
      </c>
    </row>
    <row r="2403" spans="1:19" ht="15.75" customHeight="1" x14ac:dyDescent="0.3">
      <c r="A2403" s="4" t="s">
        <v>4762</v>
      </c>
      <c r="B2403" s="5" t="str">
        <f>TEXT(Patient_Data!$E2403,"mmmm")</f>
        <v>March</v>
      </c>
      <c r="C2403" s="6" t="str">
        <f t="shared" si="18"/>
        <v>Mar</v>
      </c>
      <c r="D2403" s="6">
        <f>MONTH(Patient_Data!$E2403)</f>
        <v>3</v>
      </c>
      <c r="E2403" s="7">
        <v>45372</v>
      </c>
      <c r="F2403" s="55" t="str">
        <f>TEXT(Patient_Data[[#This Row],[Admission_Date]],"YYYY")</f>
        <v>2024</v>
      </c>
      <c r="G2403" s="8" t="s">
        <v>1471</v>
      </c>
      <c r="H2403" s="8" t="s">
        <v>98</v>
      </c>
      <c r="I2403" s="4" t="s">
        <v>35</v>
      </c>
      <c r="J2403" s="4">
        <v>51</v>
      </c>
      <c r="K2403" s="4" t="s">
        <v>30</v>
      </c>
      <c r="L2403" s="8">
        <v>1</v>
      </c>
      <c r="M2403" s="9" t="s">
        <v>83</v>
      </c>
      <c r="N2403" s="9" t="str">
        <f t="shared" si="19"/>
        <v>ER</v>
      </c>
      <c r="O2403" s="10">
        <v>7703.38</v>
      </c>
      <c r="P2403" s="10">
        <v>5117.3599999999997</v>
      </c>
      <c r="Q2403" s="11">
        <v>23.4</v>
      </c>
      <c r="R2403" s="13" t="str">
        <f>IF(Patient_Data!$L2403&lt;2,"Low Risk",IF(Patient_Data!$L2403&lt;4,"Moderate Risk","High Risk"))</f>
        <v>Low Risk</v>
      </c>
      <c r="S2403" s="12" t="str">
        <f>IF(Patient_Data[[#This Row],[Age]]&lt;=18,"Pediatric",IF(Patient_Data[[#This Row],[Age]]&lt;=64,"Adult","Geriatric"))</f>
        <v>Adult</v>
      </c>
    </row>
    <row r="2404" spans="1:19" ht="15.75" customHeight="1" x14ac:dyDescent="0.3">
      <c r="A2404" s="4" t="s">
        <v>815</v>
      </c>
      <c r="B2404" s="5" t="str">
        <f>TEXT(Patient_Data!$E2404,"mmmm")</f>
        <v>July</v>
      </c>
      <c r="C2404" s="6" t="str">
        <f t="shared" si="18"/>
        <v>Jul</v>
      </c>
      <c r="D2404" s="6">
        <f>MONTH(Patient_Data!$E2404)</f>
        <v>7</v>
      </c>
      <c r="E2404" s="7">
        <v>45860</v>
      </c>
      <c r="F2404" s="55" t="str">
        <f>TEXT(Patient_Data[[#This Row],[Admission_Date]],"YYYY")</f>
        <v>2025</v>
      </c>
      <c r="G2404" s="8" t="s">
        <v>816</v>
      </c>
      <c r="H2404" s="8" t="s">
        <v>132</v>
      </c>
      <c r="I2404" s="4" t="s">
        <v>35</v>
      </c>
      <c r="J2404" s="4">
        <v>55</v>
      </c>
      <c r="K2404" s="4" t="s">
        <v>54</v>
      </c>
      <c r="L2404" s="8">
        <v>1</v>
      </c>
      <c r="M2404" s="9" t="s">
        <v>36</v>
      </c>
      <c r="N2404" s="9" t="str">
        <f t="shared" si="19"/>
        <v>Cardio</v>
      </c>
      <c r="O2404" s="10">
        <v>5681.41</v>
      </c>
      <c r="P2404" s="10">
        <v>3901.74</v>
      </c>
      <c r="Q2404" s="11">
        <v>11.9</v>
      </c>
      <c r="R2404" s="13" t="str">
        <f>IF(Patient_Data!$L2404&lt;2,"Low Risk",IF(Patient_Data!$L2404&lt;4,"Moderate Risk","High Risk"))</f>
        <v>Low Risk</v>
      </c>
      <c r="S2404" s="12" t="str">
        <f>IF(Patient_Data[[#This Row],[Age]]&lt;=18,"Pediatric",IF(Patient_Data[[#This Row],[Age]]&lt;=64,"Adult","Geriatric"))</f>
        <v>Adult</v>
      </c>
    </row>
    <row r="2405" spans="1:19" ht="15.75" customHeight="1" x14ac:dyDescent="0.3">
      <c r="A2405" s="4" t="s">
        <v>4763</v>
      </c>
      <c r="B2405" s="5" t="str">
        <f>TEXT(Patient_Data!$E2405,"mmmm")</f>
        <v>December</v>
      </c>
      <c r="C2405" s="6" t="str">
        <f t="shared" si="18"/>
        <v>Dec</v>
      </c>
      <c r="D2405" s="6">
        <f>MONTH(Patient_Data!$E2405)</f>
        <v>12</v>
      </c>
      <c r="E2405" s="7">
        <v>45273</v>
      </c>
      <c r="F2405" s="55" t="str">
        <f>TEXT(Patient_Data[[#This Row],[Admission_Date]],"YYYY")</f>
        <v>2023</v>
      </c>
      <c r="G2405" s="8" t="s">
        <v>4764</v>
      </c>
      <c r="H2405" s="8" t="s">
        <v>28</v>
      </c>
      <c r="I2405" s="4" t="s">
        <v>29</v>
      </c>
      <c r="J2405" s="4">
        <v>71</v>
      </c>
      <c r="K2405" s="4" t="s">
        <v>30</v>
      </c>
      <c r="L2405" s="8">
        <v>3</v>
      </c>
      <c r="M2405" s="9" t="s">
        <v>39</v>
      </c>
      <c r="N2405" s="9" t="str">
        <f t="shared" si="19"/>
        <v>GM</v>
      </c>
      <c r="O2405" s="10">
        <v>1960.42</v>
      </c>
      <c r="P2405" s="10">
        <v>1437.89</v>
      </c>
      <c r="Q2405" s="11">
        <v>8.1999999999999993</v>
      </c>
      <c r="R2405" s="13" t="str">
        <f>IF(Patient_Data!$L2405&lt;2,"Low Risk",IF(Patient_Data!$L2405&lt;4,"Moderate Risk","High Risk"))</f>
        <v>Moderate Risk</v>
      </c>
      <c r="S2405" s="12" t="str">
        <f>IF(Patient_Data[[#This Row],[Age]]&lt;=18,"Pediatric",IF(Patient_Data[[#This Row],[Age]]&lt;=64,"Adult","Geriatric"))</f>
        <v>Geriatric</v>
      </c>
    </row>
    <row r="2406" spans="1:19" ht="15.75" customHeight="1" x14ac:dyDescent="0.3">
      <c r="A2406" s="4" t="s">
        <v>4765</v>
      </c>
      <c r="B2406" s="5" t="str">
        <f>TEXT(Patient_Data!$E2406,"mmmm")</f>
        <v>July</v>
      </c>
      <c r="C2406" s="6" t="str">
        <f t="shared" si="18"/>
        <v>Jul</v>
      </c>
      <c r="D2406" s="6">
        <f>MONTH(Patient_Data!$E2406)</f>
        <v>7</v>
      </c>
      <c r="E2406" s="7">
        <v>45496</v>
      </c>
      <c r="F2406" s="55" t="str">
        <f>TEXT(Patient_Data[[#This Row],[Admission_Date]],"YYYY")</f>
        <v>2024</v>
      </c>
      <c r="G2406" s="8" t="s">
        <v>4766</v>
      </c>
      <c r="H2406" s="8" t="s">
        <v>28</v>
      </c>
      <c r="I2406" s="4" t="s">
        <v>35</v>
      </c>
      <c r="J2406" s="4">
        <v>56</v>
      </c>
      <c r="K2406" s="4" t="s">
        <v>30</v>
      </c>
      <c r="L2406" s="8">
        <v>4</v>
      </c>
      <c r="M2406" s="9" t="s">
        <v>50</v>
      </c>
      <c r="N2406" s="9" t="str">
        <f t="shared" si="19"/>
        <v>ICU</v>
      </c>
      <c r="O2406" s="10">
        <v>12464.58</v>
      </c>
      <c r="P2406" s="10">
        <v>9202.34</v>
      </c>
      <c r="Q2406" s="11">
        <v>12.9</v>
      </c>
      <c r="R2406" s="13" t="str">
        <f>IF(Patient_Data!$L2406&lt;2,"Low Risk",IF(Patient_Data!$L2406&lt;4,"Moderate Risk","High Risk"))</f>
        <v>High Risk</v>
      </c>
      <c r="S2406" s="12" t="str">
        <f>IF(Patient_Data[[#This Row],[Age]]&lt;=18,"Pediatric",IF(Patient_Data[[#This Row],[Age]]&lt;=64,"Adult","Geriatric"))</f>
        <v>Adult</v>
      </c>
    </row>
    <row r="2407" spans="1:19" ht="15.75" customHeight="1" x14ac:dyDescent="0.3">
      <c r="A2407" s="4" t="s">
        <v>4767</v>
      </c>
      <c r="B2407" s="5" t="str">
        <f>TEXT(Patient_Data!$E2407,"mmmm")</f>
        <v>September</v>
      </c>
      <c r="C2407" s="6" t="str">
        <f t="shared" si="18"/>
        <v>Sep</v>
      </c>
      <c r="D2407" s="6">
        <f>MONTH(Patient_Data!$E2407)</f>
        <v>9</v>
      </c>
      <c r="E2407" s="7">
        <v>45177</v>
      </c>
      <c r="F2407" s="55" t="str">
        <f>TEXT(Patient_Data[[#This Row],[Admission_Date]],"YYYY")</f>
        <v>2023</v>
      </c>
      <c r="G2407" s="8" t="s">
        <v>4768</v>
      </c>
      <c r="H2407" s="8" t="s">
        <v>53</v>
      </c>
      <c r="I2407" s="4" t="s">
        <v>35</v>
      </c>
      <c r="J2407" s="4">
        <v>36</v>
      </c>
      <c r="K2407" s="4" t="s">
        <v>54</v>
      </c>
      <c r="L2407" s="8">
        <v>4</v>
      </c>
      <c r="M2407" s="9" t="s">
        <v>72</v>
      </c>
      <c r="N2407" s="9" t="str">
        <f t="shared" si="19"/>
        <v>Surgery</v>
      </c>
      <c r="O2407" s="10">
        <v>17535.93</v>
      </c>
      <c r="P2407" s="10">
        <v>13410.51</v>
      </c>
      <c r="Q2407" s="11">
        <v>10.4</v>
      </c>
      <c r="R2407" s="13" t="str">
        <f>IF(Patient_Data!$L2407&lt;2,"Low Risk",IF(Patient_Data!$L2407&lt;4,"Moderate Risk","High Risk"))</f>
        <v>High Risk</v>
      </c>
      <c r="S2407" s="12" t="str">
        <f>IF(Patient_Data[[#This Row],[Age]]&lt;=18,"Pediatric",IF(Patient_Data[[#This Row],[Age]]&lt;=64,"Adult","Geriatric"))</f>
        <v>Adult</v>
      </c>
    </row>
    <row r="2408" spans="1:19" ht="15.75" customHeight="1" x14ac:dyDescent="0.3">
      <c r="A2408" s="4" t="s">
        <v>4769</v>
      </c>
      <c r="B2408" s="5" t="str">
        <f>TEXT(Patient_Data!$E2408,"mmmm")</f>
        <v>April</v>
      </c>
      <c r="C2408" s="6" t="str">
        <f t="shared" si="18"/>
        <v>Apr</v>
      </c>
      <c r="D2408" s="6">
        <f>MONTH(Patient_Data!$E2408)</f>
        <v>4</v>
      </c>
      <c r="E2408" s="7">
        <v>46132</v>
      </c>
      <c r="F2408" s="55" t="str">
        <f>TEXT(Patient_Data[[#This Row],[Admission_Date]],"YYYY")</f>
        <v>2026</v>
      </c>
      <c r="G2408" s="8" t="s">
        <v>1067</v>
      </c>
      <c r="H2408" s="8" t="s">
        <v>28</v>
      </c>
      <c r="I2408" s="4" t="s">
        <v>35</v>
      </c>
      <c r="J2408" s="4">
        <v>67</v>
      </c>
      <c r="K2408" s="4" t="s">
        <v>54</v>
      </c>
      <c r="L2408" s="8">
        <v>4</v>
      </c>
      <c r="M2408" s="9" t="s">
        <v>36</v>
      </c>
      <c r="N2408" s="9" t="str">
        <f t="shared" si="19"/>
        <v>Cardio</v>
      </c>
      <c r="O2408" s="10">
        <v>14617.9</v>
      </c>
      <c r="P2408" s="10">
        <v>8524.7800000000007</v>
      </c>
      <c r="Q2408" s="11">
        <v>5.8</v>
      </c>
      <c r="R2408" s="13" t="str">
        <f>IF(Patient_Data!$L2408&lt;2,"Low Risk",IF(Patient_Data!$L2408&lt;4,"Moderate Risk","High Risk"))</f>
        <v>High Risk</v>
      </c>
      <c r="S2408" s="12" t="str">
        <f>IF(Patient_Data[[#This Row],[Age]]&lt;=18,"Pediatric",IF(Patient_Data[[#This Row],[Age]]&lt;=64,"Adult","Geriatric"))</f>
        <v>Geriatric</v>
      </c>
    </row>
    <row r="2409" spans="1:19" ht="15.75" customHeight="1" x14ac:dyDescent="0.3">
      <c r="A2409" s="4" t="s">
        <v>4770</v>
      </c>
      <c r="B2409" s="5" t="str">
        <f>TEXT(Patient_Data!$E2409,"mmmm")</f>
        <v>February</v>
      </c>
      <c r="C2409" s="6" t="str">
        <f t="shared" si="18"/>
        <v>Feb</v>
      </c>
      <c r="D2409" s="6">
        <f>MONTH(Patient_Data!$E2409)</f>
        <v>2</v>
      </c>
      <c r="E2409" s="7">
        <v>46058</v>
      </c>
      <c r="F2409" s="55" t="str">
        <f>TEXT(Patient_Data[[#This Row],[Admission_Date]],"YYYY")</f>
        <v>2026</v>
      </c>
      <c r="G2409" s="8" t="s">
        <v>4771</v>
      </c>
      <c r="H2409" s="8" t="s">
        <v>49</v>
      </c>
      <c r="I2409" s="4" t="s">
        <v>35</v>
      </c>
      <c r="J2409" s="4">
        <v>42</v>
      </c>
      <c r="K2409" s="4" t="s">
        <v>30</v>
      </c>
      <c r="L2409" s="8">
        <v>2</v>
      </c>
      <c r="M2409" s="9" t="s">
        <v>83</v>
      </c>
      <c r="N2409" s="9" t="str">
        <f t="shared" si="19"/>
        <v>ER</v>
      </c>
      <c r="O2409" s="10">
        <v>9139.11</v>
      </c>
      <c r="P2409" s="10">
        <v>5662.86</v>
      </c>
      <c r="Q2409" s="11">
        <v>11</v>
      </c>
      <c r="R2409" s="13" t="str">
        <f>IF(Patient_Data!$L2409&lt;2,"Low Risk",IF(Patient_Data!$L2409&lt;4,"Moderate Risk","High Risk"))</f>
        <v>Moderate Risk</v>
      </c>
      <c r="S2409" s="12" t="str">
        <f>IF(Patient_Data[[#This Row],[Age]]&lt;=18,"Pediatric",IF(Patient_Data[[#This Row],[Age]]&lt;=64,"Adult","Geriatric"))</f>
        <v>Adult</v>
      </c>
    </row>
    <row r="2410" spans="1:19" ht="15.75" customHeight="1" x14ac:dyDescent="0.3">
      <c r="A2410" s="4" t="s">
        <v>4772</v>
      </c>
      <c r="B2410" s="5" t="str">
        <f>TEXT(Patient_Data!$E2410,"mmmm")</f>
        <v>February</v>
      </c>
      <c r="C2410" s="6" t="str">
        <f t="shared" si="18"/>
        <v>Feb</v>
      </c>
      <c r="D2410" s="6">
        <f>MONTH(Patient_Data!$E2410)</f>
        <v>2</v>
      </c>
      <c r="E2410" s="7">
        <v>45347</v>
      </c>
      <c r="F2410" s="55" t="str">
        <f>TEXT(Patient_Data[[#This Row],[Admission_Date]],"YYYY")</f>
        <v>2024</v>
      </c>
      <c r="G2410" s="8" t="s">
        <v>4773</v>
      </c>
      <c r="H2410" s="8" t="s">
        <v>53</v>
      </c>
      <c r="I2410" s="4" t="s">
        <v>35</v>
      </c>
      <c r="J2410" s="4">
        <v>83</v>
      </c>
      <c r="K2410" s="4" t="s">
        <v>30</v>
      </c>
      <c r="L2410" s="8">
        <v>2</v>
      </c>
      <c r="M2410" s="9" t="s">
        <v>83</v>
      </c>
      <c r="N2410" s="9" t="str">
        <f t="shared" si="19"/>
        <v>ER</v>
      </c>
      <c r="O2410" s="10">
        <v>6223.28</v>
      </c>
      <c r="P2410" s="10">
        <v>4133.3</v>
      </c>
      <c r="Q2410" s="11">
        <v>18.8</v>
      </c>
      <c r="R2410" s="13" t="str">
        <f>IF(Patient_Data!$L2410&lt;2,"Low Risk",IF(Patient_Data!$L2410&lt;4,"Moderate Risk","High Risk"))</f>
        <v>Moderate Risk</v>
      </c>
      <c r="S2410" s="12" t="str">
        <f>IF(Patient_Data[[#This Row],[Age]]&lt;=18,"Pediatric",IF(Patient_Data[[#This Row],[Age]]&lt;=64,"Adult","Geriatric"))</f>
        <v>Geriatric</v>
      </c>
    </row>
    <row r="2411" spans="1:19" ht="15.75" customHeight="1" x14ac:dyDescent="0.3">
      <c r="A2411" s="4" t="s">
        <v>4774</v>
      </c>
      <c r="B2411" s="5" t="str">
        <f>TEXT(Patient_Data!$E2411,"mmmm")</f>
        <v>November</v>
      </c>
      <c r="C2411" s="6" t="str">
        <f t="shared" si="18"/>
        <v>Nov</v>
      </c>
      <c r="D2411" s="6">
        <f>MONTH(Patient_Data!$E2411)</f>
        <v>11</v>
      </c>
      <c r="E2411" s="7">
        <v>45621</v>
      </c>
      <c r="F2411" s="55" t="str">
        <f>TEXT(Patient_Data[[#This Row],[Admission_Date]],"YYYY")</f>
        <v>2024</v>
      </c>
      <c r="G2411" s="8" t="s">
        <v>4775</v>
      </c>
      <c r="H2411" s="8" t="s">
        <v>82</v>
      </c>
      <c r="I2411" s="4" t="s">
        <v>29</v>
      </c>
      <c r="J2411" s="4">
        <v>25</v>
      </c>
      <c r="K2411" s="4" t="s">
        <v>30</v>
      </c>
      <c r="L2411" s="8">
        <v>2</v>
      </c>
      <c r="M2411" s="9" t="s">
        <v>31</v>
      </c>
      <c r="N2411" s="9" t="str">
        <f t="shared" si="19"/>
        <v>Neuro</v>
      </c>
      <c r="O2411" s="10">
        <v>11719.01</v>
      </c>
      <c r="P2411" s="10">
        <v>7916.54</v>
      </c>
      <c r="Q2411" s="11">
        <v>8.1</v>
      </c>
      <c r="R2411" s="13" t="str">
        <f>IF(Patient_Data!$L2411&lt;2,"Low Risk",IF(Patient_Data!$L2411&lt;4,"Moderate Risk","High Risk"))</f>
        <v>Moderate Risk</v>
      </c>
      <c r="S2411" s="12" t="str">
        <f>IF(Patient_Data[[#This Row],[Age]]&lt;=18,"Pediatric",IF(Patient_Data[[#This Row],[Age]]&lt;=64,"Adult","Geriatric"))</f>
        <v>Adult</v>
      </c>
    </row>
    <row r="2412" spans="1:19" ht="15.75" customHeight="1" x14ac:dyDescent="0.3">
      <c r="A2412" s="4" t="s">
        <v>4776</v>
      </c>
      <c r="B2412" s="5" t="str">
        <f>TEXT(Patient_Data!$E2412,"mmmm")</f>
        <v>September</v>
      </c>
      <c r="C2412" s="6" t="str">
        <f t="shared" si="18"/>
        <v>Sep</v>
      </c>
      <c r="D2412" s="6">
        <f>MONTH(Patient_Data!$E2412)</f>
        <v>9</v>
      </c>
      <c r="E2412" s="7">
        <v>45926</v>
      </c>
      <c r="F2412" s="55" t="str">
        <f>TEXT(Patient_Data[[#This Row],[Admission_Date]],"YYYY")</f>
        <v>2025</v>
      </c>
      <c r="G2412" s="8" t="s">
        <v>4777</v>
      </c>
      <c r="H2412" s="8" t="s">
        <v>49</v>
      </c>
      <c r="I2412" s="4" t="s">
        <v>35</v>
      </c>
      <c r="J2412" s="4">
        <v>75</v>
      </c>
      <c r="K2412" s="4" t="s">
        <v>30</v>
      </c>
      <c r="L2412" s="8">
        <v>2</v>
      </c>
      <c r="M2412" s="9" t="s">
        <v>31</v>
      </c>
      <c r="N2412" s="9" t="str">
        <f t="shared" si="19"/>
        <v>Neuro</v>
      </c>
      <c r="O2412" s="10">
        <v>8881.89</v>
      </c>
      <c r="P2412" s="10">
        <v>6238.92</v>
      </c>
      <c r="Q2412" s="11">
        <v>2.7</v>
      </c>
      <c r="R2412" s="13" t="str">
        <f>IF(Patient_Data!$L2412&lt;2,"Low Risk",IF(Patient_Data!$L2412&lt;4,"Moderate Risk","High Risk"))</f>
        <v>Moderate Risk</v>
      </c>
      <c r="S2412" s="12" t="str">
        <f>IF(Patient_Data[[#This Row],[Age]]&lt;=18,"Pediatric",IF(Patient_Data[[#This Row],[Age]]&lt;=64,"Adult","Geriatric"))</f>
        <v>Geriatric</v>
      </c>
    </row>
    <row r="2413" spans="1:19" ht="15.75" customHeight="1" x14ac:dyDescent="0.3">
      <c r="A2413" s="4" t="s">
        <v>4778</v>
      </c>
      <c r="B2413" s="5" t="str">
        <f>TEXT(Patient_Data!$E2413,"mmmm")</f>
        <v>February</v>
      </c>
      <c r="C2413" s="6" t="str">
        <f t="shared" si="18"/>
        <v>Feb</v>
      </c>
      <c r="D2413" s="6">
        <f>MONTH(Patient_Data!$E2413)</f>
        <v>2</v>
      </c>
      <c r="E2413" s="7">
        <v>45330</v>
      </c>
      <c r="F2413" s="55" t="str">
        <f>TEXT(Patient_Data[[#This Row],[Admission_Date]],"YYYY")</f>
        <v>2024</v>
      </c>
      <c r="G2413" s="8" t="s">
        <v>4779</v>
      </c>
      <c r="H2413" s="8" t="s">
        <v>28</v>
      </c>
      <c r="I2413" s="4" t="s">
        <v>35</v>
      </c>
      <c r="J2413" s="4">
        <v>63</v>
      </c>
      <c r="K2413" s="4" t="s">
        <v>30</v>
      </c>
      <c r="L2413" s="8">
        <v>2</v>
      </c>
      <c r="M2413" s="9" t="s">
        <v>31</v>
      </c>
      <c r="N2413" s="9" t="str">
        <f t="shared" si="19"/>
        <v>Neuro</v>
      </c>
      <c r="O2413" s="10">
        <v>11302.13</v>
      </c>
      <c r="P2413" s="10">
        <v>8319.35</v>
      </c>
      <c r="Q2413" s="11">
        <v>8.6</v>
      </c>
      <c r="R2413" s="13" t="str">
        <f>IF(Patient_Data!$L2413&lt;2,"Low Risk",IF(Patient_Data!$L2413&lt;4,"Moderate Risk","High Risk"))</f>
        <v>Moderate Risk</v>
      </c>
      <c r="S2413" s="12" t="str">
        <f>IF(Patient_Data[[#This Row],[Age]]&lt;=18,"Pediatric",IF(Patient_Data[[#This Row],[Age]]&lt;=64,"Adult","Geriatric"))</f>
        <v>Adult</v>
      </c>
    </row>
    <row r="2414" spans="1:19" ht="15.75" customHeight="1" x14ac:dyDescent="0.3">
      <c r="A2414" s="4" t="s">
        <v>4780</v>
      </c>
      <c r="B2414" s="5" t="str">
        <f>TEXT(Patient_Data!$E2414,"mmmm")</f>
        <v>November</v>
      </c>
      <c r="C2414" s="6" t="str">
        <f t="shared" si="18"/>
        <v>Nov</v>
      </c>
      <c r="D2414" s="6">
        <f>MONTH(Patient_Data!$E2414)</f>
        <v>11</v>
      </c>
      <c r="E2414" s="7">
        <v>45244</v>
      </c>
      <c r="F2414" s="55" t="str">
        <f>TEXT(Patient_Data[[#This Row],[Admission_Date]],"YYYY")</f>
        <v>2023</v>
      </c>
      <c r="G2414" s="8" t="s">
        <v>4781</v>
      </c>
      <c r="H2414" s="8" t="s">
        <v>34</v>
      </c>
      <c r="I2414" s="4" t="s">
        <v>35</v>
      </c>
      <c r="J2414" s="4">
        <v>55</v>
      </c>
      <c r="K2414" s="4" t="s">
        <v>30</v>
      </c>
      <c r="L2414" s="8">
        <v>1</v>
      </c>
      <c r="M2414" s="9" t="s">
        <v>36</v>
      </c>
      <c r="N2414" s="9" t="str">
        <f t="shared" si="19"/>
        <v>Cardio</v>
      </c>
      <c r="O2414" s="10">
        <v>6692.5</v>
      </c>
      <c r="P2414" s="10">
        <v>5140.7</v>
      </c>
      <c r="Q2414" s="11">
        <v>6.8</v>
      </c>
      <c r="R2414" s="13" t="str">
        <f>IF(Patient_Data!$L2414&lt;2,"Low Risk",IF(Patient_Data!$L2414&lt;4,"Moderate Risk","High Risk"))</f>
        <v>Low Risk</v>
      </c>
      <c r="S2414" s="12" t="str">
        <f>IF(Patient_Data[[#This Row],[Age]]&lt;=18,"Pediatric",IF(Patient_Data[[#This Row],[Age]]&lt;=64,"Adult","Geriatric"))</f>
        <v>Adult</v>
      </c>
    </row>
    <row r="2415" spans="1:19" ht="15.75" customHeight="1" x14ac:dyDescent="0.3">
      <c r="A2415" s="4" t="s">
        <v>4782</v>
      </c>
      <c r="B2415" s="5" t="str">
        <f>TEXT(Patient_Data!$E2415,"mmmm")</f>
        <v>October</v>
      </c>
      <c r="C2415" s="6" t="str">
        <f t="shared" si="18"/>
        <v>Oct</v>
      </c>
      <c r="D2415" s="6">
        <f>MONTH(Patient_Data!$E2415)</f>
        <v>10</v>
      </c>
      <c r="E2415" s="7">
        <v>45954</v>
      </c>
      <c r="F2415" s="55" t="str">
        <f>TEXT(Patient_Data[[#This Row],[Admission_Date]],"YYYY")</f>
        <v>2025</v>
      </c>
      <c r="G2415" s="8" t="s">
        <v>4783</v>
      </c>
      <c r="H2415" s="8" t="s">
        <v>98</v>
      </c>
      <c r="I2415" s="4" t="s">
        <v>29</v>
      </c>
      <c r="J2415" s="4">
        <v>59</v>
      </c>
      <c r="K2415" s="4" t="s">
        <v>30</v>
      </c>
      <c r="L2415" s="8">
        <v>3</v>
      </c>
      <c r="M2415" s="9" t="s">
        <v>36</v>
      </c>
      <c r="N2415" s="9" t="str">
        <f t="shared" si="19"/>
        <v>Cardio</v>
      </c>
      <c r="O2415" s="10">
        <v>14073.82</v>
      </c>
      <c r="P2415" s="10">
        <v>8242.02</v>
      </c>
      <c r="Q2415" s="11">
        <v>9.9</v>
      </c>
      <c r="R2415" s="13" t="str">
        <f>IF(Patient_Data!$L2415&lt;2,"Low Risk",IF(Patient_Data!$L2415&lt;4,"Moderate Risk","High Risk"))</f>
        <v>Moderate Risk</v>
      </c>
      <c r="S2415" s="12" t="str">
        <f>IF(Patient_Data[[#This Row],[Age]]&lt;=18,"Pediatric",IF(Patient_Data[[#This Row],[Age]]&lt;=64,"Adult","Geriatric"))</f>
        <v>Adult</v>
      </c>
    </row>
    <row r="2416" spans="1:19" ht="15.75" customHeight="1" x14ac:dyDescent="0.3">
      <c r="A2416" s="4" t="s">
        <v>4784</v>
      </c>
      <c r="B2416" s="5" t="str">
        <f>TEXT(Patient_Data!$E2416,"mmmm")</f>
        <v>November</v>
      </c>
      <c r="C2416" s="6" t="str">
        <f t="shared" si="18"/>
        <v>Nov</v>
      </c>
      <c r="D2416" s="6">
        <f>MONTH(Patient_Data!$E2416)</f>
        <v>11</v>
      </c>
      <c r="E2416" s="7">
        <v>45987</v>
      </c>
      <c r="F2416" s="55" t="str">
        <f>TEXT(Patient_Data[[#This Row],[Admission_Date]],"YYYY")</f>
        <v>2025</v>
      </c>
      <c r="G2416" s="8" t="s">
        <v>4785</v>
      </c>
      <c r="H2416" s="8" t="s">
        <v>98</v>
      </c>
      <c r="I2416" s="4" t="s">
        <v>35</v>
      </c>
      <c r="J2416" s="4">
        <v>43</v>
      </c>
      <c r="K2416" s="4" t="s">
        <v>54</v>
      </c>
      <c r="L2416" s="8">
        <v>1</v>
      </c>
      <c r="M2416" s="9" t="s">
        <v>83</v>
      </c>
      <c r="N2416" s="9" t="str">
        <f t="shared" si="19"/>
        <v>ER</v>
      </c>
      <c r="O2416" s="10">
        <v>3077.35</v>
      </c>
      <c r="P2416" s="10">
        <v>1972.38</v>
      </c>
      <c r="Q2416" s="11">
        <v>11.9</v>
      </c>
      <c r="R2416" s="13" t="str">
        <f>IF(Patient_Data!$L2416&lt;2,"Low Risk",IF(Patient_Data!$L2416&lt;4,"Moderate Risk","High Risk"))</f>
        <v>Low Risk</v>
      </c>
      <c r="S2416" s="12" t="str">
        <f>IF(Patient_Data[[#This Row],[Age]]&lt;=18,"Pediatric",IF(Patient_Data[[#This Row],[Age]]&lt;=64,"Adult","Geriatric"))</f>
        <v>Adult</v>
      </c>
    </row>
    <row r="2417" spans="1:19" ht="15.75" customHeight="1" x14ac:dyDescent="0.3">
      <c r="A2417" s="4" t="s">
        <v>4786</v>
      </c>
      <c r="B2417" s="5" t="str">
        <f>TEXT(Patient_Data!$E2417,"mmmm")</f>
        <v>August</v>
      </c>
      <c r="C2417" s="6" t="str">
        <f t="shared" si="18"/>
        <v>Aug</v>
      </c>
      <c r="D2417" s="6">
        <f>MONTH(Patient_Data!$E2417)</f>
        <v>8</v>
      </c>
      <c r="E2417" s="7">
        <v>45525</v>
      </c>
      <c r="F2417" s="55" t="str">
        <f>TEXT(Patient_Data[[#This Row],[Admission_Date]],"YYYY")</f>
        <v>2024</v>
      </c>
      <c r="G2417" s="8" t="s">
        <v>4787</v>
      </c>
      <c r="H2417" s="8" t="s">
        <v>49</v>
      </c>
      <c r="I2417" s="4" t="s">
        <v>29</v>
      </c>
      <c r="J2417" s="4">
        <v>81</v>
      </c>
      <c r="K2417" s="4" t="s">
        <v>54</v>
      </c>
      <c r="L2417" s="8">
        <v>3</v>
      </c>
      <c r="M2417" s="9" t="s">
        <v>46</v>
      </c>
      <c r="N2417" s="9" t="str">
        <f t="shared" si="19"/>
        <v>Ortho</v>
      </c>
      <c r="O2417" s="10">
        <v>4891.68</v>
      </c>
      <c r="P2417" s="10">
        <v>3222.68</v>
      </c>
      <c r="Q2417" s="11">
        <v>11.5</v>
      </c>
      <c r="R2417" s="13" t="str">
        <f>IF(Patient_Data!$L2417&lt;2,"Low Risk",IF(Patient_Data!$L2417&lt;4,"Moderate Risk","High Risk"))</f>
        <v>Moderate Risk</v>
      </c>
      <c r="S2417" s="12" t="str">
        <f>IF(Patient_Data[[#This Row],[Age]]&lt;=18,"Pediatric",IF(Patient_Data[[#This Row],[Age]]&lt;=64,"Adult","Geriatric"))</f>
        <v>Geriatric</v>
      </c>
    </row>
    <row r="2418" spans="1:19" ht="15.75" customHeight="1" x14ac:dyDescent="0.3">
      <c r="A2418" s="4" t="s">
        <v>4788</v>
      </c>
      <c r="B2418" s="5" t="str">
        <f>TEXT(Patient_Data!$E2418,"mmmm")</f>
        <v>October</v>
      </c>
      <c r="C2418" s="6" t="str">
        <f t="shared" si="18"/>
        <v>Oct</v>
      </c>
      <c r="D2418" s="6">
        <f>MONTH(Patient_Data!$E2418)</f>
        <v>10</v>
      </c>
      <c r="E2418" s="7">
        <v>45580</v>
      </c>
      <c r="F2418" s="55" t="str">
        <f>TEXT(Patient_Data[[#This Row],[Admission_Date]],"YYYY")</f>
        <v>2024</v>
      </c>
      <c r="G2418" s="8" t="s">
        <v>4789</v>
      </c>
      <c r="H2418" s="8" t="s">
        <v>28</v>
      </c>
      <c r="I2418" s="4" t="s">
        <v>35</v>
      </c>
      <c r="J2418" s="4">
        <v>77</v>
      </c>
      <c r="K2418" s="4" t="s">
        <v>30</v>
      </c>
      <c r="L2418" s="8">
        <v>1</v>
      </c>
      <c r="M2418" s="9" t="s">
        <v>36</v>
      </c>
      <c r="N2418" s="9" t="str">
        <f t="shared" si="19"/>
        <v>Cardio</v>
      </c>
      <c r="O2418" s="10">
        <v>7415.05</v>
      </c>
      <c r="P2418" s="10">
        <v>5012.88</v>
      </c>
      <c r="Q2418" s="11">
        <v>5.6</v>
      </c>
      <c r="R2418" s="13" t="str">
        <f>IF(Patient_Data!$L2418&lt;2,"Low Risk",IF(Patient_Data!$L2418&lt;4,"Moderate Risk","High Risk"))</f>
        <v>Low Risk</v>
      </c>
      <c r="S2418" s="12" t="str">
        <f>IF(Patient_Data[[#This Row],[Age]]&lt;=18,"Pediatric",IF(Patient_Data[[#This Row],[Age]]&lt;=64,"Adult","Geriatric"))</f>
        <v>Geriatric</v>
      </c>
    </row>
    <row r="2419" spans="1:19" ht="15.75" customHeight="1" x14ac:dyDescent="0.3">
      <c r="A2419" s="4" t="s">
        <v>4790</v>
      </c>
      <c r="B2419" s="5" t="str">
        <f>TEXT(Patient_Data!$E2419,"mmmm")</f>
        <v>July</v>
      </c>
      <c r="C2419" s="6" t="str">
        <f t="shared" si="18"/>
        <v>Jul</v>
      </c>
      <c r="D2419" s="6">
        <f>MONTH(Patient_Data!$E2419)</f>
        <v>7</v>
      </c>
      <c r="E2419" s="7">
        <v>46212</v>
      </c>
      <c r="F2419" s="55" t="str">
        <f>TEXT(Patient_Data[[#This Row],[Admission_Date]],"YYYY")</f>
        <v>2026</v>
      </c>
      <c r="G2419" s="8" t="s">
        <v>163</v>
      </c>
      <c r="H2419" s="8" t="s">
        <v>34</v>
      </c>
      <c r="I2419" s="4" t="s">
        <v>35</v>
      </c>
      <c r="J2419" s="4">
        <v>65</v>
      </c>
      <c r="K2419" s="4" t="s">
        <v>30</v>
      </c>
      <c r="L2419" s="8">
        <v>2</v>
      </c>
      <c r="M2419" s="9" t="s">
        <v>83</v>
      </c>
      <c r="N2419" s="9" t="str">
        <f t="shared" si="19"/>
        <v>ER</v>
      </c>
      <c r="O2419" s="10">
        <v>10457.379999999999</v>
      </c>
      <c r="P2419" s="10">
        <v>7481.77</v>
      </c>
      <c r="Q2419" s="11">
        <v>20.2</v>
      </c>
      <c r="R2419" s="13" t="str">
        <f>IF(Patient_Data!$L2419&lt;2,"Low Risk",IF(Patient_Data!$L2419&lt;4,"Moderate Risk","High Risk"))</f>
        <v>Moderate Risk</v>
      </c>
      <c r="S2419" s="12" t="str">
        <f>IF(Patient_Data[[#This Row],[Age]]&lt;=18,"Pediatric",IF(Patient_Data[[#This Row],[Age]]&lt;=64,"Adult","Geriatric"))</f>
        <v>Geriatric</v>
      </c>
    </row>
    <row r="2420" spans="1:19" ht="15.75" customHeight="1" x14ac:dyDescent="0.3">
      <c r="A2420" s="4" t="s">
        <v>4791</v>
      </c>
      <c r="B2420" s="5" t="str">
        <f>TEXT(Patient_Data!$E2420,"mmmm")</f>
        <v>July</v>
      </c>
      <c r="C2420" s="6" t="str">
        <f t="shared" si="18"/>
        <v>Jul</v>
      </c>
      <c r="D2420" s="6">
        <f>MONTH(Patient_Data!$E2420)</f>
        <v>7</v>
      </c>
      <c r="E2420" s="7">
        <v>46223</v>
      </c>
      <c r="F2420" s="55" t="str">
        <f>TEXT(Patient_Data[[#This Row],[Admission_Date]],"YYYY")</f>
        <v>2026</v>
      </c>
      <c r="G2420" s="8" t="s">
        <v>4792</v>
      </c>
      <c r="H2420" s="8" t="s">
        <v>82</v>
      </c>
      <c r="I2420" s="4" t="s">
        <v>29</v>
      </c>
      <c r="J2420" s="4">
        <v>63</v>
      </c>
      <c r="K2420" s="4" t="s">
        <v>54</v>
      </c>
      <c r="L2420" s="8">
        <v>5</v>
      </c>
      <c r="M2420" s="9" t="s">
        <v>72</v>
      </c>
      <c r="N2420" s="9" t="str">
        <f t="shared" si="19"/>
        <v>Surgery</v>
      </c>
      <c r="O2420" s="10">
        <v>25107.279999999999</v>
      </c>
      <c r="P2420" s="10">
        <v>18344.310000000001</v>
      </c>
      <c r="Q2420" s="11">
        <v>2</v>
      </c>
      <c r="R2420" s="13" t="str">
        <f>IF(Patient_Data!$L2420&lt;2,"Low Risk",IF(Patient_Data!$L2420&lt;4,"Moderate Risk","High Risk"))</f>
        <v>High Risk</v>
      </c>
      <c r="S2420" s="12" t="str">
        <f>IF(Patient_Data[[#This Row],[Age]]&lt;=18,"Pediatric",IF(Patient_Data[[#This Row],[Age]]&lt;=64,"Adult","Geriatric"))</f>
        <v>Adult</v>
      </c>
    </row>
    <row r="2421" spans="1:19" ht="15.75" customHeight="1" x14ac:dyDescent="0.3">
      <c r="A2421" s="4" t="s">
        <v>4793</v>
      </c>
      <c r="B2421" s="5" t="str">
        <f>TEXT(Patient_Data!$E2421,"mmmm")</f>
        <v>November</v>
      </c>
      <c r="C2421" s="6" t="str">
        <f t="shared" si="18"/>
        <v>Nov</v>
      </c>
      <c r="D2421" s="6">
        <f>MONTH(Patient_Data!$E2421)</f>
        <v>11</v>
      </c>
      <c r="E2421" s="7">
        <v>45240</v>
      </c>
      <c r="F2421" s="55" t="str">
        <f>TEXT(Patient_Data[[#This Row],[Admission_Date]],"YYYY")</f>
        <v>2023</v>
      </c>
      <c r="G2421" s="8" t="s">
        <v>4794</v>
      </c>
      <c r="H2421" s="8" t="s">
        <v>34</v>
      </c>
      <c r="I2421" s="4" t="s">
        <v>29</v>
      </c>
      <c r="J2421" s="4">
        <v>37</v>
      </c>
      <c r="K2421" s="4" t="s">
        <v>45</v>
      </c>
      <c r="L2421" s="8">
        <v>4</v>
      </c>
      <c r="M2421" s="9" t="s">
        <v>36</v>
      </c>
      <c r="N2421" s="9" t="str">
        <f t="shared" si="19"/>
        <v>Cardio</v>
      </c>
      <c r="O2421" s="10">
        <v>11630.22</v>
      </c>
      <c r="P2421" s="10">
        <v>8878.17</v>
      </c>
      <c r="Q2421" s="11">
        <v>4.9000000000000004</v>
      </c>
      <c r="R2421" s="13" t="str">
        <f>IF(Patient_Data!$L2421&lt;2,"Low Risk",IF(Patient_Data!$L2421&lt;4,"Moderate Risk","High Risk"))</f>
        <v>High Risk</v>
      </c>
      <c r="S2421" s="12" t="str">
        <f>IF(Patient_Data[[#This Row],[Age]]&lt;=18,"Pediatric",IF(Patient_Data[[#This Row],[Age]]&lt;=64,"Adult","Geriatric"))</f>
        <v>Adult</v>
      </c>
    </row>
    <row r="2422" spans="1:19" ht="15.75" customHeight="1" x14ac:dyDescent="0.3">
      <c r="A2422" s="4" t="s">
        <v>4795</v>
      </c>
      <c r="B2422" s="5" t="str">
        <f>TEXT(Patient_Data!$E2422,"mmmm")</f>
        <v>September</v>
      </c>
      <c r="C2422" s="6" t="str">
        <f t="shared" si="18"/>
        <v>Sep</v>
      </c>
      <c r="D2422" s="6">
        <f>MONTH(Patient_Data!$E2422)</f>
        <v>9</v>
      </c>
      <c r="E2422" s="7">
        <v>45903</v>
      </c>
      <c r="F2422" s="55" t="str">
        <f>TEXT(Patient_Data[[#This Row],[Admission_Date]],"YYYY")</f>
        <v>2025</v>
      </c>
      <c r="G2422" s="8" t="s">
        <v>4796</v>
      </c>
      <c r="H2422" s="8" t="s">
        <v>49</v>
      </c>
      <c r="I2422" s="4" t="s">
        <v>29</v>
      </c>
      <c r="J2422" s="4">
        <v>60</v>
      </c>
      <c r="K2422" s="4" t="s">
        <v>45</v>
      </c>
      <c r="L2422" s="8">
        <v>4</v>
      </c>
      <c r="M2422" s="9" t="s">
        <v>50</v>
      </c>
      <c r="N2422" s="9" t="str">
        <f t="shared" si="19"/>
        <v>ICU</v>
      </c>
      <c r="O2422" s="10">
        <v>10716.51</v>
      </c>
      <c r="P2422" s="10">
        <v>6333.18</v>
      </c>
      <c r="Q2422" s="11">
        <v>14.7</v>
      </c>
      <c r="R2422" s="13" t="str">
        <f>IF(Patient_Data!$L2422&lt;2,"Low Risk",IF(Patient_Data!$L2422&lt;4,"Moderate Risk","High Risk"))</f>
        <v>High Risk</v>
      </c>
      <c r="S2422" s="12" t="str">
        <f>IF(Patient_Data[[#This Row],[Age]]&lt;=18,"Pediatric",IF(Patient_Data[[#This Row],[Age]]&lt;=64,"Adult","Geriatric"))</f>
        <v>Adult</v>
      </c>
    </row>
    <row r="2423" spans="1:19" ht="15.75" customHeight="1" x14ac:dyDescent="0.3">
      <c r="A2423" s="4" t="s">
        <v>4797</v>
      </c>
      <c r="B2423" s="5" t="str">
        <f>TEXT(Patient_Data!$E2423,"mmmm")</f>
        <v>December</v>
      </c>
      <c r="C2423" s="6" t="str">
        <f t="shared" si="18"/>
        <v>Dec</v>
      </c>
      <c r="D2423" s="6">
        <f>MONTH(Patient_Data!$E2423)</f>
        <v>12</v>
      </c>
      <c r="E2423" s="7">
        <v>45656</v>
      </c>
      <c r="F2423" s="55" t="str">
        <f>TEXT(Patient_Data[[#This Row],[Admission_Date]],"YYYY")</f>
        <v>2024</v>
      </c>
      <c r="G2423" s="8" t="s">
        <v>4798</v>
      </c>
      <c r="H2423" s="8" t="s">
        <v>49</v>
      </c>
      <c r="I2423" s="4" t="s">
        <v>29</v>
      </c>
      <c r="J2423" s="4">
        <v>33</v>
      </c>
      <c r="K2423" s="4" t="s">
        <v>45</v>
      </c>
      <c r="L2423" s="8">
        <v>1</v>
      </c>
      <c r="M2423" s="9" t="s">
        <v>39</v>
      </c>
      <c r="N2423" s="9" t="str">
        <f t="shared" si="19"/>
        <v>GM</v>
      </c>
      <c r="O2423" s="10">
        <v>2474.5500000000002</v>
      </c>
      <c r="P2423" s="10">
        <v>1572.68</v>
      </c>
      <c r="Q2423" s="11">
        <v>7.9</v>
      </c>
      <c r="R2423" s="13" t="str">
        <f>IF(Patient_Data!$L2423&lt;2,"Low Risk",IF(Patient_Data!$L2423&lt;4,"Moderate Risk","High Risk"))</f>
        <v>Low Risk</v>
      </c>
      <c r="S2423" s="12" t="str">
        <f>IF(Patient_Data[[#This Row],[Age]]&lt;=18,"Pediatric",IF(Patient_Data[[#This Row],[Age]]&lt;=64,"Adult","Geriatric"))</f>
        <v>Adult</v>
      </c>
    </row>
    <row r="2424" spans="1:19" ht="15.75" customHeight="1" x14ac:dyDescent="0.3">
      <c r="A2424" s="4" t="s">
        <v>4799</v>
      </c>
      <c r="B2424" s="5" t="str">
        <f>TEXT(Patient_Data!$E2424,"mmmm")</f>
        <v>August</v>
      </c>
      <c r="C2424" s="6" t="str">
        <f t="shared" si="18"/>
        <v>Aug</v>
      </c>
      <c r="D2424" s="6">
        <f>MONTH(Patient_Data!$E2424)</f>
        <v>8</v>
      </c>
      <c r="E2424" s="7">
        <v>45167</v>
      </c>
      <c r="F2424" s="55" t="str">
        <f>TEXT(Patient_Data[[#This Row],[Admission_Date]],"YYYY")</f>
        <v>2023</v>
      </c>
      <c r="G2424" s="8" t="s">
        <v>4800</v>
      </c>
      <c r="H2424" s="8" t="s">
        <v>28</v>
      </c>
      <c r="I2424" s="4" t="s">
        <v>29</v>
      </c>
      <c r="J2424" s="4">
        <v>57</v>
      </c>
      <c r="K2424" s="4" t="s">
        <v>30</v>
      </c>
      <c r="L2424" s="8">
        <v>1</v>
      </c>
      <c r="M2424" s="9" t="s">
        <v>31</v>
      </c>
      <c r="N2424" s="9" t="str">
        <f t="shared" si="19"/>
        <v>Neuro</v>
      </c>
      <c r="O2424" s="10">
        <v>8162.46</v>
      </c>
      <c r="P2424" s="10">
        <v>5269.57</v>
      </c>
      <c r="Q2424" s="11">
        <v>5.7</v>
      </c>
      <c r="R2424" s="13" t="str">
        <f>IF(Patient_Data!$L2424&lt;2,"Low Risk",IF(Patient_Data!$L2424&lt;4,"Moderate Risk","High Risk"))</f>
        <v>Low Risk</v>
      </c>
      <c r="S2424" s="12" t="str">
        <f>IF(Patient_Data[[#This Row],[Age]]&lt;=18,"Pediatric",IF(Patient_Data[[#This Row],[Age]]&lt;=64,"Adult","Geriatric"))</f>
        <v>Adult</v>
      </c>
    </row>
    <row r="2425" spans="1:19" ht="15.75" customHeight="1" x14ac:dyDescent="0.3">
      <c r="A2425" s="4" t="s">
        <v>4801</v>
      </c>
      <c r="B2425" s="5" t="str">
        <f>TEXT(Patient_Data!$E2425,"mmmm")</f>
        <v>July</v>
      </c>
      <c r="C2425" s="6" t="str">
        <f t="shared" si="18"/>
        <v>Jul</v>
      </c>
      <c r="D2425" s="6">
        <f>MONTH(Patient_Data!$E2425)</f>
        <v>7</v>
      </c>
      <c r="E2425" s="7">
        <v>45489</v>
      </c>
      <c r="F2425" s="55" t="str">
        <f>TEXT(Patient_Data[[#This Row],[Admission_Date]],"YYYY")</f>
        <v>2024</v>
      </c>
      <c r="G2425" s="8" t="s">
        <v>1985</v>
      </c>
      <c r="H2425" s="8" t="s">
        <v>132</v>
      </c>
      <c r="I2425" s="4" t="s">
        <v>35</v>
      </c>
      <c r="J2425" s="4">
        <v>61</v>
      </c>
      <c r="K2425" s="4" t="s">
        <v>30</v>
      </c>
      <c r="L2425" s="8">
        <v>1</v>
      </c>
      <c r="M2425" s="9" t="s">
        <v>46</v>
      </c>
      <c r="N2425" s="9" t="str">
        <f t="shared" si="19"/>
        <v>Ortho</v>
      </c>
      <c r="O2425" s="10">
        <v>8050.87</v>
      </c>
      <c r="P2425" s="10">
        <v>5425.28</v>
      </c>
      <c r="Q2425" s="11">
        <v>3.9</v>
      </c>
      <c r="R2425" s="13" t="str">
        <f>IF(Patient_Data!$L2425&lt;2,"Low Risk",IF(Patient_Data!$L2425&lt;4,"Moderate Risk","High Risk"))</f>
        <v>Low Risk</v>
      </c>
      <c r="S2425" s="12" t="str">
        <f>IF(Patient_Data[[#This Row],[Age]]&lt;=18,"Pediatric",IF(Patient_Data[[#This Row],[Age]]&lt;=64,"Adult","Geriatric"))</f>
        <v>Adult</v>
      </c>
    </row>
    <row r="2426" spans="1:19" ht="15.75" customHeight="1" x14ac:dyDescent="0.3">
      <c r="A2426" s="4" t="s">
        <v>4802</v>
      </c>
      <c r="B2426" s="5" t="str">
        <f>TEXT(Patient_Data!$E2426,"mmmm")</f>
        <v>February</v>
      </c>
      <c r="C2426" s="6" t="str">
        <f t="shared" si="18"/>
        <v>Feb</v>
      </c>
      <c r="D2426" s="6">
        <f>MONTH(Patient_Data!$E2426)</f>
        <v>2</v>
      </c>
      <c r="E2426" s="7">
        <v>45344</v>
      </c>
      <c r="F2426" s="55" t="str">
        <f>TEXT(Patient_Data[[#This Row],[Admission_Date]],"YYYY")</f>
        <v>2024</v>
      </c>
      <c r="G2426" s="8" t="s">
        <v>4803</v>
      </c>
      <c r="H2426" s="8" t="s">
        <v>82</v>
      </c>
      <c r="I2426" s="4" t="s">
        <v>35</v>
      </c>
      <c r="J2426" s="4">
        <v>31</v>
      </c>
      <c r="K2426" s="4" t="s">
        <v>30</v>
      </c>
      <c r="L2426" s="8">
        <v>1</v>
      </c>
      <c r="M2426" s="9" t="s">
        <v>36</v>
      </c>
      <c r="N2426" s="9" t="str">
        <f t="shared" si="19"/>
        <v>Cardio</v>
      </c>
      <c r="O2426" s="10">
        <v>9603.09</v>
      </c>
      <c r="P2426" s="10">
        <v>6815.76</v>
      </c>
      <c r="Q2426" s="11">
        <v>11.7</v>
      </c>
      <c r="R2426" s="13" t="str">
        <f>IF(Patient_Data!$L2426&lt;2,"Low Risk",IF(Patient_Data!$L2426&lt;4,"Moderate Risk","High Risk"))</f>
        <v>Low Risk</v>
      </c>
      <c r="S2426" s="12" t="str">
        <f>IF(Patient_Data[[#This Row],[Age]]&lt;=18,"Pediatric",IF(Patient_Data[[#This Row],[Age]]&lt;=64,"Adult","Geriatric"))</f>
        <v>Adult</v>
      </c>
    </row>
    <row r="2427" spans="1:19" ht="15.75" customHeight="1" x14ac:dyDescent="0.3">
      <c r="A2427" s="4" t="s">
        <v>4804</v>
      </c>
      <c r="B2427" s="5" t="str">
        <f>TEXT(Patient_Data!$E2427,"mmmm")</f>
        <v>August</v>
      </c>
      <c r="C2427" s="6" t="str">
        <f t="shared" si="18"/>
        <v>Aug</v>
      </c>
      <c r="D2427" s="6">
        <f>MONTH(Patient_Data!$E2427)</f>
        <v>8</v>
      </c>
      <c r="E2427" s="7">
        <v>45890</v>
      </c>
      <c r="F2427" s="55" t="str">
        <f>TEXT(Patient_Data[[#This Row],[Admission_Date]],"YYYY")</f>
        <v>2025</v>
      </c>
      <c r="G2427" s="8" t="s">
        <v>4805</v>
      </c>
      <c r="H2427" s="8" t="s">
        <v>53</v>
      </c>
      <c r="I2427" s="4" t="s">
        <v>35</v>
      </c>
      <c r="J2427" s="4">
        <v>27</v>
      </c>
      <c r="K2427" s="4" t="s">
        <v>30</v>
      </c>
      <c r="L2427" s="8">
        <v>2</v>
      </c>
      <c r="M2427" s="9" t="s">
        <v>36</v>
      </c>
      <c r="N2427" s="9" t="str">
        <f t="shared" si="19"/>
        <v>Cardio</v>
      </c>
      <c r="O2427" s="10">
        <v>10657.05</v>
      </c>
      <c r="P2427" s="10">
        <v>7848.45</v>
      </c>
      <c r="Q2427" s="11">
        <v>8.6</v>
      </c>
      <c r="R2427" s="13" t="str">
        <f>IF(Patient_Data!$L2427&lt;2,"Low Risk",IF(Patient_Data!$L2427&lt;4,"Moderate Risk","High Risk"))</f>
        <v>Moderate Risk</v>
      </c>
      <c r="S2427" s="12" t="str">
        <f>IF(Patient_Data[[#This Row],[Age]]&lt;=18,"Pediatric",IF(Patient_Data[[#This Row],[Age]]&lt;=64,"Adult","Geriatric"))</f>
        <v>Adult</v>
      </c>
    </row>
    <row r="2428" spans="1:19" ht="15.75" customHeight="1" x14ac:dyDescent="0.3">
      <c r="A2428" s="4" t="s">
        <v>4806</v>
      </c>
      <c r="B2428" s="5" t="str">
        <f>TEXT(Patient_Data!$E2428,"mmmm")</f>
        <v>January</v>
      </c>
      <c r="C2428" s="6" t="str">
        <f t="shared" si="18"/>
        <v>Jan</v>
      </c>
      <c r="D2428" s="6">
        <f>MONTH(Patient_Data!$E2428)</f>
        <v>1</v>
      </c>
      <c r="E2428" s="7">
        <v>45307</v>
      </c>
      <c r="F2428" s="55" t="str">
        <f>TEXT(Patient_Data[[#This Row],[Admission_Date]],"YYYY")</f>
        <v>2024</v>
      </c>
      <c r="G2428" s="8" t="s">
        <v>4807</v>
      </c>
      <c r="H2428" s="8" t="s">
        <v>28</v>
      </c>
      <c r="I2428" s="4" t="s">
        <v>29</v>
      </c>
      <c r="J2428" s="4">
        <v>62</v>
      </c>
      <c r="K2428" s="4" t="s">
        <v>30</v>
      </c>
      <c r="L2428" s="8">
        <v>2</v>
      </c>
      <c r="M2428" s="9" t="s">
        <v>83</v>
      </c>
      <c r="N2428" s="9" t="str">
        <f t="shared" si="19"/>
        <v>ER</v>
      </c>
      <c r="O2428" s="10">
        <v>9947.5300000000007</v>
      </c>
      <c r="P2428" s="10">
        <v>7703.32</v>
      </c>
      <c r="Q2428" s="11">
        <v>17.899999999999999</v>
      </c>
      <c r="R2428" s="13" t="str">
        <f>IF(Patient_Data!$L2428&lt;2,"Low Risk",IF(Patient_Data!$L2428&lt;4,"Moderate Risk","High Risk"))</f>
        <v>Moderate Risk</v>
      </c>
      <c r="S2428" s="12" t="str">
        <f>IF(Patient_Data[[#This Row],[Age]]&lt;=18,"Pediatric",IF(Patient_Data[[#This Row],[Age]]&lt;=64,"Adult","Geriatric"))</f>
        <v>Adult</v>
      </c>
    </row>
    <row r="2429" spans="1:19" ht="15.75" customHeight="1" x14ac:dyDescent="0.3">
      <c r="A2429" s="4" t="s">
        <v>4808</v>
      </c>
      <c r="B2429" s="5" t="str">
        <f>TEXT(Patient_Data!$E2429,"mmmm")</f>
        <v>February</v>
      </c>
      <c r="C2429" s="6" t="str">
        <f t="shared" si="18"/>
        <v>Feb</v>
      </c>
      <c r="D2429" s="6">
        <f>MONTH(Patient_Data!$E2429)</f>
        <v>2</v>
      </c>
      <c r="E2429" s="7">
        <v>45351</v>
      </c>
      <c r="F2429" s="55" t="str">
        <f>TEXT(Patient_Data[[#This Row],[Admission_Date]],"YYYY")</f>
        <v>2024</v>
      </c>
      <c r="G2429" s="8" t="s">
        <v>4809</v>
      </c>
      <c r="H2429" s="8" t="s">
        <v>132</v>
      </c>
      <c r="I2429" s="4" t="s">
        <v>35</v>
      </c>
      <c r="J2429" s="4">
        <v>73</v>
      </c>
      <c r="K2429" s="4" t="s">
        <v>45</v>
      </c>
      <c r="L2429" s="8">
        <v>4</v>
      </c>
      <c r="M2429" s="9" t="s">
        <v>50</v>
      </c>
      <c r="N2429" s="9" t="str">
        <f t="shared" si="19"/>
        <v>ICU</v>
      </c>
      <c r="O2429" s="10">
        <v>20973.35</v>
      </c>
      <c r="P2429" s="10">
        <v>12240.54</v>
      </c>
      <c r="Q2429" s="11">
        <v>9.5</v>
      </c>
      <c r="R2429" s="13" t="str">
        <f>IF(Patient_Data!$L2429&lt;2,"Low Risk",IF(Patient_Data!$L2429&lt;4,"Moderate Risk","High Risk"))</f>
        <v>High Risk</v>
      </c>
      <c r="S2429" s="12" t="str">
        <f>IF(Patient_Data[[#This Row],[Age]]&lt;=18,"Pediatric",IF(Patient_Data[[#This Row],[Age]]&lt;=64,"Adult","Geriatric"))</f>
        <v>Geriatric</v>
      </c>
    </row>
    <row r="2430" spans="1:19" ht="15.75" customHeight="1" x14ac:dyDescent="0.3">
      <c r="A2430" s="4" t="s">
        <v>4810</v>
      </c>
      <c r="B2430" s="5" t="str">
        <f>TEXT(Patient_Data!$E2430,"mmmm")</f>
        <v>April</v>
      </c>
      <c r="C2430" s="6" t="str">
        <f t="shared" si="18"/>
        <v>Apr</v>
      </c>
      <c r="D2430" s="6">
        <f>MONTH(Patient_Data!$E2430)</f>
        <v>4</v>
      </c>
      <c r="E2430" s="7">
        <v>45749</v>
      </c>
      <c r="F2430" s="55" t="str">
        <f>TEXT(Patient_Data[[#This Row],[Admission_Date]],"YYYY")</f>
        <v>2025</v>
      </c>
      <c r="G2430" s="8" t="s">
        <v>4811</v>
      </c>
      <c r="H2430" s="8" t="s">
        <v>53</v>
      </c>
      <c r="I2430" s="4" t="s">
        <v>35</v>
      </c>
      <c r="J2430" s="4">
        <v>75</v>
      </c>
      <c r="K2430" s="4" t="s">
        <v>54</v>
      </c>
      <c r="L2430" s="8">
        <v>4</v>
      </c>
      <c r="M2430" s="9" t="s">
        <v>72</v>
      </c>
      <c r="N2430" s="9" t="str">
        <f t="shared" si="19"/>
        <v>Surgery</v>
      </c>
      <c r="O2430" s="10">
        <v>13703.5</v>
      </c>
      <c r="P2430" s="10">
        <v>8450.34</v>
      </c>
      <c r="Q2430" s="11">
        <v>11.4</v>
      </c>
      <c r="R2430" s="13" t="str">
        <f>IF(Patient_Data!$L2430&lt;2,"Low Risk",IF(Patient_Data!$L2430&lt;4,"Moderate Risk","High Risk"))</f>
        <v>High Risk</v>
      </c>
      <c r="S2430" s="12" t="str">
        <f>IF(Patient_Data[[#This Row],[Age]]&lt;=18,"Pediatric",IF(Patient_Data[[#This Row],[Age]]&lt;=64,"Adult","Geriatric"))</f>
        <v>Geriatric</v>
      </c>
    </row>
    <row r="2431" spans="1:19" ht="15.75" customHeight="1" x14ac:dyDescent="0.3">
      <c r="A2431" s="4" t="s">
        <v>4812</v>
      </c>
      <c r="B2431" s="5" t="str">
        <f>TEXT(Patient_Data!$E2431,"mmmm")</f>
        <v>March</v>
      </c>
      <c r="C2431" s="6" t="str">
        <f t="shared" si="18"/>
        <v>Mar</v>
      </c>
      <c r="D2431" s="6">
        <f>MONTH(Patient_Data!$E2431)</f>
        <v>3</v>
      </c>
      <c r="E2431" s="7">
        <v>45733</v>
      </c>
      <c r="F2431" s="55" t="str">
        <f>TEXT(Patient_Data[[#This Row],[Admission_Date]],"YYYY")</f>
        <v>2025</v>
      </c>
      <c r="G2431" s="8" t="s">
        <v>4813</v>
      </c>
      <c r="H2431" s="8" t="s">
        <v>34</v>
      </c>
      <c r="I2431" s="4" t="s">
        <v>29</v>
      </c>
      <c r="J2431" s="4">
        <v>39</v>
      </c>
      <c r="K2431" s="4" t="s">
        <v>54</v>
      </c>
      <c r="L2431" s="8">
        <v>5</v>
      </c>
      <c r="M2431" s="9" t="s">
        <v>72</v>
      </c>
      <c r="N2431" s="9" t="str">
        <f t="shared" si="19"/>
        <v>Surgery</v>
      </c>
      <c r="O2431" s="10">
        <v>23295.46</v>
      </c>
      <c r="P2431" s="10">
        <v>14969.09</v>
      </c>
      <c r="Q2431" s="11">
        <v>7.5</v>
      </c>
      <c r="R2431" s="13" t="str">
        <f>IF(Patient_Data!$L2431&lt;2,"Low Risk",IF(Patient_Data!$L2431&lt;4,"Moderate Risk","High Risk"))</f>
        <v>High Risk</v>
      </c>
      <c r="S2431" s="12" t="str">
        <f>IF(Patient_Data[[#This Row],[Age]]&lt;=18,"Pediatric",IF(Patient_Data[[#This Row],[Age]]&lt;=64,"Adult","Geriatric"))</f>
        <v>Adult</v>
      </c>
    </row>
    <row r="2432" spans="1:19" ht="15.75" customHeight="1" x14ac:dyDescent="0.3">
      <c r="A2432" s="4" t="s">
        <v>4814</v>
      </c>
      <c r="B2432" s="5" t="str">
        <f>TEXT(Patient_Data!$E2432,"mmmm")</f>
        <v>December</v>
      </c>
      <c r="C2432" s="6" t="str">
        <f t="shared" si="18"/>
        <v>Dec</v>
      </c>
      <c r="D2432" s="6">
        <f>MONTH(Patient_Data!$E2432)</f>
        <v>12</v>
      </c>
      <c r="E2432" s="7">
        <v>45630</v>
      </c>
      <c r="F2432" s="55" t="str">
        <f>TEXT(Patient_Data[[#This Row],[Admission_Date]],"YYYY")</f>
        <v>2024</v>
      </c>
      <c r="G2432" s="8" t="s">
        <v>4815</v>
      </c>
      <c r="H2432" s="8" t="s">
        <v>28</v>
      </c>
      <c r="I2432" s="4" t="s">
        <v>29</v>
      </c>
      <c r="J2432" s="4">
        <v>49</v>
      </c>
      <c r="K2432" s="4" t="s">
        <v>54</v>
      </c>
      <c r="L2432" s="8">
        <v>1</v>
      </c>
      <c r="M2432" s="9" t="s">
        <v>83</v>
      </c>
      <c r="N2432" s="9" t="str">
        <f t="shared" si="19"/>
        <v>ER</v>
      </c>
      <c r="O2432" s="10">
        <v>7735.78</v>
      </c>
      <c r="P2432" s="10">
        <v>5282.17</v>
      </c>
      <c r="Q2432" s="11">
        <v>12.4</v>
      </c>
      <c r="R2432" s="13" t="str">
        <f>IF(Patient_Data!$L2432&lt;2,"Low Risk",IF(Patient_Data!$L2432&lt;4,"Moderate Risk","High Risk"))</f>
        <v>Low Risk</v>
      </c>
      <c r="S2432" s="12" t="str">
        <f>IF(Patient_Data[[#This Row],[Age]]&lt;=18,"Pediatric",IF(Patient_Data[[#This Row],[Age]]&lt;=64,"Adult","Geriatric"))</f>
        <v>Adult</v>
      </c>
    </row>
    <row r="2433" spans="1:19" ht="15.75" customHeight="1" x14ac:dyDescent="0.3">
      <c r="A2433" s="4" t="s">
        <v>4816</v>
      </c>
      <c r="B2433" s="5" t="str">
        <f>TEXT(Patient_Data!$E2433,"mmmm")</f>
        <v>September</v>
      </c>
      <c r="C2433" s="6" t="str">
        <f t="shared" si="18"/>
        <v>Sep</v>
      </c>
      <c r="D2433" s="6">
        <f>MONTH(Patient_Data!$E2433)</f>
        <v>9</v>
      </c>
      <c r="E2433" s="7">
        <v>45565</v>
      </c>
      <c r="F2433" s="55" t="str">
        <f>TEXT(Patient_Data[[#This Row],[Admission_Date]],"YYYY")</f>
        <v>2024</v>
      </c>
      <c r="G2433" s="8" t="s">
        <v>4817</v>
      </c>
      <c r="H2433" s="8" t="s">
        <v>28</v>
      </c>
      <c r="I2433" s="4" t="s">
        <v>29</v>
      </c>
      <c r="J2433" s="4">
        <v>61</v>
      </c>
      <c r="K2433" s="4" t="s">
        <v>45</v>
      </c>
      <c r="L2433" s="8">
        <v>4</v>
      </c>
      <c r="M2433" s="9" t="s">
        <v>50</v>
      </c>
      <c r="N2433" s="9" t="str">
        <f t="shared" si="19"/>
        <v>ICU</v>
      </c>
      <c r="O2433" s="10">
        <v>20241.11</v>
      </c>
      <c r="P2433" s="10">
        <v>14291.18</v>
      </c>
      <c r="Q2433" s="11">
        <v>15.3</v>
      </c>
      <c r="R2433" s="13" t="str">
        <f>IF(Patient_Data!$L2433&lt;2,"Low Risk",IF(Patient_Data!$L2433&lt;4,"Moderate Risk","High Risk"))</f>
        <v>High Risk</v>
      </c>
      <c r="S2433" s="12" t="str">
        <f>IF(Patient_Data[[#This Row],[Age]]&lt;=18,"Pediatric",IF(Patient_Data[[#This Row],[Age]]&lt;=64,"Adult","Geriatric"))</f>
        <v>Adult</v>
      </c>
    </row>
    <row r="2434" spans="1:19" ht="15.75" customHeight="1" x14ac:dyDescent="0.3">
      <c r="A2434" s="4" t="s">
        <v>4818</v>
      </c>
      <c r="B2434" s="5" t="str">
        <f>TEXT(Patient_Data!$E2434,"mmmm")</f>
        <v>March</v>
      </c>
      <c r="C2434" s="6" t="str">
        <f t="shared" si="18"/>
        <v>Mar</v>
      </c>
      <c r="D2434" s="6">
        <f>MONTH(Patient_Data!$E2434)</f>
        <v>3</v>
      </c>
      <c r="E2434" s="7">
        <v>46098</v>
      </c>
      <c r="F2434" s="55" t="str">
        <f>TEXT(Patient_Data[[#This Row],[Admission_Date]],"YYYY")</f>
        <v>2026</v>
      </c>
      <c r="G2434" s="8" t="s">
        <v>4819</v>
      </c>
      <c r="H2434" s="8" t="s">
        <v>28</v>
      </c>
      <c r="I2434" s="4" t="s">
        <v>29</v>
      </c>
      <c r="J2434" s="4">
        <v>57</v>
      </c>
      <c r="K2434" s="4" t="s">
        <v>30</v>
      </c>
      <c r="L2434" s="8">
        <v>3</v>
      </c>
      <c r="M2434" s="9" t="s">
        <v>31</v>
      </c>
      <c r="N2434" s="9" t="str">
        <f t="shared" si="19"/>
        <v>Neuro</v>
      </c>
      <c r="O2434" s="10">
        <v>12129.09</v>
      </c>
      <c r="P2434" s="10">
        <v>8927.84</v>
      </c>
      <c r="Q2434" s="11">
        <v>9.1999999999999993</v>
      </c>
      <c r="R2434" s="13" t="str">
        <f>IF(Patient_Data!$L2434&lt;2,"Low Risk",IF(Patient_Data!$L2434&lt;4,"Moderate Risk","High Risk"))</f>
        <v>Moderate Risk</v>
      </c>
      <c r="S2434" s="12" t="str">
        <f>IF(Patient_Data[[#This Row],[Age]]&lt;=18,"Pediatric",IF(Patient_Data[[#This Row],[Age]]&lt;=64,"Adult","Geriatric"))</f>
        <v>Adult</v>
      </c>
    </row>
    <row r="2435" spans="1:19" ht="15.75" customHeight="1" x14ac:dyDescent="0.3">
      <c r="A2435" s="4" t="s">
        <v>4820</v>
      </c>
      <c r="B2435" s="5" t="str">
        <f>TEXT(Patient_Data!$E2435,"mmmm")</f>
        <v>December</v>
      </c>
      <c r="C2435" s="6" t="str">
        <f t="shared" si="18"/>
        <v>Dec</v>
      </c>
      <c r="D2435" s="6">
        <f>MONTH(Patient_Data!$E2435)</f>
        <v>12</v>
      </c>
      <c r="E2435" s="7">
        <v>45994</v>
      </c>
      <c r="F2435" s="55" t="str">
        <f>TEXT(Patient_Data[[#This Row],[Admission_Date]],"YYYY")</f>
        <v>2025</v>
      </c>
      <c r="G2435" s="8" t="s">
        <v>4821</v>
      </c>
      <c r="H2435" s="8" t="s">
        <v>28</v>
      </c>
      <c r="I2435" s="4" t="s">
        <v>35</v>
      </c>
      <c r="J2435" s="4">
        <v>14</v>
      </c>
      <c r="K2435" s="4" t="s">
        <v>30</v>
      </c>
      <c r="L2435" s="8">
        <v>2</v>
      </c>
      <c r="M2435" s="9" t="s">
        <v>79</v>
      </c>
      <c r="N2435" s="9" t="str">
        <f t="shared" si="19"/>
        <v>PD</v>
      </c>
      <c r="O2435" s="10">
        <v>2429.1</v>
      </c>
      <c r="P2435" s="10">
        <v>1893.32</v>
      </c>
      <c r="Q2435" s="11">
        <v>5.9</v>
      </c>
      <c r="R2435" s="13" t="str">
        <f>IF(Patient_Data!$L2435&lt;2,"Low Risk",IF(Patient_Data!$L2435&lt;4,"Moderate Risk","High Risk"))</f>
        <v>Moderate Risk</v>
      </c>
      <c r="S2435" s="12" t="str">
        <f>IF(Patient_Data[[#This Row],[Age]]&lt;=18,"Pediatric",IF(Patient_Data[[#This Row],[Age]]&lt;=64,"Adult","Geriatric"))</f>
        <v>Pediatric</v>
      </c>
    </row>
    <row r="2436" spans="1:19" ht="15.75" customHeight="1" x14ac:dyDescent="0.3">
      <c r="A2436" s="4" t="s">
        <v>4822</v>
      </c>
      <c r="B2436" s="5" t="str">
        <f>TEXT(Patient_Data!$E2436,"mmmm")</f>
        <v>September</v>
      </c>
      <c r="C2436" s="6" t="str">
        <f t="shared" si="18"/>
        <v>Sep</v>
      </c>
      <c r="D2436" s="6">
        <f>MONTH(Patient_Data!$E2436)</f>
        <v>9</v>
      </c>
      <c r="E2436" s="7">
        <v>45176</v>
      </c>
      <c r="F2436" s="55" t="str">
        <f>TEXT(Patient_Data[[#This Row],[Admission_Date]],"YYYY")</f>
        <v>2023</v>
      </c>
      <c r="G2436" s="8" t="s">
        <v>1566</v>
      </c>
      <c r="H2436" s="8" t="s">
        <v>75</v>
      </c>
      <c r="I2436" s="4" t="s">
        <v>29</v>
      </c>
      <c r="J2436" s="4">
        <v>10</v>
      </c>
      <c r="K2436" s="4" t="s">
        <v>30</v>
      </c>
      <c r="L2436" s="8">
        <v>2</v>
      </c>
      <c r="M2436" s="9" t="s">
        <v>79</v>
      </c>
      <c r="N2436" s="9" t="str">
        <f t="shared" si="19"/>
        <v>PD</v>
      </c>
      <c r="O2436" s="10">
        <v>2893.49</v>
      </c>
      <c r="P2436" s="10">
        <v>1710.22</v>
      </c>
      <c r="Q2436" s="11">
        <v>4</v>
      </c>
      <c r="R2436" s="13" t="str">
        <f>IF(Patient_Data!$L2436&lt;2,"Low Risk",IF(Patient_Data!$L2436&lt;4,"Moderate Risk","High Risk"))</f>
        <v>Moderate Risk</v>
      </c>
      <c r="S2436" s="12" t="str">
        <f>IF(Patient_Data[[#This Row],[Age]]&lt;=18,"Pediatric",IF(Patient_Data[[#This Row],[Age]]&lt;=64,"Adult","Geriatric"))</f>
        <v>Pediatric</v>
      </c>
    </row>
    <row r="2437" spans="1:19" ht="15.75" customHeight="1" x14ac:dyDescent="0.3">
      <c r="A2437" s="4" t="s">
        <v>4823</v>
      </c>
      <c r="B2437" s="5" t="str">
        <f>TEXT(Patient_Data!$E2437,"mmmm")</f>
        <v>February</v>
      </c>
      <c r="C2437" s="6" t="str">
        <f t="shared" si="18"/>
        <v>Feb</v>
      </c>
      <c r="D2437" s="6">
        <f>MONTH(Patient_Data!$E2437)</f>
        <v>2</v>
      </c>
      <c r="E2437" s="7">
        <v>45701</v>
      </c>
      <c r="F2437" s="55" t="str">
        <f>TEXT(Patient_Data[[#This Row],[Admission_Date]],"YYYY")</f>
        <v>2025</v>
      </c>
      <c r="G2437" s="8" t="s">
        <v>4824</v>
      </c>
      <c r="H2437" s="8" t="s">
        <v>28</v>
      </c>
      <c r="I2437" s="4" t="s">
        <v>29</v>
      </c>
      <c r="J2437" s="4">
        <v>38</v>
      </c>
      <c r="K2437" s="4" t="s">
        <v>30</v>
      </c>
      <c r="L2437" s="8">
        <v>1</v>
      </c>
      <c r="M2437" s="9" t="s">
        <v>39</v>
      </c>
      <c r="N2437" s="9" t="str">
        <f t="shared" si="19"/>
        <v>GM</v>
      </c>
      <c r="O2437" s="10">
        <v>4025.53</v>
      </c>
      <c r="P2437" s="10">
        <v>2488.37</v>
      </c>
      <c r="Q2437" s="11">
        <v>4.0999999999999996</v>
      </c>
      <c r="R2437" s="13" t="str">
        <f>IF(Patient_Data!$L2437&lt;2,"Low Risk",IF(Patient_Data!$L2437&lt;4,"Moderate Risk","High Risk"))</f>
        <v>Low Risk</v>
      </c>
      <c r="S2437" s="12" t="str">
        <f>IF(Patient_Data[[#This Row],[Age]]&lt;=18,"Pediatric",IF(Patient_Data[[#This Row],[Age]]&lt;=64,"Adult","Geriatric"))</f>
        <v>Adult</v>
      </c>
    </row>
    <row r="2438" spans="1:19" ht="15.75" customHeight="1" x14ac:dyDescent="0.3">
      <c r="A2438" s="4" t="s">
        <v>4825</v>
      </c>
      <c r="B2438" s="5" t="str">
        <f>TEXT(Patient_Data!$E2438,"mmmm")</f>
        <v>August</v>
      </c>
      <c r="C2438" s="6" t="str">
        <f t="shared" si="18"/>
        <v>Aug</v>
      </c>
      <c r="D2438" s="6">
        <f>MONTH(Patient_Data!$E2438)</f>
        <v>8</v>
      </c>
      <c r="E2438" s="7">
        <v>45525</v>
      </c>
      <c r="F2438" s="55" t="str">
        <f>TEXT(Patient_Data[[#This Row],[Admission_Date]],"YYYY")</f>
        <v>2024</v>
      </c>
      <c r="G2438" s="8" t="s">
        <v>4826</v>
      </c>
      <c r="H2438" s="8" t="s">
        <v>28</v>
      </c>
      <c r="I2438" s="4" t="s">
        <v>35</v>
      </c>
      <c r="J2438" s="4">
        <v>42</v>
      </c>
      <c r="K2438" s="4" t="s">
        <v>45</v>
      </c>
      <c r="L2438" s="8">
        <v>3</v>
      </c>
      <c r="M2438" s="9" t="s">
        <v>72</v>
      </c>
      <c r="N2438" s="9" t="str">
        <f t="shared" si="19"/>
        <v>Surgery</v>
      </c>
      <c r="O2438" s="10">
        <v>16633.98</v>
      </c>
      <c r="P2438" s="10">
        <v>10663.35</v>
      </c>
      <c r="Q2438" s="11">
        <v>2.2000000000000002</v>
      </c>
      <c r="R2438" s="13" t="str">
        <f>IF(Patient_Data!$L2438&lt;2,"Low Risk",IF(Patient_Data!$L2438&lt;4,"Moderate Risk","High Risk"))</f>
        <v>Moderate Risk</v>
      </c>
      <c r="S2438" s="12" t="str">
        <f>IF(Patient_Data[[#This Row],[Age]]&lt;=18,"Pediatric",IF(Patient_Data[[#This Row],[Age]]&lt;=64,"Adult","Geriatric"))</f>
        <v>Adult</v>
      </c>
    </row>
    <row r="2439" spans="1:19" ht="15.75" customHeight="1" x14ac:dyDescent="0.3">
      <c r="A2439" s="4" t="s">
        <v>4827</v>
      </c>
      <c r="B2439" s="5" t="str">
        <f>TEXT(Patient_Data!$E2439,"mmmm")</f>
        <v>December</v>
      </c>
      <c r="C2439" s="6" t="str">
        <f t="shared" si="18"/>
        <v>Dec</v>
      </c>
      <c r="D2439" s="6">
        <f>MONTH(Patient_Data!$E2439)</f>
        <v>12</v>
      </c>
      <c r="E2439" s="7">
        <v>46000</v>
      </c>
      <c r="F2439" s="55" t="str">
        <f>TEXT(Patient_Data[[#This Row],[Admission_Date]],"YYYY")</f>
        <v>2025</v>
      </c>
      <c r="G2439" s="8" t="s">
        <v>4828</v>
      </c>
      <c r="H2439" s="8" t="s">
        <v>53</v>
      </c>
      <c r="I2439" s="4" t="s">
        <v>29</v>
      </c>
      <c r="J2439" s="4">
        <v>44</v>
      </c>
      <c r="K2439" s="4" t="s">
        <v>30</v>
      </c>
      <c r="L2439" s="8">
        <v>1</v>
      </c>
      <c r="M2439" s="9" t="s">
        <v>83</v>
      </c>
      <c r="N2439" s="9" t="str">
        <f t="shared" si="19"/>
        <v>ER</v>
      </c>
      <c r="O2439" s="10">
        <v>7643.34</v>
      </c>
      <c r="P2439" s="10">
        <v>5285.04</v>
      </c>
      <c r="Q2439" s="11">
        <v>20.5</v>
      </c>
      <c r="R2439" s="13" t="str">
        <f>IF(Patient_Data!$L2439&lt;2,"Low Risk",IF(Patient_Data!$L2439&lt;4,"Moderate Risk","High Risk"))</f>
        <v>Low Risk</v>
      </c>
      <c r="S2439" s="12" t="str">
        <f>IF(Patient_Data[[#This Row],[Age]]&lt;=18,"Pediatric",IF(Patient_Data[[#This Row],[Age]]&lt;=64,"Adult","Geriatric"))</f>
        <v>Adult</v>
      </c>
    </row>
    <row r="2440" spans="1:19" ht="15.75" customHeight="1" x14ac:dyDescent="0.3">
      <c r="A2440" s="4" t="s">
        <v>4829</v>
      </c>
      <c r="B2440" s="5" t="str">
        <f>TEXT(Patient_Data!$E2440,"mmmm")</f>
        <v>June</v>
      </c>
      <c r="C2440" s="6" t="str">
        <f t="shared" si="18"/>
        <v>Jun</v>
      </c>
      <c r="D2440" s="6">
        <f>MONTH(Patient_Data!$E2440)</f>
        <v>6</v>
      </c>
      <c r="E2440" s="7">
        <v>46203</v>
      </c>
      <c r="F2440" s="55" t="str">
        <f>TEXT(Patient_Data[[#This Row],[Admission_Date]],"YYYY")</f>
        <v>2026</v>
      </c>
      <c r="G2440" s="8" t="s">
        <v>4830</v>
      </c>
      <c r="H2440" s="8" t="s">
        <v>28</v>
      </c>
      <c r="I2440" s="4" t="s">
        <v>29</v>
      </c>
      <c r="J2440" s="4">
        <v>62</v>
      </c>
      <c r="K2440" s="4" t="s">
        <v>30</v>
      </c>
      <c r="L2440" s="8">
        <v>1</v>
      </c>
      <c r="M2440" s="9" t="s">
        <v>31</v>
      </c>
      <c r="N2440" s="9" t="str">
        <f t="shared" si="19"/>
        <v>Neuro</v>
      </c>
      <c r="O2440" s="10">
        <v>5420.82</v>
      </c>
      <c r="P2440" s="10">
        <v>3834.57</v>
      </c>
      <c r="Q2440" s="11">
        <v>5</v>
      </c>
      <c r="R2440" s="13" t="str">
        <f>IF(Patient_Data!$L2440&lt;2,"Low Risk",IF(Patient_Data!$L2440&lt;4,"Moderate Risk","High Risk"))</f>
        <v>Low Risk</v>
      </c>
      <c r="S2440" s="12" t="str">
        <f>IF(Patient_Data[[#This Row],[Age]]&lt;=18,"Pediatric",IF(Patient_Data[[#This Row],[Age]]&lt;=64,"Adult","Geriatric"))</f>
        <v>Adult</v>
      </c>
    </row>
    <row r="2441" spans="1:19" ht="15.75" customHeight="1" x14ac:dyDescent="0.3">
      <c r="A2441" s="4" t="s">
        <v>4831</v>
      </c>
      <c r="B2441" s="5" t="str">
        <f>TEXT(Patient_Data!$E2441,"mmmm")</f>
        <v>April</v>
      </c>
      <c r="C2441" s="6" t="str">
        <f t="shared" si="18"/>
        <v>Apr</v>
      </c>
      <c r="D2441" s="6">
        <f>MONTH(Patient_Data!$E2441)</f>
        <v>4</v>
      </c>
      <c r="E2441" s="7">
        <v>45385</v>
      </c>
      <c r="F2441" s="55" t="str">
        <f>TEXT(Patient_Data[[#This Row],[Admission_Date]],"YYYY")</f>
        <v>2024</v>
      </c>
      <c r="G2441" s="8" t="s">
        <v>4832</v>
      </c>
      <c r="H2441" s="8" t="s">
        <v>34</v>
      </c>
      <c r="I2441" s="4" t="s">
        <v>35</v>
      </c>
      <c r="J2441" s="4">
        <v>24</v>
      </c>
      <c r="K2441" s="4" t="s">
        <v>45</v>
      </c>
      <c r="L2441" s="8">
        <v>1</v>
      </c>
      <c r="M2441" s="9" t="s">
        <v>36</v>
      </c>
      <c r="N2441" s="9" t="str">
        <f t="shared" si="19"/>
        <v>Cardio</v>
      </c>
      <c r="O2441" s="10">
        <v>8977.02</v>
      </c>
      <c r="P2441" s="10">
        <v>6582.02</v>
      </c>
      <c r="Q2441" s="11">
        <v>3.6</v>
      </c>
      <c r="R2441" s="13" t="str">
        <f>IF(Patient_Data!$L2441&lt;2,"Low Risk",IF(Patient_Data!$L2441&lt;4,"Moderate Risk","High Risk"))</f>
        <v>Low Risk</v>
      </c>
      <c r="S2441" s="12" t="str">
        <f>IF(Patient_Data[[#This Row],[Age]]&lt;=18,"Pediatric",IF(Patient_Data[[#This Row],[Age]]&lt;=64,"Adult","Geriatric"))</f>
        <v>Adult</v>
      </c>
    </row>
    <row r="2442" spans="1:19" ht="15.75" customHeight="1" x14ac:dyDescent="0.3">
      <c r="A2442" s="4" t="s">
        <v>4833</v>
      </c>
      <c r="B2442" s="5" t="str">
        <f>TEXT(Patient_Data!$E2442,"mmmm")</f>
        <v>January</v>
      </c>
      <c r="C2442" s="6" t="str">
        <f t="shared" si="18"/>
        <v>Jan</v>
      </c>
      <c r="D2442" s="6">
        <f>MONTH(Patient_Data!$E2442)</f>
        <v>1</v>
      </c>
      <c r="E2442" s="7">
        <v>45315</v>
      </c>
      <c r="F2442" s="55" t="str">
        <f>TEXT(Patient_Data[[#This Row],[Admission_Date]],"YYYY")</f>
        <v>2024</v>
      </c>
      <c r="G2442" s="8" t="s">
        <v>4834</v>
      </c>
      <c r="H2442" s="8" t="s">
        <v>132</v>
      </c>
      <c r="I2442" s="4" t="s">
        <v>35</v>
      </c>
      <c r="J2442" s="4">
        <v>75</v>
      </c>
      <c r="K2442" s="4" t="s">
        <v>45</v>
      </c>
      <c r="L2442" s="8">
        <v>4</v>
      </c>
      <c r="M2442" s="9" t="s">
        <v>50</v>
      </c>
      <c r="N2442" s="9" t="str">
        <f t="shared" si="19"/>
        <v>ICU</v>
      </c>
      <c r="O2442" s="10">
        <v>16202.14</v>
      </c>
      <c r="P2442" s="10">
        <v>12431.23</v>
      </c>
      <c r="Q2442" s="11">
        <v>14.7</v>
      </c>
      <c r="R2442" s="13" t="str">
        <f>IF(Patient_Data!$L2442&lt;2,"Low Risk",IF(Patient_Data!$L2442&lt;4,"Moderate Risk","High Risk"))</f>
        <v>High Risk</v>
      </c>
      <c r="S2442" s="12" t="str">
        <f>IF(Patient_Data[[#This Row],[Age]]&lt;=18,"Pediatric",IF(Patient_Data[[#This Row],[Age]]&lt;=64,"Adult","Geriatric"))</f>
        <v>Geriatric</v>
      </c>
    </row>
    <row r="2443" spans="1:19" ht="15.75" customHeight="1" x14ac:dyDescent="0.3">
      <c r="A2443" s="4" t="s">
        <v>4835</v>
      </c>
      <c r="B2443" s="5" t="str">
        <f>TEXT(Patient_Data!$E2443,"mmmm")</f>
        <v>June</v>
      </c>
      <c r="C2443" s="6" t="str">
        <f t="shared" si="18"/>
        <v>Jun</v>
      </c>
      <c r="D2443" s="6">
        <f>MONTH(Patient_Data!$E2443)</f>
        <v>6</v>
      </c>
      <c r="E2443" s="7">
        <v>46197</v>
      </c>
      <c r="F2443" s="55" t="str">
        <f>TEXT(Patient_Data[[#This Row],[Admission_Date]],"YYYY")</f>
        <v>2026</v>
      </c>
      <c r="G2443" s="8" t="s">
        <v>4836</v>
      </c>
      <c r="H2443" s="8" t="s">
        <v>82</v>
      </c>
      <c r="I2443" s="4" t="s">
        <v>35</v>
      </c>
      <c r="J2443" s="4">
        <v>71</v>
      </c>
      <c r="K2443" s="4" t="s">
        <v>30</v>
      </c>
      <c r="L2443" s="8">
        <v>5</v>
      </c>
      <c r="M2443" s="9" t="s">
        <v>36</v>
      </c>
      <c r="N2443" s="9" t="str">
        <f t="shared" si="19"/>
        <v>Cardio</v>
      </c>
      <c r="O2443" s="10">
        <v>10031.92</v>
      </c>
      <c r="P2443" s="10">
        <v>5852.91</v>
      </c>
      <c r="Q2443" s="11">
        <v>4.3</v>
      </c>
      <c r="R2443" s="13" t="str">
        <f>IF(Patient_Data!$L2443&lt;2,"Low Risk",IF(Patient_Data!$L2443&lt;4,"Moderate Risk","High Risk"))</f>
        <v>High Risk</v>
      </c>
      <c r="S2443" s="12" t="str">
        <f>IF(Patient_Data[[#This Row],[Age]]&lt;=18,"Pediatric",IF(Patient_Data[[#This Row],[Age]]&lt;=64,"Adult","Geriatric"))</f>
        <v>Geriatric</v>
      </c>
    </row>
    <row r="2444" spans="1:19" ht="15.75" customHeight="1" x14ac:dyDescent="0.3">
      <c r="A2444" s="4" t="s">
        <v>4837</v>
      </c>
      <c r="B2444" s="5" t="str">
        <f>TEXT(Patient_Data!$E2444,"mmmm")</f>
        <v>April</v>
      </c>
      <c r="C2444" s="6" t="str">
        <f t="shared" si="18"/>
        <v>Apr</v>
      </c>
      <c r="D2444" s="6">
        <f>MONTH(Patient_Data!$E2444)</f>
        <v>4</v>
      </c>
      <c r="E2444" s="7">
        <v>45769</v>
      </c>
      <c r="F2444" s="55" t="str">
        <f>TEXT(Patient_Data[[#This Row],[Admission_Date]],"YYYY")</f>
        <v>2025</v>
      </c>
      <c r="G2444" s="8" t="s">
        <v>4838</v>
      </c>
      <c r="H2444" s="8" t="s">
        <v>28</v>
      </c>
      <c r="I2444" s="4" t="s">
        <v>29</v>
      </c>
      <c r="J2444" s="4">
        <v>85</v>
      </c>
      <c r="K2444" s="4" t="s">
        <v>30</v>
      </c>
      <c r="L2444" s="8">
        <v>3</v>
      </c>
      <c r="M2444" s="9" t="s">
        <v>31</v>
      </c>
      <c r="N2444" s="9" t="str">
        <f t="shared" si="19"/>
        <v>Neuro</v>
      </c>
      <c r="O2444" s="10">
        <v>5738.46</v>
      </c>
      <c r="P2444" s="10">
        <v>3561.26</v>
      </c>
      <c r="Q2444" s="11">
        <v>7.6</v>
      </c>
      <c r="R2444" s="13" t="str">
        <f>IF(Patient_Data!$L2444&lt;2,"Low Risk",IF(Patient_Data!$L2444&lt;4,"Moderate Risk","High Risk"))</f>
        <v>Moderate Risk</v>
      </c>
      <c r="S2444" s="12" t="str">
        <f>IF(Patient_Data[[#This Row],[Age]]&lt;=18,"Pediatric",IF(Patient_Data[[#This Row],[Age]]&lt;=64,"Adult","Geriatric"))</f>
        <v>Geriatric</v>
      </c>
    </row>
    <row r="2445" spans="1:19" ht="15.75" customHeight="1" x14ac:dyDescent="0.3">
      <c r="A2445" s="4" t="s">
        <v>4839</v>
      </c>
      <c r="B2445" s="5" t="str">
        <f>TEXT(Patient_Data!$E2445,"mmmm")</f>
        <v>July</v>
      </c>
      <c r="C2445" s="6" t="str">
        <f t="shared" si="18"/>
        <v>Jul</v>
      </c>
      <c r="D2445" s="6">
        <f>MONTH(Patient_Data!$E2445)</f>
        <v>7</v>
      </c>
      <c r="E2445" s="7">
        <v>45863</v>
      </c>
      <c r="F2445" s="55" t="str">
        <f>TEXT(Patient_Data[[#This Row],[Admission_Date]],"YYYY")</f>
        <v>2025</v>
      </c>
      <c r="G2445" s="8" t="s">
        <v>4840</v>
      </c>
      <c r="H2445" s="8" t="s">
        <v>28</v>
      </c>
      <c r="I2445" s="4" t="s">
        <v>35</v>
      </c>
      <c r="J2445" s="4">
        <v>62</v>
      </c>
      <c r="K2445" s="4" t="s">
        <v>45</v>
      </c>
      <c r="L2445" s="8">
        <v>1</v>
      </c>
      <c r="M2445" s="9" t="s">
        <v>31</v>
      </c>
      <c r="N2445" s="9" t="str">
        <f t="shared" si="19"/>
        <v>Neuro</v>
      </c>
      <c r="O2445" s="10">
        <v>9944.31</v>
      </c>
      <c r="P2445" s="10">
        <v>6432.36</v>
      </c>
      <c r="Q2445" s="11">
        <v>8.5</v>
      </c>
      <c r="R2445" s="13" t="str">
        <f>IF(Patient_Data!$L2445&lt;2,"Low Risk",IF(Patient_Data!$L2445&lt;4,"Moderate Risk","High Risk"))</f>
        <v>Low Risk</v>
      </c>
      <c r="S2445" s="12" t="str">
        <f>IF(Patient_Data[[#This Row],[Age]]&lt;=18,"Pediatric",IF(Patient_Data[[#This Row],[Age]]&lt;=64,"Adult","Geriatric"))</f>
        <v>Adult</v>
      </c>
    </row>
    <row r="2446" spans="1:19" ht="15.75" customHeight="1" x14ac:dyDescent="0.3">
      <c r="A2446" s="4" t="s">
        <v>4841</v>
      </c>
      <c r="B2446" s="5" t="str">
        <f>TEXT(Patient_Data!$E2446,"mmmm")</f>
        <v>April</v>
      </c>
      <c r="C2446" s="6" t="str">
        <f t="shared" si="18"/>
        <v>Apr</v>
      </c>
      <c r="D2446" s="6">
        <f>MONTH(Patient_Data!$E2446)</f>
        <v>4</v>
      </c>
      <c r="E2446" s="7">
        <v>45406</v>
      </c>
      <c r="F2446" s="55" t="str">
        <f>TEXT(Patient_Data[[#This Row],[Admission_Date]],"YYYY")</f>
        <v>2024</v>
      </c>
      <c r="G2446" s="8" t="s">
        <v>4842</v>
      </c>
      <c r="H2446" s="8" t="s">
        <v>53</v>
      </c>
      <c r="I2446" s="4" t="s">
        <v>29</v>
      </c>
      <c r="J2446" s="4">
        <v>83</v>
      </c>
      <c r="K2446" s="4" t="s">
        <v>54</v>
      </c>
      <c r="L2446" s="8">
        <v>3</v>
      </c>
      <c r="M2446" s="9" t="s">
        <v>50</v>
      </c>
      <c r="N2446" s="9" t="str">
        <f t="shared" si="19"/>
        <v>ICU</v>
      </c>
      <c r="O2446" s="10">
        <v>16068.98</v>
      </c>
      <c r="P2446" s="10">
        <v>10831.02</v>
      </c>
      <c r="Q2446" s="11">
        <v>8.1</v>
      </c>
      <c r="R2446" s="13" t="str">
        <f>IF(Patient_Data!$L2446&lt;2,"Low Risk",IF(Patient_Data!$L2446&lt;4,"Moderate Risk","High Risk"))</f>
        <v>Moderate Risk</v>
      </c>
      <c r="S2446" s="12" t="str">
        <f>IF(Patient_Data[[#This Row],[Age]]&lt;=18,"Pediatric",IF(Patient_Data[[#This Row],[Age]]&lt;=64,"Adult","Geriatric"))</f>
        <v>Geriatric</v>
      </c>
    </row>
    <row r="2447" spans="1:19" ht="15.75" customHeight="1" x14ac:dyDescent="0.3">
      <c r="A2447" s="4" t="s">
        <v>4843</v>
      </c>
      <c r="B2447" s="5" t="str">
        <f>TEXT(Patient_Data!$E2447,"mmmm")</f>
        <v>July</v>
      </c>
      <c r="C2447" s="6" t="str">
        <f t="shared" si="18"/>
        <v>Jul</v>
      </c>
      <c r="D2447" s="6">
        <f>MONTH(Patient_Data!$E2447)</f>
        <v>7</v>
      </c>
      <c r="E2447" s="7">
        <v>46218</v>
      </c>
      <c r="F2447" s="55" t="str">
        <f>TEXT(Patient_Data[[#This Row],[Admission_Date]],"YYYY")</f>
        <v>2026</v>
      </c>
      <c r="G2447" s="8" t="s">
        <v>4844</v>
      </c>
      <c r="H2447" s="8" t="s">
        <v>132</v>
      </c>
      <c r="I2447" s="4" t="s">
        <v>35</v>
      </c>
      <c r="J2447" s="4">
        <v>39</v>
      </c>
      <c r="K2447" s="4" t="s">
        <v>45</v>
      </c>
      <c r="L2447" s="8">
        <v>1</v>
      </c>
      <c r="M2447" s="9" t="s">
        <v>31</v>
      </c>
      <c r="N2447" s="9" t="str">
        <f t="shared" si="19"/>
        <v>Neuro</v>
      </c>
      <c r="O2447" s="10">
        <v>9553.14</v>
      </c>
      <c r="P2447" s="10">
        <v>6705.6</v>
      </c>
      <c r="Q2447" s="11">
        <v>2.2999999999999998</v>
      </c>
      <c r="R2447" s="13" t="str">
        <f>IF(Patient_Data!$L2447&lt;2,"Low Risk",IF(Patient_Data!$L2447&lt;4,"Moderate Risk","High Risk"))</f>
        <v>Low Risk</v>
      </c>
      <c r="S2447" s="12" t="str">
        <f>IF(Patient_Data[[#This Row],[Age]]&lt;=18,"Pediatric",IF(Patient_Data[[#This Row],[Age]]&lt;=64,"Adult","Geriatric"))</f>
        <v>Adult</v>
      </c>
    </row>
    <row r="2448" spans="1:19" ht="15.75" customHeight="1" x14ac:dyDescent="0.3">
      <c r="A2448" s="4" t="s">
        <v>4845</v>
      </c>
      <c r="B2448" s="5" t="str">
        <f>TEXT(Patient_Data!$E2448,"mmmm")</f>
        <v>February</v>
      </c>
      <c r="C2448" s="6" t="str">
        <f t="shared" si="18"/>
        <v>Feb</v>
      </c>
      <c r="D2448" s="6">
        <f>MONTH(Patient_Data!$E2448)</f>
        <v>2</v>
      </c>
      <c r="E2448" s="7">
        <v>45694</v>
      </c>
      <c r="F2448" s="55" t="str">
        <f>TEXT(Patient_Data[[#This Row],[Admission_Date]],"YYYY")</f>
        <v>2025</v>
      </c>
      <c r="G2448" s="8" t="s">
        <v>2285</v>
      </c>
      <c r="H2448" s="8" t="s">
        <v>98</v>
      </c>
      <c r="I2448" s="4" t="s">
        <v>35</v>
      </c>
      <c r="J2448" s="4">
        <v>83</v>
      </c>
      <c r="K2448" s="4" t="s">
        <v>54</v>
      </c>
      <c r="L2448" s="8">
        <v>4</v>
      </c>
      <c r="M2448" s="9" t="s">
        <v>31</v>
      </c>
      <c r="N2448" s="9" t="str">
        <f t="shared" si="19"/>
        <v>Neuro</v>
      </c>
      <c r="O2448" s="10">
        <v>9784.9</v>
      </c>
      <c r="P2448" s="10">
        <v>7227.78</v>
      </c>
      <c r="Q2448" s="11">
        <v>10.6</v>
      </c>
      <c r="R2448" s="13" t="str">
        <f>IF(Patient_Data!$L2448&lt;2,"Low Risk",IF(Patient_Data!$L2448&lt;4,"Moderate Risk","High Risk"))</f>
        <v>High Risk</v>
      </c>
      <c r="S2448" s="12" t="str">
        <f>IF(Patient_Data[[#This Row],[Age]]&lt;=18,"Pediatric",IF(Patient_Data[[#This Row],[Age]]&lt;=64,"Adult","Geriatric"))</f>
        <v>Geriatric</v>
      </c>
    </row>
    <row r="2449" spans="1:19" ht="15.75" customHeight="1" x14ac:dyDescent="0.3">
      <c r="A2449" s="4" t="s">
        <v>4846</v>
      </c>
      <c r="B2449" s="5" t="str">
        <f>TEXT(Patient_Data!$E2449,"mmmm")</f>
        <v>January</v>
      </c>
      <c r="C2449" s="6" t="str">
        <f t="shared" si="18"/>
        <v>Jan</v>
      </c>
      <c r="D2449" s="6">
        <f>MONTH(Patient_Data!$E2449)</f>
        <v>1</v>
      </c>
      <c r="E2449" s="7">
        <v>45679</v>
      </c>
      <c r="F2449" s="55" t="str">
        <f>TEXT(Patient_Data[[#This Row],[Admission_Date]],"YYYY")</f>
        <v>2025</v>
      </c>
      <c r="G2449" s="8" t="s">
        <v>1537</v>
      </c>
      <c r="H2449" s="8" t="s">
        <v>28</v>
      </c>
      <c r="I2449" s="4" t="s">
        <v>29</v>
      </c>
      <c r="J2449" s="4">
        <v>68</v>
      </c>
      <c r="K2449" s="4" t="s">
        <v>45</v>
      </c>
      <c r="L2449" s="8">
        <v>4</v>
      </c>
      <c r="M2449" s="9" t="s">
        <v>72</v>
      </c>
      <c r="N2449" s="9" t="str">
        <f t="shared" si="19"/>
        <v>Surgery</v>
      </c>
      <c r="O2449" s="10">
        <v>19920.599999999999</v>
      </c>
      <c r="P2449" s="10">
        <v>15230.06</v>
      </c>
      <c r="Q2449" s="11">
        <v>11.3</v>
      </c>
      <c r="R2449" s="13" t="str">
        <f>IF(Patient_Data!$L2449&lt;2,"Low Risk",IF(Patient_Data!$L2449&lt;4,"Moderate Risk","High Risk"))</f>
        <v>High Risk</v>
      </c>
      <c r="S2449" s="12" t="str">
        <f>IF(Patient_Data[[#This Row],[Age]]&lt;=18,"Pediatric",IF(Patient_Data[[#This Row],[Age]]&lt;=64,"Adult","Geriatric"))</f>
        <v>Geriatric</v>
      </c>
    </row>
    <row r="2450" spans="1:19" ht="15.75" customHeight="1" x14ac:dyDescent="0.3">
      <c r="A2450" s="4" t="s">
        <v>4847</v>
      </c>
      <c r="B2450" s="5" t="str">
        <f>TEXT(Patient_Data!$E2450,"mmmm")</f>
        <v>February</v>
      </c>
      <c r="C2450" s="6" t="str">
        <f t="shared" si="18"/>
        <v>Feb</v>
      </c>
      <c r="D2450" s="6">
        <f>MONTH(Patient_Data!$E2450)</f>
        <v>2</v>
      </c>
      <c r="E2450" s="7">
        <v>46073</v>
      </c>
      <c r="F2450" s="55" t="str">
        <f>TEXT(Patient_Data[[#This Row],[Admission_Date]],"YYYY")</f>
        <v>2026</v>
      </c>
      <c r="G2450" s="8" t="s">
        <v>4848</v>
      </c>
      <c r="H2450" s="8" t="s">
        <v>42</v>
      </c>
      <c r="I2450" s="4" t="s">
        <v>35</v>
      </c>
      <c r="J2450" s="4">
        <v>35</v>
      </c>
      <c r="K2450" s="4" t="s">
        <v>30</v>
      </c>
      <c r="L2450" s="8">
        <v>1</v>
      </c>
      <c r="M2450" s="9" t="s">
        <v>31</v>
      </c>
      <c r="N2450" s="9" t="str">
        <f t="shared" si="19"/>
        <v>Neuro</v>
      </c>
      <c r="O2450" s="10">
        <v>8656.0300000000007</v>
      </c>
      <c r="P2450" s="10">
        <v>5040.5</v>
      </c>
      <c r="Q2450" s="11">
        <v>2.5</v>
      </c>
      <c r="R2450" s="13" t="str">
        <f>IF(Patient_Data!$L2450&lt;2,"Low Risk",IF(Patient_Data!$L2450&lt;4,"Moderate Risk","High Risk"))</f>
        <v>Low Risk</v>
      </c>
      <c r="S2450" s="12" t="str">
        <f>IF(Patient_Data[[#This Row],[Age]]&lt;=18,"Pediatric",IF(Patient_Data[[#This Row],[Age]]&lt;=64,"Adult","Geriatric"))</f>
        <v>Adult</v>
      </c>
    </row>
    <row r="2451" spans="1:19" ht="15.75" customHeight="1" x14ac:dyDescent="0.3">
      <c r="A2451" s="4" t="s">
        <v>4849</v>
      </c>
      <c r="B2451" s="5" t="str">
        <f>TEXT(Patient_Data!$E2451,"mmmm")</f>
        <v>October</v>
      </c>
      <c r="C2451" s="6" t="str">
        <f t="shared" si="18"/>
        <v>Oct</v>
      </c>
      <c r="D2451" s="6">
        <f>MONTH(Patient_Data!$E2451)</f>
        <v>10</v>
      </c>
      <c r="E2451" s="7">
        <v>45939</v>
      </c>
      <c r="F2451" s="55" t="str">
        <f>TEXT(Patient_Data[[#This Row],[Admission_Date]],"YYYY")</f>
        <v>2025</v>
      </c>
      <c r="G2451" s="8" t="s">
        <v>2629</v>
      </c>
      <c r="H2451" s="8" t="s">
        <v>53</v>
      </c>
      <c r="I2451" s="4" t="s">
        <v>29</v>
      </c>
      <c r="J2451" s="4">
        <v>47</v>
      </c>
      <c r="K2451" s="4" t="s">
        <v>30</v>
      </c>
      <c r="L2451" s="8">
        <v>2</v>
      </c>
      <c r="M2451" s="9" t="s">
        <v>31</v>
      </c>
      <c r="N2451" s="9" t="str">
        <f t="shared" si="19"/>
        <v>Neuro</v>
      </c>
      <c r="O2451" s="10">
        <v>7987.56</v>
      </c>
      <c r="P2451" s="10">
        <v>4925.21</v>
      </c>
      <c r="Q2451" s="11">
        <v>6.6</v>
      </c>
      <c r="R2451" s="13" t="str">
        <f>IF(Patient_Data!$L2451&lt;2,"Low Risk",IF(Patient_Data!$L2451&lt;4,"Moderate Risk","High Risk"))</f>
        <v>Moderate Risk</v>
      </c>
      <c r="S2451" s="12" t="str">
        <f>IF(Patient_Data[[#This Row],[Age]]&lt;=18,"Pediatric",IF(Patient_Data[[#This Row],[Age]]&lt;=64,"Adult","Geriatric"))</f>
        <v>Adult</v>
      </c>
    </row>
    <row r="2452" spans="1:19" ht="15.75" customHeight="1" x14ac:dyDescent="0.3">
      <c r="A2452" s="4" t="s">
        <v>4850</v>
      </c>
      <c r="B2452" s="5" t="str">
        <f>TEXT(Patient_Data!$E2452,"mmmm")</f>
        <v>May</v>
      </c>
      <c r="C2452" s="6" t="str">
        <f t="shared" si="18"/>
        <v>May</v>
      </c>
      <c r="D2452" s="6">
        <f>MONTH(Patient_Data!$E2452)</f>
        <v>5</v>
      </c>
      <c r="E2452" s="7">
        <v>46157</v>
      </c>
      <c r="F2452" s="55" t="str">
        <f>TEXT(Patient_Data[[#This Row],[Admission_Date]],"YYYY")</f>
        <v>2026</v>
      </c>
      <c r="G2452" s="8" t="s">
        <v>4851</v>
      </c>
      <c r="H2452" s="8" t="s">
        <v>28</v>
      </c>
      <c r="I2452" s="4" t="s">
        <v>35</v>
      </c>
      <c r="J2452" s="4">
        <v>66</v>
      </c>
      <c r="K2452" s="4" t="s">
        <v>30</v>
      </c>
      <c r="L2452" s="8">
        <v>2</v>
      </c>
      <c r="M2452" s="9" t="s">
        <v>36</v>
      </c>
      <c r="N2452" s="9" t="str">
        <f t="shared" si="19"/>
        <v>Cardio</v>
      </c>
      <c r="O2452" s="10">
        <v>11517.4</v>
      </c>
      <c r="P2452" s="10">
        <v>7407.14</v>
      </c>
      <c r="Q2452" s="11">
        <v>4.5</v>
      </c>
      <c r="R2452" s="13" t="str">
        <f>IF(Patient_Data!$L2452&lt;2,"Low Risk",IF(Patient_Data!$L2452&lt;4,"Moderate Risk","High Risk"))</f>
        <v>Moderate Risk</v>
      </c>
      <c r="S2452" s="12" t="str">
        <f>IF(Patient_Data[[#This Row],[Age]]&lt;=18,"Pediatric",IF(Patient_Data[[#This Row],[Age]]&lt;=64,"Adult","Geriatric"))</f>
        <v>Geriatric</v>
      </c>
    </row>
    <row r="2453" spans="1:19" ht="15.75" customHeight="1" x14ac:dyDescent="0.3">
      <c r="A2453" s="4" t="s">
        <v>4852</v>
      </c>
      <c r="B2453" s="5" t="str">
        <f>TEXT(Patient_Data!$E2453,"mmmm")</f>
        <v>January</v>
      </c>
      <c r="C2453" s="6" t="str">
        <f t="shared" si="18"/>
        <v>Jan</v>
      </c>
      <c r="D2453" s="6">
        <f>MONTH(Patient_Data!$E2453)</f>
        <v>1</v>
      </c>
      <c r="E2453" s="7">
        <v>45665</v>
      </c>
      <c r="F2453" s="55" t="str">
        <f>TEXT(Patient_Data[[#This Row],[Admission_Date]],"YYYY")</f>
        <v>2025</v>
      </c>
      <c r="G2453" s="8" t="s">
        <v>4853</v>
      </c>
      <c r="H2453" s="8" t="s">
        <v>28</v>
      </c>
      <c r="I2453" s="4" t="s">
        <v>35</v>
      </c>
      <c r="J2453" s="4">
        <v>29</v>
      </c>
      <c r="K2453" s="4" t="s">
        <v>30</v>
      </c>
      <c r="L2453" s="8">
        <v>1</v>
      </c>
      <c r="M2453" s="9" t="s">
        <v>83</v>
      </c>
      <c r="N2453" s="9" t="str">
        <f t="shared" si="19"/>
        <v>ER</v>
      </c>
      <c r="O2453" s="10">
        <v>3311.01</v>
      </c>
      <c r="P2453" s="10">
        <v>2349.58</v>
      </c>
      <c r="Q2453" s="11">
        <v>16.399999999999999</v>
      </c>
      <c r="R2453" s="13" t="str">
        <f>IF(Patient_Data!$L2453&lt;2,"Low Risk",IF(Patient_Data!$L2453&lt;4,"Moderate Risk","High Risk"))</f>
        <v>Low Risk</v>
      </c>
      <c r="S2453" s="12" t="str">
        <f>IF(Patient_Data[[#This Row],[Age]]&lt;=18,"Pediatric",IF(Patient_Data[[#This Row],[Age]]&lt;=64,"Adult","Geriatric"))</f>
        <v>Adult</v>
      </c>
    </row>
    <row r="2454" spans="1:19" ht="15.75" customHeight="1" x14ac:dyDescent="0.3">
      <c r="A2454" s="4" t="s">
        <v>4854</v>
      </c>
      <c r="B2454" s="5" t="str">
        <f>TEXT(Patient_Data!$E2454,"mmmm")</f>
        <v>July</v>
      </c>
      <c r="C2454" s="6" t="str">
        <f t="shared" si="18"/>
        <v>Jul</v>
      </c>
      <c r="D2454" s="6">
        <f>MONTH(Patient_Data!$E2454)</f>
        <v>7</v>
      </c>
      <c r="E2454" s="7">
        <v>45862</v>
      </c>
      <c r="F2454" s="55" t="str">
        <f>TEXT(Patient_Data[[#This Row],[Admission_Date]],"YYYY")</f>
        <v>2025</v>
      </c>
      <c r="G2454" s="8" t="s">
        <v>4855</v>
      </c>
      <c r="H2454" s="8" t="s">
        <v>28</v>
      </c>
      <c r="I2454" s="4" t="s">
        <v>29</v>
      </c>
      <c r="J2454" s="4">
        <v>81</v>
      </c>
      <c r="K2454" s="4" t="s">
        <v>45</v>
      </c>
      <c r="L2454" s="8">
        <v>4</v>
      </c>
      <c r="M2454" s="9" t="s">
        <v>50</v>
      </c>
      <c r="N2454" s="9" t="str">
        <f t="shared" si="19"/>
        <v>ICU</v>
      </c>
      <c r="O2454" s="10">
        <v>14518.1</v>
      </c>
      <c r="P2454" s="10">
        <v>10238.67</v>
      </c>
      <c r="Q2454" s="11">
        <v>9.5</v>
      </c>
      <c r="R2454" s="13" t="str">
        <f>IF(Patient_Data!$L2454&lt;2,"Low Risk",IF(Patient_Data!$L2454&lt;4,"Moderate Risk","High Risk"))</f>
        <v>High Risk</v>
      </c>
      <c r="S2454" s="12" t="str">
        <f>IF(Patient_Data[[#This Row],[Age]]&lt;=18,"Pediatric",IF(Patient_Data[[#This Row],[Age]]&lt;=64,"Adult","Geriatric"))</f>
        <v>Geriatric</v>
      </c>
    </row>
    <row r="2455" spans="1:19" ht="15.75" customHeight="1" x14ac:dyDescent="0.3">
      <c r="A2455" s="4" t="s">
        <v>4856</v>
      </c>
      <c r="B2455" s="5" t="str">
        <f>TEXT(Patient_Data!$E2455,"mmmm")</f>
        <v>March</v>
      </c>
      <c r="C2455" s="6" t="str">
        <f t="shared" si="18"/>
        <v>Mar</v>
      </c>
      <c r="D2455" s="6">
        <f>MONTH(Patient_Data!$E2455)</f>
        <v>3</v>
      </c>
      <c r="E2455" s="7">
        <v>46106</v>
      </c>
      <c r="F2455" s="55" t="str">
        <f>TEXT(Patient_Data[[#This Row],[Admission_Date]],"YYYY")</f>
        <v>2026</v>
      </c>
      <c r="G2455" s="8" t="s">
        <v>2388</v>
      </c>
      <c r="H2455" s="8" t="s">
        <v>49</v>
      </c>
      <c r="I2455" s="4" t="s">
        <v>35</v>
      </c>
      <c r="J2455" s="4">
        <v>78</v>
      </c>
      <c r="K2455" s="4" t="s">
        <v>54</v>
      </c>
      <c r="L2455" s="8">
        <v>5</v>
      </c>
      <c r="M2455" s="9" t="s">
        <v>31</v>
      </c>
      <c r="N2455" s="9" t="str">
        <f t="shared" si="19"/>
        <v>Neuro</v>
      </c>
      <c r="O2455" s="10">
        <v>8376.3700000000008</v>
      </c>
      <c r="P2455" s="10">
        <v>6140.35</v>
      </c>
      <c r="Q2455" s="11">
        <v>3.2</v>
      </c>
      <c r="R2455" s="13" t="str">
        <f>IF(Patient_Data!$L2455&lt;2,"Low Risk",IF(Patient_Data!$L2455&lt;4,"Moderate Risk","High Risk"))</f>
        <v>High Risk</v>
      </c>
      <c r="S2455" s="12" t="str">
        <f>IF(Patient_Data[[#This Row],[Age]]&lt;=18,"Pediatric",IF(Patient_Data[[#This Row],[Age]]&lt;=64,"Adult","Geriatric"))</f>
        <v>Geriatric</v>
      </c>
    </row>
    <row r="2456" spans="1:19" ht="15.75" customHeight="1" x14ac:dyDescent="0.3">
      <c r="A2456" s="4" t="s">
        <v>4857</v>
      </c>
      <c r="B2456" s="5" t="str">
        <f>TEXT(Patient_Data!$E2456,"mmmm")</f>
        <v>October</v>
      </c>
      <c r="C2456" s="6" t="str">
        <f t="shared" si="18"/>
        <v>Oct</v>
      </c>
      <c r="D2456" s="6">
        <f>MONTH(Patient_Data!$E2456)</f>
        <v>10</v>
      </c>
      <c r="E2456" s="7">
        <v>45223</v>
      </c>
      <c r="F2456" s="55" t="str">
        <f>TEXT(Patient_Data[[#This Row],[Admission_Date]],"YYYY")</f>
        <v>2023</v>
      </c>
      <c r="G2456" s="8" t="s">
        <v>4858</v>
      </c>
      <c r="H2456" s="8" t="s">
        <v>28</v>
      </c>
      <c r="I2456" s="4" t="s">
        <v>29</v>
      </c>
      <c r="J2456" s="4">
        <v>70</v>
      </c>
      <c r="K2456" s="4" t="s">
        <v>45</v>
      </c>
      <c r="L2456" s="8">
        <v>4</v>
      </c>
      <c r="M2456" s="9" t="s">
        <v>36</v>
      </c>
      <c r="N2456" s="9" t="str">
        <f t="shared" si="19"/>
        <v>Cardio</v>
      </c>
      <c r="O2456" s="10">
        <v>17467.32</v>
      </c>
      <c r="P2456" s="10">
        <v>13357.56</v>
      </c>
      <c r="Q2456" s="11">
        <v>10.3</v>
      </c>
      <c r="R2456" s="13" t="str">
        <f>IF(Patient_Data!$L2456&lt;2,"Low Risk",IF(Patient_Data!$L2456&lt;4,"Moderate Risk","High Risk"))</f>
        <v>High Risk</v>
      </c>
      <c r="S2456" s="12" t="str">
        <f>IF(Patient_Data[[#This Row],[Age]]&lt;=18,"Pediatric",IF(Patient_Data[[#This Row],[Age]]&lt;=64,"Adult","Geriatric"))</f>
        <v>Geriatric</v>
      </c>
    </row>
    <row r="2457" spans="1:19" ht="15.75" customHeight="1" x14ac:dyDescent="0.3">
      <c r="A2457" s="4" t="s">
        <v>4859</v>
      </c>
      <c r="B2457" s="5" t="str">
        <f>TEXT(Patient_Data!$E2457,"mmmm")</f>
        <v>May</v>
      </c>
      <c r="C2457" s="6" t="str">
        <f t="shared" si="18"/>
        <v>May</v>
      </c>
      <c r="D2457" s="6">
        <f>MONTH(Patient_Data!$E2457)</f>
        <v>5</v>
      </c>
      <c r="E2457" s="7">
        <v>46154</v>
      </c>
      <c r="F2457" s="55" t="str">
        <f>TEXT(Patient_Data[[#This Row],[Admission_Date]],"YYYY")</f>
        <v>2026</v>
      </c>
      <c r="G2457" s="8" t="s">
        <v>4860</v>
      </c>
      <c r="H2457" s="8" t="s">
        <v>34</v>
      </c>
      <c r="I2457" s="4" t="s">
        <v>35</v>
      </c>
      <c r="J2457" s="4">
        <v>25</v>
      </c>
      <c r="K2457" s="4" t="s">
        <v>30</v>
      </c>
      <c r="L2457" s="8">
        <v>2</v>
      </c>
      <c r="M2457" s="9" t="s">
        <v>36</v>
      </c>
      <c r="N2457" s="9" t="str">
        <f t="shared" si="19"/>
        <v>Cardio</v>
      </c>
      <c r="O2457" s="10">
        <v>6637.39</v>
      </c>
      <c r="P2457" s="10">
        <v>3932.89</v>
      </c>
      <c r="Q2457" s="11">
        <v>10.4</v>
      </c>
      <c r="R2457" s="13" t="str">
        <f>IF(Patient_Data!$L2457&lt;2,"Low Risk",IF(Patient_Data!$L2457&lt;4,"Moderate Risk","High Risk"))</f>
        <v>Moderate Risk</v>
      </c>
      <c r="S2457" s="12" t="str">
        <f>IF(Patient_Data[[#This Row],[Age]]&lt;=18,"Pediatric",IF(Patient_Data[[#This Row],[Age]]&lt;=64,"Adult","Geriatric"))</f>
        <v>Adult</v>
      </c>
    </row>
    <row r="2458" spans="1:19" ht="15.75" customHeight="1" x14ac:dyDescent="0.3">
      <c r="A2458" s="4" t="s">
        <v>4861</v>
      </c>
      <c r="B2458" s="5" t="str">
        <f>TEXT(Patient_Data!$E2458,"mmmm")</f>
        <v>April</v>
      </c>
      <c r="C2458" s="6" t="str">
        <f t="shared" si="18"/>
        <v>Apr</v>
      </c>
      <c r="D2458" s="6">
        <f>MONTH(Patient_Data!$E2458)</f>
        <v>4</v>
      </c>
      <c r="E2458" s="7">
        <v>45405</v>
      </c>
      <c r="F2458" s="55" t="str">
        <f>TEXT(Patient_Data[[#This Row],[Admission_Date]],"YYYY")</f>
        <v>2024</v>
      </c>
      <c r="G2458" s="8" t="s">
        <v>4862</v>
      </c>
      <c r="H2458" s="8" t="s">
        <v>49</v>
      </c>
      <c r="I2458" s="4" t="s">
        <v>35</v>
      </c>
      <c r="J2458" s="4">
        <v>27</v>
      </c>
      <c r="K2458" s="4" t="s">
        <v>30</v>
      </c>
      <c r="L2458" s="8">
        <v>1</v>
      </c>
      <c r="M2458" s="9" t="s">
        <v>83</v>
      </c>
      <c r="N2458" s="9" t="str">
        <f t="shared" si="19"/>
        <v>ER</v>
      </c>
      <c r="O2458" s="10">
        <v>6706.27</v>
      </c>
      <c r="P2458" s="10">
        <v>4220.42</v>
      </c>
      <c r="Q2458" s="11">
        <v>16.2</v>
      </c>
      <c r="R2458" s="13" t="str">
        <f>IF(Patient_Data!$L2458&lt;2,"Low Risk",IF(Patient_Data!$L2458&lt;4,"Moderate Risk","High Risk"))</f>
        <v>Low Risk</v>
      </c>
      <c r="S2458" s="12" t="str">
        <f>IF(Patient_Data[[#This Row],[Age]]&lt;=18,"Pediatric",IF(Patient_Data[[#This Row],[Age]]&lt;=64,"Adult","Geriatric"))</f>
        <v>Adult</v>
      </c>
    </row>
    <row r="2459" spans="1:19" ht="15.75" customHeight="1" x14ac:dyDescent="0.3">
      <c r="A2459" s="4" t="s">
        <v>4863</v>
      </c>
      <c r="B2459" s="5" t="str">
        <f>TEXT(Patient_Data!$E2459,"mmmm")</f>
        <v>February</v>
      </c>
      <c r="C2459" s="6" t="str">
        <f t="shared" si="18"/>
        <v>Feb</v>
      </c>
      <c r="D2459" s="6">
        <f>MONTH(Patient_Data!$E2459)</f>
        <v>2</v>
      </c>
      <c r="E2459" s="7">
        <v>45695</v>
      </c>
      <c r="F2459" s="55" t="str">
        <f>TEXT(Patient_Data[[#This Row],[Admission_Date]],"YYYY")</f>
        <v>2025</v>
      </c>
      <c r="G2459" s="8" t="s">
        <v>4864</v>
      </c>
      <c r="H2459" s="8" t="s">
        <v>42</v>
      </c>
      <c r="I2459" s="4" t="s">
        <v>29</v>
      </c>
      <c r="J2459" s="4">
        <v>35</v>
      </c>
      <c r="K2459" s="4" t="s">
        <v>54</v>
      </c>
      <c r="L2459" s="8">
        <v>3</v>
      </c>
      <c r="M2459" s="9" t="s">
        <v>83</v>
      </c>
      <c r="N2459" s="9" t="str">
        <f t="shared" si="19"/>
        <v>ER</v>
      </c>
      <c r="O2459" s="10">
        <v>9076.23</v>
      </c>
      <c r="P2459" s="10">
        <v>5910.39</v>
      </c>
      <c r="Q2459" s="11">
        <v>12.7</v>
      </c>
      <c r="R2459" s="13" t="str">
        <f>IF(Patient_Data!$L2459&lt;2,"Low Risk",IF(Patient_Data!$L2459&lt;4,"Moderate Risk","High Risk"))</f>
        <v>Moderate Risk</v>
      </c>
      <c r="S2459" s="12" t="str">
        <f>IF(Patient_Data[[#This Row],[Age]]&lt;=18,"Pediatric",IF(Patient_Data[[#This Row],[Age]]&lt;=64,"Adult","Geriatric"))</f>
        <v>Adult</v>
      </c>
    </row>
    <row r="2460" spans="1:19" ht="15.75" customHeight="1" x14ac:dyDescent="0.3">
      <c r="A2460" s="4" t="s">
        <v>4865</v>
      </c>
      <c r="B2460" s="5" t="str">
        <f>TEXT(Patient_Data!$E2460,"mmmm")</f>
        <v>November</v>
      </c>
      <c r="C2460" s="6" t="str">
        <f t="shared" si="18"/>
        <v>Nov</v>
      </c>
      <c r="D2460" s="6">
        <f>MONTH(Patient_Data!$E2460)</f>
        <v>11</v>
      </c>
      <c r="E2460" s="7">
        <v>45618</v>
      </c>
      <c r="F2460" s="55" t="str">
        <f>TEXT(Patient_Data[[#This Row],[Admission_Date]],"YYYY")</f>
        <v>2024</v>
      </c>
      <c r="G2460" s="8" t="s">
        <v>4866</v>
      </c>
      <c r="H2460" s="8" t="s">
        <v>82</v>
      </c>
      <c r="I2460" s="4" t="s">
        <v>29</v>
      </c>
      <c r="J2460" s="4">
        <v>83</v>
      </c>
      <c r="K2460" s="4" t="s">
        <v>30</v>
      </c>
      <c r="L2460" s="8">
        <v>3</v>
      </c>
      <c r="M2460" s="9" t="s">
        <v>31</v>
      </c>
      <c r="N2460" s="9" t="str">
        <f t="shared" si="19"/>
        <v>Neuro</v>
      </c>
      <c r="O2460" s="10">
        <v>13554.21</v>
      </c>
      <c r="P2460" s="10">
        <v>9122.1200000000008</v>
      </c>
      <c r="Q2460" s="11">
        <v>5.0999999999999996</v>
      </c>
      <c r="R2460" s="13" t="str">
        <f>IF(Patient_Data!$L2460&lt;2,"Low Risk",IF(Patient_Data!$L2460&lt;4,"Moderate Risk","High Risk"))</f>
        <v>Moderate Risk</v>
      </c>
      <c r="S2460" s="12" t="str">
        <f>IF(Patient_Data[[#This Row],[Age]]&lt;=18,"Pediatric",IF(Patient_Data[[#This Row],[Age]]&lt;=64,"Adult","Geriatric"))</f>
        <v>Geriatric</v>
      </c>
    </row>
    <row r="2461" spans="1:19" ht="15.75" customHeight="1" x14ac:dyDescent="0.3">
      <c r="A2461" s="4" t="s">
        <v>4867</v>
      </c>
      <c r="B2461" s="5" t="str">
        <f>TEXT(Patient_Data!$E2461,"mmmm")</f>
        <v>December</v>
      </c>
      <c r="C2461" s="6" t="str">
        <f t="shared" si="18"/>
        <v>Dec</v>
      </c>
      <c r="D2461" s="6">
        <f>MONTH(Patient_Data!$E2461)</f>
        <v>12</v>
      </c>
      <c r="E2461" s="7">
        <v>45637</v>
      </c>
      <c r="F2461" s="55" t="str">
        <f>TEXT(Patient_Data[[#This Row],[Admission_Date]],"YYYY")</f>
        <v>2024</v>
      </c>
      <c r="G2461" s="8" t="s">
        <v>4868</v>
      </c>
      <c r="H2461" s="8" t="s">
        <v>53</v>
      </c>
      <c r="I2461" s="4" t="s">
        <v>29</v>
      </c>
      <c r="J2461" s="4">
        <v>80</v>
      </c>
      <c r="K2461" s="4" t="s">
        <v>54</v>
      </c>
      <c r="L2461" s="8">
        <v>1</v>
      </c>
      <c r="M2461" s="9" t="s">
        <v>39</v>
      </c>
      <c r="N2461" s="9" t="str">
        <f t="shared" si="19"/>
        <v>GM</v>
      </c>
      <c r="O2461" s="10">
        <v>1213.8900000000001</v>
      </c>
      <c r="P2461" s="10">
        <v>912.92</v>
      </c>
      <c r="Q2461" s="11">
        <v>7.9</v>
      </c>
      <c r="R2461" s="13" t="str">
        <f>IF(Patient_Data!$L2461&lt;2,"Low Risk",IF(Patient_Data!$L2461&lt;4,"Moderate Risk","High Risk"))</f>
        <v>Low Risk</v>
      </c>
      <c r="S2461" s="12" t="str">
        <f>IF(Patient_Data[[#This Row],[Age]]&lt;=18,"Pediatric",IF(Patient_Data[[#This Row],[Age]]&lt;=64,"Adult","Geriatric"))</f>
        <v>Geriatric</v>
      </c>
    </row>
    <row r="2462" spans="1:19" ht="15.75" customHeight="1" x14ac:dyDescent="0.3">
      <c r="A2462" s="4" t="s">
        <v>4869</v>
      </c>
      <c r="B2462" s="5" t="str">
        <f>TEXT(Patient_Data!$E2462,"mmmm")</f>
        <v>June</v>
      </c>
      <c r="C2462" s="6" t="str">
        <f t="shared" si="18"/>
        <v>Jun</v>
      </c>
      <c r="D2462" s="6">
        <f>MONTH(Patient_Data!$E2462)</f>
        <v>6</v>
      </c>
      <c r="E2462" s="7">
        <v>45813</v>
      </c>
      <c r="F2462" s="55" t="str">
        <f>TEXT(Patient_Data[[#This Row],[Admission_Date]],"YYYY")</f>
        <v>2025</v>
      </c>
      <c r="G2462" s="8" t="s">
        <v>4870</v>
      </c>
      <c r="H2462" s="8" t="s">
        <v>82</v>
      </c>
      <c r="I2462" s="4" t="s">
        <v>29</v>
      </c>
      <c r="J2462" s="4">
        <v>79</v>
      </c>
      <c r="K2462" s="4" t="s">
        <v>54</v>
      </c>
      <c r="L2462" s="8">
        <v>5</v>
      </c>
      <c r="M2462" s="9" t="s">
        <v>50</v>
      </c>
      <c r="N2462" s="9" t="str">
        <f t="shared" si="19"/>
        <v>ICU</v>
      </c>
      <c r="O2462" s="10">
        <v>25330.44</v>
      </c>
      <c r="P2462" s="10">
        <v>18584.02</v>
      </c>
      <c r="Q2462" s="11">
        <v>11.6</v>
      </c>
      <c r="R2462" s="13" t="str">
        <f>IF(Patient_Data!$L2462&lt;2,"Low Risk",IF(Patient_Data!$L2462&lt;4,"Moderate Risk","High Risk"))</f>
        <v>High Risk</v>
      </c>
      <c r="S2462" s="12" t="str">
        <f>IF(Patient_Data[[#This Row],[Age]]&lt;=18,"Pediatric",IF(Patient_Data[[#This Row],[Age]]&lt;=64,"Adult","Geriatric"))</f>
        <v>Geriatric</v>
      </c>
    </row>
    <row r="2463" spans="1:19" ht="15.75" customHeight="1" x14ac:dyDescent="0.3">
      <c r="A2463" s="4" t="s">
        <v>4871</v>
      </c>
      <c r="B2463" s="5" t="str">
        <f>TEXT(Patient_Data!$E2463,"mmmm")</f>
        <v>July</v>
      </c>
      <c r="C2463" s="6" t="str">
        <f t="shared" si="18"/>
        <v>Jul</v>
      </c>
      <c r="D2463" s="6">
        <f>MONTH(Patient_Data!$E2463)</f>
        <v>7</v>
      </c>
      <c r="E2463" s="7">
        <v>46224</v>
      </c>
      <c r="F2463" s="55" t="str">
        <f>TEXT(Patient_Data[[#This Row],[Admission_Date]],"YYYY")</f>
        <v>2026</v>
      </c>
      <c r="G2463" s="8" t="s">
        <v>4872</v>
      </c>
      <c r="H2463" s="8" t="s">
        <v>49</v>
      </c>
      <c r="I2463" s="4" t="s">
        <v>35</v>
      </c>
      <c r="J2463" s="4">
        <v>69</v>
      </c>
      <c r="K2463" s="4" t="s">
        <v>54</v>
      </c>
      <c r="L2463" s="8">
        <v>4</v>
      </c>
      <c r="M2463" s="9" t="s">
        <v>36</v>
      </c>
      <c r="N2463" s="9" t="str">
        <f t="shared" si="19"/>
        <v>Cardio</v>
      </c>
      <c r="O2463" s="10">
        <v>16650.68</v>
      </c>
      <c r="P2463" s="10">
        <v>12674.52</v>
      </c>
      <c r="Q2463" s="11">
        <v>2.5</v>
      </c>
      <c r="R2463" s="13" t="str">
        <f>IF(Patient_Data!$L2463&lt;2,"Low Risk",IF(Patient_Data!$L2463&lt;4,"Moderate Risk","High Risk"))</f>
        <v>High Risk</v>
      </c>
      <c r="S2463" s="12" t="str">
        <f>IF(Patient_Data[[#This Row],[Age]]&lt;=18,"Pediatric",IF(Patient_Data[[#This Row],[Age]]&lt;=64,"Adult","Geriatric"))</f>
        <v>Geriatric</v>
      </c>
    </row>
    <row r="2464" spans="1:19" ht="15.75" customHeight="1" x14ac:dyDescent="0.3">
      <c r="A2464" s="4" t="s">
        <v>4873</v>
      </c>
      <c r="B2464" s="5" t="str">
        <f>TEXT(Patient_Data!$E2464,"mmmm")</f>
        <v>February</v>
      </c>
      <c r="C2464" s="6" t="str">
        <f t="shared" si="18"/>
        <v>Feb</v>
      </c>
      <c r="D2464" s="6">
        <f>MONTH(Patient_Data!$E2464)</f>
        <v>2</v>
      </c>
      <c r="E2464" s="7">
        <v>45706</v>
      </c>
      <c r="F2464" s="55" t="str">
        <f>TEXT(Patient_Data[[#This Row],[Admission_Date]],"YYYY")</f>
        <v>2025</v>
      </c>
      <c r="G2464" s="8" t="s">
        <v>4874</v>
      </c>
      <c r="H2464" s="8" t="s">
        <v>28</v>
      </c>
      <c r="I2464" s="4" t="s">
        <v>35</v>
      </c>
      <c r="J2464" s="4">
        <v>45</v>
      </c>
      <c r="K2464" s="4" t="s">
        <v>30</v>
      </c>
      <c r="L2464" s="8">
        <v>1</v>
      </c>
      <c r="M2464" s="9" t="s">
        <v>36</v>
      </c>
      <c r="N2464" s="9" t="str">
        <f t="shared" si="19"/>
        <v>Cardio</v>
      </c>
      <c r="O2464" s="10">
        <v>8295.1299999999992</v>
      </c>
      <c r="P2464" s="10">
        <v>4834.38</v>
      </c>
      <c r="Q2464" s="11">
        <v>2.9</v>
      </c>
      <c r="R2464" s="13" t="str">
        <f>IF(Patient_Data!$L2464&lt;2,"Low Risk",IF(Patient_Data!$L2464&lt;4,"Moderate Risk","High Risk"))</f>
        <v>Low Risk</v>
      </c>
      <c r="S2464" s="12" t="str">
        <f>IF(Patient_Data[[#This Row],[Age]]&lt;=18,"Pediatric",IF(Patient_Data[[#This Row],[Age]]&lt;=64,"Adult","Geriatric"))</f>
        <v>Adult</v>
      </c>
    </row>
    <row r="2465" spans="1:19" ht="15.75" customHeight="1" x14ac:dyDescent="0.3">
      <c r="A2465" s="4" t="s">
        <v>4875</v>
      </c>
      <c r="B2465" s="5" t="str">
        <f>TEXT(Patient_Data!$E2465,"mmmm")</f>
        <v>July</v>
      </c>
      <c r="C2465" s="6" t="str">
        <f t="shared" si="18"/>
        <v>Jul</v>
      </c>
      <c r="D2465" s="6">
        <f>MONTH(Patient_Data!$E2465)</f>
        <v>7</v>
      </c>
      <c r="E2465" s="7">
        <v>45867</v>
      </c>
      <c r="F2465" s="55" t="str">
        <f>TEXT(Patient_Data[[#This Row],[Admission_Date]],"YYYY")</f>
        <v>2025</v>
      </c>
      <c r="G2465" s="8" t="s">
        <v>3368</v>
      </c>
      <c r="H2465" s="8" t="s">
        <v>75</v>
      </c>
      <c r="I2465" s="4" t="s">
        <v>29</v>
      </c>
      <c r="J2465" s="4">
        <v>34</v>
      </c>
      <c r="K2465" s="4" t="s">
        <v>54</v>
      </c>
      <c r="L2465" s="8">
        <v>5</v>
      </c>
      <c r="M2465" s="9" t="s">
        <v>72</v>
      </c>
      <c r="N2465" s="9" t="str">
        <f t="shared" si="19"/>
        <v>Surgery</v>
      </c>
      <c r="O2465" s="10">
        <v>14232.01</v>
      </c>
      <c r="P2465" s="10">
        <v>8771.1299999999992</v>
      </c>
      <c r="Q2465" s="11">
        <v>11.2</v>
      </c>
      <c r="R2465" s="13" t="str">
        <f>IF(Patient_Data!$L2465&lt;2,"Low Risk",IF(Patient_Data!$L2465&lt;4,"Moderate Risk","High Risk"))</f>
        <v>High Risk</v>
      </c>
      <c r="S2465" s="12" t="str">
        <f>IF(Patient_Data[[#This Row],[Age]]&lt;=18,"Pediatric",IF(Patient_Data[[#This Row],[Age]]&lt;=64,"Adult","Geriatric"))</f>
        <v>Adult</v>
      </c>
    </row>
    <row r="2466" spans="1:19" ht="15.75" customHeight="1" x14ac:dyDescent="0.3">
      <c r="A2466" s="4" t="s">
        <v>4876</v>
      </c>
      <c r="B2466" s="5" t="str">
        <f>TEXT(Patient_Data!$E2466,"mmmm")</f>
        <v>January</v>
      </c>
      <c r="C2466" s="6" t="str">
        <f t="shared" si="18"/>
        <v>Jan</v>
      </c>
      <c r="D2466" s="6">
        <f>MONTH(Patient_Data!$E2466)</f>
        <v>1</v>
      </c>
      <c r="E2466" s="7">
        <v>45322</v>
      </c>
      <c r="F2466" s="55" t="str">
        <f>TEXT(Patient_Data[[#This Row],[Admission_Date]],"YYYY")</f>
        <v>2024</v>
      </c>
      <c r="G2466" s="8" t="s">
        <v>4877</v>
      </c>
      <c r="H2466" s="8" t="s">
        <v>28</v>
      </c>
      <c r="I2466" s="4" t="s">
        <v>29</v>
      </c>
      <c r="J2466" s="4">
        <v>79</v>
      </c>
      <c r="K2466" s="4" t="s">
        <v>54</v>
      </c>
      <c r="L2466" s="8">
        <v>4</v>
      </c>
      <c r="M2466" s="9" t="s">
        <v>31</v>
      </c>
      <c r="N2466" s="9" t="str">
        <f t="shared" si="19"/>
        <v>Neuro</v>
      </c>
      <c r="O2466" s="10">
        <v>10416.459999999999</v>
      </c>
      <c r="P2466" s="10">
        <v>6701.73</v>
      </c>
      <c r="Q2466" s="11">
        <v>4.4000000000000004</v>
      </c>
      <c r="R2466" s="13" t="str">
        <f>IF(Patient_Data!$L2466&lt;2,"Low Risk",IF(Patient_Data!$L2466&lt;4,"Moderate Risk","High Risk"))</f>
        <v>High Risk</v>
      </c>
      <c r="S2466" s="12" t="str">
        <f>IF(Patient_Data[[#This Row],[Age]]&lt;=18,"Pediatric",IF(Patient_Data[[#This Row],[Age]]&lt;=64,"Adult","Geriatric"))</f>
        <v>Geriatric</v>
      </c>
    </row>
    <row r="2467" spans="1:19" ht="15.75" customHeight="1" x14ac:dyDescent="0.3">
      <c r="A2467" s="4" t="s">
        <v>4878</v>
      </c>
      <c r="B2467" s="5" t="str">
        <f>TEXT(Patient_Data!$E2467,"mmmm")</f>
        <v>August</v>
      </c>
      <c r="C2467" s="6" t="str">
        <f t="shared" si="18"/>
        <v>Aug</v>
      </c>
      <c r="D2467" s="6">
        <f>MONTH(Patient_Data!$E2467)</f>
        <v>8</v>
      </c>
      <c r="E2467" s="7">
        <v>45532</v>
      </c>
      <c r="F2467" s="55" t="str">
        <f>TEXT(Patient_Data[[#This Row],[Admission_Date]],"YYYY")</f>
        <v>2024</v>
      </c>
      <c r="G2467" s="8" t="s">
        <v>4879</v>
      </c>
      <c r="H2467" s="8" t="s">
        <v>28</v>
      </c>
      <c r="I2467" s="4" t="s">
        <v>29</v>
      </c>
      <c r="J2467" s="4">
        <v>3</v>
      </c>
      <c r="K2467" s="4" t="s">
        <v>45</v>
      </c>
      <c r="L2467" s="8">
        <v>1</v>
      </c>
      <c r="M2467" s="9" t="s">
        <v>79</v>
      </c>
      <c r="N2467" s="9" t="str">
        <f t="shared" si="19"/>
        <v>PD</v>
      </c>
      <c r="O2467" s="10">
        <v>1541.21</v>
      </c>
      <c r="P2467" s="10">
        <v>1045.4100000000001</v>
      </c>
      <c r="Q2467" s="11">
        <v>1.6</v>
      </c>
      <c r="R2467" s="13" t="str">
        <f>IF(Patient_Data!$L2467&lt;2,"Low Risk",IF(Patient_Data!$L2467&lt;4,"Moderate Risk","High Risk"))</f>
        <v>Low Risk</v>
      </c>
      <c r="S2467" s="12" t="str">
        <f>IF(Patient_Data[[#This Row],[Age]]&lt;=18,"Pediatric",IF(Patient_Data[[#This Row],[Age]]&lt;=64,"Adult","Geriatric"))</f>
        <v>Pediatric</v>
      </c>
    </row>
    <row r="2468" spans="1:19" ht="15.75" customHeight="1" x14ac:dyDescent="0.3">
      <c r="A2468" s="4" t="s">
        <v>4880</v>
      </c>
      <c r="B2468" s="5" t="str">
        <f>TEXT(Patient_Data!$E2468,"mmmm")</f>
        <v>April</v>
      </c>
      <c r="C2468" s="6" t="str">
        <f t="shared" si="18"/>
        <v>Apr</v>
      </c>
      <c r="D2468" s="6">
        <f>MONTH(Patient_Data!$E2468)</f>
        <v>4</v>
      </c>
      <c r="E2468" s="7">
        <v>46142</v>
      </c>
      <c r="F2468" s="55" t="str">
        <f>TEXT(Patient_Data[[#This Row],[Admission_Date]],"YYYY")</f>
        <v>2026</v>
      </c>
      <c r="G2468" s="8" t="s">
        <v>4881</v>
      </c>
      <c r="H2468" s="8" t="s">
        <v>75</v>
      </c>
      <c r="I2468" s="4" t="s">
        <v>29</v>
      </c>
      <c r="J2468" s="4">
        <v>55</v>
      </c>
      <c r="K2468" s="4" t="s">
        <v>54</v>
      </c>
      <c r="L2468" s="8">
        <v>4</v>
      </c>
      <c r="M2468" s="9" t="s">
        <v>50</v>
      </c>
      <c r="N2468" s="9" t="str">
        <f t="shared" si="19"/>
        <v>ICU</v>
      </c>
      <c r="O2468" s="10">
        <v>19244.66</v>
      </c>
      <c r="P2468" s="10">
        <v>13554.46</v>
      </c>
      <c r="Q2468" s="11">
        <v>10.4</v>
      </c>
      <c r="R2468" s="13" t="str">
        <f>IF(Patient_Data!$L2468&lt;2,"Low Risk",IF(Patient_Data!$L2468&lt;4,"Moderate Risk","High Risk"))</f>
        <v>High Risk</v>
      </c>
      <c r="S2468" s="12" t="str">
        <f>IF(Patient_Data[[#This Row],[Age]]&lt;=18,"Pediatric",IF(Patient_Data[[#This Row],[Age]]&lt;=64,"Adult","Geriatric"))</f>
        <v>Adult</v>
      </c>
    </row>
    <row r="2469" spans="1:19" ht="15.75" customHeight="1" x14ac:dyDescent="0.3">
      <c r="A2469" s="4" t="s">
        <v>4882</v>
      </c>
      <c r="B2469" s="5" t="str">
        <f>TEXT(Patient_Data!$E2469,"mmmm")</f>
        <v>October</v>
      </c>
      <c r="C2469" s="6" t="str">
        <f t="shared" si="18"/>
        <v>Oct</v>
      </c>
      <c r="D2469" s="6">
        <f>MONTH(Patient_Data!$E2469)</f>
        <v>10</v>
      </c>
      <c r="E2469" s="7">
        <v>45575</v>
      </c>
      <c r="F2469" s="55" t="str">
        <f>TEXT(Patient_Data[[#This Row],[Admission_Date]],"YYYY")</f>
        <v>2024</v>
      </c>
      <c r="G2469" s="8" t="s">
        <v>4883</v>
      </c>
      <c r="H2469" s="8" t="s">
        <v>98</v>
      </c>
      <c r="I2469" s="4" t="s">
        <v>29</v>
      </c>
      <c r="J2469" s="4">
        <v>40</v>
      </c>
      <c r="K2469" s="4" t="s">
        <v>54</v>
      </c>
      <c r="L2469" s="8">
        <v>5</v>
      </c>
      <c r="M2469" s="9" t="s">
        <v>72</v>
      </c>
      <c r="N2469" s="9" t="str">
        <f t="shared" si="19"/>
        <v>Surgery</v>
      </c>
      <c r="O2469" s="10">
        <v>16443.54</v>
      </c>
      <c r="P2469" s="10">
        <v>12066.18</v>
      </c>
      <c r="Q2469" s="11">
        <v>7.8</v>
      </c>
      <c r="R2469" s="13" t="str">
        <f>IF(Patient_Data!$L2469&lt;2,"Low Risk",IF(Patient_Data!$L2469&lt;4,"Moderate Risk","High Risk"))</f>
        <v>High Risk</v>
      </c>
      <c r="S2469" s="12" t="str">
        <f>IF(Patient_Data[[#This Row],[Age]]&lt;=18,"Pediatric",IF(Patient_Data[[#This Row],[Age]]&lt;=64,"Adult","Geriatric"))</f>
        <v>Adult</v>
      </c>
    </row>
    <row r="2470" spans="1:19" ht="15.75" customHeight="1" x14ac:dyDescent="0.3">
      <c r="A2470" s="4" t="s">
        <v>4884</v>
      </c>
      <c r="B2470" s="5" t="str">
        <f>TEXT(Patient_Data!$E2470,"mmmm")</f>
        <v>October</v>
      </c>
      <c r="C2470" s="6" t="str">
        <f t="shared" si="18"/>
        <v>Oct</v>
      </c>
      <c r="D2470" s="6">
        <f>MONTH(Patient_Data!$E2470)</f>
        <v>10</v>
      </c>
      <c r="E2470" s="7">
        <v>45582</v>
      </c>
      <c r="F2470" s="55" t="str">
        <f>TEXT(Patient_Data[[#This Row],[Admission_Date]],"YYYY")</f>
        <v>2024</v>
      </c>
      <c r="G2470" s="8" t="s">
        <v>4885</v>
      </c>
      <c r="H2470" s="8" t="s">
        <v>28</v>
      </c>
      <c r="I2470" s="4" t="s">
        <v>29</v>
      </c>
      <c r="J2470" s="4">
        <v>70</v>
      </c>
      <c r="K2470" s="4" t="s">
        <v>54</v>
      </c>
      <c r="L2470" s="8">
        <v>3</v>
      </c>
      <c r="M2470" s="9" t="s">
        <v>36</v>
      </c>
      <c r="N2470" s="9" t="str">
        <f t="shared" si="19"/>
        <v>Cardio</v>
      </c>
      <c r="O2470" s="10">
        <v>13579.71</v>
      </c>
      <c r="P2470" s="10">
        <v>10340.58</v>
      </c>
      <c r="Q2470" s="11">
        <v>2.5</v>
      </c>
      <c r="R2470" s="13" t="str">
        <f>IF(Patient_Data!$L2470&lt;2,"Low Risk",IF(Patient_Data!$L2470&lt;4,"Moderate Risk","High Risk"))</f>
        <v>Moderate Risk</v>
      </c>
      <c r="S2470" s="12" t="str">
        <f>IF(Patient_Data[[#This Row],[Age]]&lt;=18,"Pediatric",IF(Patient_Data[[#This Row],[Age]]&lt;=64,"Adult","Geriatric"))</f>
        <v>Geriatric</v>
      </c>
    </row>
    <row r="2471" spans="1:19" ht="15.75" customHeight="1" x14ac:dyDescent="0.3">
      <c r="A2471" s="4" t="s">
        <v>4886</v>
      </c>
      <c r="B2471" s="5" t="str">
        <f>TEXT(Patient_Data!$E2471,"mmmm")</f>
        <v>January</v>
      </c>
      <c r="C2471" s="6" t="str">
        <f t="shared" si="18"/>
        <v>Jan</v>
      </c>
      <c r="D2471" s="6">
        <f>MONTH(Patient_Data!$E2471)</f>
        <v>1</v>
      </c>
      <c r="E2471" s="7">
        <v>45678</v>
      </c>
      <c r="F2471" s="55" t="str">
        <f>TEXT(Patient_Data[[#This Row],[Admission_Date]],"YYYY")</f>
        <v>2025</v>
      </c>
      <c r="G2471" s="8" t="s">
        <v>4887</v>
      </c>
      <c r="H2471" s="8" t="s">
        <v>53</v>
      </c>
      <c r="I2471" s="4" t="s">
        <v>29</v>
      </c>
      <c r="J2471" s="4">
        <v>18</v>
      </c>
      <c r="K2471" s="4" t="s">
        <v>30</v>
      </c>
      <c r="L2471" s="8">
        <v>1</v>
      </c>
      <c r="M2471" s="9" t="s">
        <v>39</v>
      </c>
      <c r="N2471" s="9" t="str">
        <f t="shared" si="19"/>
        <v>GM</v>
      </c>
      <c r="O2471" s="10">
        <v>1223.17</v>
      </c>
      <c r="P2471" s="10">
        <v>742.24</v>
      </c>
      <c r="Q2471" s="11">
        <v>4.0999999999999996</v>
      </c>
      <c r="R2471" s="13" t="str">
        <f>IF(Patient_Data!$L2471&lt;2,"Low Risk",IF(Patient_Data!$L2471&lt;4,"Moderate Risk","High Risk"))</f>
        <v>Low Risk</v>
      </c>
      <c r="S2471" s="12" t="str">
        <f>IF(Patient_Data[[#This Row],[Age]]&lt;=18,"Pediatric",IF(Patient_Data[[#This Row],[Age]]&lt;=64,"Adult","Geriatric"))</f>
        <v>Pediatric</v>
      </c>
    </row>
    <row r="2472" spans="1:19" ht="15.75" customHeight="1" x14ac:dyDescent="0.3">
      <c r="A2472" s="4" t="s">
        <v>4888</v>
      </c>
      <c r="B2472" s="5" t="str">
        <f>TEXT(Patient_Data!$E2472,"mmmm")</f>
        <v>August</v>
      </c>
      <c r="C2472" s="6" t="str">
        <f t="shared" si="18"/>
        <v>Aug</v>
      </c>
      <c r="D2472" s="6">
        <f>MONTH(Patient_Data!$E2472)</f>
        <v>8</v>
      </c>
      <c r="E2472" s="7">
        <v>45896</v>
      </c>
      <c r="F2472" s="55" t="str">
        <f>TEXT(Patient_Data[[#This Row],[Admission_Date]],"YYYY")</f>
        <v>2025</v>
      </c>
      <c r="G2472" s="8" t="s">
        <v>4889</v>
      </c>
      <c r="H2472" s="8" t="s">
        <v>28</v>
      </c>
      <c r="I2472" s="4" t="s">
        <v>29</v>
      </c>
      <c r="J2472" s="4">
        <v>67</v>
      </c>
      <c r="K2472" s="4" t="s">
        <v>30</v>
      </c>
      <c r="L2472" s="8">
        <v>1</v>
      </c>
      <c r="M2472" s="9" t="s">
        <v>46</v>
      </c>
      <c r="N2472" s="9" t="str">
        <f t="shared" si="19"/>
        <v>Ortho</v>
      </c>
      <c r="O2472" s="10">
        <v>3540.57</v>
      </c>
      <c r="P2472" s="10">
        <v>2179.75</v>
      </c>
      <c r="Q2472" s="11">
        <v>2.5</v>
      </c>
      <c r="R2472" s="13" t="str">
        <f>IF(Patient_Data!$L2472&lt;2,"Low Risk",IF(Patient_Data!$L2472&lt;4,"Moderate Risk","High Risk"))</f>
        <v>Low Risk</v>
      </c>
      <c r="S2472" s="12" t="str">
        <f>IF(Patient_Data[[#This Row],[Age]]&lt;=18,"Pediatric",IF(Patient_Data[[#This Row],[Age]]&lt;=64,"Adult","Geriatric"))</f>
        <v>Geriatric</v>
      </c>
    </row>
    <row r="2473" spans="1:19" ht="15.75" customHeight="1" x14ac:dyDescent="0.3">
      <c r="A2473" s="4" t="s">
        <v>4890</v>
      </c>
      <c r="B2473" s="5" t="str">
        <f>TEXT(Patient_Data!$E2473,"mmmm")</f>
        <v>April</v>
      </c>
      <c r="C2473" s="6" t="str">
        <f t="shared" si="18"/>
        <v>Apr</v>
      </c>
      <c r="D2473" s="6">
        <f>MONTH(Patient_Data!$E2473)</f>
        <v>4</v>
      </c>
      <c r="E2473" s="7">
        <v>45412</v>
      </c>
      <c r="F2473" s="55" t="str">
        <f>TEXT(Patient_Data[[#This Row],[Admission_Date]],"YYYY")</f>
        <v>2024</v>
      </c>
      <c r="G2473" s="8" t="s">
        <v>4891</v>
      </c>
      <c r="H2473" s="8" t="s">
        <v>49</v>
      </c>
      <c r="I2473" s="4" t="s">
        <v>29</v>
      </c>
      <c r="J2473" s="4">
        <v>46</v>
      </c>
      <c r="K2473" s="4" t="s">
        <v>30</v>
      </c>
      <c r="L2473" s="8">
        <v>2</v>
      </c>
      <c r="M2473" s="9" t="s">
        <v>39</v>
      </c>
      <c r="N2473" s="9" t="str">
        <f t="shared" si="19"/>
        <v>GM</v>
      </c>
      <c r="O2473" s="10">
        <v>5402.2</v>
      </c>
      <c r="P2473" s="10">
        <v>3510.21</v>
      </c>
      <c r="Q2473" s="11">
        <v>6.6</v>
      </c>
      <c r="R2473" s="13" t="str">
        <f>IF(Patient_Data!$L2473&lt;2,"Low Risk",IF(Patient_Data!$L2473&lt;4,"Moderate Risk","High Risk"))</f>
        <v>Moderate Risk</v>
      </c>
      <c r="S2473" s="12" t="str">
        <f>IF(Patient_Data[[#This Row],[Age]]&lt;=18,"Pediatric",IF(Patient_Data[[#This Row],[Age]]&lt;=64,"Adult","Geriatric"))</f>
        <v>Adult</v>
      </c>
    </row>
    <row r="2474" spans="1:19" ht="15.75" customHeight="1" x14ac:dyDescent="0.3">
      <c r="A2474" s="4" t="s">
        <v>4892</v>
      </c>
      <c r="B2474" s="5" t="str">
        <f>TEXT(Patient_Data!$E2474,"mmmm")</f>
        <v>February</v>
      </c>
      <c r="C2474" s="6" t="str">
        <f t="shared" si="18"/>
        <v>Feb</v>
      </c>
      <c r="D2474" s="6">
        <f>MONTH(Patient_Data!$E2474)</f>
        <v>2</v>
      </c>
      <c r="E2474" s="7">
        <v>45327</v>
      </c>
      <c r="F2474" s="55" t="str">
        <f>TEXT(Patient_Data[[#This Row],[Admission_Date]],"YYYY")</f>
        <v>2024</v>
      </c>
      <c r="G2474" s="8" t="s">
        <v>4893</v>
      </c>
      <c r="H2474" s="8" t="s">
        <v>28</v>
      </c>
      <c r="I2474" s="4" t="s">
        <v>29</v>
      </c>
      <c r="J2474" s="4">
        <v>77</v>
      </c>
      <c r="K2474" s="4" t="s">
        <v>30</v>
      </c>
      <c r="L2474" s="8">
        <v>2</v>
      </c>
      <c r="M2474" s="9" t="s">
        <v>31</v>
      </c>
      <c r="N2474" s="9" t="str">
        <f t="shared" si="19"/>
        <v>Neuro</v>
      </c>
      <c r="O2474" s="10">
        <v>6450.86</v>
      </c>
      <c r="P2474" s="10">
        <v>4394.08</v>
      </c>
      <c r="Q2474" s="11">
        <v>9</v>
      </c>
      <c r="R2474" s="13" t="str">
        <f>IF(Patient_Data!$L2474&lt;2,"Low Risk",IF(Patient_Data!$L2474&lt;4,"Moderate Risk","High Risk"))</f>
        <v>Moderate Risk</v>
      </c>
      <c r="S2474" s="12" t="str">
        <f>IF(Patient_Data[[#This Row],[Age]]&lt;=18,"Pediatric",IF(Patient_Data[[#This Row],[Age]]&lt;=64,"Adult","Geriatric"))</f>
        <v>Geriatric</v>
      </c>
    </row>
    <row r="2475" spans="1:19" ht="15.75" customHeight="1" x14ac:dyDescent="0.3">
      <c r="A2475" s="4" t="s">
        <v>4894</v>
      </c>
      <c r="B2475" s="5" t="str">
        <f>TEXT(Patient_Data!$E2475,"mmmm")</f>
        <v>June</v>
      </c>
      <c r="C2475" s="6" t="str">
        <f t="shared" si="18"/>
        <v>Jun</v>
      </c>
      <c r="D2475" s="6">
        <f>MONTH(Patient_Data!$E2475)</f>
        <v>6</v>
      </c>
      <c r="E2475" s="7">
        <v>46175</v>
      </c>
      <c r="F2475" s="55" t="str">
        <f>TEXT(Patient_Data[[#This Row],[Admission_Date]],"YYYY")</f>
        <v>2026</v>
      </c>
      <c r="G2475" s="8" t="s">
        <v>4895</v>
      </c>
      <c r="H2475" s="8" t="s">
        <v>82</v>
      </c>
      <c r="I2475" s="4" t="s">
        <v>29</v>
      </c>
      <c r="J2475" s="4">
        <v>51</v>
      </c>
      <c r="K2475" s="4" t="s">
        <v>30</v>
      </c>
      <c r="L2475" s="8">
        <v>1</v>
      </c>
      <c r="M2475" s="9" t="s">
        <v>83</v>
      </c>
      <c r="N2475" s="9" t="str">
        <f t="shared" si="19"/>
        <v>ER</v>
      </c>
      <c r="O2475" s="10">
        <v>3750.71</v>
      </c>
      <c r="P2475" s="10">
        <v>2728.7</v>
      </c>
      <c r="Q2475" s="11">
        <v>12.9</v>
      </c>
      <c r="R2475" s="13" t="str">
        <f>IF(Patient_Data!$L2475&lt;2,"Low Risk",IF(Patient_Data!$L2475&lt;4,"Moderate Risk","High Risk"))</f>
        <v>Low Risk</v>
      </c>
      <c r="S2475" s="12" t="str">
        <f>IF(Patient_Data[[#This Row],[Age]]&lt;=18,"Pediatric",IF(Patient_Data[[#This Row],[Age]]&lt;=64,"Adult","Geriatric"))</f>
        <v>Adult</v>
      </c>
    </row>
    <row r="2476" spans="1:19" ht="15.75" customHeight="1" x14ac:dyDescent="0.3">
      <c r="A2476" s="4" t="s">
        <v>4896</v>
      </c>
      <c r="B2476" s="5" t="str">
        <f>TEXT(Patient_Data!$E2476,"mmmm")</f>
        <v>September</v>
      </c>
      <c r="C2476" s="6" t="str">
        <f t="shared" si="18"/>
        <v>Sep</v>
      </c>
      <c r="D2476" s="6">
        <f>MONTH(Patient_Data!$E2476)</f>
        <v>9</v>
      </c>
      <c r="E2476" s="7">
        <v>45180</v>
      </c>
      <c r="F2476" s="55" t="str">
        <f>TEXT(Patient_Data[[#This Row],[Admission_Date]],"YYYY")</f>
        <v>2023</v>
      </c>
      <c r="G2476" s="8" t="s">
        <v>4897</v>
      </c>
      <c r="H2476" s="8" t="s">
        <v>28</v>
      </c>
      <c r="I2476" s="4" t="s">
        <v>29</v>
      </c>
      <c r="J2476" s="4">
        <v>64</v>
      </c>
      <c r="K2476" s="4" t="s">
        <v>30</v>
      </c>
      <c r="L2476" s="8">
        <v>1</v>
      </c>
      <c r="M2476" s="9" t="s">
        <v>39</v>
      </c>
      <c r="N2476" s="9" t="str">
        <f t="shared" si="19"/>
        <v>GM</v>
      </c>
      <c r="O2476" s="10">
        <v>2975.91</v>
      </c>
      <c r="P2476" s="10">
        <v>2206.81</v>
      </c>
      <c r="Q2476" s="11">
        <v>4.3</v>
      </c>
      <c r="R2476" s="13" t="str">
        <f>IF(Patient_Data!$L2476&lt;2,"Low Risk",IF(Patient_Data!$L2476&lt;4,"Moderate Risk","High Risk"))</f>
        <v>Low Risk</v>
      </c>
      <c r="S2476" s="12" t="str">
        <f>IF(Patient_Data[[#This Row],[Age]]&lt;=18,"Pediatric",IF(Patient_Data[[#This Row],[Age]]&lt;=64,"Adult","Geriatric"))</f>
        <v>Adult</v>
      </c>
    </row>
    <row r="2477" spans="1:19" ht="15.75" customHeight="1" x14ac:dyDescent="0.3">
      <c r="A2477" s="4" t="s">
        <v>4898</v>
      </c>
      <c r="B2477" s="5" t="str">
        <f>TEXT(Patient_Data!$E2477,"mmmm")</f>
        <v>November</v>
      </c>
      <c r="C2477" s="6" t="str">
        <f t="shared" si="18"/>
        <v>Nov</v>
      </c>
      <c r="D2477" s="6">
        <f>MONTH(Patient_Data!$E2477)</f>
        <v>11</v>
      </c>
      <c r="E2477" s="7">
        <v>45253</v>
      </c>
      <c r="F2477" s="55" t="str">
        <f>TEXT(Patient_Data[[#This Row],[Admission_Date]],"YYYY")</f>
        <v>2023</v>
      </c>
      <c r="G2477" s="8" t="s">
        <v>4899</v>
      </c>
      <c r="H2477" s="8" t="s">
        <v>34</v>
      </c>
      <c r="I2477" s="4" t="s">
        <v>29</v>
      </c>
      <c r="J2477" s="4">
        <v>35</v>
      </c>
      <c r="K2477" s="4" t="s">
        <v>30</v>
      </c>
      <c r="L2477" s="8">
        <v>1</v>
      </c>
      <c r="M2477" s="9" t="s">
        <v>39</v>
      </c>
      <c r="N2477" s="9" t="str">
        <f t="shared" si="19"/>
        <v>GM</v>
      </c>
      <c r="O2477" s="10">
        <v>2265.0100000000002</v>
      </c>
      <c r="P2477" s="10">
        <v>1793.41</v>
      </c>
      <c r="Q2477" s="11">
        <v>9</v>
      </c>
      <c r="R2477" s="13" t="str">
        <f>IF(Patient_Data!$L2477&lt;2,"Low Risk",IF(Patient_Data!$L2477&lt;4,"Moderate Risk","High Risk"))</f>
        <v>Low Risk</v>
      </c>
      <c r="S2477" s="12" t="str">
        <f>IF(Patient_Data[[#This Row],[Age]]&lt;=18,"Pediatric",IF(Patient_Data[[#This Row],[Age]]&lt;=64,"Adult","Geriatric"))</f>
        <v>Adult</v>
      </c>
    </row>
    <row r="2478" spans="1:19" ht="15.75" customHeight="1" x14ac:dyDescent="0.3">
      <c r="A2478" s="4" t="s">
        <v>4900</v>
      </c>
      <c r="B2478" s="5" t="str">
        <f>TEXT(Patient_Data!$E2478,"mmmm")</f>
        <v>May</v>
      </c>
      <c r="C2478" s="6" t="str">
        <f t="shared" si="18"/>
        <v>May</v>
      </c>
      <c r="D2478" s="6">
        <f>MONTH(Patient_Data!$E2478)</f>
        <v>5</v>
      </c>
      <c r="E2478" s="7">
        <v>46154</v>
      </c>
      <c r="F2478" s="55" t="str">
        <f>TEXT(Patient_Data[[#This Row],[Admission_Date]],"YYYY")</f>
        <v>2026</v>
      </c>
      <c r="G2478" s="8" t="s">
        <v>3485</v>
      </c>
      <c r="H2478" s="8" t="s">
        <v>132</v>
      </c>
      <c r="I2478" s="4" t="s">
        <v>35</v>
      </c>
      <c r="J2478" s="4">
        <v>21</v>
      </c>
      <c r="K2478" s="4" t="s">
        <v>30</v>
      </c>
      <c r="L2478" s="8">
        <v>2</v>
      </c>
      <c r="M2478" s="9" t="s">
        <v>39</v>
      </c>
      <c r="N2478" s="9" t="str">
        <f t="shared" si="19"/>
        <v>GM</v>
      </c>
      <c r="O2478" s="10">
        <v>3345.14</v>
      </c>
      <c r="P2478" s="10">
        <v>1992.18</v>
      </c>
      <c r="Q2478" s="11">
        <v>6.5</v>
      </c>
      <c r="R2478" s="13" t="str">
        <f>IF(Patient_Data!$L2478&lt;2,"Low Risk",IF(Patient_Data!$L2478&lt;4,"Moderate Risk","High Risk"))</f>
        <v>Moderate Risk</v>
      </c>
      <c r="S2478" s="12" t="str">
        <f>IF(Patient_Data[[#This Row],[Age]]&lt;=18,"Pediatric",IF(Patient_Data[[#This Row],[Age]]&lt;=64,"Adult","Geriatric"))</f>
        <v>Adult</v>
      </c>
    </row>
    <row r="2479" spans="1:19" ht="15.75" customHeight="1" x14ac:dyDescent="0.3">
      <c r="A2479" s="4" t="s">
        <v>4901</v>
      </c>
      <c r="B2479" s="5" t="str">
        <f>TEXT(Patient_Data!$E2479,"mmmm")</f>
        <v>June</v>
      </c>
      <c r="C2479" s="6" t="str">
        <f t="shared" si="18"/>
        <v>Jun</v>
      </c>
      <c r="D2479" s="6">
        <f>MONTH(Patient_Data!$E2479)</f>
        <v>6</v>
      </c>
      <c r="E2479" s="7">
        <v>46175</v>
      </c>
      <c r="F2479" s="55" t="str">
        <f>TEXT(Patient_Data[[#This Row],[Admission_Date]],"YYYY")</f>
        <v>2026</v>
      </c>
      <c r="G2479" s="8" t="s">
        <v>4902</v>
      </c>
      <c r="H2479" s="8" t="s">
        <v>49</v>
      </c>
      <c r="I2479" s="4" t="s">
        <v>35</v>
      </c>
      <c r="J2479" s="4">
        <v>62</v>
      </c>
      <c r="K2479" s="4" t="s">
        <v>45</v>
      </c>
      <c r="L2479" s="8">
        <v>4</v>
      </c>
      <c r="M2479" s="9" t="s">
        <v>31</v>
      </c>
      <c r="N2479" s="9" t="str">
        <f t="shared" si="19"/>
        <v>Neuro</v>
      </c>
      <c r="O2479" s="10">
        <v>15801.29</v>
      </c>
      <c r="P2479" s="10">
        <v>9683.59</v>
      </c>
      <c r="Q2479" s="11">
        <v>5.6</v>
      </c>
      <c r="R2479" s="13" t="str">
        <f>IF(Patient_Data!$L2479&lt;2,"Low Risk",IF(Patient_Data!$L2479&lt;4,"Moderate Risk","High Risk"))</f>
        <v>High Risk</v>
      </c>
      <c r="S2479" s="12" t="str">
        <f>IF(Patient_Data[[#This Row],[Age]]&lt;=18,"Pediatric",IF(Patient_Data[[#This Row],[Age]]&lt;=64,"Adult","Geriatric"))</f>
        <v>Adult</v>
      </c>
    </row>
    <row r="2480" spans="1:19" ht="15.75" customHeight="1" x14ac:dyDescent="0.3">
      <c r="A2480" s="4" t="s">
        <v>4903</v>
      </c>
      <c r="B2480" s="5" t="str">
        <f>TEXT(Patient_Data!$E2480,"mmmm")</f>
        <v>March</v>
      </c>
      <c r="C2480" s="6" t="str">
        <f t="shared" si="18"/>
        <v>Mar</v>
      </c>
      <c r="D2480" s="6">
        <f>MONTH(Patient_Data!$E2480)</f>
        <v>3</v>
      </c>
      <c r="E2480" s="7">
        <v>45729</v>
      </c>
      <c r="F2480" s="55" t="str">
        <f>TEXT(Patient_Data[[#This Row],[Admission_Date]],"YYYY")</f>
        <v>2025</v>
      </c>
      <c r="G2480" s="8" t="s">
        <v>4904</v>
      </c>
      <c r="H2480" s="8" t="s">
        <v>75</v>
      </c>
      <c r="I2480" s="4" t="s">
        <v>35</v>
      </c>
      <c r="J2480" s="4">
        <v>13</v>
      </c>
      <c r="K2480" s="4" t="s">
        <v>30</v>
      </c>
      <c r="L2480" s="8">
        <v>2</v>
      </c>
      <c r="M2480" s="9" t="s">
        <v>79</v>
      </c>
      <c r="N2480" s="9" t="str">
        <f t="shared" si="19"/>
        <v>PD</v>
      </c>
      <c r="O2480" s="10">
        <v>1988.62</v>
      </c>
      <c r="P2480" s="10">
        <v>1319.12</v>
      </c>
      <c r="Q2480" s="11">
        <v>5.8</v>
      </c>
      <c r="R2480" s="13" t="str">
        <f>IF(Patient_Data!$L2480&lt;2,"Low Risk",IF(Patient_Data!$L2480&lt;4,"Moderate Risk","High Risk"))</f>
        <v>Moderate Risk</v>
      </c>
      <c r="S2480" s="12" t="str">
        <f>IF(Patient_Data[[#This Row],[Age]]&lt;=18,"Pediatric",IF(Patient_Data[[#This Row],[Age]]&lt;=64,"Adult","Geriatric"))</f>
        <v>Pediatric</v>
      </c>
    </row>
    <row r="2481" spans="1:19" ht="15.75" customHeight="1" x14ac:dyDescent="0.3">
      <c r="A2481" s="4" t="s">
        <v>4905</v>
      </c>
      <c r="B2481" s="5" t="str">
        <f>TEXT(Patient_Data!$E2481,"mmmm")</f>
        <v>July</v>
      </c>
      <c r="C2481" s="6" t="str">
        <f t="shared" si="18"/>
        <v>Jul</v>
      </c>
      <c r="D2481" s="6">
        <f>MONTH(Patient_Data!$E2481)</f>
        <v>7</v>
      </c>
      <c r="E2481" s="7">
        <v>46213</v>
      </c>
      <c r="F2481" s="55" t="str">
        <f>TEXT(Patient_Data[[#This Row],[Admission_Date]],"YYYY")</f>
        <v>2026</v>
      </c>
      <c r="G2481" s="8" t="s">
        <v>4906</v>
      </c>
      <c r="H2481" s="8" t="s">
        <v>28</v>
      </c>
      <c r="I2481" s="4" t="s">
        <v>35</v>
      </c>
      <c r="J2481" s="4">
        <v>5</v>
      </c>
      <c r="K2481" s="4" t="s">
        <v>30</v>
      </c>
      <c r="L2481" s="8">
        <v>2</v>
      </c>
      <c r="M2481" s="9" t="s">
        <v>79</v>
      </c>
      <c r="N2481" s="9" t="str">
        <f t="shared" si="19"/>
        <v>PD</v>
      </c>
      <c r="O2481" s="10">
        <v>2648.74</v>
      </c>
      <c r="P2481" s="10">
        <v>1821.86</v>
      </c>
      <c r="Q2481" s="11">
        <v>5.9</v>
      </c>
      <c r="R2481" s="13" t="str">
        <f>IF(Patient_Data!$L2481&lt;2,"Low Risk",IF(Patient_Data!$L2481&lt;4,"Moderate Risk","High Risk"))</f>
        <v>Moderate Risk</v>
      </c>
      <c r="S2481" s="12" t="str">
        <f>IF(Patient_Data[[#This Row],[Age]]&lt;=18,"Pediatric",IF(Patient_Data[[#This Row],[Age]]&lt;=64,"Adult","Geriatric"))</f>
        <v>Pediatric</v>
      </c>
    </row>
    <row r="2482" spans="1:19" ht="15.75" customHeight="1" x14ac:dyDescent="0.3">
      <c r="A2482" s="4" t="s">
        <v>4907</v>
      </c>
      <c r="B2482" s="5" t="str">
        <f>TEXT(Patient_Data!$E2482,"mmmm")</f>
        <v>March</v>
      </c>
      <c r="C2482" s="6" t="str">
        <f t="shared" si="18"/>
        <v>Mar</v>
      </c>
      <c r="D2482" s="6">
        <f>MONTH(Patient_Data!$E2482)</f>
        <v>3</v>
      </c>
      <c r="E2482" s="7">
        <v>45740</v>
      </c>
      <c r="F2482" s="55" t="str">
        <f>TEXT(Patient_Data[[#This Row],[Admission_Date]],"YYYY")</f>
        <v>2025</v>
      </c>
      <c r="G2482" s="8" t="s">
        <v>4908</v>
      </c>
      <c r="H2482" s="8" t="s">
        <v>98</v>
      </c>
      <c r="I2482" s="4" t="s">
        <v>35</v>
      </c>
      <c r="J2482" s="4">
        <v>18</v>
      </c>
      <c r="K2482" s="4" t="s">
        <v>30</v>
      </c>
      <c r="L2482" s="8">
        <v>2</v>
      </c>
      <c r="M2482" s="9" t="s">
        <v>83</v>
      </c>
      <c r="N2482" s="9" t="str">
        <f t="shared" si="19"/>
        <v>ER</v>
      </c>
      <c r="O2482" s="10">
        <v>8506.01</v>
      </c>
      <c r="P2482" s="10">
        <v>6137.41</v>
      </c>
      <c r="Q2482" s="11">
        <v>22.9</v>
      </c>
      <c r="R2482" s="13" t="str">
        <f>IF(Patient_Data!$L2482&lt;2,"Low Risk",IF(Patient_Data!$L2482&lt;4,"Moderate Risk","High Risk"))</f>
        <v>Moderate Risk</v>
      </c>
      <c r="S2482" s="12" t="str">
        <f>IF(Patient_Data[[#This Row],[Age]]&lt;=18,"Pediatric",IF(Patient_Data[[#This Row],[Age]]&lt;=64,"Adult","Geriatric"))</f>
        <v>Pediatric</v>
      </c>
    </row>
    <row r="2483" spans="1:19" ht="15.75" customHeight="1" x14ac:dyDescent="0.3">
      <c r="A2483" s="4" t="s">
        <v>4909</v>
      </c>
      <c r="B2483" s="5" t="str">
        <f>TEXT(Patient_Data!$E2483,"mmmm")</f>
        <v>November</v>
      </c>
      <c r="C2483" s="6" t="str">
        <f t="shared" si="18"/>
        <v>Nov</v>
      </c>
      <c r="D2483" s="6">
        <f>MONTH(Patient_Data!$E2483)</f>
        <v>11</v>
      </c>
      <c r="E2483" s="7">
        <v>45981</v>
      </c>
      <c r="F2483" s="55" t="str">
        <f>TEXT(Patient_Data[[#This Row],[Admission_Date]],"YYYY")</f>
        <v>2025</v>
      </c>
      <c r="G2483" s="8" t="s">
        <v>4910</v>
      </c>
      <c r="H2483" s="8" t="s">
        <v>49</v>
      </c>
      <c r="I2483" s="4" t="s">
        <v>35</v>
      </c>
      <c r="J2483" s="4">
        <v>62</v>
      </c>
      <c r="K2483" s="4" t="s">
        <v>30</v>
      </c>
      <c r="L2483" s="8">
        <v>2</v>
      </c>
      <c r="M2483" s="9" t="s">
        <v>31</v>
      </c>
      <c r="N2483" s="9" t="str">
        <f t="shared" si="19"/>
        <v>Neuro</v>
      </c>
      <c r="O2483" s="10">
        <v>11035.69</v>
      </c>
      <c r="P2483" s="10">
        <v>8104.85</v>
      </c>
      <c r="Q2483" s="11">
        <v>6.1</v>
      </c>
      <c r="R2483" s="13" t="str">
        <f>IF(Patient_Data!$L2483&lt;2,"Low Risk",IF(Patient_Data!$L2483&lt;4,"Moderate Risk","High Risk"))</f>
        <v>Moderate Risk</v>
      </c>
      <c r="S2483" s="12" t="str">
        <f>IF(Patient_Data[[#This Row],[Age]]&lt;=18,"Pediatric",IF(Patient_Data[[#This Row],[Age]]&lt;=64,"Adult","Geriatric"))</f>
        <v>Adult</v>
      </c>
    </row>
    <row r="2484" spans="1:19" ht="15.75" customHeight="1" x14ac:dyDescent="0.3">
      <c r="A2484" s="4" t="s">
        <v>4911</v>
      </c>
      <c r="B2484" s="5" t="str">
        <f>TEXT(Patient_Data!$E2484,"mmmm")</f>
        <v>November</v>
      </c>
      <c r="C2484" s="6" t="str">
        <f t="shared" si="18"/>
        <v>Nov</v>
      </c>
      <c r="D2484" s="6">
        <f>MONTH(Patient_Data!$E2484)</f>
        <v>11</v>
      </c>
      <c r="E2484" s="7">
        <v>45621</v>
      </c>
      <c r="F2484" s="55" t="str">
        <f>TEXT(Patient_Data[[#This Row],[Admission_Date]],"YYYY")</f>
        <v>2024</v>
      </c>
      <c r="G2484" s="8" t="s">
        <v>4912</v>
      </c>
      <c r="H2484" s="8" t="s">
        <v>28</v>
      </c>
      <c r="I2484" s="4" t="s">
        <v>35</v>
      </c>
      <c r="J2484" s="4">
        <v>12</v>
      </c>
      <c r="K2484" s="4" t="s">
        <v>30</v>
      </c>
      <c r="L2484" s="8">
        <v>3</v>
      </c>
      <c r="M2484" s="9" t="s">
        <v>79</v>
      </c>
      <c r="N2484" s="9" t="str">
        <f t="shared" si="19"/>
        <v>PD</v>
      </c>
      <c r="O2484" s="10">
        <v>838.18</v>
      </c>
      <c r="P2484" s="10">
        <v>682.62</v>
      </c>
      <c r="Q2484" s="11">
        <v>5.7</v>
      </c>
      <c r="R2484" s="13" t="str">
        <f>IF(Patient_Data!$L2484&lt;2,"Low Risk",IF(Patient_Data!$L2484&lt;4,"Moderate Risk","High Risk"))</f>
        <v>Moderate Risk</v>
      </c>
      <c r="S2484" s="12" t="str">
        <f>IF(Patient_Data[[#This Row],[Age]]&lt;=18,"Pediatric",IF(Patient_Data[[#This Row],[Age]]&lt;=64,"Adult","Geriatric"))</f>
        <v>Pediatric</v>
      </c>
    </row>
    <row r="2485" spans="1:19" ht="15.75" customHeight="1" x14ac:dyDescent="0.3">
      <c r="A2485" s="4" t="s">
        <v>4913</v>
      </c>
      <c r="B2485" s="5" t="str">
        <f>TEXT(Patient_Data!$E2485,"mmmm")</f>
        <v>May</v>
      </c>
      <c r="C2485" s="6" t="str">
        <f t="shared" si="18"/>
        <v>May</v>
      </c>
      <c r="D2485" s="6">
        <f>MONTH(Patient_Data!$E2485)</f>
        <v>5</v>
      </c>
      <c r="E2485" s="7">
        <v>45429</v>
      </c>
      <c r="F2485" s="55" t="str">
        <f>TEXT(Patient_Data[[#This Row],[Admission_Date]],"YYYY")</f>
        <v>2024</v>
      </c>
      <c r="G2485" s="8" t="s">
        <v>4914</v>
      </c>
      <c r="H2485" s="8" t="s">
        <v>82</v>
      </c>
      <c r="I2485" s="4" t="s">
        <v>29</v>
      </c>
      <c r="J2485" s="4">
        <v>43</v>
      </c>
      <c r="K2485" s="4" t="s">
        <v>30</v>
      </c>
      <c r="L2485" s="8">
        <v>2</v>
      </c>
      <c r="M2485" s="9" t="s">
        <v>39</v>
      </c>
      <c r="N2485" s="9" t="str">
        <f t="shared" si="19"/>
        <v>GM</v>
      </c>
      <c r="O2485" s="10">
        <v>3661.17</v>
      </c>
      <c r="P2485" s="10">
        <v>2160.2800000000002</v>
      </c>
      <c r="Q2485" s="11">
        <v>4.5999999999999996</v>
      </c>
      <c r="R2485" s="13" t="str">
        <f>IF(Patient_Data!$L2485&lt;2,"Low Risk",IF(Patient_Data!$L2485&lt;4,"Moderate Risk","High Risk"))</f>
        <v>Moderate Risk</v>
      </c>
      <c r="S2485" s="12" t="str">
        <f>IF(Patient_Data[[#This Row],[Age]]&lt;=18,"Pediatric",IF(Patient_Data[[#This Row],[Age]]&lt;=64,"Adult","Geriatric"))</f>
        <v>Adult</v>
      </c>
    </row>
    <row r="2486" spans="1:19" ht="15.75" customHeight="1" x14ac:dyDescent="0.3">
      <c r="A2486" s="4" t="s">
        <v>4915</v>
      </c>
      <c r="B2486" s="5" t="str">
        <f>TEXT(Patient_Data!$E2486,"mmmm")</f>
        <v>November</v>
      </c>
      <c r="C2486" s="6" t="str">
        <f t="shared" si="18"/>
        <v>Nov</v>
      </c>
      <c r="D2486" s="6">
        <f>MONTH(Patient_Data!$E2486)</f>
        <v>11</v>
      </c>
      <c r="E2486" s="7">
        <v>45233</v>
      </c>
      <c r="F2486" s="55" t="str">
        <f>TEXT(Patient_Data[[#This Row],[Admission_Date]],"YYYY")</f>
        <v>2023</v>
      </c>
      <c r="G2486" s="8" t="s">
        <v>4916</v>
      </c>
      <c r="H2486" s="8" t="s">
        <v>49</v>
      </c>
      <c r="I2486" s="4" t="s">
        <v>35</v>
      </c>
      <c r="J2486" s="4">
        <v>83</v>
      </c>
      <c r="K2486" s="4" t="s">
        <v>30</v>
      </c>
      <c r="L2486" s="8">
        <v>2</v>
      </c>
      <c r="M2486" s="9" t="s">
        <v>46</v>
      </c>
      <c r="N2486" s="9" t="str">
        <f t="shared" si="19"/>
        <v>Ortho</v>
      </c>
      <c r="O2486" s="10">
        <v>9618.5</v>
      </c>
      <c r="P2486" s="10">
        <v>5885.68</v>
      </c>
      <c r="Q2486" s="11">
        <v>2.2999999999999998</v>
      </c>
      <c r="R2486" s="13" t="str">
        <f>IF(Patient_Data!$L2486&lt;2,"Low Risk",IF(Patient_Data!$L2486&lt;4,"Moderate Risk","High Risk"))</f>
        <v>Moderate Risk</v>
      </c>
      <c r="S2486" s="12" t="str">
        <f>IF(Patient_Data[[#This Row],[Age]]&lt;=18,"Pediatric",IF(Patient_Data[[#This Row],[Age]]&lt;=64,"Adult","Geriatric"))</f>
        <v>Geriatric</v>
      </c>
    </row>
    <row r="2487" spans="1:19" ht="15.75" customHeight="1" x14ac:dyDescent="0.3">
      <c r="A2487" s="4" t="s">
        <v>4917</v>
      </c>
      <c r="B2487" s="5" t="str">
        <f>TEXT(Patient_Data!$E2487,"mmmm")</f>
        <v>June</v>
      </c>
      <c r="C2487" s="6" t="str">
        <f t="shared" si="18"/>
        <v>Jun</v>
      </c>
      <c r="D2487" s="6">
        <f>MONTH(Patient_Data!$E2487)</f>
        <v>6</v>
      </c>
      <c r="E2487" s="7">
        <v>46196</v>
      </c>
      <c r="F2487" s="55" t="str">
        <f>TEXT(Patient_Data[[#This Row],[Admission_Date]],"YYYY")</f>
        <v>2026</v>
      </c>
      <c r="G2487" s="8" t="s">
        <v>4918</v>
      </c>
      <c r="H2487" s="8" t="s">
        <v>82</v>
      </c>
      <c r="I2487" s="4" t="s">
        <v>35</v>
      </c>
      <c r="J2487" s="4">
        <v>86</v>
      </c>
      <c r="K2487" s="4" t="s">
        <v>30</v>
      </c>
      <c r="L2487" s="8">
        <v>5</v>
      </c>
      <c r="M2487" s="9" t="s">
        <v>50</v>
      </c>
      <c r="N2487" s="9" t="str">
        <f t="shared" si="19"/>
        <v>ICU</v>
      </c>
      <c r="O2487" s="10">
        <v>16872.009999999998</v>
      </c>
      <c r="P2487" s="10">
        <v>10928.49</v>
      </c>
      <c r="Q2487" s="11">
        <v>16.3</v>
      </c>
      <c r="R2487" s="13" t="str">
        <f>IF(Patient_Data!$L2487&lt;2,"Low Risk",IF(Patient_Data!$L2487&lt;4,"Moderate Risk","High Risk"))</f>
        <v>High Risk</v>
      </c>
      <c r="S2487" s="12" t="str">
        <f>IF(Patient_Data[[#This Row],[Age]]&lt;=18,"Pediatric",IF(Patient_Data[[#This Row],[Age]]&lt;=64,"Adult","Geriatric"))</f>
        <v>Geriatric</v>
      </c>
    </row>
    <row r="2488" spans="1:19" ht="15.75" customHeight="1" x14ac:dyDescent="0.3">
      <c r="A2488" s="4" t="s">
        <v>4919</v>
      </c>
      <c r="B2488" s="5" t="str">
        <f>TEXT(Patient_Data!$E2488,"mmmm")</f>
        <v>August</v>
      </c>
      <c r="C2488" s="6" t="str">
        <f t="shared" si="18"/>
        <v>Aug</v>
      </c>
      <c r="D2488" s="6">
        <f>MONTH(Patient_Data!$E2488)</f>
        <v>8</v>
      </c>
      <c r="E2488" s="7">
        <v>45524</v>
      </c>
      <c r="F2488" s="55" t="str">
        <f>TEXT(Patient_Data[[#This Row],[Admission_Date]],"YYYY")</f>
        <v>2024</v>
      </c>
      <c r="G2488" s="8" t="s">
        <v>4920</v>
      </c>
      <c r="H2488" s="8" t="s">
        <v>49</v>
      </c>
      <c r="I2488" s="4" t="s">
        <v>35</v>
      </c>
      <c r="J2488" s="4">
        <v>1</v>
      </c>
      <c r="K2488" s="4" t="s">
        <v>30</v>
      </c>
      <c r="L2488" s="8">
        <v>1</v>
      </c>
      <c r="M2488" s="9" t="s">
        <v>79</v>
      </c>
      <c r="N2488" s="9" t="str">
        <f t="shared" si="19"/>
        <v>PD</v>
      </c>
      <c r="O2488" s="10">
        <v>606.82000000000005</v>
      </c>
      <c r="P2488" s="10">
        <v>414.57</v>
      </c>
      <c r="Q2488" s="11">
        <v>1</v>
      </c>
      <c r="R2488" s="13" t="str">
        <f>IF(Patient_Data!$L2488&lt;2,"Low Risk",IF(Patient_Data!$L2488&lt;4,"Moderate Risk","High Risk"))</f>
        <v>Low Risk</v>
      </c>
      <c r="S2488" s="12" t="str">
        <f>IF(Patient_Data[[#This Row],[Age]]&lt;=18,"Pediatric",IF(Patient_Data[[#This Row],[Age]]&lt;=64,"Adult","Geriatric"))</f>
        <v>Pediatric</v>
      </c>
    </row>
    <row r="2489" spans="1:19" ht="15.75" customHeight="1" x14ac:dyDescent="0.3">
      <c r="A2489" s="4" t="s">
        <v>4921</v>
      </c>
      <c r="B2489" s="5" t="str">
        <f>TEXT(Patient_Data!$E2489,"mmmm")</f>
        <v>September</v>
      </c>
      <c r="C2489" s="6" t="str">
        <f t="shared" si="18"/>
        <v>Sep</v>
      </c>
      <c r="D2489" s="6">
        <f>MONTH(Patient_Data!$E2489)</f>
        <v>9</v>
      </c>
      <c r="E2489" s="7">
        <v>45184</v>
      </c>
      <c r="F2489" s="55" t="str">
        <f>TEXT(Patient_Data[[#This Row],[Admission_Date]],"YYYY")</f>
        <v>2023</v>
      </c>
      <c r="G2489" s="8" t="s">
        <v>4922</v>
      </c>
      <c r="H2489" s="8" t="s">
        <v>28</v>
      </c>
      <c r="I2489" s="4" t="s">
        <v>29</v>
      </c>
      <c r="J2489" s="4">
        <v>74</v>
      </c>
      <c r="K2489" s="4" t="s">
        <v>54</v>
      </c>
      <c r="L2489" s="8">
        <v>4</v>
      </c>
      <c r="M2489" s="9" t="s">
        <v>50</v>
      </c>
      <c r="N2489" s="9" t="str">
        <f t="shared" si="19"/>
        <v>ICU</v>
      </c>
      <c r="O2489" s="10">
        <v>17496.22</v>
      </c>
      <c r="P2489" s="10">
        <v>12366.55</v>
      </c>
      <c r="Q2489" s="11">
        <v>14.9</v>
      </c>
      <c r="R2489" s="13" t="str">
        <f>IF(Patient_Data!$L2489&lt;2,"Low Risk",IF(Patient_Data!$L2489&lt;4,"Moderate Risk","High Risk"))</f>
        <v>High Risk</v>
      </c>
      <c r="S2489" s="12" t="str">
        <f>IF(Patient_Data[[#This Row],[Age]]&lt;=18,"Pediatric",IF(Patient_Data[[#This Row],[Age]]&lt;=64,"Adult","Geriatric"))</f>
        <v>Geriatric</v>
      </c>
    </row>
    <row r="2490" spans="1:19" ht="15.75" customHeight="1" x14ac:dyDescent="0.3">
      <c r="A2490" s="4" t="s">
        <v>4923</v>
      </c>
      <c r="B2490" s="5" t="str">
        <f>TEXT(Patient_Data!$E2490,"mmmm")</f>
        <v>September</v>
      </c>
      <c r="C2490" s="6" t="str">
        <f t="shared" si="18"/>
        <v>Sep</v>
      </c>
      <c r="D2490" s="6">
        <f>MONTH(Patient_Data!$E2490)</f>
        <v>9</v>
      </c>
      <c r="E2490" s="7">
        <v>45191</v>
      </c>
      <c r="F2490" s="55" t="str">
        <f>TEXT(Patient_Data[[#This Row],[Admission_Date]],"YYYY")</f>
        <v>2023</v>
      </c>
      <c r="G2490" s="8" t="s">
        <v>3038</v>
      </c>
      <c r="H2490" s="8" t="s">
        <v>82</v>
      </c>
      <c r="I2490" s="4" t="s">
        <v>29</v>
      </c>
      <c r="J2490" s="4">
        <v>94</v>
      </c>
      <c r="K2490" s="4" t="s">
        <v>54</v>
      </c>
      <c r="L2490" s="8">
        <v>3</v>
      </c>
      <c r="M2490" s="9" t="s">
        <v>50</v>
      </c>
      <c r="N2490" s="9" t="str">
        <f t="shared" si="19"/>
        <v>ICU</v>
      </c>
      <c r="O2490" s="10">
        <v>18112.72</v>
      </c>
      <c r="P2490" s="10">
        <v>13323.09</v>
      </c>
      <c r="Q2490" s="11">
        <v>12.6</v>
      </c>
      <c r="R2490" s="13" t="str">
        <f>IF(Patient_Data!$L2490&lt;2,"Low Risk",IF(Patient_Data!$L2490&lt;4,"Moderate Risk","High Risk"))</f>
        <v>Moderate Risk</v>
      </c>
      <c r="S2490" s="12" t="str">
        <f>IF(Patient_Data[[#This Row],[Age]]&lt;=18,"Pediatric",IF(Patient_Data[[#This Row],[Age]]&lt;=64,"Adult","Geriatric"))</f>
        <v>Geriatric</v>
      </c>
    </row>
    <row r="2491" spans="1:19" ht="15.75" customHeight="1" x14ac:dyDescent="0.3">
      <c r="A2491" s="4" t="s">
        <v>4924</v>
      </c>
      <c r="B2491" s="5" t="str">
        <f>TEXT(Patient_Data!$E2491,"mmmm")</f>
        <v>March</v>
      </c>
      <c r="C2491" s="6" t="str">
        <f t="shared" si="18"/>
        <v>Mar</v>
      </c>
      <c r="D2491" s="6">
        <f>MONTH(Patient_Data!$E2491)</f>
        <v>3</v>
      </c>
      <c r="E2491" s="7">
        <v>45373</v>
      </c>
      <c r="F2491" s="55" t="str">
        <f>TEXT(Patient_Data[[#This Row],[Admission_Date]],"YYYY")</f>
        <v>2024</v>
      </c>
      <c r="G2491" s="8" t="s">
        <v>4925</v>
      </c>
      <c r="H2491" s="8" t="s">
        <v>34</v>
      </c>
      <c r="I2491" s="4" t="s">
        <v>29</v>
      </c>
      <c r="J2491" s="4">
        <v>19</v>
      </c>
      <c r="K2491" s="4" t="s">
        <v>30</v>
      </c>
      <c r="L2491" s="8">
        <v>3</v>
      </c>
      <c r="M2491" s="9" t="s">
        <v>36</v>
      </c>
      <c r="N2491" s="9" t="str">
        <f t="shared" si="19"/>
        <v>Cardio</v>
      </c>
      <c r="O2491" s="10">
        <v>7998.79</v>
      </c>
      <c r="P2491" s="10">
        <v>6147.08</v>
      </c>
      <c r="Q2491" s="11">
        <v>8.5</v>
      </c>
      <c r="R2491" s="13" t="str">
        <f>IF(Patient_Data!$L2491&lt;2,"Low Risk",IF(Patient_Data!$L2491&lt;4,"Moderate Risk","High Risk"))</f>
        <v>Moderate Risk</v>
      </c>
      <c r="S2491" s="12" t="str">
        <f>IF(Patient_Data[[#This Row],[Age]]&lt;=18,"Pediatric",IF(Patient_Data[[#This Row],[Age]]&lt;=64,"Adult","Geriatric"))</f>
        <v>Adult</v>
      </c>
    </row>
    <row r="2492" spans="1:19" ht="15.75" customHeight="1" x14ac:dyDescent="0.3">
      <c r="A2492" s="4" t="s">
        <v>4926</v>
      </c>
      <c r="B2492" s="5" t="str">
        <f>TEXT(Patient_Data!$E2492,"mmmm")</f>
        <v>June</v>
      </c>
      <c r="C2492" s="6" t="str">
        <f t="shared" si="18"/>
        <v>Jun</v>
      </c>
      <c r="D2492" s="6">
        <f>MONTH(Patient_Data!$E2492)</f>
        <v>6</v>
      </c>
      <c r="E2492" s="7">
        <v>45833</v>
      </c>
      <c r="F2492" s="55" t="str">
        <f>TEXT(Patient_Data[[#This Row],[Admission_Date]],"YYYY")</f>
        <v>2025</v>
      </c>
      <c r="G2492" s="8" t="s">
        <v>4927</v>
      </c>
      <c r="H2492" s="8" t="s">
        <v>53</v>
      </c>
      <c r="I2492" s="4" t="s">
        <v>29</v>
      </c>
      <c r="J2492" s="4">
        <v>68</v>
      </c>
      <c r="K2492" s="4" t="s">
        <v>54</v>
      </c>
      <c r="L2492" s="8">
        <v>5</v>
      </c>
      <c r="M2492" s="9" t="s">
        <v>72</v>
      </c>
      <c r="N2492" s="9" t="str">
        <f t="shared" si="19"/>
        <v>Surgery</v>
      </c>
      <c r="O2492" s="10">
        <v>19324.34</v>
      </c>
      <c r="P2492" s="10">
        <v>11234.52</v>
      </c>
      <c r="Q2492" s="11">
        <v>3.3</v>
      </c>
      <c r="R2492" s="13" t="str">
        <f>IF(Patient_Data!$L2492&lt;2,"Low Risk",IF(Patient_Data!$L2492&lt;4,"Moderate Risk","High Risk"))</f>
        <v>High Risk</v>
      </c>
      <c r="S2492" s="12" t="str">
        <f>IF(Patient_Data[[#This Row],[Age]]&lt;=18,"Pediatric",IF(Patient_Data[[#This Row],[Age]]&lt;=64,"Adult","Geriatric"))</f>
        <v>Geriatric</v>
      </c>
    </row>
    <row r="2493" spans="1:19" ht="15.75" customHeight="1" x14ac:dyDescent="0.3">
      <c r="A2493" s="4" t="s">
        <v>4928</v>
      </c>
      <c r="B2493" s="5" t="str">
        <f>TEXT(Patient_Data!$E2493,"mmmm")</f>
        <v>February</v>
      </c>
      <c r="C2493" s="6" t="str">
        <f t="shared" si="18"/>
        <v>Feb</v>
      </c>
      <c r="D2493" s="6">
        <f>MONTH(Patient_Data!$E2493)</f>
        <v>2</v>
      </c>
      <c r="E2493" s="7">
        <v>45698</v>
      </c>
      <c r="F2493" s="55" t="str">
        <f>TEXT(Patient_Data[[#This Row],[Admission_Date]],"YYYY")</f>
        <v>2025</v>
      </c>
      <c r="G2493" s="8" t="s">
        <v>4929</v>
      </c>
      <c r="H2493" s="8" t="s">
        <v>132</v>
      </c>
      <c r="I2493" s="4" t="s">
        <v>29</v>
      </c>
      <c r="J2493" s="4">
        <v>76</v>
      </c>
      <c r="K2493" s="4" t="s">
        <v>45</v>
      </c>
      <c r="L2493" s="8">
        <v>5</v>
      </c>
      <c r="M2493" s="9" t="s">
        <v>31</v>
      </c>
      <c r="N2493" s="9" t="str">
        <f t="shared" si="19"/>
        <v>Neuro</v>
      </c>
      <c r="O2493" s="10">
        <v>6885.72</v>
      </c>
      <c r="P2493" s="10">
        <v>4242.6899999999996</v>
      </c>
      <c r="Q2493" s="11">
        <v>5.3</v>
      </c>
      <c r="R2493" s="13" t="str">
        <f>IF(Patient_Data!$L2493&lt;2,"Low Risk",IF(Patient_Data!$L2493&lt;4,"Moderate Risk","High Risk"))</f>
        <v>High Risk</v>
      </c>
      <c r="S2493" s="12" t="str">
        <f>IF(Patient_Data[[#This Row],[Age]]&lt;=18,"Pediatric",IF(Patient_Data[[#This Row],[Age]]&lt;=64,"Adult","Geriatric"))</f>
        <v>Geriatric</v>
      </c>
    </row>
    <row r="2494" spans="1:19" ht="15.75" customHeight="1" x14ac:dyDescent="0.3">
      <c r="A2494" s="4" t="s">
        <v>4930</v>
      </c>
      <c r="B2494" s="5" t="str">
        <f>TEXT(Patient_Data!$E2494,"mmmm")</f>
        <v>December</v>
      </c>
      <c r="C2494" s="6" t="str">
        <f t="shared" si="18"/>
        <v>Dec</v>
      </c>
      <c r="D2494" s="6">
        <f>MONTH(Patient_Data!$E2494)</f>
        <v>12</v>
      </c>
      <c r="E2494" s="7">
        <v>45652</v>
      </c>
      <c r="F2494" s="55" t="str">
        <f>TEXT(Patient_Data[[#This Row],[Admission_Date]],"YYYY")</f>
        <v>2024</v>
      </c>
      <c r="G2494" s="8" t="s">
        <v>4931</v>
      </c>
      <c r="H2494" s="8" t="s">
        <v>28</v>
      </c>
      <c r="I2494" s="4" t="s">
        <v>29</v>
      </c>
      <c r="J2494" s="4">
        <v>27</v>
      </c>
      <c r="K2494" s="4" t="s">
        <v>30</v>
      </c>
      <c r="L2494" s="8">
        <v>2</v>
      </c>
      <c r="M2494" s="9" t="s">
        <v>39</v>
      </c>
      <c r="N2494" s="9" t="str">
        <f t="shared" si="19"/>
        <v>GM</v>
      </c>
      <c r="O2494" s="10">
        <v>3389.1</v>
      </c>
      <c r="P2494" s="10">
        <v>2248.2199999999998</v>
      </c>
      <c r="Q2494" s="11">
        <v>9.9</v>
      </c>
      <c r="R2494" s="13" t="str">
        <f>IF(Patient_Data!$L2494&lt;2,"Low Risk",IF(Patient_Data!$L2494&lt;4,"Moderate Risk","High Risk"))</f>
        <v>Moderate Risk</v>
      </c>
      <c r="S2494" s="12" t="str">
        <f>IF(Patient_Data[[#This Row],[Age]]&lt;=18,"Pediatric",IF(Patient_Data[[#This Row],[Age]]&lt;=64,"Adult","Geriatric"))</f>
        <v>Adult</v>
      </c>
    </row>
    <row r="2495" spans="1:19" ht="15.75" customHeight="1" x14ac:dyDescent="0.3">
      <c r="A2495" s="4" t="s">
        <v>4932</v>
      </c>
      <c r="B2495" s="5" t="str">
        <f>TEXT(Patient_Data!$E2495,"mmmm")</f>
        <v>July</v>
      </c>
      <c r="C2495" s="6" t="str">
        <f t="shared" si="18"/>
        <v>Jul</v>
      </c>
      <c r="D2495" s="6">
        <f>MONTH(Patient_Data!$E2495)</f>
        <v>7</v>
      </c>
      <c r="E2495" s="7">
        <v>45869</v>
      </c>
      <c r="F2495" s="55" t="str">
        <f>TEXT(Patient_Data[[#This Row],[Admission_Date]],"YYYY")</f>
        <v>2025</v>
      </c>
      <c r="G2495" s="8" t="s">
        <v>4933</v>
      </c>
      <c r="H2495" s="8" t="s">
        <v>34</v>
      </c>
      <c r="I2495" s="4" t="s">
        <v>35</v>
      </c>
      <c r="J2495" s="4">
        <v>4</v>
      </c>
      <c r="K2495" s="4" t="s">
        <v>30</v>
      </c>
      <c r="L2495" s="8">
        <v>2</v>
      </c>
      <c r="M2495" s="9" t="s">
        <v>79</v>
      </c>
      <c r="N2495" s="9" t="str">
        <f t="shared" si="19"/>
        <v>PD</v>
      </c>
      <c r="O2495" s="10">
        <v>2024.99</v>
      </c>
      <c r="P2495" s="10">
        <v>1387.14</v>
      </c>
      <c r="Q2495" s="11">
        <v>3.8</v>
      </c>
      <c r="R2495" s="13" t="str">
        <f>IF(Patient_Data!$L2495&lt;2,"Low Risk",IF(Patient_Data!$L2495&lt;4,"Moderate Risk","High Risk"))</f>
        <v>Moderate Risk</v>
      </c>
      <c r="S2495" s="12" t="str">
        <f>IF(Patient_Data[[#This Row],[Age]]&lt;=18,"Pediatric",IF(Patient_Data[[#This Row],[Age]]&lt;=64,"Adult","Geriatric"))</f>
        <v>Pediatric</v>
      </c>
    </row>
    <row r="2496" spans="1:19" ht="15.75" customHeight="1" x14ac:dyDescent="0.3">
      <c r="A2496" s="4" t="s">
        <v>4934</v>
      </c>
      <c r="B2496" s="5" t="str">
        <f>TEXT(Patient_Data!$E2496,"mmmm")</f>
        <v>September</v>
      </c>
      <c r="C2496" s="6" t="str">
        <f t="shared" si="18"/>
        <v>Sep</v>
      </c>
      <c r="D2496" s="6">
        <f>MONTH(Patient_Data!$E2496)</f>
        <v>9</v>
      </c>
      <c r="E2496" s="7">
        <v>45916</v>
      </c>
      <c r="F2496" s="55" t="str">
        <f>TEXT(Patient_Data[[#This Row],[Admission_Date]],"YYYY")</f>
        <v>2025</v>
      </c>
      <c r="G2496" s="8" t="s">
        <v>4935</v>
      </c>
      <c r="H2496" s="8" t="s">
        <v>53</v>
      </c>
      <c r="I2496" s="4" t="s">
        <v>35</v>
      </c>
      <c r="J2496" s="4">
        <v>79</v>
      </c>
      <c r="K2496" s="4" t="s">
        <v>54</v>
      </c>
      <c r="L2496" s="8">
        <v>3</v>
      </c>
      <c r="M2496" s="9" t="s">
        <v>46</v>
      </c>
      <c r="N2496" s="9" t="str">
        <f t="shared" si="19"/>
        <v>Ortho</v>
      </c>
      <c r="O2496" s="10">
        <v>6957.79</v>
      </c>
      <c r="P2496" s="10">
        <v>4907.25</v>
      </c>
      <c r="Q2496" s="11">
        <v>4.5999999999999996</v>
      </c>
      <c r="R2496" s="13" t="str">
        <f>IF(Patient_Data!$L2496&lt;2,"Low Risk",IF(Patient_Data!$L2496&lt;4,"Moderate Risk","High Risk"))</f>
        <v>Moderate Risk</v>
      </c>
      <c r="S2496" s="12" t="str">
        <f>IF(Patient_Data[[#This Row],[Age]]&lt;=18,"Pediatric",IF(Patient_Data[[#This Row],[Age]]&lt;=64,"Adult","Geriatric"))</f>
        <v>Geriatric</v>
      </c>
    </row>
    <row r="2497" spans="1:19" ht="15.75" customHeight="1" x14ac:dyDescent="0.3">
      <c r="A2497" s="4" t="s">
        <v>4936</v>
      </c>
      <c r="B2497" s="5" t="str">
        <f>TEXT(Patient_Data!$E2497,"mmmm")</f>
        <v>September</v>
      </c>
      <c r="C2497" s="6" t="str">
        <f t="shared" si="18"/>
        <v>Sep</v>
      </c>
      <c r="D2497" s="6">
        <f>MONTH(Patient_Data!$E2497)</f>
        <v>9</v>
      </c>
      <c r="E2497" s="7">
        <v>45929</v>
      </c>
      <c r="F2497" s="55" t="str">
        <f>TEXT(Patient_Data[[#This Row],[Admission_Date]],"YYYY")</f>
        <v>2025</v>
      </c>
      <c r="G2497" s="8" t="s">
        <v>4937</v>
      </c>
      <c r="H2497" s="8" t="s">
        <v>98</v>
      </c>
      <c r="I2497" s="4" t="s">
        <v>29</v>
      </c>
      <c r="J2497" s="4">
        <v>87</v>
      </c>
      <c r="K2497" s="4" t="s">
        <v>45</v>
      </c>
      <c r="L2497" s="8">
        <v>4</v>
      </c>
      <c r="M2497" s="9" t="s">
        <v>72</v>
      </c>
      <c r="N2497" s="9" t="str">
        <f t="shared" si="19"/>
        <v>Surgery</v>
      </c>
      <c r="O2497" s="10">
        <v>19367.14</v>
      </c>
      <c r="P2497" s="10">
        <v>14200.41</v>
      </c>
      <c r="Q2497" s="11">
        <v>7.8</v>
      </c>
      <c r="R2497" s="13" t="str">
        <f>IF(Patient_Data!$L2497&lt;2,"Low Risk",IF(Patient_Data!$L2497&lt;4,"Moderate Risk","High Risk"))</f>
        <v>High Risk</v>
      </c>
      <c r="S2497" s="12" t="str">
        <f>IF(Patient_Data[[#This Row],[Age]]&lt;=18,"Pediatric",IF(Patient_Data[[#This Row],[Age]]&lt;=64,"Adult","Geriatric"))</f>
        <v>Geriatric</v>
      </c>
    </row>
    <row r="2498" spans="1:19" ht="15.75" customHeight="1" x14ac:dyDescent="0.3">
      <c r="A2498" s="4" t="s">
        <v>4938</v>
      </c>
      <c r="B2498" s="5" t="str">
        <f>TEXT(Patient_Data!$E2498,"mmmm")</f>
        <v>May</v>
      </c>
      <c r="C2498" s="6" t="str">
        <f t="shared" si="18"/>
        <v>May</v>
      </c>
      <c r="D2498" s="6">
        <f>MONTH(Patient_Data!$E2498)</f>
        <v>5</v>
      </c>
      <c r="E2498" s="7">
        <v>45435</v>
      </c>
      <c r="F2498" s="55" t="str">
        <f>TEXT(Patient_Data[[#This Row],[Admission_Date]],"YYYY")</f>
        <v>2024</v>
      </c>
      <c r="G2498" s="8" t="s">
        <v>4939</v>
      </c>
      <c r="H2498" s="8" t="s">
        <v>34</v>
      </c>
      <c r="I2498" s="4" t="s">
        <v>29</v>
      </c>
      <c r="J2498" s="4">
        <v>83</v>
      </c>
      <c r="K2498" s="4" t="s">
        <v>30</v>
      </c>
      <c r="L2498" s="8">
        <v>4</v>
      </c>
      <c r="M2498" s="9" t="s">
        <v>72</v>
      </c>
      <c r="N2498" s="9" t="str">
        <f t="shared" si="19"/>
        <v>Surgery</v>
      </c>
      <c r="O2498" s="10">
        <v>18615.330000000002</v>
      </c>
      <c r="P2498" s="10">
        <v>14214.85</v>
      </c>
      <c r="Q2498" s="11">
        <v>8.4</v>
      </c>
      <c r="R2498" s="13" t="str">
        <f>IF(Patient_Data!$L2498&lt;2,"Low Risk",IF(Patient_Data!$L2498&lt;4,"Moderate Risk","High Risk"))</f>
        <v>High Risk</v>
      </c>
      <c r="S2498" s="12" t="str">
        <f>IF(Patient_Data[[#This Row],[Age]]&lt;=18,"Pediatric",IF(Patient_Data[[#This Row],[Age]]&lt;=64,"Adult","Geriatric"))</f>
        <v>Geriatric</v>
      </c>
    </row>
    <row r="2499" spans="1:19" ht="15.75" customHeight="1" x14ac:dyDescent="0.3">
      <c r="A2499" s="4" t="s">
        <v>4940</v>
      </c>
      <c r="B2499" s="5" t="str">
        <f>TEXT(Patient_Data!$E2499,"mmmm")</f>
        <v>December</v>
      </c>
      <c r="C2499" s="6" t="str">
        <f t="shared" si="18"/>
        <v>Dec</v>
      </c>
      <c r="D2499" s="6">
        <f>MONTH(Patient_Data!$E2499)</f>
        <v>12</v>
      </c>
      <c r="E2499" s="7">
        <v>45635</v>
      </c>
      <c r="F2499" s="55" t="str">
        <f>TEXT(Patient_Data[[#This Row],[Admission_Date]],"YYYY")</f>
        <v>2024</v>
      </c>
      <c r="G2499" s="8" t="s">
        <v>4941</v>
      </c>
      <c r="H2499" s="8" t="s">
        <v>82</v>
      </c>
      <c r="I2499" s="4" t="s">
        <v>29</v>
      </c>
      <c r="J2499" s="4">
        <v>83</v>
      </c>
      <c r="K2499" s="4" t="s">
        <v>30</v>
      </c>
      <c r="L2499" s="8">
        <v>3</v>
      </c>
      <c r="M2499" s="9" t="s">
        <v>50</v>
      </c>
      <c r="N2499" s="9" t="str">
        <f t="shared" si="19"/>
        <v>ICU</v>
      </c>
      <c r="O2499" s="10">
        <v>13203.23</v>
      </c>
      <c r="P2499" s="10">
        <v>7738.67</v>
      </c>
      <c r="Q2499" s="11">
        <v>10.1</v>
      </c>
      <c r="R2499" s="13" t="str">
        <f>IF(Patient_Data!$L2499&lt;2,"Low Risk",IF(Patient_Data!$L2499&lt;4,"Moderate Risk","High Risk"))</f>
        <v>Moderate Risk</v>
      </c>
      <c r="S2499" s="12" t="str">
        <f>IF(Patient_Data[[#This Row],[Age]]&lt;=18,"Pediatric",IF(Patient_Data[[#This Row],[Age]]&lt;=64,"Adult","Geriatric"))</f>
        <v>Geriatric</v>
      </c>
    </row>
    <row r="2500" spans="1:19" ht="15.75" customHeight="1" x14ac:dyDescent="0.3">
      <c r="A2500" s="4" t="s">
        <v>4942</v>
      </c>
      <c r="B2500" s="5" t="str">
        <f>TEXT(Patient_Data!$E2500,"mmmm")</f>
        <v>March</v>
      </c>
      <c r="C2500" s="6" t="str">
        <f t="shared" si="18"/>
        <v>Mar</v>
      </c>
      <c r="D2500" s="6">
        <f>MONTH(Patient_Data!$E2500)</f>
        <v>3</v>
      </c>
      <c r="E2500" s="7">
        <v>45371</v>
      </c>
      <c r="F2500" s="55" t="str">
        <f>TEXT(Patient_Data[[#This Row],[Admission_Date]],"YYYY")</f>
        <v>2024</v>
      </c>
      <c r="G2500" s="8" t="s">
        <v>754</v>
      </c>
      <c r="H2500" s="8" t="s">
        <v>75</v>
      </c>
      <c r="I2500" s="4" t="s">
        <v>35</v>
      </c>
      <c r="J2500" s="4">
        <v>25</v>
      </c>
      <c r="K2500" s="4" t="s">
        <v>54</v>
      </c>
      <c r="L2500" s="8">
        <v>1</v>
      </c>
      <c r="M2500" s="9" t="s">
        <v>39</v>
      </c>
      <c r="N2500" s="9" t="str">
        <f t="shared" si="19"/>
        <v>GM</v>
      </c>
      <c r="O2500" s="10">
        <v>3936.09</v>
      </c>
      <c r="P2500" s="10">
        <v>2452.21</v>
      </c>
      <c r="Q2500" s="11">
        <v>6.4</v>
      </c>
      <c r="R2500" s="13" t="str">
        <f>IF(Patient_Data!$L2500&lt;2,"Low Risk",IF(Patient_Data!$L2500&lt;4,"Moderate Risk","High Risk"))</f>
        <v>Low Risk</v>
      </c>
      <c r="S2500" s="12" t="str">
        <f>IF(Patient_Data[[#This Row],[Age]]&lt;=18,"Pediatric",IF(Patient_Data[[#This Row],[Age]]&lt;=64,"Adult","Geriatric"))</f>
        <v>Adult</v>
      </c>
    </row>
    <row r="2501" spans="1:19" ht="15.75" customHeight="1" x14ac:dyDescent="0.3">
      <c r="A2501" s="4" t="s">
        <v>4943</v>
      </c>
      <c r="B2501" s="5" t="str">
        <f>TEXT(Patient_Data!$E2501,"mmmm")</f>
        <v>March</v>
      </c>
      <c r="C2501" s="6" t="str">
        <f t="shared" si="18"/>
        <v>Mar</v>
      </c>
      <c r="D2501" s="6">
        <f>MONTH(Patient_Data!$E2501)</f>
        <v>3</v>
      </c>
      <c r="E2501" s="7">
        <v>45719</v>
      </c>
      <c r="F2501" s="55" t="str">
        <f>TEXT(Patient_Data[[#This Row],[Admission_Date]],"YYYY")</f>
        <v>2025</v>
      </c>
      <c r="G2501" s="8" t="s">
        <v>4944</v>
      </c>
      <c r="H2501" s="8" t="s">
        <v>49</v>
      </c>
      <c r="I2501" s="4" t="s">
        <v>35</v>
      </c>
      <c r="J2501" s="4">
        <v>23</v>
      </c>
      <c r="K2501" s="4" t="s">
        <v>30</v>
      </c>
      <c r="L2501" s="8">
        <v>1</v>
      </c>
      <c r="M2501" s="9" t="s">
        <v>36</v>
      </c>
      <c r="N2501" s="9" t="str">
        <f t="shared" si="19"/>
        <v>Cardio</v>
      </c>
      <c r="O2501" s="10">
        <v>9519.85</v>
      </c>
      <c r="P2501" s="10">
        <v>6147.9</v>
      </c>
      <c r="Q2501" s="11">
        <v>6.9</v>
      </c>
      <c r="R2501" s="13" t="str">
        <f>IF(Patient_Data!$L2501&lt;2,"Low Risk",IF(Patient_Data!$L2501&lt;4,"Moderate Risk","High Risk"))</f>
        <v>Low Risk</v>
      </c>
      <c r="S2501" s="12" t="str">
        <f>IF(Patient_Data[[#This Row],[Age]]&lt;=18,"Pediatric",IF(Patient_Data[[#This Row],[Age]]&lt;=64,"Adult","Geriatric"))</f>
        <v>Adult</v>
      </c>
    </row>
    <row r="2502" spans="1:19" ht="15.75" customHeight="1" x14ac:dyDescent="0.3">
      <c r="A2502" s="4" t="s">
        <v>4945</v>
      </c>
      <c r="B2502" s="5" t="str">
        <f>TEXT(Patient_Data!$E2502,"mmmm")</f>
        <v>December</v>
      </c>
      <c r="C2502" s="6" t="str">
        <f t="shared" si="18"/>
        <v>Dec</v>
      </c>
      <c r="D2502" s="6">
        <f>MONTH(Patient_Data!$E2502)</f>
        <v>12</v>
      </c>
      <c r="E2502" s="7">
        <v>45649</v>
      </c>
      <c r="F2502" s="55" t="str">
        <f>TEXT(Patient_Data[[#This Row],[Admission_Date]],"YYYY")</f>
        <v>2024</v>
      </c>
      <c r="G2502" s="8" t="s">
        <v>4946</v>
      </c>
      <c r="H2502" s="8" t="s">
        <v>49</v>
      </c>
      <c r="I2502" s="4" t="s">
        <v>35</v>
      </c>
      <c r="J2502" s="4">
        <v>71</v>
      </c>
      <c r="K2502" s="4" t="s">
        <v>30</v>
      </c>
      <c r="L2502" s="8">
        <v>3</v>
      </c>
      <c r="M2502" s="9" t="s">
        <v>36</v>
      </c>
      <c r="N2502" s="9" t="str">
        <f t="shared" si="19"/>
        <v>Cardio</v>
      </c>
      <c r="O2502" s="10">
        <v>7811.45</v>
      </c>
      <c r="P2502" s="10">
        <v>5328.07</v>
      </c>
      <c r="Q2502" s="11">
        <v>11.8</v>
      </c>
      <c r="R2502" s="13" t="str">
        <f>IF(Patient_Data!$L2502&lt;2,"Low Risk",IF(Patient_Data!$L2502&lt;4,"Moderate Risk","High Risk"))</f>
        <v>Moderate Risk</v>
      </c>
      <c r="S2502" s="12" t="str">
        <f>IF(Patient_Data[[#This Row],[Age]]&lt;=18,"Pediatric",IF(Patient_Data[[#This Row],[Age]]&lt;=64,"Adult","Geriatric"))</f>
        <v>Geriatric</v>
      </c>
    </row>
    <row r="2503" spans="1:19" ht="15.75" customHeight="1" x14ac:dyDescent="0.3">
      <c r="A2503" s="4" t="s">
        <v>4947</v>
      </c>
      <c r="B2503" s="5" t="str">
        <f>TEXT(Patient_Data!$E2503,"mmmm")</f>
        <v>January</v>
      </c>
      <c r="C2503" s="6" t="str">
        <f t="shared" si="18"/>
        <v>Jan</v>
      </c>
      <c r="D2503" s="6">
        <f>MONTH(Patient_Data!$E2503)</f>
        <v>1</v>
      </c>
      <c r="E2503" s="7">
        <v>46052</v>
      </c>
      <c r="F2503" s="55" t="str">
        <f>TEXT(Patient_Data[[#This Row],[Admission_Date]],"YYYY")</f>
        <v>2026</v>
      </c>
      <c r="G2503" s="8" t="s">
        <v>4948</v>
      </c>
      <c r="H2503" s="8" t="s">
        <v>28</v>
      </c>
      <c r="I2503" s="4" t="s">
        <v>35</v>
      </c>
      <c r="J2503" s="4">
        <v>73</v>
      </c>
      <c r="K2503" s="4" t="s">
        <v>54</v>
      </c>
      <c r="L2503" s="8">
        <v>2</v>
      </c>
      <c r="M2503" s="9" t="s">
        <v>39</v>
      </c>
      <c r="N2503" s="9" t="str">
        <f t="shared" si="19"/>
        <v>GM</v>
      </c>
      <c r="O2503" s="10">
        <v>4520.82</v>
      </c>
      <c r="P2503" s="10">
        <v>3222.17</v>
      </c>
      <c r="Q2503" s="11">
        <v>7.2</v>
      </c>
      <c r="R2503" s="13" t="str">
        <f>IF(Patient_Data!$L2503&lt;2,"Low Risk",IF(Patient_Data!$L2503&lt;4,"Moderate Risk","High Risk"))</f>
        <v>Moderate Risk</v>
      </c>
      <c r="S2503" s="12" t="str">
        <f>IF(Patient_Data[[#This Row],[Age]]&lt;=18,"Pediatric",IF(Patient_Data[[#This Row],[Age]]&lt;=64,"Adult","Geriatric"))</f>
        <v>Geriatric</v>
      </c>
    </row>
    <row r="2504" spans="1:19" ht="15.75" customHeight="1" x14ac:dyDescent="0.3">
      <c r="A2504" s="4" t="s">
        <v>4949</v>
      </c>
      <c r="B2504" s="5" t="str">
        <f>TEXT(Patient_Data!$E2504,"mmmm")</f>
        <v>October</v>
      </c>
      <c r="C2504" s="6" t="str">
        <f t="shared" si="18"/>
        <v>Oct</v>
      </c>
      <c r="D2504" s="6">
        <f>MONTH(Patient_Data!$E2504)</f>
        <v>10</v>
      </c>
      <c r="E2504" s="7">
        <v>45947</v>
      </c>
      <c r="F2504" s="55" t="str">
        <f>TEXT(Patient_Data[[#This Row],[Admission_Date]],"YYYY")</f>
        <v>2025</v>
      </c>
      <c r="G2504" s="8" t="s">
        <v>3698</v>
      </c>
      <c r="H2504" s="8" t="s">
        <v>28</v>
      </c>
      <c r="I2504" s="4" t="s">
        <v>35</v>
      </c>
      <c r="J2504" s="4">
        <v>2</v>
      </c>
      <c r="K2504" s="4" t="s">
        <v>30</v>
      </c>
      <c r="L2504" s="8">
        <v>1</v>
      </c>
      <c r="M2504" s="9" t="s">
        <v>79</v>
      </c>
      <c r="N2504" s="9" t="str">
        <f t="shared" si="19"/>
        <v>PD</v>
      </c>
      <c r="O2504" s="10">
        <v>1363.33</v>
      </c>
      <c r="P2504" s="10">
        <v>1032.03</v>
      </c>
      <c r="Q2504" s="11">
        <v>4.5999999999999996</v>
      </c>
      <c r="R2504" s="13" t="str">
        <f>IF(Patient_Data!$L2504&lt;2,"Low Risk",IF(Patient_Data!$L2504&lt;4,"Moderate Risk","High Risk"))</f>
        <v>Low Risk</v>
      </c>
      <c r="S2504" s="12" t="str">
        <f>IF(Patient_Data[[#This Row],[Age]]&lt;=18,"Pediatric",IF(Patient_Data[[#This Row],[Age]]&lt;=64,"Adult","Geriatric"))</f>
        <v>Pediatric</v>
      </c>
    </row>
    <row r="2505" spans="1:19" ht="15.75" customHeight="1" x14ac:dyDescent="0.3">
      <c r="A2505" s="4" t="s">
        <v>4950</v>
      </c>
      <c r="B2505" s="5" t="str">
        <f>TEXT(Patient_Data!$E2505,"mmmm")</f>
        <v>October</v>
      </c>
      <c r="C2505" s="6" t="str">
        <f t="shared" si="18"/>
        <v>Oct</v>
      </c>
      <c r="D2505" s="6">
        <f>MONTH(Patient_Data!$E2505)</f>
        <v>10</v>
      </c>
      <c r="E2505" s="7">
        <v>45568</v>
      </c>
      <c r="F2505" s="55" t="str">
        <f>TEXT(Patient_Data[[#This Row],[Admission_Date]],"YYYY")</f>
        <v>2024</v>
      </c>
      <c r="G2505" s="8" t="s">
        <v>4951</v>
      </c>
      <c r="H2505" s="8" t="s">
        <v>82</v>
      </c>
      <c r="I2505" s="4" t="s">
        <v>29</v>
      </c>
      <c r="J2505" s="4">
        <v>27</v>
      </c>
      <c r="K2505" s="4" t="s">
        <v>54</v>
      </c>
      <c r="L2505" s="8">
        <v>3</v>
      </c>
      <c r="M2505" s="9" t="s">
        <v>72</v>
      </c>
      <c r="N2505" s="9" t="str">
        <f t="shared" si="19"/>
        <v>Surgery</v>
      </c>
      <c r="O2505" s="10">
        <v>16823.759999999998</v>
      </c>
      <c r="P2505" s="10">
        <v>12842.06</v>
      </c>
      <c r="Q2505" s="11">
        <v>7</v>
      </c>
      <c r="R2505" s="13" t="str">
        <f>IF(Patient_Data!$L2505&lt;2,"Low Risk",IF(Patient_Data!$L2505&lt;4,"Moderate Risk","High Risk"))</f>
        <v>Moderate Risk</v>
      </c>
      <c r="S2505" s="12" t="str">
        <f>IF(Patient_Data[[#This Row],[Age]]&lt;=18,"Pediatric",IF(Patient_Data[[#This Row],[Age]]&lt;=64,"Adult","Geriatric"))</f>
        <v>Adult</v>
      </c>
    </row>
    <row r="2506" spans="1:19" ht="15.75" customHeight="1" x14ac:dyDescent="0.3">
      <c r="A2506" s="4" t="s">
        <v>4952</v>
      </c>
      <c r="B2506" s="5" t="str">
        <f>TEXT(Patient_Data!$E2506,"mmmm")</f>
        <v>June</v>
      </c>
      <c r="C2506" s="6" t="str">
        <f t="shared" si="18"/>
        <v>Jun</v>
      </c>
      <c r="D2506" s="6">
        <f>MONTH(Patient_Data!$E2506)</f>
        <v>6</v>
      </c>
      <c r="E2506" s="7">
        <v>46190</v>
      </c>
      <c r="F2506" s="55" t="str">
        <f>TEXT(Patient_Data[[#This Row],[Admission_Date]],"YYYY")</f>
        <v>2026</v>
      </c>
      <c r="G2506" s="8" t="s">
        <v>4953</v>
      </c>
      <c r="H2506" s="8" t="s">
        <v>49</v>
      </c>
      <c r="I2506" s="4" t="s">
        <v>35</v>
      </c>
      <c r="J2506" s="4">
        <v>20</v>
      </c>
      <c r="K2506" s="4" t="s">
        <v>54</v>
      </c>
      <c r="L2506" s="8">
        <v>4</v>
      </c>
      <c r="M2506" s="9" t="s">
        <v>39</v>
      </c>
      <c r="N2506" s="9" t="str">
        <f t="shared" si="19"/>
        <v>GM</v>
      </c>
      <c r="O2506" s="10">
        <v>3383.22</v>
      </c>
      <c r="P2506" s="10">
        <v>2005.47</v>
      </c>
      <c r="Q2506" s="11">
        <v>5.4</v>
      </c>
      <c r="R2506" s="13" t="str">
        <f>IF(Patient_Data!$L2506&lt;2,"Low Risk",IF(Patient_Data!$L2506&lt;4,"Moderate Risk","High Risk"))</f>
        <v>High Risk</v>
      </c>
      <c r="S2506" s="12" t="str">
        <f>IF(Patient_Data[[#This Row],[Age]]&lt;=18,"Pediatric",IF(Patient_Data[[#This Row],[Age]]&lt;=64,"Adult","Geriatric"))</f>
        <v>Adult</v>
      </c>
    </row>
    <row r="2507" spans="1:19" ht="15.75" customHeight="1" x14ac:dyDescent="0.3">
      <c r="E2507" s="15"/>
      <c r="F2507" s="56"/>
    </row>
  </sheetData>
  <customSheetViews>
    <customSheetView guid="{EB334450-2F6D-414A-BD3A-258923638ECF}" filter="1" showAutoFilter="1">
      <pageMargins left="0.7" right="0.7" top="0.75" bottom="0.75" header="0.3" footer="0.3"/>
      <autoFilter ref="A1:R2506" xr:uid="{2D63046B-3DE8-41BB-A464-337B62AA6EC5}"/>
      <extLst>
        <ext uri="GoogleSheetsCustomDataVersion1">
          <go:sheetsCustomData xmlns:go="http://customooxmlschemas.google.com/" filterViewId="658494710"/>
        </ext>
      </extLst>
    </customSheetView>
  </customSheetViews>
  <pageMargins left="0.75" right="0.75" top="1" bottom="1" header="0" footer="0"/>
  <pageSetup orientation="landscape"/>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CB19EA-27D8-4118-8EE5-F9E5EDCE5CA0}">
  <dimension ref="A1:U33"/>
  <sheetViews>
    <sheetView showGridLines="0" tabSelected="1" zoomScale="80" zoomScaleNormal="80" workbookViewId="0">
      <selection activeCell="A35" sqref="A35"/>
    </sheetView>
  </sheetViews>
  <sheetFormatPr defaultRowHeight="14.4" x14ac:dyDescent="0.3"/>
  <sheetData>
    <row r="1" spans="1:21" x14ac:dyDescent="0.3">
      <c r="A1" s="47"/>
      <c r="U1" s="47"/>
    </row>
    <row r="33" spans="4:21" x14ac:dyDescent="0.3">
      <c r="D33" s="47"/>
      <c r="U33" s="4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B1:G17"/>
  <sheetViews>
    <sheetView showGridLines="0" workbookViewId="0"/>
  </sheetViews>
  <sheetFormatPr defaultColWidth="14.44140625" defaultRowHeight="15" customHeight="1" x14ac:dyDescent="0.3"/>
  <cols>
    <col min="1" max="1" width="12.21875" customWidth="1"/>
    <col min="2" max="2" width="26.77734375" bestFit="1" customWidth="1"/>
    <col min="3" max="3" width="8.21875" bestFit="1" customWidth="1"/>
  </cols>
  <sheetData>
    <row r="1" spans="2:7" ht="14.4" x14ac:dyDescent="0.3"/>
    <row r="2" spans="2:7" ht="14.4" x14ac:dyDescent="0.3">
      <c r="B2" s="25"/>
      <c r="C2" s="26"/>
      <c r="D2" s="27"/>
    </row>
    <row r="3" spans="2:7" ht="15" customHeight="1" x14ac:dyDescent="0.3">
      <c r="B3" s="46" t="s">
        <v>4976</v>
      </c>
      <c r="C3" s="29"/>
      <c r="D3" s="30"/>
    </row>
    <row r="4" spans="2:7" ht="14.4" x14ac:dyDescent="0.3">
      <c r="B4" s="31"/>
      <c r="C4" s="29"/>
      <c r="D4" s="30"/>
    </row>
    <row r="5" spans="2:7" ht="14.4" x14ac:dyDescent="0.3">
      <c r="B5" s="32"/>
      <c r="C5" s="33"/>
      <c r="D5" s="30"/>
      <c r="G5" s="1" t="s">
        <v>0</v>
      </c>
    </row>
    <row r="6" spans="2:7" ht="14.4" x14ac:dyDescent="0.3">
      <c r="B6" s="32"/>
      <c r="C6" s="33"/>
      <c r="D6" s="30"/>
    </row>
    <row r="7" spans="2:7" ht="14.4" x14ac:dyDescent="0.3">
      <c r="B7" s="32"/>
      <c r="C7" s="33"/>
      <c r="D7" s="30"/>
    </row>
    <row r="8" spans="2:7" ht="14.4" x14ac:dyDescent="0.3">
      <c r="B8" s="32"/>
      <c r="C8" s="33"/>
      <c r="D8" s="30"/>
    </row>
    <row r="9" spans="2:7" ht="14.4" x14ac:dyDescent="0.3">
      <c r="B9" s="31"/>
      <c r="C9" s="29"/>
      <c r="D9" s="30"/>
    </row>
    <row r="10" spans="2:7" ht="20.399999999999999" x14ac:dyDescent="0.7">
      <c r="B10" s="28"/>
      <c r="C10" s="29"/>
      <c r="D10" s="30"/>
    </row>
    <row r="11" spans="2:7" ht="15" customHeight="1" x14ac:dyDescent="0.3">
      <c r="B11" s="45" t="s">
        <v>1</v>
      </c>
      <c r="C11" s="29"/>
      <c r="D11" s="30"/>
    </row>
    <row r="12" spans="2:7" ht="14.4" x14ac:dyDescent="0.3">
      <c r="B12" s="31"/>
      <c r="C12" s="29"/>
      <c r="D12" s="30"/>
    </row>
    <row r="13" spans="2:7" ht="14.4" x14ac:dyDescent="0.3">
      <c r="B13" s="31" t="s">
        <v>2</v>
      </c>
      <c r="C13" s="29" t="s">
        <v>3</v>
      </c>
      <c r="D13" s="30"/>
    </row>
    <row r="14" spans="2:7" ht="14.4" x14ac:dyDescent="0.3">
      <c r="B14" s="31" t="s">
        <v>4</v>
      </c>
      <c r="C14" s="29" t="s">
        <v>5</v>
      </c>
      <c r="D14" s="30"/>
    </row>
    <row r="15" spans="2:7" ht="14.4" x14ac:dyDescent="0.3">
      <c r="B15" s="31" t="s">
        <v>7</v>
      </c>
      <c r="C15" s="29" t="s">
        <v>8</v>
      </c>
      <c r="D15" s="30"/>
    </row>
    <row r="16" spans="2:7" ht="14.4" x14ac:dyDescent="0.3">
      <c r="B16" s="31"/>
      <c r="C16" s="29"/>
      <c r="D16" s="30"/>
    </row>
    <row r="17" spans="2:4" ht="14.4" x14ac:dyDescent="0.3">
      <c r="B17" s="34"/>
      <c r="C17" s="35"/>
      <c r="D17" s="36"/>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Pivots</vt:lpstr>
      <vt:lpstr>KPI</vt:lpstr>
      <vt:lpstr>Patient_Data</vt:lpstr>
      <vt:lpstr>Dashboard</vt:lpstr>
      <vt:lpstr>Tools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Mbalenhle Dube</cp:lastModifiedBy>
  <dcterms:created xsi:type="dcterms:W3CDTF">2026-07-21T21:05:40Z</dcterms:created>
  <dcterms:modified xsi:type="dcterms:W3CDTF">2026-08-30T20:28:07Z</dcterms:modified>
</cp:coreProperties>
</file>